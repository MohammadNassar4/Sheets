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activeTab="11"/>
  </bookViews>
  <sheets>
    <sheet name="WK 47" sheetId="1" state="hidden" r:id="rId1"/>
    <sheet name="Copy of WK 48" sheetId="2" state="hidden" r:id="rId2"/>
    <sheet name="WK2 UPDATED" sheetId="3" state="hidden" r:id="rId3"/>
    <sheet name="Swaps draft" sheetId="4" state="hidden" r:id="rId4"/>
    <sheet name="WK 1" sheetId="5" state="hidden" r:id="rId5"/>
    <sheet name="WK2" sheetId="6" state="hidden" r:id="rId6"/>
    <sheet name="WK 52" sheetId="7" state="hidden" r:id="rId7"/>
    <sheet name="WK 51" sheetId="8" state="hidden" r:id="rId8"/>
    <sheet name="Wk 50" sheetId="9" state="hidden" r:id="rId9"/>
    <sheet name="WK 49" sheetId="10" state="hidden" r:id="rId10"/>
    <sheet name="Jan Schedule" sheetId="11" state="hidden" r:id="rId11"/>
    <sheet name="WK4" sheetId="12" r:id="rId12"/>
    <sheet name="WK3" sheetId="13" state="hidden" r:id="rId13"/>
    <sheet name="WK3 FINAL" sheetId="14" state="hidden" r:id="rId14"/>
    <sheet name="WK3 F" sheetId="15" state="hidden" r:id="rId15"/>
    <sheet name="WK 48" sheetId="16" state="hidden" r:id="rId16"/>
    <sheet name="Schedule Wk 47" sheetId="17" state="hidden" r:id="rId17"/>
    <sheet name="Pref" sheetId="18" state="hidden" r:id="rId18"/>
    <sheet name="WK 46" sheetId="19" state="hidden" r:id="rId19"/>
    <sheet name="sheet" sheetId="20" state="hidden" r:id="rId20"/>
    <sheet name="WK 45" sheetId="21" state="hidden" r:id="rId21"/>
    <sheet name="WK 44" sheetId="22" state="hidden" r:id="rId22"/>
    <sheet name="WK 43" sheetId="23" state="hidden" r:id="rId23"/>
    <sheet name="WK 42" sheetId="24" state="hidden" r:id="rId24"/>
    <sheet name="Dec schedule" sheetId="25" state="hidden" r:id="rId25"/>
    <sheet name="Annuals" sheetId="26" state="hidden" r:id="rId26"/>
  </sheets>
  <definedNames>
    <definedName name="_xlnm._FilterDatabase" localSheetId="1" hidden="1">'Copy of WK 48'!$A$3:$Y$52</definedName>
    <definedName name="_xlnm._FilterDatabase" localSheetId="5" hidden="1">'WK2'!$D$3:$D$51</definedName>
    <definedName name="_xlnm._FilterDatabase" localSheetId="7" hidden="1">'WK 51'!$A$3:$U$51</definedName>
    <definedName name="_xlnm._FilterDatabase" localSheetId="10" hidden="1">'Jan Schedule'!$Q$3:$R$42</definedName>
    <definedName name="_xlnm._FilterDatabase" localSheetId="24" hidden="1">'Dec schedule'!$F$58</definedName>
    <definedName name="Z_1AE8F616_6DF1_4BE7_ABB8_842FEECB574A_.wvu.FilterData" localSheetId="15" hidden="1">'WK 48'!$Q$1:$R$51</definedName>
    <definedName name="Z_DCE95A5E_FF37_4E04_937B_25E48CB5870C_.wvu.FilterData" localSheetId="15" hidden="1">'WK 48'!$S$1:$T$51</definedName>
    <definedName name="_xlnm._FilterDatabase" localSheetId="11" hidden="1">'WK4'!$A$13:$B$13</definedName>
  </definedNames>
  <calcPr calcId="191029"/>
  <customWorkbookViews>
    <customWorkbookView name="Filter 2" guid="{DCE95A5E-FF37-4E04-937B-25E48CB5870C}" maximized="1" windowWidth="0" windowHeight="0" activeSheetId="0"/>
    <customWorkbookView name="Filter 1" guid="{1AE8F616-6DF1-4BE7-ABB8-842FEECB574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<sst xmlns="http://schemas.openxmlformats.org/spreadsheetml/2006/main" count="10584" uniqueCount="238">
  <si>
    <t>CIM</t>
  </si>
  <si>
    <t>Agent Name</t>
  </si>
  <si>
    <t>Position</t>
  </si>
  <si>
    <t>Stage</t>
  </si>
  <si>
    <t>FT/PT</t>
  </si>
  <si>
    <t>Wave</t>
  </si>
  <si>
    <t>Monday</t>
  </si>
  <si>
    <t>Tuesday</t>
  </si>
  <si>
    <t>Wednesday</t>
  </si>
  <si>
    <t>Thursday</t>
  </si>
  <si>
    <t>Friday</t>
  </si>
  <si>
    <t>Saturday</t>
  </si>
  <si>
    <t>Sunday</t>
  </si>
  <si>
    <t>From</t>
  </si>
  <si>
    <t>To</t>
  </si>
  <si>
    <t>Working Hrs</t>
  </si>
  <si>
    <t>Preference was</t>
  </si>
  <si>
    <t>Difference</t>
  </si>
  <si>
    <t>Pattern</t>
  </si>
  <si>
    <t>Ahmed Mamdouh</t>
  </si>
  <si>
    <t>CSR</t>
  </si>
  <si>
    <t>Production</t>
  </si>
  <si>
    <t>FT</t>
  </si>
  <si>
    <t>OFF</t>
  </si>
  <si>
    <t>Asalla Metwally</t>
  </si>
  <si>
    <t>Dina Hanafy</t>
  </si>
  <si>
    <t>Hassan Hussain</t>
  </si>
  <si>
    <t>Hla Badr</t>
  </si>
  <si>
    <t>Mariam Gadalkarim</t>
  </si>
  <si>
    <t>Mariam Hanna</t>
  </si>
  <si>
    <t>Wafaa Elnaby</t>
  </si>
  <si>
    <t>Ahmed Hisham</t>
  </si>
  <si>
    <t>Aya Hassan</t>
  </si>
  <si>
    <t>Caren Lawendi</t>
  </si>
  <si>
    <t>Duaa Elshareeff</t>
  </si>
  <si>
    <t>PT</t>
  </si>
  <si>
    <t>AN</t>
  </si>
  <si>
    <t>Farida Gadalkarim</t>
  </si>
  <si>
    <t>Habiba Morsy</t>
  </si>
  <si>
    <t>Hana Afifi</t>
  </si>
  <si>
    <t>Hesham Hussien</t>
  </si>
  <si>
    <t>Khaled Zaafarany</t>
  </si>
  <si>
    <t>Mahmoud Abdelaziz</t>
  </si>
  <si>
    <t>Marinass Elhusseni</t>
  </si>
  <si>
    <t>Mohamed Abdelrahman</t>
  </si>
  <si>
    <t>Nada Mosbah</t>
  </si>
  <si>
    <t>Nadine Morsy</t>
  </si>
  <si>
    <t>Nouran Noby</t>
  </si>
  <si>
    <t>Omar Eldeen</t>
  </si>
  <si>
    <t>Salma Majed</t>
  </si>
  <si>
    <t>Salma Badreldin</t>
  </si>
  <si>
    <t>Shahd Abdelaziz</t>
  </si>
  <si>
    <t>Youssef Shokry</t>
  </si>
  <si>
    <t>Zeina Ashraf</t>
  </si>
  <si>
    <t>Reem Alaa</t>
  </si>
  <si>
    <t>Marleen Francis</t>
  </si>
  <si>
    <t>Alaa Ali</t>
  </si>
  <si>
    <t>Youssef Eltokhy</t>
  </si>
  <si>
    <t>Abdelrahman Etman</t>
  </si>
  <si>
    <t>Bassant Amin</t>
  </si>
  <si>
    <t>Alaa Abdulshafi</t>
  </si>
  <si>
    <t>Jumana Ashraf</t>
  </si>
  <si>
    <t>Fatimaalzahra Hafez</t>
  </si>
  <si>
    <t>Abdelrahman Ibrahim</t>
  </si>
  <si>
    <t>Yassin shaker</t>
  </si>
  <si>
    <t>Mohamed Hassan</t>
  </si>
  <si>
    <t>Hana Jankiz</t>
  </si>
  <si>
    <t>Marwa Nofal</t>
  </si>
  <si>
    <t>Bassant Eissa</t>
  </si>
  <si>
    <t>Salma Hassan</t>
  </si>
  <si>
    <t>Mazen Elramlawy</t>
  </si>
  <si>
    <t>Seifeldin Hassan</t>
  </si>
  <si>
    <t>Mazen Shokry</t>
  </si>
  <si>
    <t>Req Hours</t>
  </si>
  <si>
    <t>Available hours</t>
  </si>
  <si>
    <t>Variance</t>
  </si>
  <si>
    <t>Available Agents</t>
  </si>
  <si>
    <t>Required Agents</t>
  </si>
  <si>
    <t>HC Variance</t>
  </si>
  <si>
    <t>Variance %</t>
  </si>
  <si>
    <t xml:space="preserve"> From</t>
  </si>
  <si>
    <t xml:space="preserve"> To</t>
  </si>
  <si>
    <t>Working hours</t>
  </si>
  <si>
    <t>Preferred</t>
  </si>
  <si>
    <t>last week</t>
  </si>
  <si>
    <t>Delta</t>
  </si>
  <si>
    <t>B2B</t>
  </si>
  <si>
    <t>Salma Salah</t>
  </si>
  <si>
    <t>Omar Emad</t>
  </si>
  <si>
    <t>Esc Mgr</t>
  </si>
  <si>
    <t>Mazen Shoukry</t>
  </si>
  <si>
    <t>BH</t>
  </si>
  <si>
    <t>Yassin Shaker</t>
  </si>
  <si>
    <t>RS</t>
  </si>
  <si>
    <t>DT</t>
  </si>
  <si>
    <t>ESC</t>
  </si>
  <si>
    <t>PSK</t>
  </si>
  <si>
    <t>Delivered hours</t>
  </si>
  <si>
    <t>MGR Name</t>
  </si>
  <si>
    <t>Omar Sherif</t>
  </si>
  <si>
    <t>Mahmoud Naguib</t>
  </si>
  <si>
    <t>Nouran Mohammed Noby</t>
  </si>
  <si>
    <t>Mohamed Elsayed Abdelrahman</t>
  </si>
  <si>
    <t>Aya Ahmed Hassan</t>
  </si>
  <si>
    <t>Wafaa Mahmoud Elnaby</t>
  </si>
  <si>
    <t>ANN</t>
  </si>
  <si>
    <t>Dina Hanfy</t>
  </si>
  <si>
    <t>Asala Ibrahem</t>
  </si>
  <si>
    <t>Karim Ahmed Mohamed Hamed</t>
  </si>
  <si>
    <t>smart</t>
  </si>
  <si>
    <t>Name</t>
  </si>
  <si>
    <t>Friday, December 19, 2025</t>
  </si>
  <si>
    <t>Start time</t>
  </si>
  <si>
    <t>Stop time</t>
  </si>
  <si>
    <t>Salma Amr</t>
  </si>
  <si>
    <t>Mohammed Mutaz</t>
  </si>
  <si>
    <t>Sarah Mohammed</t>
  </si>
  <si>
    <t>Moatasem Monib</t>
  </si>
  <si>
    <t>Hadi Mohamed</t>
  </si>
  <si>
    <t>Mariam Mustafa</t>
  </si>
  <si>
    <t>Mostafa Gad</t>
  </si>
  <si>
    <t>Roaa Abdelghafar</t>
  </si>
  <si>
    <t>Maram Abdalla</t>
  </si>
  <si>
    <t>Mona Abdelazeem</t>
  </si>
  <si>
    <t>Habiba Adel</t>
  </si>
  <si>
    <t>Aya Ahmed</t>
  </si>
  <si>
    <t>Yousra Ali</t>
  </si>
  <si>
    <t>Osama Anwar</t>
  </si>
  <si>
    <t>Lama Gafar</t>
  </si>
  <si>
    <t>Basma Hosny</t>
  </si>
  <si>
    <t>Ahmed Khaled</t>
  </si>
  <si>
    <t>Raghad Mohamed</t>
  </si>
  <si>
    <t>Nada Mohammed</t>
  </si>
  <si>
    <t>Abdelrahman Mostafa</t>
  </si>
  <si>
    <t>Farah Maged</t>
  </si>
  <si>
    <t>Fatma Muhammad</t>
  </si>
  <si>
    <t>Merna Salama</t>
  </si>
  <si>
    <t>‫mohamed Rabie</t>
  </si>
  <si>
    <t>Mohammad Lithy</t>
  </si>
  <si>
    <t>Nour Ibrahim</t>
  </si>
  <si>
    <t>Omar Osama</t>
  </si>
  <si>
    <t>Shereen Sameh</t>
  </si>
  <si>
    <t>Yara Al Sayed</t>
  </si>
  <si>
    <t>Nouran Sami Ahmed</t>
  </si>
  <si>
    <t>Raheeq Ismail</t>
  </si>
  <si>
    <t>Diana Tarek</t>
  </si>
  <si>
    <t>Nada Mandour</t>
  </si>
  <si>
    <t>Yasmeen Ihab</t>
  </si>
  <si>
    <t>Mayar Ayman Aly</t>
  </si>
  <si>
    <t>Anna George</t>
  </si>
  <si>
    <t>Habiba Nassar</t>
  </si>
  <si>
    <t>Mayar Ashraf</t>
  </si>
  <si>
    <t>Yasmine Sayed</t>
  </si>
  <si>
    <t>Sherien Hesham</t>
  </si>
  <si>
    <t>Rony Matthew</t>
  </si>
  <si>
    <t>Bahaa Mohamed</t>
  </si>
  <si>
    <t>Ahmed Samir</t>
  </si>
  <si>
    <t>Salma Mustafa</t>
  </si>
  <si>
    <t>Abdo Elghanam</t>
  </si>
  <si>
    <t>Samah Abuzeid</t>
  </si>
  <si>
    <t>Safaa Awwad</t>
  </si>
  <si>
    <t>Hana Elshazly</t>
  </si>
  <si>
    <t>TL</t>
  </si>
  <si>
    <t>Aliaa Alaa Salah Mostafa</t>
  </si>
  <si>
    <t>RTM</t>
  </si>
  <si>
    <t>Mohamed Osama</t>
  </si>
  <si>
    <t>Trainer</t>
  </si>
  <si>
    <t>This week</t>
  </si>
  <si>
    <t>mazen</t>
  </si>
  <si>
    <t>9 AM</t>
  </si>
  <si>
    <t>Friday &amp; Saturday</t>
  </si>
  <si>
    <t>10 hours (4 weekdays) + 5 hours (1 weekends) (45hrs/Week)</t>
  </si>
  <si>
    <t>mazen.shoukry@transcom.com</t>
  </si>
  <si>
    <t>SeifelDin Hassan</t>
  </si>
  <si>
    <t>Sunday &amp; Monday</t>
  </si>
  <si>
    <t>9 hours (5 weekdays)  (45hrs/Week)</t>
  </si>
  <si>
    <t>seifeldin.hassan@transcom.com</t>
  </si>
  <si>
    <t>jumana.ashraf@transcom.com</t>
  </si>
  <si>
    <t xml:space="preserve">Hana Jankiz </t>
  </si>
  <si>
    <t>Saturday &amp; Sunday</t>
  </si>
  <si>
    <t>hana.jankiz@transcom.com</t>
  </si>
  <si>
    <t>salma.hassan@transcom.com</t>
  </si>
  <si>
    <t>marleen.francis@transcom.com</t>
  </si>
  <si>
    <t>Alaa Osama</t>
  </si>
  <si>
    <t>alaa.abdulshafi@transcom.com</t>
  </si>
  <si>
    <t>Thursday and Friday</t>
  </si>
  <si>
    <t>abdelrahman.etman@transcom.com</t>
  </si>
  <si>
    <t xml:space="preserve">Mohamed Emad Hassan </t>
  </si>
  <si>
    <t>mohamed.hassan@transcom.com</t>
  </si>
  <si>
    <t xml:space="preserve">YASSIN SHAKER </t>
  </si>
  <si>
    <t>yassin.shaker@transcom.com</t>
  </si>
  <si>
    <t>9 hours (4 weekdays) + 5 hours (1 weekends) (41hrs/Week)</t>
  </si>
  <si>
    <t>bassant.eissa@transcom.com</t>
  </si>
  <si>
    <t>bassant.amin@transcom.com</t>
  </si>
  <si>
    <t>Mazen elramlawy</t>
  </si>
  <si>
    <t>mazen.elramlawy@transcom.com</t>
  </si>
  <si>
    <t>abdelrahman.ibrahim1@transcom.com</t>
  </si>
  <si>
    <t>alaa ali</t>
  </si>
  <si>
    <t>Part time (5 days a week, 5hrs/day) (25hrs/week)</t>
  </si>
  <si>
    <t>alaa.ali@transcom.com</t>
  </si>
  <si>
    <t>Youssef ElTokhy</t>
  </si>
  <si>
    <t>9 hours (3 weekdays) + 5 hours (2 weekends) (37hrs/Week)</t>
  </si>
  <si>
    <t>youssef.eltokhy@transcom.com</t>
  </si>
  <si>
    <t>Fatemaelzahraa hafez</t>
  </si>
  <si>
    <t>fatimaalzahra.hafez@transcom.com</t>
  </si>
  <si>
    <t>Mohamed Gharieb</t>
  </si>
  <si>
    <t>Noha Fiky</t>
  </si>
  <si>
    <t>Omar Abdelwahed</t>
  </si>
  <si>
    <t>Youssef Elgammal</t>
  </si>
  <si>
    <t>Nesting</t>
  </si>
  <si>
    <t>Duaa ELshareeff</t>
  </si>
  <si>
    <t>Split days off before</t>
  </si>
  <si>
    <t>Wasfy Kirollos</t>
  </si>
  <si>
    <t>10227727</t>
  </si>
  <si>
    <t>Tarek Adel</t>
  </si>
  <si>
    <t>Hassan Hussein</t>
  </si>
  <si>
    <t>Mohamed elsayed Abdelrahman</t>
  </si>
  <si>
    <t>Dina Saeed Abdelfattah</t>
  </si>
  <si>
    <t>Khaled Hatem Zaafarany</t>
  </si>
  <si>
    <t>Salma Salah Badreldin</t>
  </si>
  <si>
    <t>Caren Mahrous Lawendi</t>
  </si>
  <si>
    <t>Hisham Hussien</t>
  </si>
  <si>
    <t>Habiba Mohamed</t>
  </si>
  <si>
    <t>Shahd bassem Samih abdelaziz</t>
  </si>
  <si>
    <t>Youssef Azzam</t>
  </si>
  <si>
    <t>Mahmoud Nehad</t>
  </si>
  <si>
    <t>Mariam Gamal Hanna</t>
  </si>
  <si>
    <t>Farida Mohamed Gadalkarim</t>
  </si>
  <si>
    <t>Mariam Mohamed Gadalkarim</t>
  </si>
  <si>
    <t>Wasfy Nabil Kirollos</t>
  </si>
  <si>
    <t>Nadine Amr Morsy</t>
  </si>
  <si>
    <t>Hana Mohamed Afifi</t>
  </si>
  <si>
    <t>Omar abdelwahed</t>
  </si>
  <si>
    <t>Marinass Elhusseini</t>
  </si>
  <si>
    <t>Noha Elfeky</t>
  </si>
  <si>
    <t>Hla Mohamed</t>
  </si>
  <si>
    <t>BM</t>
  </si>
  <si>
    <t>Heba Nofal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</si>
</sst>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  <numFmt numFmtId="179" formatCode="h:mm\ AM/PM"/>
    <numFmt numFmtId="180" formatCode="0.0"/>
  </numFmts>
  <fonts count="43">
    <font>
      <sz val="10"/>
      <color rgb="FF000000"/>
      <name val="Arial"/>
      <charset val="134"/>
      <scheme val="minor"/>
    </font>
    <font>
      <b/>
      <sz val="10"/>
      <color rgb="FFFFFFFF"/>
      <name val="Calibri"/>
      <charset val="134"/>
    </font>
    <font>
      <sz val="10"/>
      <color rgb="FFFFFFFF"/>
      <name val="Arial"/>
      <charset val="134"/>
      <scheme val="minor"/>
    </font>
    <font>
      <sz val="1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FFFFFF"/>
      <name val="Calibri"/>
      <charset val="134"/>
    </font>
    <font>
      <sz val="10"/>
      <color theme="1"/>
      <name val="Calibri"/>
      <charset val="134"/>
    </font>
    <font>
      <sz val="10"/>
      <color rgb="FFEFEFEF"/>
      <name val="Calibri"/>
      <charset val="134"/>
    </font>
    <font>
      <sz val="10"/>
      <color rgb="FF222222"/>
      <name val="Arial"/>
      <charset val="134"/>
    </font>
    <font>
      <sz val="10"/>
      <color theme="1"/>
      <name val="Century Gothic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</font>
    <font>
      <sz val="10"/>
      <color rgb="FF000000"/>
      <name val="Arial"/>
      <charset val="134"/>
    </font>
    <font>
      <sz val="10"/>
      <color rgb="FF222222"/>
      <name val="Calibri"/>
      <charset val="134"/>
    </font>
    <font>
      <sz val="10"/>
      <color rgb="FFEFEFEF"/>
      <name val="Arial"/>
      <charset val="134"/>
    </font>
    <font>
      <sz val="10"/>
      <color rgb="FF434343"/>
      <name val="Roboto"/>
      <charset val="134"/>
    </font>
    <font>
      <b/>
      <sz val="10"/>
      <color rgb="FFFFFFFF"/>
      <name val="Arial"/>
      <charset val="134"/>
      <scheme val="minor"/>
    </font>
    <font>
      <b/>
      <sz val="10"/>
      <color rgb="FFFFFFFF"/>
      <name val="Arial"/>
      <charset val="134"/>
    </font>
    <font>
      <b/>
      <sz val="10"/>
      <color rgb="FF000000"/>
      <name val="Calibri"/>
      <charset val="134"/>
    </font>
    <font>
      <b/>
      <sz val="10"/>
      <color rgb="FF000000"/>
      <name val="Arial"/>
      <charset val="134"/>
      <scheme val="minor"/>
    </font>
    <font>
      <b/>
      <sz val="10"/>
      <color rgb="FFEFEFEF"/>
      <name val="Arial"/>
      <charset val="134"/>
      <scheme val="minor"/>
    </font>
    <font>
      <sz val="10"/>
      <color rgb="FFFFFFFF"/>
      <name val="Arial"/>
      <charset val="134"/>
    </font>
    <font>
      <sz val="10"/>
      <color rgb="FF1F1F1F"/>
      <name val="&quot;Google Sans Mono&quot;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7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8DEDB"/>
        <bgColor rgb="FFF8DEDB"/>
      </patternFill>
    </fill>
    <fill>
      <patternFill patternType="solid">
        <fgColor rgb="FF57BB8A"/>
        <bgColor rgb="FF57BB8A"/>
      </patternFill>
    </fill>
    <fill>
      <patternFill patternType="solid">
        <fgColor rgb="FFE67C73"/>
        <bgColor rgb="FFE67C73"/>
      </patternFill>
    </fill>
    <fill>
      <patternFill patternType="solid">
        <fgColor rgb="FF82CDA8"/>
        <bgColor rgb="FF82CDA8"/>
      </patternFill>
    </fill>
    <fill>
      <patternFill patternType="solid">
        <fgColor rgb="FFEAF7F1"/>
        <bgColor rgb="FFEAF7F1"/>
      </patternFill>
    </fill>
    <fill>
      <patternFill patternType="solid">
        <fgColor rgb="FFB7B7B7"/>
        <bgColor rgb="FFB7B7B7"/>
      </patternFill>
    </fill>
    <fill>
      <patternFill patternType="solid">
        <fgColor rgb="FF96D5B6"/>
        <bgColor rgb="FF96D5B6"/>
      </patternFill>
    </fill>
    <fill>
      <patternFill patternType="solid">
        <fgColor rgb="FFEC9C96"/>
        <bgColor rgb="FFEC9C96"/>
      </patternFill>
    </fill>
    <fill>
      <patternFill patternType="solid">
        <fgColor rgb="FFF2BDB8"/>
        <bgColor rgb="FFF2BDB8"/>
      </patternFill>
    </fill>
    <fill>
      <patternFill patternType="solid">
        <fgColor rgb="FFC1E6D4"/>
        <bgColor rgb="FFC1E6D4"/>
      </patternFill>
    </fill>
    <fill>
      <patternFill patternType="solid">
        <fgColor rgb="FFFFFF00"/>
        <bgColor rgb="FFFFFF00"/>
      </patternFill>
    </fill>
    <fill>
      <patternFill patternType="solid">
        <fgColor rgb="FFE6E6E6"/>
        <bgColor rgb="FFE6E6E6"/>
      </patternFill>
    </fill>
    <fill>
      <patternFill patternType="solid">
        <fgColor theme="4"/>
        <bgColor theme="4"/>
      </patternFill>
    </fill>
    <fill>
      <patternFill patternType="solid">
        <fgColor rgb="FFF8F9FA"/>
        <bgColor rgb="FFF8F9FA"/>
      </patternFill>
    </fill>
    <fill>
      <patternFill patternType="solid">
        <fgColor rgb="FF4A86E8"/>
        <bgColor rgb="FF4A86E8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57BB8A"/>
        <bgColor indexed="64"/>
      </patternFill>
    </fill>
    <fill>
      <patternFill patternType="solid">
        <fgColor rgb="FFFDCC67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A6C77A"/>
        <bgColor indexed="64"/>
      </patternFill>
    </fill>
    <fill>
      <patternFill patternType="solid">
        <fgColor rgb="FFE67C73"/>
        <bgColor indexed="64"/>
      </patternFill>
    </fill>
    <fill>
      <patternFill patternType="solid">
        <fgColor rgb="FF6ABE86"/>
        <bgColor indexed="64"/>
      </patternFill>
    </fill>
    <fill>
      <patternFill patternType="solid">
        <fgColor rgb="FFF7B96A"/>
        <bgColor indexed="64"/>
      </patternFill>
    </fill>
    <fill>
      <patternFill patternType="solid">
        <fgColor rgb="FF6CBE86"/>
        <bgColor indexed="64"/>
      </patternFill>
    </fill>
    <fill>
      <patternFill patternType="solid">
        <fgColor rgb="FFF5B26B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888888"/>
        <bgColor indexed="64"/>
      </patternFill>
    </fill>
    <fill>
      <patternFill patternType="solid">
        <fgColor rgb="FF999999"/>
        <bgColor rgb="FF999999"/>
      </patternFill>
    </fill>
    <fill>
      <patternFill patternType="solid">
        <fgColor rgb="FF3C78D8"/>
        <bgColor rgb="FF3C78D8"/>
      </patternFill>
    </fill>
    <fill>
      <patternFill patternType="solid">
        <fgColor rgb="FFFFD666"/>
        <bgColor rgb="FFFFD666"/>
      </patternFill>
    </fill>
    <fill>
      <patternFill patternType="solid">
        <fgColor rgb="FF95C57D"/>
        <bgColor rgb="FF95C57D"/>
      </patternFill>
    </fill>
    <fill>
      <patternFill patternType="solid">
        <fgColor theme="6"/>
        <bgColor theme="6"/>
      </patternFill>
    </fill>
    <fill>
      <patternFill patternType="solid">
        <fgColor rgb="FFFF9900"/>
        <bgColor rgb="FFFF9900"/>
      </patternFill>
    </fill>
    <fill>
      <patternFill patternType="solid">
        <fgColor rgb="FFDDD06E"/>
        <bgColor rgb="FFDDD06E"/>
      </patternFill>
    </fill>
    <fill>
      <patternFill patternType="solid">
        <fgColor rgb="FF6D9EEB"/>
        <bgColor rgb="FF6D9EE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43" borderId="2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7" applyNumberFormat="0" applyFill="0" applyAlignment="0" applyProtection="0">
      <alignment vertical="center"/>
    </xf>
    <xf numFmtId="0" fontId="30" fillId="0" borderId="27" applyNumberFormat="0" applyFill="0" applyAlignment="0" applyProtection="0">
      <alignment vertical="center"/>
    </xf>
    <xf numFmtId="0" fontId="31" fillId="0" borderId="2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4" borderId="29" applyNumberFormat="0" applyAlignment="0" applyProtection="0">
      <alignment vertical="center"/>
    </xf>
    <xf numFmtId="0" fontId="33" fillId="45" borderId="30" applyNumberFormat="0" applyAlignment="0" applyProtection="0">
      <alignment vertical="center"/>
    </xf>
    <xf numFmtId="0" fontId="34" fillId="45" borderId="29" applyNumberFormat="0" applyAlignment="0" applyProtection="0">
      <alignment vertical="center"/>
    </xf>
    <xf numFmtId="0" fontId="35" fillId="46" borderId="31" applyNumberFormat="0" applyAlignment="0" applyProtection="0">
      <alignment vertical="center"/>
    </xf>
    <xf numFmtId="0" fontId="36" fillId="0" borderId="32" applyNumberFormat="0" applyFill="0" applyAlignment="0" applyProtection="0">
      <alignment vertical="center"/>
    </xf>
    <xf numFmtId="0" fontId="37" fillId="0" borderId="33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4" borderId="0" applyNumberFormat="0" applyBorder="0" applyAlignment="0" applyProtection="0">
      <alignment vertical="center"/>
    </xf>
    <xf numFmtId="0" fontId="42" fillId="55" borderId="0" applyNumberFormat="0" applyBorder="0" applyAlignment="0" applyProtection="0">
      <alignment vertical="center"/>
    </xf>
    <xf numFmtId="0" fontId="42" fillId="56" borderId="0" applyNumberFormat="0" applyBorder="0" applyAlignment="0" applyProtection="0">
      <alignment vertical="center"/>
    </xf>
    <xf numFmtId="0" fontId="41" fillId="57" borderId="0" applyNumberFormat="0" applyBorder="0" applyAlignment="0" applyProtection="0">
      <alignment vertical="center"/>
    </xf>
    <xf numFmtId="0" fontId="41" fillId="58" borderId="0" applyNumberFormat="0" applyBorder="0" applyAlignment="0" applyProtection="0">
      <alignment vertical="center"/>
    </xf>
    <xf numFmtId="0" fontId="42" fillId="59" borderId="0" applyNumberFormat="0" applyBorder="0" applyAlignment="0" applyProtection="0">
      <alignment vertical="center"/>
    </xf>
    <xf numFmtId="0" fontId="42" fillId="60" borderId="0" applyNumberFormat="0" applyBorder="0" applyAlignment="0" applyProtection="0">
      <alignment vertical="center"/>
    </xf>
    <xf numFmtId="0" fontId="41" fillId="61" borderId="0" applyNumberFormat="0" applyBorder="0" applyAlignment="0" applyProtection="0">
      <alignment vertical="center"/>
    </xf>
    <xf numFmtId="0" fontId="41" fillId="62" borderId="0" applyNumberFormat="0" applyBorder="0" applyAlignment="0" applyProtection="0">
      <alignment vertical="center"/>
    </xf>
    <xf numFmtId="0" fontId="42" fillId="63" borderId="0" applyNumberFormat="0" applyBorder="0" applyAlignment="0" applyProtection="0">
      <alignment vertical="center"/>
    </xf>
    <xf numFmtId="0" fontId="42" fillId="64" borderId="0" applyNumberFormat="0" applyBorder="0" applyAlignment="0" applyProtection="0">
      <alignment vertical="center"/>
    </xf>
    <xf numFmtId="0" fontId="41" fillId="65" borderId="0" applyNumberFormat="0" applyBorder="0" applyAlignment="0" applyProtection="0">
      <alignment vertical="center"/>
    </xf>
    <xf numFmtId="0" fontId="41" fillId="66" borderId="0" applyNumberFormat="0" applyBorder="0" applyAlignment="0" applyProtection="0">
      <alignment vertical="center"/>
    </xf>
    <xf numFmtId="0" fontId="42" fillId="67" borderId="0" applyNumberFormat="0" applyBorder="0" applyAlignment="0" applyProtection="0">
      <alignment vertical="center"/>
    </xf>
    <xf numFmtId="0" fontId="42" fillId="68" borderId="0" applyNumberFormat="0" applyBorder="0" applyAlignment="0" applyProtection="0">
      <alignment vertical="center"/>
    </xf>
    <xf numFmtId="0" fontId="41" fillId="69" borderId="0" applyNumberFormat="0" applyBorder="0" applyAlignment="0" applyProtection="0">
      <alignment vertical="center"/>
    </xf>
    <xf numFmtId="0" fontId="41" fillId="70" borderId="0" applyNumberFormat="0" applyBorder="0" applyAlignment="0" applyProtection="0">
      <alignment vertical="center"/>
    </xf>
    <xf numFmtId="0" fontId="42" fillId="71" borderId="0" applyNumberFormat="0" applyBorder="0" applyAlignment="0" applyProtection="0">
      <alignment vertical="center"/>
    </xf>
    <xf numFmtId="0" fontId="42" fillId="72" borderId="0" applyNumberFormat="0" applyBorder="0" applyAlignment="0" applyProtection="0">
      <alignment vertical="center"/>
    </xf>
    <xf numFmtId="0" fontId="41" fillId="73" borderId="0" applyNumberFormat="0" applyBorder="0" applyAlignment="0" applyProtection="0">
      <alignment vertical="center"/>
    </xf>
  </cellStyleXfs>
  <cellXfs count="18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78" fontId="2" fillId="2" borderId="2" xfId="0" applyNumberFormat="1" applyFont="1" applyFill="1" applyBorder="1" applyAlignment="1">
      <alignment horizontal="center"/>
    </xf>
    <xf numFmtId="178" fontId="2" fillId="2" borderId="3" xfId="0" applyNumberFormat="1" applyFont="1" applyFill="1" applyBorder="1" applyAlignment="1">
      <alignment horizontal="center"/>
    </xf>
    <xf numFmtId="0" fontId="3" fillId="0" borderId="4" xfId="0" applyFont="1" applyBorder="1"/>
    <xf numFmtId="0" fontId="2" fillId="2" borderId="2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20" fontId="4" fillId="0" borderId="5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0" fontId="4" fillId="0" borderId="0" xfId="0" applyFont="1"/>
    <xf numFmtId="0" fontId="4" fillId="0" borderId="0" xfId="0" applyFont="1" applyAlignment="1"/>
    <xf numFmtId="178" fontId="2" fillId="2" borderId="6" xfId="0" applyNumberFormat="1" applyFont="1" applyFill="1" applyBorder="1" applyAlignment="1">
      <alignment horizontal="center"/>
    </xf>
    <xf numFmtId="178" fontId="2" fillId="2" borderId="7" xfId="0" applyNumberFormat="1" applyFont="1" applyFill="1" applyBorder="1" applyAlignment="1">
      <alignment horizontal="center"/>
    </xf>
    <xf numFmtId="0" fontId="3" fillId="0" borderId="3" xfId="0" applyFont="1" applyBorder="1"/>
    <xf numFmtId="0" fontId="3" fillId="0" borderId="8" xfId="0" applyFont="1" applyBorder="1"/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8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20" fontId="4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6" fontId="5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179" fontId="6" fillId="4" borderId="5" xfId="0" applyNumberFormat="1" applyFont="1" applyFill="1" applyBorder="1" applyAlignment="1">
      <alignment horizontal="center"/>
    </xf>
    <xf numFmtId="179" fontId="6" fillId="5" borderId="5" xfId="0" applyNumberFormat="1" applyFont="1" applyFill="1" applyBorder="1" applyAlignment="1">
      <alignment horizontal="center"/>
    </xf>
    <xf numFmtId="179" fontId="6" fillId="6" borderId="5" xfId="0" applyNumberFormat="1" applyFont="1" applyFill="1" applyBorder="1" applyAlignment="1">
      <alignment horizontal="center"/>
    </xf>
    <xf numFmtId="179" fontId="6" fillId="7" borderId="5" xfId="0" applyNumberFormat="1" applyFont="1" applyFill="1" applyBorder="1" applyAlignment="1">
      <alignment horizontal="center"/>
    </xf>
    <xf numFmtId="179" fontId="6" fillId="8" borderId="5" xfId="0" applyNumberFormat="1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179" fontId="6" fillId="10" borderId="5" xfId="0" applyNumberFormat="1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179" fontId="7" fillId="9" borderId="5" xfId="0" applyNumberFormat="1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10" fillId="0" borderId="5" xfId="0" applyFont="1" applyBorder="1"/>
    <xf numFmtId="179" fontId="6" fillId="11" borderId="5" xfId="0" applyNumberFormat="1" applyFont="1" applyFill="1" applyBorder="1" applyAlignment="1">
      <alignment horizontal="center"/>
    </xf>
    <xf numFmtId="179" fontId="6" fillId="12" borderId="5" xfId="0" applyNumberFormat="1" applyFont="1" applyFill="1" applyBorder="1" applyAlignment="1">
      <alignment horizontal="center"/>
    </xf>
    <xf numFmtId="179" fontId="6" fillId="13" borderId="5" xfId="0" applyNumberFormat="1" applyFont="1" applyFill="1" applyBorder="1" applyAlignment="1">
      <alignment horizontal="center"/>
    </xf>
    <xf numFmtId="1" fontId="7" fillId="9" borderId="5" xfId="0" applyNumberFormat="1" applyFont="1" applyFill="1" applyBorder="1" applyAlignment="1">
      <alignment horizontal="center"/>
    </xf>
    <xf numFmtId="179" fontId="6" fillId="5" borderId="3" xfId="0" applyNumberFormat="1" applyFont="1" applyFill="1" applyBorder="1" applyAlignment="1">
      <alignment horizontal="center"/>
    </xf>
    <xf numFmtId="0" fontId="6" fillId="0" borderId="5" xfId="0" applyFont="1" applyBorder="1"/>
    <xf numFmtId="179" fontId="6" fillId="12" borderId="3" xfId="0" applyNumberFormat="1" applyFont="1" applyFill="1" applyBorder="1" applyAlignment="1">
      <alignment horizontal="center"/>
    </xf>
    <xf numFmtId="16" fontId="5" fillId="2" borderId="2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20" fontId="4" fillId="0" borderId="5" xfId="0" applyNumberFormat="1" applyFont="1" applyBorder="1" applyAlignment="1">
      <alignment horizontal="center" vertical="center"/>
    </xf>
    <xf numFmtId="0" fontId="4" fillId="14" borderId="5" xfId="0" applyFont="1" applyFill="1" applyBorder="1" applyAlignment="1">
      <alignment horizontal="center"/>
    </xf>
    <xf numFmtId="180" fontId="11" fillId="3" borderId="5" xfId="0" applyNumberFormat="1" applyFont="1" applyFill="1" applyBorder="1" applyAlignment="1">
      <alignment horizontal="center"/>
    </xf>
    <xf numFmtId="180" fontId="4" fillId="0" borderId="5" xfId="0" applyNumberFormat="1" applyFont="1" applyBorder="1" applyAlignment="1">
      <alignment horizontal="center"/>
    </xf>
    <xf numFmtId="20" fontId="4" fillId="0" borderId="0" xfId="0" applyNumberFormat="1" applyFont="1"/>
    <xf numFmtId="0" fontId="2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0" fontId="6" fillId="14" borderId="5" xfId="0" applyFont="1" applyFill="1" applyBorder="1" applyAlignment="1">
      <alignment horizontal="center" vertical="center"/>
    </xf>
    <xf numFmtId="180" fontId="12" fillId="15" borderId="9" xfId="0" applyNumberFormat="1" applyFont="1" applyFill="1" applyBorder="1" applyAlignment="1">
      <alignment horizontal="right"/>
    </xf>
    <xf numFmtId="180" fontId="12" fillId="15" borderId="0" xfId="0" applyNumberFormat="1" applyFont="1" applyFill="1" applyAlignment="1">
      <alignment horizontal="right"/>
    </xf>
    <xf numFmtId="180" fontId="4" fillId="0" borderId="0" xfId="0" applyNumberFormat="1" applyFont="1" applyAlignment="1">
      <alignment horizontal="center"/>
    </xf>
    <xf numFmtId="0" fontId="1" fillId="2" borderId="10" xfId="0" applyFont="1" applyFill="1" applyBorder="1" applyAlignment="1">
      <alignment horizontal="center"/>
    </xf>
    <xf numFmtId="16" fontId="5" fillId="2" borderId="11" xfId="0" applyNumberFormat="1" applyFont="1" applyFill="1" applyBorder="1" applyAlignment="1">
      <alignment horizontal="center"/>
    </xf>
    <xf numFmtId="0" fontId="3" fillId="0" borderId="12" xfId="0" applyFont="1" applyBorder="1"/>
    <xf numFmtId="0" fontId="1" fillId="2" borderId="6" xfId="0" applyFont="1" applyFill="1" applyBorder="1" applyAlignment="1">
      <alignment horizontal="center"/>
    </xf>
    <xf numFmtId="0" fontId="3" fillId="0" borderId="7" xfId="0" applyFont="1" applyBorder="1"/>
    <xf numFmtId="180" fontId="1" fillId="2" borderId="6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80" fontId="1" fillId="2" borderId="7" xfId="0" applyNumberFormat="1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179" fontId="13" fillId="6" borderId="7" xfId="0" applyNumberFormat="1" applyFont="1" applyFill="1" applyBorder="1" applyAlignment="1">
      <alignment horizontal="center"/>
    </xf>
    <xf numFmtId="179" fontId="13" fillId="5" borderId="7" xfId="0" applyNumberFormat="1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180" fontId="12" fillId="15" borderId="13" xfId="0" applyNumberFormat="1" applyFont="1" applyFill="1" applyBorder="1" applyAlignment="1">
      <alignment horizontal="right"/>
    </xf>
    <xf numFmtId="0" fontId="14" fillId="9" borderId="7" xfId="0" applyFont="1" applyFill="1" applyBorder="1" applyAlignment="1">
      <alignment horizontal="center"/>
    </xf>
    <xf numFmtId="179" fontId="13" fillId="12" borderId="7" xfId="0" applyNumberFormat="1" applyFont="1" applyFill="1" applyBorder="1" applyAlignment="1">
      <alignment horizontal="center"/>
    </xf>
    <xf numFmtId="179" fontId="13" fillId="13" borderId="7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20" fontId="4" fillId="0" borderId="0" xfId="0" applyNumberFormat="1" applyFont="1" applyAlignment="1"/>
    <xf numFmtId="0" fontId="4" fillId="3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80" fontId="12" fillId="15" borderId="5" xfId="0" applyNumberFormat="1" applyFont="1" applyFill="1" applyBorder="1" applyAlignment="1">
      <alignment horizontal="center"/>
    </xf>
    <xf numFmtId="0" fontId="4" fillId="16" borderId="5" xfId="0" applyFont="1" applyFill="1" applyBorder="1" applyAlignment="1">
      <alignment horizontal="center" vertical="center"/>
    </xf>
    <xf numFmtId="0" fontId="4" fillId="0" borderId="5" xfId="0" applyFont="1" applyBorder="1"/>
    <xf numFmtId="0" fontId="15" fillId="3" borderId="14" xfId="0" applyFont="1" applyFill="1" applyBorder="1" applyAlignment="1">
      <alignment horizontal="right"/>
    </xf>
    <xf numFmtId="0" fontId="15" fillId="3" borderId="14" xfId="0" applyFont="1" applyFill="1" applyBorder="1" applyAlignment="1"/>
    <xf numFmtId="0" fontId="15" fillId="3" borderId="15" xfId="0" applyFont="1" applyFill="1" applyBorder="1" applyAlignment="1"/>
    <xf numFmtId="0" fontId="15" fillId="17" borderId="16" xfId="0" applyFont="1" applyFill="1" applyBorder="1" applyAlignment="1">
      <alignment horizontal="right"/>
    </xf>
    <xf numFmtId="0" fontId="15" fillId="17" borderId="16" xfId="0" applyFont="1" applyFill="1" applyBorder="1" applyAlignment="1"/>
    <xf numFmtId="0" fontId="15" fillId="17" borderId="17" xfId="0" applyFont="1" applyFill="1" applyBorder="1" applyAlignment="1"/>
    <xf numFmtId="0" fontId="10" fillId="3" borderId="14" xfId="0" applyFont="1" applyFill="1" applyBorder="1"/>
    <xf numFmtId="0" fontId="10" fillId="3" borderId="14" xfId="0" applyFont="1" applyFill="1" applyBorder="1" applyAlignment="1"/>
    <xf numFmtId="0" fontId="15" fillId="3" borderId="18" xfId="0" applyFont="1" applyFill="1" applyBorder="1" applyAlignment="1">
      <alignment horizontal="right"/>
    </xf>
    <xf numFmtId="0" fontId="15" fillId="3" borderId="18" xfId="0" applyFont="1" applyFill="1" applyBorder="1" applyAlignment="1"/>
    <xf numFmtId="0" fontId="15" fillId="3" borderId="19" xfId="0" applyFont="1" applyFill="1" applyBorder="1" applyAlignment="1"/>
    <xf numFmtId="58" fontId="2" fillId="2" borderId="2" xfId="0" applyNumberFormat="1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18" borderId="5" xfId="0" applyFont="1" applyFill="1" applyBorder="1" applyAlignment="1">
      <alignment horizontal="center" vertical="center"/>
    </xf>
    <xf numFmtId="0" fontId="10" fillId="14" borderId="5" xfId="0" applyFont="1" applyFill="1" applyBorder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10" fontId="4" fillId="0" borderId="5" xfId="0" applyNumberFormat="1" applyFont="1" applyBorder="1" applyAlignment="1">
      <alignment horizontal="center"/>
    </xf>
    <xf numFmtId="10" fontId="4" fillId="14" borderId="5" xfId="0" applyNumberFormat="1" applyFont="1" applyFill="1" applyBorder="1" applyAlignment="1">
      <alignment horizontal="center"/>
    </xf>
    <xf numFmtId="178" fontId="4" fillId="0" borderId="0" xfId="0" applyNumberFormat="1" applyFont="1" applyAlignment="1">
      <alignment horizontal="center" vertical="center"/>
    </xf>
    <xf numFmtId="20" fontId="13" fillId="6" borderId="7" xfId="0" applyNumberFormat="1" applyFont="1" applyFill="1" applyBorder="1" applyAlignment="1">
      <alignment horizontal="center"/>
    </xf>
    <xf numFmtId="20" fontId="13" fillId="5" borderId="7" xfId="0" applyNumberFormat="1" applyFont="1" applyFill="1" applyBorder="1" applyAlignment="1">
      <alignment horizontal="center"/>
    </xf>
    <xf numFmtId="178" fontId="2" fillId="2" borderId="2" xfId="0" applyNumberFormat="1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20" fontId="10" fillId="0" borderId="5" xfId="0" applyNumberFormat="1" applyFont="1" applyBorder="1" applyAlignment="1">
      <alignment horizontal="center"/>
    </xf>
    <xf numFmtId="178" fontId="16" fillId="2" borderId="0" xfId="0" applyNumberFormat="1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49" fontId="1" fillId="2" borderId="4" xfId="0" applyNumberFormat="1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/>
    </xf>
    <xf numFmtId="49" fontId="1" fillId="2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19" borderId="20" xfId="0" applyFont="1" applyFill="1" applyBorder="1" applyAlignment="1">
      <alignment horizontal="center" vertical="center" readingOrder="1"/>
    </xf>
    <xf numFmtId="16" fontId="1" fillId="19" borderId="21" xfId="0" applyNumberFormat="1" applyFont="1" applyFill="1" applyBorder="1" applyAlignment="1">
      <alignment horizontal="center" vertical="center" readingOrder="1"/>
    </xf>
    <xf numFmtId="0" fontId="1" fillId="19" borderId="22" xfId="0" applyFont="1" applyFill="1" applyBorder="1" applyAlignment="1">
      <alignment horizontal="center" vertical="center" readingOrder="1"/>
    </xf>
    <xf numFmtId="0" fontId="1" fillId="19" borderId="21" xfId="0" applyFont="1" applyFill="1" applyBorder="1" applyAlignment="1">
      <alignment horizontal="center" vertical="center" readingOrder="1"/>
    </xf>
    <xf numFmtId="0" fontId="1" fillId="19" borderId="23" xfId="0" applyFont="1" applyFill="1" applyBorder="1" applyAlignment="1">
      <alignment horizontal="center" vertical="center" readingOrder="1"/>
    </xf>
    <xf numFmtId="0" fontId="0" fillId="20" borderId="21" xfId="0" applyFill="1" applyBorder="1" applyAlignment="1">
      <alignment horizontal="center" vertical="center" readingOrder="1"/>
    </xf>
    <xf numFmtId="179" fontId="18" fillId="21" borderId="21" xfId="0" applyNumberFormat="1" applyFont="1" applyFill="1" applyBorder="1" applyAlignment="1">
      <alignment horizontal="center" vertical="center" readingOrder="1"/>
    </xf>
    <xf numFmtId="179" fontId="18" fillId="22" borderId="21" xfId="0" applyNumberFormat="1" applyFont="1" applyFill="1" applyBorder="1" applyAlignment="1">
      <alignment horizontal="center" vertical="center" readingOrder="1"/>
    </xf>
    <xf numFmtId="20" fontId="0" fillId="23" borderId="24" xfId="0" applyNumberFormat="1" applyFill="1" applyBorder="1" applyAlignment="1">
      <alignment horizontal="center" readingOrder="1"/>
    </xf>
    <xf numFmtId="20" fontId="0" fillId="24" borderId="25" xfId="0" applyNumberFormat="1" applyFill="1" applyBorder="1" applyAlignment="1">
      <alignment horizontal="center" readingOrder="1"/>
    </xf>
    <xf numFmtId="0" fontId="0" fillId="25" borderId="24" xfId="0" applyFill="1" applyBorder="1" applyAlignment="1">
      <alignment horizontal="center" readingOrder="1"/>
    </xf>
    <xf numFmtId="0" fontId="0" fillId="25" borderId="25" xfId="0" applyFill="1" applyBorder="1" applyAlignment="1">
      <alignment horizontal="center" readingOrder="1"/>
    </xf>
    <xf numFmtId="0" fontId="0" fillId="20" borderId="21" xfId="0" applyFill="1" applyBorder="1" applyAlignment="1">
      <alignment horizontal="center" readingOrder="1"/>
    </xf>
    <xf numFmtId="179" fontId="18" fillId="21" borderId="21" xfId="0" applyNumberFormat="1" applyFont="1" applyFill="1" applyBorder="1" applyAlignment="1">
      <alignment horizontal="center" readingOrder="1"/>
    </xf>
    <xf numFmtId="179" fontId="18" fillId="22" borderId="21" xfId="0" applyNumberFormat="1" applyFont="1" applyFill="1" applyBorder="1" applyAlignment="1">
      <alignment horizontal="center" readingOrder="1"/>
    </xf>
    <xf numFmtId="0" fontId="16" fillId="19" borderId="21" xfId="0" applyFont="1" applyFill="1" applyBorder="1" applyAlignment="1">
      <alignment horizontal="center" vertical="center" readingOrder="1"/>
    </xf>
    <xf numFmtId="0" fontId="16" fillId="19" borderId="21" xfId="0" applyFont="1" applyFill="1" applyBorder="1" applyAlignment="1">
      <alignment horizontal="center" vertical="center" readingOrder="1"/>
    </xf>
    <xf numFmtId="0" fontId="0" fillId="19" borderId="21" xfId="0" applyFont="1" applyFill="1" applyBorder="1" applyAlignment="1">
      <alignment horizontal="center" vertical="center" readingOrder="1"/>
    </xf>
    <xf numFmtId="0" fontId="19" fillId="26" borderId="21" xfId="0" applyFont="1" applyFill="1" applyBorder="1" applyAlignment="1">
      <alignment horizontal="center" vertical="center" readingOrder="1"/>
    </xf>
    <xf numFmtId="0" fontId="0" fillId="20" borderId="21" xfId="0" applyFont="1" applyFill="1" applyBorder="1" applyAlignment="1">
      <alignment horizontal="center" vertical="center" readingOrder="1"/>
    </xf>
    <xf numFmtId="0" fontId="0" fillId="20" borderId="21" xfId="0" applyFont="1" applyFill="1" applyBorder="1" applyAlignment="1">
      <alignment horizontal="center" vertical="center" readingOrder="1"/>
    </xf>
    <xf numFmtId="20" fontId="0" fillId="27" borderId="21" xfId="0" applyNumberFormat="1" applyFont="1" applyFill="1" applyBorder="1" applyAlignment="1">
      <alignment horizontal="center" vertical="center" readingOrder="1"/>
    </xf>
    <xf numFmtId="20" fontId="0" fillId="28" borderId="21" xfId="0" applyNumberFormat="1" applyFont="1" applyFill="1" applyBorder="1" applyAlignment="1">
      <alignment horizontal="center" vertical="center" readingOrder="1"/>
    </xf>
    <xf numFmtId="20" fontId="0" fillId="23" borderId="21" xfId="0" applyNumberFormat="1" applyFont="1" applyFill="1" applyBorder="1" applyAlignment="1">
      <alignment horizontal="center" vertical="center" readingOrder="1"/>
    </xf>
    <xf numFmtId="20" fontId="0" fillId="24" borderId="21" xfId="0" applyNumberFormat="1" applyFont="1" applyFill="1" applyBorder="1" applyAlignment="1">
      <alignment horizontal="center" vertical="center" readingOrder="1"/>
    </xf>
    <xf numFmtId="20" fontId="0" fillId="29" borderId="21" xfId="0" applyNumberFormat="1" applyFont="1" applyFill="1" applyBorder="1" applyAlignment="1">
      <alignment horizontal="center" vertical="center" readingOrder="1"/>
    </xf>
    <xf numFmtId="20" fontId="0" fillId="30" borderId="21" xfId="0" applyNumberFormat="1" applyFont="1" applyFill="1" applyBorder="1" applyAlignment="1">
      <alignment horizontal="center" vertical="center" readingOrder="1"/>
    </xf>
    <xf numFmtId="20" fontId="0" fillId="31" borderId="21" xfId="0" applyNumberFormat="1" applyFont="1" applyFill="1" applyBorder="1" applyAlignment="1">
      <alignment horizontal="center" vertical="center" readingOrder="1"/>
    </xf>
    <xf numFmtId="20" fontId="0" fillId="32" borderId="21" xfId="0" applyNumberFormat="1" applyFont="1" applyFill="1" applyBorder="1" applyAlignment="1">
      <alignment horizontal="center" vertical="center" readingOrder="1"/>
    </xf>
    <xf numFmtId="0" fontId="20" fillId="33" borderId="21" xfId="0" applyFont="1" applyFill="1" applyBorder="1" applyAlignment="1">
      <alignment horizontal="center" vertical="center" readingOrder="1"/>
    </xf>
    <xf numFmtId="0" fontId="0" fillId="34" borderId="24" xfId="0" applyFill="1" applyBorder="1" applyAlignment="1">
      <alignment horizontal="center" readingOrder="1"/>
    </xf>
    <xf numFmtId="0" fontId="0" fillId="34" borderId="25" xfId="0" applyFill="1" applyBorder="1" applyAlignment="1">
      <alignment horizontal="center" readingOrder="1"/>
    </xf>
    <xf numFmtId="0" fontId="20" fillId="33" borderId="21" xfId="0" applyFont="1" applyFill="1" applyBorder="1" applyAlignment="1">
      <alignment horizontal="center" readingOrder="1"/>
    </xf>
    <xf numFmtId="0" fontId="0" fillId="20" borderId="0" xfId="0" applyFill="1" applyAlignment="1">
      <alignment horizontal="center" vertical="center"/>
    </xf>
    <xf numFmtId="0" fontId="4" fillId="35" borderId="5" xfId="0" applyFont="1" applyFill="1" applyBorder="1" applyAlignment="1">
      <alignment horizontal="center"/>
    </xf>
    <xf numFmtId="178" fontId="4" fillId="0" borderId="0" xfId="0" applyNumberFormat="1" applyFont="1" applyAlignment="1"/>
    <xf numFmtId="20" fontId="10" fillId="36" borderId="5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178" fontId="21" fillId="2" borderId="2" xfId="0" applyNumberFormat="1" applyFont="1" applyFill="1" applyBorder="1" applyAlignment="1">
      <alignment horizontal="center"/>
    </xf>
    <xf numFmtId="0" fontId="21" fillId="2" borderId="5" xfId="0" applyFont="1" applyFill="1" applyBorder="1" applyAlignment="1">
      <alignment horizontal="center"/>
    </xf>
    <xf numFmtId="0" fontId="10" fillId="14" borderId="5" xfId="0" applyFont="1" applyFill="1" applyBorder="1" applyAlignment="1">
      <alignment horizontal="center"/>
    </xf>
    <xf numFmtId="49" fontId="10" fillId="0" borderId="5" xfId="0" applyNumberFormat="1" applyFont="1" applyBorder="1" applyAlignment="1">
      <alignment horizontal="center"/>
    </xf>
    <xf numFmtId="20" fontId="10" fillId="37" borderId="5" xfId="0" applyNumberFormat="1" applyFont="1" applyFill="1" applyBorder="1" applyAlignment="1">
      <alignment horizontal="center"/>
    </xf>
    <xf numFmtId="20" fontId="10" fillId="6" borderId="5" xfId="0" applyNumberFormat="1" applyFont="1" applyFill="1" applyBorder="1" applyAlignment="1">
      <alignment horizontal="center"/>
    </xf>
    <xf numFmtId="20" fontId="10" fillId="38" borderId="5" xfId="0" applyNumberFormat="1" applyFont="1" applyFill="1" applyBorder="1" applyAlignment="1">
      <alignment horizontal="center"/>
    </xf>
    <xf numFmtId="0" fontId="4" fillId="39" borderId="5" xfId="0" applyFont="1" applyFill="1" applyBorder="1" applyAlignment="1">
      <alignment horizontal="center"/>
    </xf>
    <xf numFmtId="0" fontId="4" fillId="16" borderId="5" xfId="0" applyFont="1" applyFill="1" applyBorder="1" applyAlignment="1">
      <alignment horizontal="center"/>
    </xf>
    <xf numFmtId="178" fontId="21" fillId="2" borderId="5" xfId="0" applyNumberFormat="1" applyFont="1" applyFill="1" applyBorder="1" applyAlignment="1">
      <alignment horizontal="center"/>
    </xf>
    <xf numFmtId="0" fontId="10" fillId="2" borderId="5" xfId="0" applyFont="1" applyFill="1" applyBorder="1" applyAlignment="1"/>
    <xf numFmtId="0" fontId="4" fillId="40" borderId="5" xfId="0" applyFont="1" applyFill="1" applyBorder="1" applyAlignment="1">
      <alignment horizontal="center"/>
    </xf>
    <xf numFmtId="0" fontId="8" fillId="3" borderId="0" xfId="0" applyFont="1" applyFill="1"/>
    <xf numFmtId="0" fontId="4" fillId="18" borderId="5" xfId="0" applyFont="1" applyFill="1" applyBorder="1" applyAlignment="1">
      <alignment horizontal="center"/>
    </xf>
    <xf numFmtId="20" fontId="10" fillId="41" borderId="5" xfId="0" applyNumberFormat="1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49" fontId="16" fillId="2" borderId="1" xfId="0" applyNumberFormat="1" applyFont="1" applyFill="1" applyBorder="1" applyAlignment="1">
      <alignment horizontal="center"/>
    </xf>
    <xf numFmtId="178" fontId="16" fillId="2" borderId="2" xfId="0" applyNumberFormat="1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178" fontId="16" fillId="2" borderId="3" xfId="0" applyNumberFormat="1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0" fillId="42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22" fillId="3" borderId="0" xfId="0" applyFont="1" applyFill="1"/>
    <xf numFmtId="0" fontId="15" fillId="3" borderId="14" xfId="0" applyFont="1" applyFill="1" applyBorder="1" applyAlignment="1" quotePrefix="1"/>
    <xf numFmtId="0" fontId="15" fillId="17" borderId="16" xfId="0" applyFont="1" applyFill="1" applyBorder="1" applyAlignment="1" quotePrefix="1"/>
    <xf numFmtId="0" fontId="15" fillId="3" borderId="18" xfId="0" applyFont="1" applyFill="1" applyBorder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3C78D8"/>
          <bgColor rgb="FF3C78D8"/>
        </patternFill>
      </fill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Pref-style" pivot="0" count="2" xr9:uid="{18302D17-EB2B-4319-8410-0BE2FB3E88B5}"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1:F17" headerRowCount="0">
  <tableColumns count="6">
    <tableColumn id="1" name="Column1" dataDxfId="8"/>
    <tableColumn id="2" name="Column2" dataDxfId="9"/>
    <tableColumn id="3" name="Column3" dataDxfId="10"/>
    <tableColumn id="4" name="Column4" dataDxfId="11"/>
    <tableColumn id="5" name="Column5" dataDxfId="12"/>
    <tableColumn id="6" name="Column6" dataDxfId="13"/>
  </tableColumns>
  <tableStyleInfo name="Pref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993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2.6272727272727" defaultRowHeight="15.75" customHeight="1"/>
  <cols>
    <col min="1" max="1" width="8.38181818181818" customWidth="1"/>
    <col min="2" max="2" width="18.7545454545455" customWidth="1"/>
    <col min="3" max="3" width="6.5" customWidth="1"/>
    <col min="4" max="4" width="9" customWidth="1"/>
    <col min="5" max="5" width="4.75454545454545" customWidth="1"/>
    <col min="6" max="6" width="7.88181818181818" customWidth="1"/>
    <col min="7" max="7" width="6.5" customWidth="1"/>
    <col min="8" max="8" width="6.38181818181818" customWidth="1"/>
    <col min="9" max="9" width="8.88181818181818" customWidth="1"/>
    <col min="10" max="10" width="7.12727272727273" customWidth="1"/>
    <col min="11" max="11" width="8.88181818181818" customWidth="1"/>
    <col min="12" max="12" width="6.88181818181818" customWidth="1"/>
    <col min="13" max="13" width="7.12727272727273" customWidth="1"/>
    <col min="14" max="14" width="5.12727272727273" customWidth="1"/>
    <col min="15" max="15" width="5.88181818181818" customWidth="1"/>
    <col min="16" max="16" width="5.12727272727273" customWidth="1"/>
    <col min="17" max="17" width="6.88181818181818" customWidth="1"/>
    <col min="18" max="18" width="5.12727272727273" customWidth="1"/>
    <col min="19" max="19" width="5.88181818181818" customWidth="1"/>
    <col min="20" max="20" width="5.12727272727273" customWidth="1"/>
    <col min="21" max="21" width="10.1272727272727" customWidth="1"/>
    <col min="22" max="22" width="9.12727272727273" customWidth="1"/>
    <col min="23" max="23" width="8.62727272727273" customWidth="1"/>
    <col min="24" max="27" width="6.38181818181818" customWidth="1"/>
  </cols>
  <sheetData>
    <row r="1" customHeigh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6">
        <v>45607</v>
      </c>
      <c r="H1" s="14"/>
      <c r="I1" s="46">
        <v>45608</v>
      </c>
      <c r="J1" s="14"/>
      <c r="K1" s="46">
        <v>45609</v>
      </c>
      <c r="L1" s="14"/>
      <c r="M1" s="46">
        <v>45610</v>
      </c>
      <c r="N1" s="14"/>
      <c r="O1" s="46">
        <v>45611</v>
      </c>
      <c r="P1" s="14"/>
      <c r="Q1" s="46">
        <v>45612</v>
      </c>
      <c r="R1" s="14"/>
      <c r="S1" s="46">
        <v>45613</v>
      </c>
      <c r="T1" s="14"/>
      <c r="U1" s="21"/>
      <c r="V1" s="21"/>
      <c r="W1" s="21"/>
      <c r="X1" s="7"/>
      <c r="Y1" s="17"/>
      <c r="Z1" s="17"/>
      <c r="AA1" s="17"/>
    </row>
    <row r="2" customHeight="1" spans="1:27">
      <c r="A2" s="47"/>
      <c r="B2" s="47"/>
      <c r="C2" s="47"/>
      <c r="D2" s="47"/>
      <c r="E2" s="47"/>
      <c r="F2" s="47"/>
      <c r="G2" s="48" t="s">
        <v>6</v>
      </c>
      <c r="H2" s="14"/>
      <c r="I2" s="48" t="s">
        <v>7</v>
      </c>
      <c r="J2" s="14"/>
      <c r="K2" s="48" t="s">
        <v>8</v>
      </c>
      <c r="L2" s="14"/>
      <c r="M2" s="48" t="s">
        <v>9</v>
      </c>
      <c r="N2" s="14"/>
      <c r="O2" s="48" t="s">
        <v>10</v>
      </c>
      <c r="P2" s="14"/>
      <c r="Q2" s="48" t="s">
        <v>11</v>
      </c>
      <c r="R2" s="14"/>
      <c r="S2" s="48" t="s">
        <v>12</v>
      </c>
      <c r="T2" s="14"/>
      <c r="U2" s="21"/>
      <c r="V2" s="21"/>
      <c r="W2" s="21"/>
      <c r="X2" s="7"/>
      <c r="Y2" s="17"/>
      <c r="Z2" s="17"/>
      <c r="AA2" s="17"/>
    </row>
    <row r="3" customHeight="1" spans="1:27">
      <c r="A3" s="49"/>
      <c r="B3" s="49"/>
      <c r="C3" s="49"/>
      <c r="D3" s="49"/>
      <c r="E3" s="47"/>
      <c r="F3" s="49"/>
      <c r="G3" s="50" t="s">
        <v>13</v>
      </c>
      <c r="H3" s="50" t="s">
        <v>14</v>
      </c>
      <c r="I3" s="50" t="s">
        <v>13</v>
      </c>
      <c r="J3" s="50" t="s">
        <v>14</v>
      </c>
      <c r="K3" s="50" t="s">
        <v>13</v>
      </c>
      <c r="L3" s="50" t="s">
        <v>14</v>
      </c>
      <c r="M3" s="50" t="s">
        <v>13</v>
      </c>
      <c r="N3" s="50" t="s">
        <v>14</v>
      </c>
      <c r="O3" s="50" t="s">
        <v>13</v>
      </c>
      <c r="P3" s="50" t="s">
        <v>14</v>
      </c>
      <c r="Q3" s="50" t="s">
        <v>13</v>
      </c>
      <c r="R3" s="50" t="s">
        <v>14</v>
      </c>
      <c r="S3" s="50" t="s">
        <v>13</v>
      </c>
      <c r="T3" s="50" t="s">
        <v>14</v>
      </c>
      <c r="U3" s="59" t="s">
        <v>15</v>
      </c>
      <c r="V3" s="84" t="s">
        <v>16</v>
      </c>
      <c r="W3" s="59" t="s">
        <v>17</v>
      </c>
      <c r="X3" s="7" t="s">
        <v>18</v>
      </c>
      <c r="Y3" s="17"/>
      <c r="Z3" s="17"/>
      <c r="AA3" s="17"/>
    </row>
    <row r="4" customHeight="1" spans="1:27">
      <c r="A4" s="21">
        <v>10316549</v>
      </c>
      <c r="B4" s="86" t="s">
        <v>19</v>
      </c>
      <c r="C4" s="21" t="s">
        <v>20</v>
      </c>
      <c r="D4" s="21" t="s">
        <v>21</v>
      </c>
      <c r="E4" s="21" t="s">
        <v>22</v>
      </c>
      <c r="F4" s="21">
        <v>1</v>
      </c>
      <c r="G4" s="54">
        <v>0.458333333333333</v>
      </c>
      <c r="H4" s="54">
        <v>0.875</v>
      </c>
      <c r="I4" s="54">
        <v>0.458333333333333</v>
      </c>
      <c r="J4" s="54">
        <v>0.875</v>
      </c>
      <c r="K4" s="54">
        <v>0.458333333333333</v>
      </c>
      <c r="L4" s="54">
        <v>0.875</v>
      </c>
      <c r="M4" s="54">
        <v>0.458333333333333</v>
      </c>
      <c r="N4" s="54">
        <v>0.875</v>
      </c>
      <c r="O4" s="21" t="s">
        <v>23</v>
      </c>
      <c r="P4" s="21" t="s">
        <v>23</v>
      </c>
      <c r="Q4" s="21" t="s">
        <v>23</v>
      </c>
      <c r="R4" s="21" t="s">
        <v>23</v>
      </c>
      <c r="S4" s="54">
        <v>0.458333333333333</v>
      </c>
      <c r="T4" s="54">
        <v>0.666666666666667</v>
      </c>
      <c r="U4" s="21">
        <v>45</v>
      </c>
      <c r="V4" s="7">
        <v>45</v>
      </c>
      <c r="W4" s="7">
        <v>-1.4210854715202e-14</v>
      </c>
      <c r="X4" s="8">
        <v>0.416666666666667</v>
      </c>
      <c r="Y4" s="184" t="str">
        <f t="shared" ref="Y4:AA4" si="0">IF(G4="Off","",IF(AND(G4&gt;=TIME(9,0,0),G4&lt;=TIME(10,0,0)),"early",IF(OR(G4=TIME(11,0,0),G4=TIME(12,0,0)),"late","")))</f>
        <v>late</v>
      </c>
      <c r="Z4" s="184" t="str">
        <f t="shared" si="0"/>
        <v/>
      </c>
      <c r="AA4" s="184" t="str">
        <f t="shared" si="0"/>
        <v>late</v>
      </c>
    </row>
    <row r="5" customHeight="1" spans="1:27">
      <c r="A5" s="21">
        <v>10317147</v>
      </c>
      <c r="B5" s="86" t="s">
        <v>24</v>
      </c>
      <c r="C5" s="21" t="s">
        <v>20</v>
      </c>
      <c r="D5" s="21" t="s">
        <v>21</v>
      </c>
      <c r="E5" s="21" t="s">
        <v>22</v>
      </c>
      <c r="F5" s="21">
        <v>1</v>
      </c>
      <c r="G5" s="21" t="s">
        <v>23</v>
      </c>
      <c r="H5" s="54" t="s">
        <v>23</v>
      </c>
      <c r="I5" s="54">
        <v>0.375</v>
      </c>
      <c r="J5" s="54">
        <v>0.791666666666667</v>
      </c>
      <c r="K5" s="54">
        <v>0.375</v>
      </c>
      <c r="L5" s="54">
        <v>0.791666666666667</v>
      </c>
      <c r="M5" s="54">
        <v>0.375</v>
      </c>
      <c r="N5" s="54">
        <v>0.791666666666667</v>
      </c>
      <c r="O5" s="54">
        <v>0.375</v>
      </c>
      <c r="P5" s="54">
        <v>0.791666666666667</v>
      </c>
      <c r="Q5" s="54">
        <v>0.458333333333333</v>
      </c>
      <c r="R5" s="54">
        <v>0.666666666666667</v>
      </c>
      <c r="S5" s="21" t="s">
        <v>23</v>
      </c>
      <c r="T5" s="21" t="s">
        <v>23</v>
      </c>
      <c r="U5" s="21">
        <v>45</v>
      </c>
      <c r="V5" s="7">
        <v>45</v>
      </c>
      <c r="W5" s="7">
        <v>-7.105427357601e-15</v>
      </c>
      <c r="X5" s="8">
        <v>0.416666666666667</v>
      </c>
      <c r="Y5" s="184" t="str">
        <f t="shared" ref="Y5:Y33" si="1">IF(G5="Off","",IF(AND(G5&gt;=TIME(9,0,0),G5&lt;=TIME(10,0,0)),"early",IF(OR(G5=TIME(11,0,0),G5=TIME(12,0,0)),"late","")))</f>
        <v/>
      </c>
      <c r="Z5" s="184"/>
      <c r="AA5" s="184" t="str">
        <f t="shared" ref="AA5:AA993" si="2">IF(I5="Off","",IF(AND(I5&gt;=TIME(9,0,0),I5&lt;=TIME(10,0,0)),"early",IF(OR(I5=TIME(11,0,0),I5=TIME(12,0,0)),"late","")))</f>
        <v>early</v>
      </c>
    </row>
    <row r="6" customHeight="1" spans="1:27">
      <c r="A6" s="21">
        <v>10250963</v>
      </c>
      <c r="B6" s="86" t="s">
        <v>25</v>
      </c>
      <c r="C6" s="21" t="s">
        <v>20</v>
      </c>
      <c r="D6" s="21" t="s">
        <v>21</v>
      </c>
      <c r="E6" s="21" t="s">
        <v>22</v>
      </c>
      <c r="F6" s="21">
        <v>1</v>
      </c>
      <c r="G6" s="21" t="s">
        <v>23</v>
      </c>
      <c r="H6" s="54" t="s">
        <v>23</v>
      </c>
      <c r="I6" s="54">
        <v>0.458333333333333</v>
      </c>
      <c r="J6" s="54">
        <v>0.875</v>
      </c>
      <c r="K6" s="54">
        <v>0.458333333333333</v>
      </c>
      <c r="L6" s="54">
        <v>0.875</v>
      </c>
      <c r="M6" s="54">
        <v>0.458333333333333</v>
      </c>
      <c r="N6" s="54">
        <v>0.875</v>
      </c>
      <c r="O6" s="54">
        <v>0.458333333333333</v>
      </c>
      <c r="P6" s="54">
        <v>0.875</v>
      </c>
      <c r="Q6" s="54">
        <v>0.458333333333333</v>
      </c>
      <c r="R6" s="54">
        <v>0.666666666666667</v>
      </c>
      <c r="S6" s="21" t="s">
        <v>23</v>
      </c>
      <c r="T6" s="21" t="s">
        <v>23</v>
      </c>
      <c r="U6" s="21">
        <v>45</v>
      </c>
      <c r="V6" s="7">
        <v>45</v>
      </c>
      <c r="W6" s="7">
        <v>-1.4210854715202e-14</v>
      </c>
      <c r="X6" s="8">
        <v>0.416666666666667</v>
      </c>
      <c r="Y6" s="184" t="str">
        <f t="shared" si="1"/>
        <v/>
      </c>
      <c r="Z6" s="184"/>
      <c r="AA6" s="184" t="str">
        <f t="shared" si="2"/>
        <v>late</v>
      </c>
    </row>
    <row r="7" customHeight="1" spans="1:27">
      <c r="A7" s="21">
        <v>10316530</v>
      </c>
      <c r="B7" s="86" t="s">
        <v>26</v>
      </c>
      <c r="C7" s="21" t="s">
        <v>20</v>
      </c>
      <c r="D7" s="21" t="s">
        <v>21</v>
      </c>
      <c r="E7" s="21" t="s">
        <v>22</v>
      </c>
      <c r="F7" s="21">
        <v>1</v>
      </c>
      <c r="G7" s="21" t="s">
        <v>23</v>
      </c>
      <c r="H7" s="54" t="s">
        <v>23</v>
      </c>
      <c r="I7" s="54">
        <v>0.458333333333333</v>
      </c>
      <c r="J7" s="54">
        <v>0.875</v>
      </c>
      <c r="K7" s="54">
        <v>0.458333333333333</v>
      </c>
      <c r="L7" s="54">
        <v>0.875</v>
      </c>
      <c r="M7" s="54">
        <v>0.458333333333333</v>
      </c>
      <c r="N7" s="54">
        <v>0.875</v>
      </c>
      <c r="O7" s="54">
        <v>0.458333333333333</v>
      </c>
      <c r="P7" s="54">
        <v>0.875</v>
      </c>
      <c r="Q7" s="54">
        <v>0.458333333333333</v>
      </c>
      <c r="R7" s="54">
        <v>0.666666666666667</v>
      </c>
      <c r="S7" s="21" t="s">
        <v>23</v>
      </c>
      <c r="T7" s="21" t="s">
        <v>23</v>
      </c>
      <c r="U7" s="21">
        <v>45</v>
      </c>
      <c r="V7" s="7">
        <v>45</v>
      </c>
      <c r="W7" s="7">
        <v>-1.4210854715202e-14</v>
      </c>
      <c r="X7" s="8">
        <v>0.416666666666667</v>
      </c>
      <c r="Y7" s="184" t="str">
        <f t="shared" si="1"/>
        <v/>
      </c>
      <c r="Z7" s="184"/>
      <c r="AA7" s="184" t="str">
        <f t="shared" si="2"/>
        <v>late</v>
      </c>
    </row>
    <row r="8" customHeight="1" spans="1:27">
      <c r="A8" s="21">
        <v>10317943</v>
      </c>
      <c r="B8" s="86" t="s">
        <v>27</v>
      </c>
      <c r="C8" s="21" t="s">
        <v>20</v>
      </c>
      <c r="D8" s="21" t="s">
        <v>21</v>
      </c>
      <c r="E8" s="21" t="s">
        <v>22</v>
      </c>
      <c r="F8" s="21">
        <v>2</v>
      </c>
      <c r="G8" s="54">
        <v>0.375</v>
      </c>
      <c r="H8" s="54">
        <v>0.791666666666667</v>
      </c>
      <c r="I8" s="54">
        <v>0.375</v>
      </c>
      <c r="J8" s="54">
        <v>0.791666666666667</v>
      </c>
      <c r="K8" s="54">
        <v>0.375</v>
      </c>
      <c r="L8" s="54">
        <v>0.791666666666667</v>
      </c>
      <c r="M8" s="54">
        <v>0.375</v>
      </c>
      <c r="N8" s="54">
        <v>0.791666666666667</v>
      </c>
      <c r="O8" s="21" t="s">
        <v>23</v>
      </c>
      <c r="P8" s="54" t="s">
        <v>23</v>
      </c>
      <c r="Q8" s="21" t="s">
        <v>23</v>
      </c>
      <c r="R8" s="21" t="s">
        <v>23</v>
      </c>
      <c r="S8" s="54">
        <v>0.458333333333333</v>
      </c>
      <c r="T8" s="54">
        <v>0.666666666666667</v>
      </c>
      <c r="U8" s="21">
        <v>45</v>
      </c>
      <c r="V8" s="7">
        <v>45</v>
      </c>
      <c r="W8" s="7">
        <v>7.105427357601e-15</v>
      </c>
      <c r="X8" s="8">
        <v>0.416666666666667</v>
      </c>
      <c r="Y8" s="184" t="str">
        <f t="shared" si="1"/>
        <v>early</v>
      </c>
      <c r="Z8" s="184"/>
      <c r="AA8" s="184" t="str">
        <f t="shared" si="2"/>
        <v>early</v>
      </c>
    </row>
    <row r="9" customHeight="1" spans="1:27">
      <c r="A9" s="21">
        <v>10317521</v>
      </c>
      <c r="B9" s="86" t="s">
        <v>28</v>
      </c>
      <c r="C9" s="21" t="s">
        <v>20</v>
      </c>
      <c r="D9" s="21" t="s">
        <v>21</v>
      </c>
      <c r="E9" s="21" t="s">
        <v>22</v>
      </c>
      <c r="F9" s="21">
        <v>2</v>
      </c>
      <c r="G9" s="54">
        <v>0.375</v>
      </c>
      <c r="H9" s="54">
        <v>0.791666666666667</v>
      </c>
      <c r="I9" s="54">
        <v>0.375</v>
      </c>
      <c r="J9" s="54">
        <v>0.791666666666667</v>
      </c>
      <c r="K9" s="54">
        <v>0.375</v>
      </c>
      <c r="L9" s="54">
        <v>0.791666666666667</v>
      </c>
      <c r="M9" s="54">
        <v>0.375</v>
      </c>
      <c r="N9" s="54">
        <v>0.791666666666667</v>
      </c>
      <c r="O9" s="21" t="s">
        <v>23</v>
      </c>
      <c r="P9" s="54" t="s">
        <v>23</v>
      </c>
      <c r="Q9" s="21" t="s">
        <v>23</v>
      </c>
      <c r="R9" s="21" t="s">
        <v>23</v>
      </c>
      <c r="S9" s="54">
        <v>0.458333333333333</v>
      </c>
      <c r="T9" s="54">
        <v>0.666666666666667</v>
      </c>
      <c r="U9" s="21">
        <v>45</v>
      </c>
      <c r="V9" s="7">
        <v>45</v>
      </c>
      <c r="W9" s="7">
        <v>7.105427357601e-15</v>
      </c>
      <c r="X9" s="8">
        <v>0.416666666666667</v>
      </c>
      <c r="Y9" s="184" t="str">
        <f t="shared" si="1"/>
        <v>early</v>
      </c>
      <c r="Z9" s="184"/>
      <c r="AA9" s="184" t="str">
        <f t="shared" si="2"/>
        <v>early</v>
      </c>
    </row>
    <row r="10" customHeight="1" spans="1:27">
      <c r="A10" s="21">
        <v>10317517</v>
      </c>
      <c r="B10" s="86" t="s">
        <v>29</v>
      </c>
      <c r="C10" s="21" t="s">
        <v>20</v>
      </c>
      <c r="D10" s="21" t="s">
        <v>21</v>
      </c>
      <c r="E10" s="21" t="s">
        <v>22</v>
      </c>
      <c r="F10" s="21">
        <v>2</v>
      </c>
      <c r="G10" s="21" t="s">
        <v>23</v>
      </c>
      <c r="H10" s="54" t="s">
        <v>23</v>
      </c>
      <c r="I10" s="54">
        <v>0.375</v>
      </c>
      <c r="J10" s="54">
        <v>0.791666666666667</v>
      </c>
      <c r="K10" s="54">
        <v>0.375</v>
      </c>
      <c r="L10" s="54">
        <v>0.791666666666667</v>
      </c>
      <c r="M10" s="54">
        <v>0.375</v>
      </c>
      <c r="N10" s="54">
        <v>0.791666666666667</v>
      </c>
      <c r="O10" s="54">
        <v>0.375</v>
      </c>
      <c r="P10" s="54">
        <v>0.791666666666667</v>
      </c>
      <c r="Q10" s="54">
        <v>0.458333333333333</v>
      </c>
      <c r="R10" s="54">
        <v>0.666666666666667</v>
      </c>
      <c r="S10" s="21" t="s">
        <v>23</v>
      </c>
      <c r="T10" s="21" t="s">
        <v>23</v>
      </c>
      <c r="U10" s="21">
        <v>45</v>
      </c>
      <c r="V10" s="7">
        <v>45</v>
      </c>
      <c r="W10" s="7">
        <v>7.105427357601e-15</v>
      </c>
      <c r="X10" s="8">
        <v>0.416666666666667</v>
      </c>
      <c r="Y10" s="184" t="str">
        <f t="shared" si="1"/>
        <v/>
      </c>
      <c r="Z10" s="184"/>
      <c r="AA10" s="184" t="str">
        <f t="shared" si="2"/>
        <v>early</v>
      </c>
    </row>
    <row r="11" customHeight="1" spans="1:27">
      <c r="A11" s="21">
        <v>10316540</v>
      </c>
      <c r="B11" s="86" t="s">
        <v>30</v>
      </c>
      <c r="C11" s="21" t="s">
        <v>20</v>
      </c>
      <c r="D11" s="21" t="s">
        <v>21</v>
      </c>
      <c r="E11" s="21" t="s">
        <v>22</v>
      </c>
      <c r="F11" s="21">
        <v>1</v>
      </c>
      <c r="G11" s="21" t="s">
        <v>23</v>
      </c>
      <c r="H11" s="21" t="s">
        <v>23</v>
      </c>
      <c r="I11" s="54">
        <v>0.458333333333333</v>
      </c>
      <c r="J11" s="54">
        <v>0.875</v>
      </c>
      <c r="K11" s="54">
        <v>0.458333333333333</v>
      </c>
      <c r="L11" s="54">
        <v>0.875</v>
      </c>
      <c r="M11" s="54">
        <v>0.458333333333333</v>
      </c>
      <c r="N11" s="54">
        <v>0.875</v>
      </c>
      <c r="O11" s="54">
        <v>0.458333333333333</v>
      </c>
      <c r="P11" s="54">
        <v>0.875</v>
      </c>
      <c r="Q11" s="54">
        <v>0.458333333333333</v>
      </c>
      <c r="R11" s="54">
        <v>0.666666666666667</v>
      </c>
      <c r="S11" s="21" t="s">
        <v>23</v>
      </c>
      <c r="T11" s="21" t="s">
        <v>23</v>
      </c>
      <c r="U11" s="21">
        <v>45</v>
      </c>
      <c r="V11" s="7">
        <v>45</v>
      </c>
      <c r="W11" s="7">
        <v>-1.4210854715202e-14</v>
      </c>
      <c r="X11" s="8">
        <v>0.416666666666667</v>
      </c>
      <c r="Y11" s="184" t="str">
        <f t="shared" si="1"/>
        <v/>
      </c>
      <c r="Z11" s="184"/>
      <c r="AA11" s="184" t="str">
        <f t="shared" si="2"/>
        <v>late</v>
      </c>
    </row>
    <row r="12" customHeight="1" spans="1:27">
      <c r="A12" s="21">
        <v>10317522</v>
      </c>
      <c r="B12" s="21" t="s">
        <v>31</v>
      </c>
      <c r="C12" s="21" t="s">
        <v>20</v>
      </c>
      <c r="D12" s="21" t="s">
        <v>21</v>
      </c>
      <c r="E12" s="21" t="s">
        <v>22</v>
      </c>
      <c r="F12" s="21">
        <v>2</v>
      </c>
      <c r="G12" s="54">
        <v>0.458333333333333</v>
      </c>
      <c r="H12" s="54">
        <v>0.875</v>
      </c>
      <c r="I12" s="54">
        <v>0.458333333333333</v>
      </c>
      <c r="J12" s="54">
        <v>0.875</v>
      </c>
      <c r="K12" s="54">
        <v>0.458333333333333</v>
      </c>
      <c r="L12" s="54">
        <v>0.875</v>
      </c>
      <c r="M12" s="54">
        <v>0.458333333333333</v>
      </c>
      <c r="N12" s="54">
        <v>0.875</v>
      </c>
      <c r="O12" s="21" t="s">
        <v>23</v>
      </c>
      <c r="P12" s="54" t="s">
        <v>23</v>
      </c>
      <c r="Q12" s="21" t="s">
        <v>23</v>
      </c>
      <c r="R12" s="21" t="s">
        <v>23</v>
      </c>
      <c r="S12" s="54">
        <v>0.458333333333333</v>
      </c>
      <c r="T12" s="54">
        <v>0.666666666666667</v>
      </c>
      <c r="U12" s="21">
        <v>45</v>
      </c>
      <c r="V12" s="7">
        <v>45</v>
      </c>
      <c r="W12" s="7">
        <v>-1.4210854715202e-14</v>
      </c>
      <c r="X12" s="8">
        <v>0.416666666666667</v>
      </c>
      <c r="Y12" s="184" t="str">
        <f t="shared" si="1"/>
        <v>late</v>
      </c>
      <c r="Z12" s="184"/>
      <c r="AA12" s="184" t="str">
        <f t="shared" si="2"/>
        <v>late</v>
      </c>
    </row>
    <row r="13" customHeight="1" spans="1:27">
      <c r="A13" s="21">
        <v>10272259</v>
      </c>
      <c r="B13" s="21" t="s">
        <v>32</v>
      </c>
      <c r="C13" s="21" t="s">
        <v>20</v>
      </c>
      <c r="D13" s="21" t="s">
        <v>21</v>
      </c>
      <c r="E13" s="21" t="s">
        <v>22</v>
      </c>
      <c r="F13" s="21">
        <v>2</v>
      </c>
      <c r="G13" s="54">
        <v>0.5</v>
      </c>
      <c r="H13" s="54">
        <v>0.875</v>
      </c>
      <c r="I13" s="21" t="s">
        <v>23</v>
      </c>
      <c r="J13" s="54" t="s">
        <v>23</v>
      </c>
      <c r="K13" s="21" t="s">
        <v>23</v>
      </c>
      <c r="L13" s="54" t="s">
        <v>23</v>
      </c>
      <c r="M13" s="54">
        <v>0.5</v>
      </c>
      <c r="N13" s="54">
        <v>0.875</v>
      </c>
      <c r="O13" s="54">
        <v>0.5</v>
      </c>
      <c r="P13" s="54">
        <v>0.875</v>
      </c>
      <c r="Q13" s="54">
        <v>0.458333333333333</v>
      </c>
      <c r="R13" s="54">
        <v>0.666666666666667</v>
      </c>
      <c r="S13" s="54">
        <v>0.458333333333333</v>
      </c>
      <c r="T13" s="54">
        <v>0.666666666666667</v>
      </c>
      <c r="U13" s="21">
        <v>37</v>
      </c>
      <c r="V13" s="7">
        <v>37</v>
      </c>
      <c r="W13" s="7">
        <v>0</v>
      </c>
      <c r="X13" s="8">
        <v>0.375</v>
      </c>
      <c r="Y13" s="184" t="str">
        <f t="shared" si="1"/>
        <v>late</v>
      </c>
      <c r="Z13" s="184"/>
      <c r="AA13" s="184" t="str">
        <f t="shared" si="2"/>
        <v/>
      </c>
    </row>
    <row r="14" customHeight="1" spans="1:27">
      <c r="A14" s="21">
        <v>10316618</v>
      </c>
      <c r="B14" s="21" t="s">
        <v>33</v>
      </c>
      <c r="C14" s="21" t="s">
        <v>20</v>
      </c>
      <c r="D14" s="21" t="s">
        <v>21</v>
      </c>
      <c r="E14" s="21" t="s">
        <v>22</v>
      </c>
      <c r="F14" s="21">
        <v>1</v>
      </c>
      <c r="G14" s="54">
        <v>0.458333333333333</v>
      </c>
      <c r="H14" s="54">
        <v>0.875</v>
      </c>
      <c r="I14" s="54">
        <v>0.458333333333333</v>
      </c>
      <c r="J14" s="54">
        <v>0.875</v>
      </c>
      <c r="K14" s="54">
        <v>0.458333333333333</v>
      </c>
      <c r="L14" s="54">
        <v>0.875</v>
      </c>
      <c r="M14" s="54">
        <v>0.458333333333333</v>
      </c>
      <c r="N14" s="54">
        <v>0.875</v>
      </c>
      <c r="O14" s="21" t="s">
        <v>23</v>
      </c>
      <c r="P14" s="54" t="s">
        <v>23</v>
      </c>
      <c r="Q14" s="21" t="s">
        <v>23</v>
      </c>
      <c r="R14" s="21" t="s">
        <v>23</v>
      </c>
      <c r="S14" s="54">
        <v>0.458333333333333</v>
      </c>
      <c r="T14" s="54">
        <v>0.666666666666667</v>
      </c>
      <c r="U14" s="21">
        <v>45</v>
      </c>
      <c r="V14" s="7">
        <v>45</v>
      </c>
      <c r="W14" s="7">
        <v>-1.4210854715202e-14</v>
      </c>
      <c r="X14" s="8">
        <v>0.416666666666667</v>
      </c>
      <c r="Y14" s="184" t="str">
        <f t="shared" si="1"/>
        <v>late</v>
      </c>
      <c r="Z14" s="184"/>
      <c r="AA14" s="184" t="str">
        <f t="shared" si="2"/>
        <v>late</v>
      </c>
    </row>
    <row r="15" customHeight="1" spans="1:27">
      <c r="A15" s="21">
        <v>10295555</v>
      </c>
      <c r="B15" s="21" t="s">
        <v>34</v>
      </c>
      <c r="C15" s="21" t="s">
        <v>20</v>
      </c>
      <c r="D15" s="21" t="s">
        <v>21</v>
      </c>
      <c r="E15" s="21" t="s">
        <v>35</v>
      </c>
      <c r="F15" s="21">
        <v>2</v>
      </c>
      <c r="G15" s="54">
        <v>0.666666666666667</v>
      </c>
      <c r="H15" s="54">
        <v>0.875</v>
      </c>
      <c r="I15" s="54">
        <v>0.666666666666667</v>
      </c>
      <c r="J15" s="54">
        <v>0.875</v>
      </c>
      <c r="K15" s="54">
        <v>0.666666666666667</v>
      </c>
      <c r="L15" s="54">
        <v>0.875</v>
      </c>
      <c r="M15" s="21" t="s">
        <v>23</v>
      </c>
      <c r="N15" s="54" t="s">
        <v>23</v>
      </c>
      <c r="O15" s="21" t="s">
        <v>23</v>
      </c>
      <c r="P15" s="54" t="s">
        <v>23</v>
      </c>
      <c r="Q15" s="89" t="s">
        <v>36</v>
      </c>
      <c r="R15" s="89" t="s">
        <v>36</v>
      </c>
      <c r="S15" s="89" t="s">
        <v>36</v>
      </c>
      <c r="T15" s="89" t="s">
        <v>36</v>
      </c>
      <c r="U15" s="21">
        <v>15</v>
      </c>
      <c r="V15" s="7">
        <v>25</v>
      </c>
      <c r="W15" s="7">
        <v>10</v>
      </c>
      <c r="X15" s="8">
        <v>0.208333333333333</v>
      </c>
      <c r="Y15" s="184" t="str">
        <f t="shared" si="1"/>
        <v/>
      </c>
      <c r="Z15" s="184"/>
      <c r="AA15" s="184" t="str">
        <f t="shared" si="2"/>
        <v/>
      </c>
    </row>
    <row r="16" customHeight="1" spans="1:27">
      <c r="A16" s="21">
        <v>10317520</v>
      </c>
      <c r="B16" s="21" t="s">
        <v>37</v>
      </c>
      <c r="C16" s="21" t="s">
        <v>20</v>
      </c>
      <c r="D16" s="21" t="s">
        <v>21</v>
      </c>
      <c r="E16" s="21" t="s">
        <v>22</v>
      </c>
      <c r="F16" s="21">
        <v>2</v>
      </c>
      <c r="G16" s="54">
        <v>0.375</v>
      </c>
      <c r="H16" s="54">
        <v>0.791666666666667</v>
      </c>
      <c r="I16" s="54">
        <v>0.375</v>
      </c>
      <c r="J16" s="54">
        <v>0.791666666666667</v>
      </c>
      <c r="K16" s="54">
        <v>0.375</v>
      </c>
      <c r="L16" s="54">
        <v>0.791666666666667</v>
      </c>
      <c r="M16" s="54">
        <v>0.375</v>
      </c>
      <c r="N16" s="54">
        <v>0.791666666666667</v>
      </c>
      <c r="O16" s="21" t="s">
        <v>23</v>
      </c>
      <c r="P16" s="54" t="s">
        <v>23</v>
      </c>
      <c r="Q16" s="21" t="s">
        <v>23</v>
      </c>
      <c r="R16" s="21" t="s">
        <v>23</v>
      </c>
      <c r="S16" s="54">
        <v>0.458333333333333</v>
      </c>
      <c r="T16" s="54">
        <v>0.666666666666667</v>
      </c>
      <c r="U16" s="21">
        <v>45</v>
      </c>
      <c r="V16" s="7">
        <v>45</v>
      </c>
      <c r="W16" s="7">
        <v>7.105427357601e-15</v>
      </c>
      <c r="X16" s="8">
        <v>0.416666666666667</v>
      </c>
      <c r="Y16" s="184" t="str">
        <f t="shared" si="1"/>
        <v>early</v>
      </c>
      <c r="Z16" s="184"/>
      <c r="AA16" s="184" t="str">
        <f t="shared" si="2"/>
        <v>early</v>
      </c>
    </row>
    <row r="17" customHeight="1" spans="1:27">
      <c r="A17" s="21">
        <v>10316681</v>
      </c>
      <c r="B17" s="21" t="s">
        <v>38</v>
      </c>
      <c r="C17" s="21" t="s">
        <v>20</v>
      </c>
      <c r="D17" s="21" t="s">
        <v>21</v>
      </c>
      <c r="E17" s="21" t="s">
        <v>22</v>
      </c>
      <c r="F17" s="21">
        <v>1</v>
      </c>
      <c r="G17" s="54">
        <v>0.375</v>
      </c>
      <c r="H17" s="54">
        <v>0.791666666666667</v>
      </c>
      <c r="I17" s="54">
        <v>0.375</v>
      </c>
      <c r="J17" s="54">
        <v>0.791666666666667</v>
      </c>
      <c r="K17" s="54">
        <v>0.375</v>
      </c>
      <c r="L17" s="54">
        <v>0.791666666666667</v>
      </c>
      <c r="M17" s="54">
        <v>0.375</v>
      </c>
      <c r="N17" s="54">
        <v>0.791666666666667</v>
      </c>
      <c r="O17" s="21" t="s">
        <v>23</v>
      </c>
      <c r="P17" s="54" t="s">
        <v>23</v>
      </c>
      <c r="Q17" s="21" t="s">
        <v>23</v>
      </c>
      <c r="R17" s="21" t="s">
        <v>23</v>
      </c>
      <c r="S17" s="54">
        <v>0.458333333333333</v>
      </c>
      <c r="T17" s="54">
        <v>0.666666666666667</v>
      </c>
      <c r="U17" s="21">
        <v>45</v>
      </c>
      <c r="V17" s="7">
        <v>45</v>
      </c>
      <c r="W17" s="7">
        <v>7.105427357601e-15</v>
      </c>
      <c r="X17" s="8">
        <v>0.416666666666667</v>
      </c>
      <c r="Y17" s="184" t="str">
        <f t="shared" si="1"/>
        <v>early</v>
      </c>
      <c r="Z17" s="184"/>
      <c r="AA17" s="184" t="str">
        <f t="shared" si="2"/>
        <v>early</v>
      </c>
    </row>
    <row r="18" customHeight="1" spans="1:27">
      <c r="A18" s="21">
        <v>10316650</v>
      </c>
      <c r="B18" s="21" t="s">
        <v>39</v>
      </c>
      <c r="C18" s="21" t="s">
        <v>20</v>
      </c>
      <c r="D18" s="21" t="s">
        <v>21</v>
      </c>
      <c r="E18" s="21" t="s">
        <v>22</v>
      </c>
      <c r="F18" s="21">
        <v>2</v>
      </c>
      <c r="G18" s="54">
        <v>0.375</v>
      </c>
      <c r="H18" s="54">
        <v>0.791666666666667</v>
      </c>
      <c r="I18" s="54">
        <v>0.375</v>
      </c>
      <c r="J18" s="54">
        <v>0.791666666666667</v>
      </c>
      <c r="K18" s="54">
        <v>0.375</v>
      </c>
      <c r="L18" s="54">
        <v>0.791666666666667</v>
      </c>
      <c r="M18" s="54">
        <v>0.375</v>
      </c>
      <c r="N18" s="54">
        <v>0.791666666666667</v>
      </c>
      <c r="O18" s="21" t="s">
        <v>23</v>
      </c>
      <c r="P18" s="54" t="s">
        <v>23</v>
      </c>
      <c r="Q18" s="21" t="s">
        <v>23</v>
      </c>
      <c r="R18" s="21" t="s">
        <v>23</v>
      </c>
      <c r="S18" s="54">
        <v>0.458333333333333</v>
      </c>
      <c r="T18" s="54">
        <v>0.666666666666667</v>
      </c>
      <c r="U18" s="21">
        <v>45</v>
      </c>
      <c r="V18" s="7">
        <v>45</v>
      </c>
      <c r="W18" s="7">
        <v>7.105427357601e-15</v>
      </c>
      <c r="X18" s="8">
        <v>0.416666666666667</v>
      </c>
      <c r="Y18" s="184" t="str">
        <f t="shared" si="1"/>
        <v>early</v>
      </c>
      <c r="Z18" s="184"/>
      <c r="AA18" s="184" t="str">
        <f t="shared" si="2"/>
        <v>early</v>
      </c>
    </row>
    <row r="19" customHeight="1" spans="1:27">
      <c r="A19" s="21">
        <v>10316680</v>
      </c>
      <c r="B19" s="21" t="s">
        <v>40</v>
      </c>
      <c r="C19" s="21" t="s">
        <v>20</v>
      </c>
      <c r="D19" s="21" t="s">
        <v>21</v>
      </c>
      <c r="E19" s="21" t="s">
        <v>22</v>
      </c>
      <c r="F19" s="21">
        <v>1</v>
      </c>
      <c r="G19" s="21" t="s">
        <v>23</v>
      </c>
      <c r="H19" s="54" t="s">
        <v>23</v>
      </c>
      <c r="I19" s="54">
        <v>0.458333333333333</v>
      </c>
      <c r="J19" s="54">
        <v>0.875</v>
      </c>
      <c r="K19" s="54">
        <v>0.458333333333333</v>
      </c>
      <c r="L19" s="54">
        <v>0.875</v>
      </c>
      <c r="M19" s="54">
        <v>0.458333333333333</v>
      </c>
      <c r="N19" s="54">
        <v>0.875</v>
      </c>
      <c r="O19" s="54">
        <v>0.458333333333333</v>
      </c>
      <c r="P19" s="54">
        <v>0.875</v>
      </c>
      <c r="Q19" s="54">
        <v>0.458333333333333</v>
      </c>
      <c r="R19" s="54">
        <v>0.666666666666667</v>
      </c>
      <c r="S19" s="21" t="s">
        <v>23</v>
      </c>
      <c r="T19" s="21" t="s">
        <v>23</v>
      </c>
      <c r="U19" s="21">
        <v>45</v>
      </c>
      <c r="V19" s="7">
        <v>45</v>
      </c>
      <c r="W19" s="7">
        <v>-1.4210854715202e-14</v>
      </c>
      <c r="X19" s="8">
        <v>0.416666666666667</v>
      </c>
      <c r="Y19" s="184" t="str">
        <f t="shared" si="1"/>
        <v/>
      </c>
      <c r="Z19" s="184"/>
      <c r="AA19" s="184" t="str">
        <f t="shared" si="2"/>
        <v>late</v>
      </c>
    </row>
    <row r="20" customHeight="1" spans="1:27">
      <c r="A20" s="21">
        <v>10316543</v>
      </c>
      <c r="B20" s="21" t="s">
        <v>41</v>
      </c>
      <c r="C20" s="21" t="s">
        <v>20</v>
      </c>
      <c r="D20" s="21" t="s">
        <v>21</v>
      </c>
      <c r="E20" s="21" t="s">
        <v>22</v>
      </c>
      <c r="F20" s="21">
        <v>1</v>
      </c>
      <c r="G20" s="54">
        <v>0.458333333333333</v>
      </c>
      <c r="H20" s="54">
        <v>0.875</v>
      </c>
      <c r="I20" s="54">
        <v>0.458333333333333</v>
      </c>
      <c r="J20" s="54">
        <v>0.875</v>
      </c>
      <c r="K20" s="54">
        <v>0.458333333333333</v>
      </c>
      <c r="L20" s="54">
        <v>0.875</v>
      </c>
      <c r="M20" s="54">
        <v>0.458333333333333</v>
      </c>
      <c r="N20" s="54">
        <v>0.875</v>
      </c>
      <c r="O20" s="21" t="s">
        <v>23</v>
      </c>
      <c r="P20" s="54" t="s">
        <v>23</v>
      </c>
      <c r="Q20" s="21" t="s">
        <v>23</v>
      </c>
      <c r="R20" s="21" t="s">
        <v>23</v>
      </c>
      <c r="S20" s="54">
        <v>0.458333333333333</v>
      </c>
      <c r="T20" s="54">
        <v>0.666666666666667</v>
      </c>
      <c r="U20" s="21">
        <v>45</v>
      </c>
      <c r="V20" s="7">
        <v>45</v>
      </c>
      <c r="W20" s="7">
        <v>-1.4210854715202e-14</v>
      </c>
      <c r="X20" s="8">
        <v>0.416666666666667</v>
      </c>
      <c r="Y20" s="184" t="str">
        <f t="shared" si="1"/>
        <v>late</v>
      </c>
      <c r="Z20" s="184"/>
      <c r="AA20" s="184" t="str">
        <f t="shared" si="2"/>
        <v>late</v>
      </c>
    </row>
    <row r="21" customHeight="1" spans="1:27">
      <c r="A21" s="21">
        <v>10317153</v>
      </c>
      <c r="B21" s="21" t="s">
        <v>42</v>
      </c>
      <c r="C21" s="21" t="s">
        <v>20</v>
      </c>
      <c r="D21" s="21" t="s">
        <v>21</v>
      </c>
      <c r="E21" s="21" t="s">
        <v>22</v>
      </c>
      <c r="F21" s="21">
        <v>1</v>
      </c>
      <c r="G21" s="21" t="s">
        <v>23</v>
      </c>
      <c r="H21" s="54" t="s">
        <v>23</v>
      </c>
      <c r="I21" s="54">
        <v>0.375</v>
      </c>
      <c r="J21" s="54">
        <v>0.791666666666667</v>
      </c>
      <c r="K21" s="54">
        <v>0.375</v>
      </c>
      <c r="L21" s="54">
        <v>0.791666666666667</v>
      </c>
      <c r="M21" s="54">
        <v>0.375</v>
      </c>
      <c r="N21" s="54">
        <v>0.791666666666667</v>
      </c>
      <c r="O21" s="54">
        <v>0.375</v>
      </c>
      <c r="P21" s="54">
        <v>0.791666666666667</v>
      </c>
      <c r="Q21" s="54">
        <v>0.458333333333333</v>
      </c>
      <c r="R21" s="54">
        <v>0.666666666666667</v>
      </c>
      <c r="S21" s="21" t="s">
        <v>23</v>
      </c>
      <c r="T21" s="21" t="s">
        <v>23</v>
      </c>
      <c r="U21" s="21">
        <v>45</v>
      </c>
      <c r="V21" s="7">
        <v>45</v>
      </c>
      <c r="W21" s="7">
        <v>-7.105427357601e-15</v>
      </c>
      <c r="X21" s="8">
        <v>0.416666666666667</v>
      </c>
      <c r="Y21" s="184" t="str">
        <f t="shared" si="1"/>
        <v/>
      </c>
      <c r="Z21" s="184"/>
      <c r="AA21" s="184" t="str">
        <f t="shared" si="2"/>
        <v>early</v>
      </c>
    </row>
    <row r="22" customHeight="1" spans="1:27">
      <c r="A22" s="21">
        <v>10252106</v>
      </c>
      <c r="B22" s="21" t="s">
        <v>43</v>
      </c>
      <c r="C22" s="21" t="s">
        <v>20</v>
      </c>
      <c r="D22" s="21" t="s">
        <v>21</v>
      </c>
      <c r="E22" s="21" t="s">
        <v>22</v>
      </c>
      <c r="F22" s="21">
        <v>2</v>
      </c>
      <c r="G22" s="21" t="s">
        <v>23</v>
      </c>
      <c r="H22" s="54" t="s">
        <v>23</v>
      </c>
      <c r="I22" s="54">
        <v>0.375</v>
      </c>
      <c r="J22" s="54">
        <v>0.75</v>
      </c>
      <c r="K22" s="21" t="s">
        <v>23</v>
      </c>
      <c r="L22" s="54" t="s">
        <v>23</v>
      </c>
      <c r="M22" s="54">
        <v>0.375</v>
      </c>
      <c r="N22" s="54">
        <v>0.75</v>
      </c>
      <c r="O22" s="54">
        <v>0.375</v>
      </c>
      <c r="P22" s="54">
        <v>0.75</v>
      </c>
      <c r="Q22" s="54">
        <v>0.458333333333333</v>
      </c>
      <c r="R22" s="54">
        <v>0.666666666666667</v>
      </c>
      <c r="S22" s="54">
        <v>0.458333333333333</v>
      </c>
      <c r="T22" s="54">
        <v>0.666666666666667</v>
      </c>
      <c r="U22" s="21">
        <v>37</v>
      </c>
      <c r="V22" s="7">
        <v>37</v>
      </c>
      <c r="W22" s="7">
        <v>0</v>
      </c>
      <c r="X22" s="8">
        <v>0.375</v>
      </c>
      <c r="Y22" s="184" t="str">
        <f t="shared" si="1"/>
        <v/>
      </c>
      <c r="Z22" s="184"/>
      <c r="AA22" s="184" t="str">
        <f t="shared" si="2"/>
        <v>early</v>
      </c>
    </row>
    <row r="23" customHeight="1" spans="1:27">
      <c r="A23" s="21">
        <v>10316538</v>
      </c>
      <c r="B23" s="21" t="s">
        <v>44</v>
      </c>
      <c r="C23" s="21" t="s">
        <v>20</v>
      </c>
      <c r="D23" s="21" t="s">
        <v>21</v>
      </c>
      <c r="E23" s="21" t="s">
        <v>22</v>
      </c>
      <c r="F23" s="21">
        <v>1</v>
      </c>
      <c r="G23" s="54">
        <v>0.5</v>
      </c>
      <c r="H23" s="54">
        <v>0.875</v>
      </c>
      <c r="I23" s="54">
        <v>0.5</v>
      </c>
      <c r="J23" s="54">
        <v>0.875</v>
      </c>
      <c r="K23" s="21" t="s">
        <v>23</v>
      </c>
      <c r="L23" s="54" t="s">
        <v>23</v>
      </c>
      <c r="M23" s="21" t="s">
        <v>23</v>
      </c>
      <c r="N23" s="54" t="s">
        <v>23</v>
      </c>
      <c r="O23" s="54">
        <v>0.5</v>
      </c>
      <c r="P23" s="54">
        <v>0.875</v>
      </c>
      <c r="Q23" s="54">
        <v>0.458333333333333</v>
      </c>
      <c r="R23" s="54">
        <v>0.666666666666667</v>
      </c>
      <c r="S23" s="54">
        <v>0.458333333333333</v>
      </c>
      <c r="T23" s="54">
        <v>0.666666666666667</v>
      </c>
      <c r="U23" s="21">
        <v>37</v>
      </c>
      <c r="V23" s="7">
        <v>37</v>
      </c>
      <c r="W23" s="7">
        <v>0</v>
      </c>
      <c r="X23" s="8">
        <v>0.375</v>
      </c>
      <c r="Y23" s="184" t="str">
        <f t="shared" si="1"/>
        <v>late</v>
      </c>
      <c r="Z23" s="184"/>
      <c r="AA23" s="184" t="str">
        <f t="shared" si="2"/>
        <v>late</v>
      </c>
    </row>
    <row r="24" customHeight="1" spans="1:27">
      <c r="A24" s="21">
        <v>10316545</v>
      </c>
      <c r="B24" s="21" t="s">
        <v>45</v>
      </c>
      <c r="C24" s="21" t="s">
        <v>20</v>
      </c>
      <c r="D24" s="21" t="s">
        <v>21</v>
      </c>
      <c r="E24" s="21" t="s">
        <v>22</v>
      </c>
      <c r="F24" s="21">
        <v>1</v>
      </c>
      <c r="G24" s="21" t="s">
        <v>23</v>
      </c>
      <c r="H24" s="54" t="s">
        <v>23</v>
      </c>
      <c r="I24" s="54">
        <v>0.375</v>
      </c>
      <c r="J24" s="54">
        <v>0.791666666666667</v>
      </c>
      <c r="K24" s="54">
        <v>0.375</v>
      </c>
      <c r="L24" s="54">
        <v>0.791666666666667</v>
      </c>
      <c r="M24" s="54">
        <v>0.375</v>
      </c>
      <c r="N24" s="54">
        <v>0.791666666666667</v>
      </c>
      <c r="O24" s="54">
        <v>0.375</v>
      </c>
      <c r="P24" s="54">
        <v>0.791666666666667</v>
      </c>
      <c r="Q24" s="54">
        <v>0.458333333333333</v>
      </c>
      <c r="R24" s="54">
        <v>0.666666666666667</v>
      </c>
      <c r="S24" s="21" t="s">
        <v>23</v>
      </c>
      <c r="T24" s="21" t="s">
        <v>23</v>
      </c>
      <c r="U24" s="21">
        <v>45</v>
      </c>
      <c r="V24" s="7">
        <v>45</v>
      </c>
      <c r="W24" s="7">
        <v>-7.105427357601e-15</v>
      </c>
      <c r="X24" s="8">
        <v>0.416666666666667</v>
      </c>
      <c r="Y24" s="184" t="str">
        <f t="shared" si="1"/>
        <v/>
      </c>
      <c r="Z24" s="184"/>
      <c r="AA24" s="184" t="str">
        <f t="shared" si="2"/>
        <v>early</v>
      </c>
    </row>
    <row r="25" customHeight="1" spans="1:27">
      <c r="A25" s="21">
        <v>10316572</v>
      </c>
      <c r="B25" s="21" t="s">
        <v>46</v>
      </c>
      <c r="C25" s="21" t="s">
        <v>20</v>
      </c>
      <c r="D25" s="21" t="s">
        <v>21</v>
      </c>
      <c r="E25" s="21" t="s">
        <v>22</v>
      </c>
      <c r="F25" s="21">
        <v>2</v>
      </c>
      <c r="G25" s="54">
        <v>0.458333333333333</v>
      </c>
      <c r="H25" s="54">
        <v>0.875</v>
      </c>
      <c r="I25" s="54">
        <v>0.458333333333333</v>
      </c>
      <c r="J25" s="54">
        <v>0.875</v>
      </c>
      <c r="K25" s="54">
        <v>0.458333333333333</v>
      </c>
      <c r="L25" s="54">
        <v>0.875</v>
      </c>
      <c r="M25" s="54">
        <v>0.458333333333333</v>
      </c>
      <c r="N25" s="54">
        <v>0.875</v>
      </c>
      <c r="O25" s="21" t="s">
        <v>23</v>
      </c>
      <c r="P25" s="54" t="s">
        <v>23</v>
      </c>
      <c r="Q25" s="21" t="s">
        <v>23</v>
      </c>
      <c r="R25" s="21" t="s">
        <v>23</v>
      </c>
      <c r="S25" s="54">
        <v>0.458333333333333</v>
      </c>
      <c r="T25" s="54">
        <v>0.666666666666667</v>
      </c>
      <c r="U25" s="21">
        <v>45</v>
      </c>
      <c r="V25" s="7">
        <v>45</v>
      </c>
      <c r="W25" s="7">
        <v>-1.4210854715202e-14</v>
      </c>
      <c r="X25" s="8">
        <v>0.416666666666667</v>
      </c>
      <c r="Y25" s="184" t="str">
        <f t="shared" si="1"/>
        <v>late</v>
      </c>
      <c r="Z25" s="184"/>
      <c r="AA25" s="184" t="str">
        <f t="shared" si="2"/>
        <v>late</v>
      </c>
    </row>
    <row r="26" customHeight="1" spans="1:27">
      <c r="A26" s="21">
        <v>10316685</v>
      </c>
      <c r="B26" s="21" t="s">
        <v>47</v>
      </c>
      <c r="C26" s="21" t="s">
        <v>20</v>
      </c>
      <c r="D26" s="21" t="s">
        <v>21</v>
      </c>
      <c r="E26" s="21" t="s">
        <v>22</v>
      </c>
      <c r="F26" s="21">
        <v>1</v>
      </c>
      <c r="G26" s="21" t="s">
        <v>23</v>
      </c>
      <c r="H26" s="54" t="s">
        <v>23</v>
      </c>
      <c r="I26" s="54">
        <v>0.458333333333333</v>
      </c>
      <c r="J26" s="54">
        <v>0.875</v>
      </c>
      <c r="K26" s="54">
        <v>0.458333333333333</v>
      </c>
      <c r="L26" s="54">
        <v>0.875</v>
      </c>
      <c r="M26" s="54">
        <v>0.458333333333333</v>
      </c>
      <c r="N26" s="54">
        <v>0.875</v>
      </c>
      <c r="O26" s="54">
        <v>0.458333333333333</v>
      </c>
      <c r="P26" s="54">
        <v>0.875</v>
      </c>
      <c r="Q26" s="54">
        <v>0.458333333333333</v>
      </c>
      <c r="R26" s="54">
        <v>0.666666666666667</v>
      </c>
      <c r="S26" s="21" t="s">
        <v>23</v>
      </c>
      <c r="T26" s="21" t="s">
        <v>23</v>
      </c>
      <c r="U26" s="21">
        <v>45</v>
      </c>
      <c r="V26" s="7">
        <v>45</v>
      </c>
      <c r="W26" s="7">
        <v>-1.4210854715202e-14</v>
      </c>
      <c r="X26" s="8">
        <v>0.416666666666667</v>
      </c>
      <c r="Y26" s="184" t="str">
        <f t="shared" si="1"/>
        <v/>
      </c>
      <c r="Z26" s="184"/>
      <c r="AA26" s="184" t="str">
        <f t="shared" si="2"/>
        <v>late</v>
      </c>
    </row>
    <row r="27" customHeight="1" spans="1:27">
      <c r="A27" s="21">
        <v>10274446</v>
      </c>
      <c r="B27" s="21" t="s">
        <v>48</v>
      </c>
      <c r="C27" s="21" t="s">
        <v>20</v>
      </c>
      <c r="D27" s="21" t="s">
        <v>21</v>
      </c>
      <c r="E27" s="21" t="s">
        <v>22</v>
      </c>
      <c r="F27" s="21">
        <v>2</v>
      </c>
      <c r="G27" s="54">
        <v>0.5</v>
      </c>
      <c r="H27" s="54">
        <v>0.875</v>
      </c>
      <c r="I27" s="54">
        <v>0.5</v>
      </c>
      <c r="J27" s="54">
        <v>0.875</v>
      </c>
      <c r="K27" s="21" t="s">
        <v>23</v>
      </c>
      <c r="L27" s="54" t="s">
        <v>23</v>
      </c>
      <c r="M27" s="21" t="s">
        <v>23</v>
      </c>
      <c r="N27" s="54" t="s">
        <v>23</v>
      </c>
      <c r="O27" s="54">
        <v>0.5</v>
      </c>
      <c r="P27" s="54">
        <v>0.875</v>
      </c>
      <c r="Q27" s="54">
        <v>0.458333333333333</v>
      </c>
      <c r="R27" s="54">
        <v>0.666666666666667</v>
      </c>
      <c r="S27" s="54">
        <v>0.458333333333333</v>
      </c>
      <c r="T27" s="54">
        <v>0.666666666666667</v>
      </c>
      <c r="U27" s="21">
        <v>37</v>
      </c>
      <c r="V27" s="7">
        <v>37</v>
      </c>
      <c r="W27" s="7">
        <v>0</v>
      </c>
      <c r="X27" s="8">
        <v>0.375</v>
      </c>
      <c r="Y27" s="184" t="str">
        <f t="shared" si="1"/>
        <v>late</v>
      </c>
      <c r="Z27" s="184"/>
      <c r="AA27" s="184" t="str">
        <f t="shared" si="2"/>
        <v>late</v>
      </c>
    </row>
    <row r="28" customHeight="1" spans="1:27">
      <c r="A28" s="21">
        <v>10316546</v>
      </c>
      <c r="B28" s="86" t="s">
        <v>49</v>
      </c>
      <c r="C28" s="21" t="s">
        <v>20</v>
      </c>
      <c r="D28" s="21" t="s">
        <v>21</v>
      </c>
      <c r="E28" s="21" t="s">
        <v>22</v>
      </c>
      <c r="F28" s="21">
        <v>1</v>
      </c>
      <c r="G28" s="54">
        <v>0.375</v>
      </c>
      <c r="H28" s="54">
        <v>0.791666666666667</v>
      </c>
      <c r="I28" s="54">
        <v>0.375</v>
      </c>
      <c r="J28" s="54">
        <v>0.791666666666667</v>
      </c>
      <c r="K28" s="54">
        <v>0.375</v>
      </c>
      <c r="L28" s="54">
        <v>0.791666666666667</v>
      </c>
      <c r="M28" s="54">
        <v>0.375</v>
      </c>
      <c r="N28" s="54">
        <v>0.791666666666667</v>
      </c>
      <c r="O28" s="21" t="s">
        <v>23</v>
      </c>
      <c r="P28" s="54" t="s">
        <v>23</v>
      </c>
      <c r="Q28" s="21" t="s">
        <v>23</v>
      </c>
      <c r="R28" s="54" t="s">
        <v>23</v>
      </c>
      <c r="S28" s="54">
        <v>0.458333333333333</v>
      </c>
      <c r="T28" s="54">
        <v>0.666666666666667</v>
      </c>
      <c r="U28" s="21">
        <v>45</v>
      </c>
      <c r="V28" s="7">
        <v>45</v>
      </c>
      <c r="W28" s="7">
        <v>7.105427357601e-15</v>
      </c>
      <c r="X28" s="8">
        <v>0.416666666666667</v>
      </c>
      <c r="Y28" s="184" t="str">
        <f t="shared" si="1"/>
        <v>early</v>
      </c>
      <c r="Z28" s="184"/>
      <c r="AA28" s="184" t="str">
        <f t="shared" si="2"/>
        <v>early</v>
      </c>
    </row>
    <row r="29" customHeight="1" spans="1:27">
      <c r="A29" s="21">
        <v>10316551</v>
      </c>
      <c r="B29" s="86" t="s">
        <v>50</v>
      </c>
      <c r="C29" s="21" t="s">
        <v>20</v>
      </c>
      <c r="D29" s="21" t="s">
        <v>21</v>
      </c>
      <c r="E29" s="21" t="s">
        <v>22</v>
      </c>
      <c r="F29" s="21">
        <v>1</v>
      </c>
      <c r="G29" s="54">
        <v>0.375</v>
      </c>
      <c r="H29" s="54">
        <v>0.791666666666667</v>
      </c>
      <c r="I29" s="54">
        <v>0.375</v>
      </c>
      <c r="J29" s="54">
        <v>0.791666666666667</v>
      </c>
      <c r="K29" s="54">
        <v>0.375</v>
      </c>
      <c r="L29" s="54">
        <v>0.791666666666667</v>
      </c>
      <c r="M29" s="54">
        <v>0.375</v>
      </c>
      <c r="N29" s="54">
        <v>0.791666666666667</v>
      </c>
      <c r="O29" s="21" t="s">
        <v>23</v>
      </c>
      <c r="P29" s="54" t="s">
        <v>23</v>
      </c>
      <c r="Q29" s="21" t="s">
        <v>23</v>
      </c>
      <c r="R29" s="54" t="s">
        <v>23</v>
      </c>
      <c r="S29" s="54">
        <v>0.458333333333333</v>
      </c>
      <c r="T29" s="54">
        <v>0.666666666666667</v>
      </c>
      <c r="U29" s="21">
        <v>45</v>
      </c>
      <c r="V29" s="7">
        <v>45</v>
      </c>
      <c r="W29" s="7">
        <v>7.105427357601e-15</v>
      </c>
      <c r="X29" s="8">
        <v>0.416666666666667</v>
      </c>
      <c r="Y29" s="184" t="str">
        <f t="shared" si="1"/>
        <v>early</v>
      </c>
      <c r="Z29" s="184"/>
      <c r="AA29" s="184" t="str">
        <f t="shared" si="2"/>
        <v>early</v>
      </c>
    </row>
    <row r="30" customHeight="1" spans="1:27">
      <c r="A30" s="21">
        <v>10316683</v>
      </c>
      <c r="B30" s="86" t="s">
        <v>51</v>
      </c>
      <c r="C30" s="21" t="s">
        <v>20</v>
      </c>
      <c r="D30" s="21" t="s">
        <v>21</v>
      </c>
      <c r="E30" s="21" t="s">
        <v>22</v>
      </c>
      <c r="F30" s="21">
        <v>1</v>
      </c>
      <c r="G30" s="21" t="s">
        <v>23</v>
      </c>
      <c r="H30" s="54" t="s">
        <v>23</v>
      </c>
      <c r="I30" s="54">
        <v>0.375</v>
      </c>
      <c r="J30" s="54">
        <v>0.791666666666667</v>
      </c>
      <c r="K30" s="54">
        <v>0.375</v>
      </c>
      <c r="L30" s="54">
        <v>0.791666666666667</v>
      </c>
      <c r="M30" s="54">
        <v>0.375</v>
      </c>
      <c r="N30" s="54">
        <v>0.791666666666667</v>
      </c>
      <c r="O30" s="54">
        <v>0.375</v>
      </c>
      <c r="P30" s="54">
        <v>0.791666666666667</v>
      </c>
      <c r="Q30" s="54">
        <v>0.458333333333333</v>
      </c>
      <c r="R30" s="54">
        <v>0.666666666666667</v>
      </c>
      <c r="S30" s="21" t="s">
        <v>23</v>
      </c>
      <c r="T30" s="21" t="s">
        <v>23</v>
      </c>
      <c r="U30" s="21">
        <v>45</v>
      </c>
      <c r="V30" s="7">
        <v>45</v>
      </c>
      <c r="W30" s="7">
        <v>1.4210854715202e-14</v>
      </c>
      <c r="X30" s="8">
        <v>0.416666666666667</v>
      </c>
      <c r="Y30" s="184" t="str">
        <f t="shared" si="1"/>
        <v/>
      </c>
      <c r="Z30" s="184"/>
      <c r="AA30" s="184" t="str">
        <f t="shared" si="2"/>
        <v>early</v>
      </c>
    </row>
    <row r="31" customHeight="1" spans="1:27">
      <c r="A31" s="21">
        <v>10317151</v>
      </c>
      <c r="B31" s="86" t="s">
        <v>52</v>
      </c>
      <c r="C31" s="21" t="s">
        <v>20</v>
      </c>
      <c r="D31" s="21" t="s">
        <v>21</v>
      </c>
      <c r="E31" s="21" t="s">
        <v>22</v>
      </c>
      <c r="F31" s="21">
        <v>1</v>
      </c>
      <c r="G31" s="54">
        <v>0.375</v>
      </c>
      <c r="H31" s="54">
        <v>0.75</v>
      </c>
      <c r="I31" s="54">
        <v>0.375</v>
      </c>
      <c r="J31" s="54">
        <v>0.75</v>
      </c>
      <c r="K31" s="54">
        <v>0.375</v>
      </c>
      <c r="L31" s="54">
        <v>0.75</v>
      </c>
      <c r="M31" s="54">
        <v>0.375</v>
      </c>
      <c r="N31" s="54">
        <v>0.75</v>
      </c>
      <c r="O31" s="54">
        <v>0.375</v>
      </c>
      <c r="P31" s="54">
        <v>0.75</v>
      </c>
      <c r="Q31" s="21" t="s">
        <v>23</v>
      </c>
      <c r="R31" s="21" t="s">
        <v>23</v>
      </c>
      <c r="S31" s="21" t="s">
        <v>23</v>
      </c>
      <c r="T31" s="21" t="s">
        <v>23</v>
      </c>
      <c r="U31" s="21">
        <v>45</v>
      </c>
      <c r="V31" s="7">
        <v>45</v>
      </c>
      <c r="W31" s="7">
        <v>0</v>
      </c>
      <c r="X31" s="8">
        <v>0.416666666666667</v>
      </c>
      <c r="Y31" s="184" t="str">
        <f t="shared" si="1"/>
        <v>early</v>
      </c>
      <c r="Z31" s="184"/>
      <c r="AA31" s="184" t="str">
        <f t="shared" si="2"/>
        <v>early</v>
      </c>
    </row>
    <row r="32" customHeight="1" spans="1:27">
      <c r="A32" s="21">
        <v>10317524</v>
      </c>
      <c r="B32" s="86" t="s">
        <v>53</v>
      </c>
      <c r="C32" s="21" t="s">
        <v>20</v>
      </c>
      <c r="D32" s="21" t="s">
        <v>21</v>
      </c>
      <c r="E32" s="21" t="s">
        <v>22</v>
      </c>
      <c r="F32" s="21">
        <v>2</v>
      </c>
      <c r="G32" s="54">
        <v>0.375</v>
      </c>
      <c r="H32" s="54">
        <v>0.75</v>
      </c>
      <c r="I32" s="54">
        <v>0.375</v>
      </c>
      <c r="J32" s="54">
        <v>0.75</v>
      </c>
      <c r="K32" s="54">
        <v>0.375</v>
      </c>
      <c r="L32" s="54">
        <v>0.75</v>
      </c>
      <c r="M32" s="54">
        <v>0.375</v>
      </c>
      <c r="N32" s="54">
        <v>0.75</v>
      </c>
      <c r="O32" s="54">
        <v>0.375</v>
      </c>
      <c r="P32" s="54">
        <v>0.75</v>
      </c>
      <c r="Q32" s="21" t="s">
        <v>23</v>
      </c>
      <c r="R32" s="54" t="s">
        <v>23</v>
      </c>
      <c r="S32" s="21" t="s">
        <v>23</v>
      </c>
      <c r="T32" s="21" t="s">
        <v>23</v>
      </c>
      <c r="U32" s="21">
        <v>45</v>
      </c>
      <c r="V32" s="7">
        <v>45</v>
      </c>
      <c r="W32" s="7">
        <v>0</v>
      </c>
      <c r="X32" s="8">
        <v>0.375</v>
      </c>
      <c r="Y32" s="184" t="str">
        <f t="shared" si="1"/>
        <v>early</v>
      </c>
      <c r="Z32" s="184"/>
      <c r="AA32" s="184" t="str">
        <f t="shared" si="2"/>
        <v>early</v>
      </c>
    </row>
    <row r="33" customHeight="1" spans="1:27">
      <c r="A33" s="86">
        <v>10276839</v>
      </c>
      <c r="B33" s="51" t="s">
        <v>54</v>
      </c>
      <c r="C33" s="21" t="s">
        <v>20</v>
      </c>
      <c r="D33" s="21" t="s">
        <v>21</v>
      </c>
      <c r="E33" s="21" t="s">
        <v>22</v>
      </c>
      <c r="F33" s="21">
        <v>2</v>
      </c>
      <c r="G33" s="54">
        <v>0.375</v>
      </c>
      <c r="H33" s="54">
        <v>0.75</v>
      </c>
      <c r="I33" s="54">
        <v>0.375</v>
      </c>
      <c r="J33" s="54">
        <v>0.75</v>
      </c>
      <c r="K33" s="54">
        <v>0.375</v>
      </c>
      <c r="L33" s="54">
        <v>0.75</v>
      </c>
      <c r="M33" s="54">
        <v>0.375</v>
      </c>
      <c r="N33" s="54">
        <v>0.75</v>
      </c>
      <c r="O33" s="54">
        <v>0.375</v>
      </c>
      <c r="P33" s="54">
        <v>0.75</v>
      </c>
      <c r="Q33" s="21" t="s">
        <v>23</v>
      </c>
      <c r="R33" s="21" t="s">
        <v>23</v>
      </c>
      <c r="S33" s="21" t="s">
        <v>23</v>
      </c>
      <c r="T33" s="21" t="s">
        <v>23</v>
      </c>
      <c r="U33" s="21">
        <v>45</v>
      </c>
      <c r="V33" s="7">
        <v>45</v>
      </c>
      <c r="W33" s="7">
        <v>0</v>
      </c>
      <c r="X33" s="8">
        <v>0.375</v>
      </c>
      <c r="Y33" s="184" t="str">
        <f t="shared" si="1"/>
        <v>early</v>
      </c>
      <c r="Z33" s="184"/>
      <c r="AA33" s="184" t="str">
        <f t="shared" si="2"/>
        <v>early</v>
      </c>
    </row>
    <row r="34" customHeight="1" spans="1:27">
      <c r="A34" s="86">
        <v>10320407</v>
      </c>
      <c r="B34" s="51" t="s">
        <v>55</v>
      </c>
      <c r="C34" s="21" t="s">
        <v>20</v>
      </c>
      <c r="D34" s="21" t="s">
        <v>21</v>
      </c>
      <c r="E34" s="21" t="s">
        <v>22</v>
      </c>
      <c r="F34" s="87">
        <v>3</v>
      </c>
      <c r="G34" s="54">
        <v>0.375</v>
      </c>
      <c r="H34" s="54">
        <v>0.75</v>
      </c>
      <c r="I34" s="54">
        <v>0.375</v>
      </c>
      <c r="J34" s="54">
        <v>0.75</v>
      </c>
      <c r="K34" s="54">
        <v>0.375</v>
      </c>
      <c r="L34" s="54">
        <v>0.75</v>
      </c>
      <c r="M34" s="54">
        <v>0.375</v>
      </c>
      <c r="N34" s="54">
        <v>0.75</v>
      </c>
      <c r="O34" s="54">
        <v>0.375</v>
      </c>
      <c r="P34" s="54">
        <v>0.75</v>
      </c>
      <c r="Q34" s="21" t="s">
        <v>23</v>
      </c>
      <c r="R34" s="21" t="s">
        <v>23</v>
      </c>
      <c r="S34" s="21" t="s">
        <v>23</v>
      </c>
      <c r="T34" s="21" t="s">
        <v>23</v>
      </c>
      <c r="U34" s="21">
        <v>45</v>
      </c>
      <c r="V34" s="7">
        <v>45</v>
      </c>
      <c r="W34" s="7"/>
      <c r="X34" s="7"/>
      <c r="Y34" s="17"/>
      <c r="Z34" s="17"/>
      <c r="AA34" s="184" t="str">
        <f t="shared" si="2"/>
        <v>early</v>
      </c>
    </row>
    <row r="35" customHeight="1" spans="1:27">
      <c r="A35" s="86">
        <v>10320408</v>
      </c>
      <c r="B35" s="51" t="s">
        <v>56</v>
      </c>
      <c r="C35" s="21" t="s">
        <v>20</v>
      </c>
      <c r="D35" s="21" t="s">
        <v>21</v>
      </c>
      <c r="E35" s="21" t="s">
        <v>22</v>
      </c>
      <c r="F35" s="87">
        <v>3</v>
      </c>
      <c r="G35" s="54">
        <v>0.375</v>
      </c>
      <c r="H35" s="54">
        <v>0.75</v>
      </c>
      <c r="I35" s="54">
        <v>0.375</v>
      </c>
      <c r="J35" s="54">
        <v>0.75</v>
      </c>
      <c r="K35" s="54">
        <v>0.375</v>
      </c>
      <c r="L35" s="54">
        <v>0.75</v>
      </c>
      <c r="M35" s="54">
        <v>0.375</v>
      </c>
      <c r="N35" s="54">
        <v>0.75</v>
      </c>
      <c r="O35" s="54">
        <v>0.375</v>
      </c>
      <c r="P35" s="54">
        <v>0.75</v>
      </c>
      <c r="Q35" s="21" t="s">
        <v>23</v>
      </c>
      <c r="R35" s="21" t="s">
        <v>23</v>
      </c>
      <c r="S35" s="21" t="s">
        <v>23</v>
      </c>
      <c r="T35" s="21" t="s">
        <v>23</v>
      </c>
      <c r="U35" s="21">
        <v>45</v>
      </c>
      <c r="V35" s="7">
        <v>45</v>
      </c>
      <c r="W35" s="7"/>
      <c r="X35" s="7"/>
      <c r="Y35" s="17"/>
      <c r="Z35" s="17"/>
      <c r="AA35" s="184" t="str">
        <f t="shared" si="2"/>
        <v>early</v>
      </c>
    </row>
    <row r="36" customHeight="1" spans="1:27">
      <c r="A36" s="86">
        <v>10320409</v>
      </c>
      <c r="B36" s="51" t="s">
        <v>57</v>
      </c>
      <c r="C36" s="21" t="s">
        <v>20</v>
      </c>
      <c r="D36" s="21" t="s">
        <v>21</v>
      </c>
      <c r="E36" s="21" t="s">
        <v>22</v>
      </c>
      <c r="F36" s="87">
        <v>3</v>
      </c>
      <c r="G36" s="54">
        <v>0.375</v>
      </c>
      <c r="H36" s="54">
        <v>0.75</v>
      </c>
      <c r="I36" s="54">
        <v>0.375</v>
      </c>
      <c r="J36" s="54">
        <v>0.75</v>
      </c>
      <c r="K36" s="54">
        <v>0.375</v>
      </c>
      <c r="L36" s="54">
        <v>0.75</v>
      </c>
      <c r="M36" s="54">
        <v>0.375</v>
      </c>
      <c r="N36" s="54">
        <v>0.75</v>
      </c>
      <c r="O36" s="54">
        <v>0.375</v>
      </c>
      <c r="P36" s="54">
        <v>0.75</v>
      </c>
      <c r="Q36" s="21" t="s">
        <v>23</v>
      </c>
      <c r="R36" s="21" t="s">
        <v>23</v>
      </c>
      <c r="S36" s="21" t="s">
        <v>23</v>
      </c>
      <c r="T36" s="21" t="s">
        <v>23</v>
      </c>
      <c r="U36" s="21">
        <v>45</v>
      </c>
      <c r="V36" s="7">
        <v>45</v>
      </c>
      <c r="W36" s="90"/>
      <c r="X36" s="90"/>
      <c r="AA36" s="184" t="str">
        <f t="shared" si="2"/>
        <v>early</v>
      </c>
    </row>
    <row r="37" customHeight="1" spans="1:27">
      <c r="A37" s="86">
        <v>10320410</v>
      </c>
      <c r="B37" s="51" t="s">
        <v>58</v>
      </c>
      <c r="C37" s="21" t="s">
        <v>20</v>
      </c>
      <c r="D37" s="21" t="s">
        <v>21</v>
      </c>
      <c r="E37" s="21" t="s">
        <v>22</v>
      </c>
      <c r="F37" s="87">
        <v>3</v>
      </c>
      <c r="G37" s="54">
        <v>0.375</v>
      </c>
      <c r="H37" s="54">
        <v>0.75</v>
      </c>
      <c r="I37" s="54">
        <v>0.375</v>
      </c>
      <c r="J37" s="54">
        <v>0.75</v>
      </c>
      <c r="K37" s="54">
        <v>0.375</v>
      </c>
      <c r="L37" s="54">
        <v>0.75</v>
      </c>
      <c r="M37" s="54">
        <v>0.375</v>
      </c>
      <c r="N37" s="54">
        <v>0.75</v>
      </c>
      <c r="O37" s="54">
        <v>0.375</v>
      </c>
      <c r="P37" s="54">
        <v>0.75</v>
      </c>
      <c r="Q37" s="21" t="s">
        <v>23</v>
      </c>
      <c r="R37" s="21" t="s">
        <v>23</v>
      </c>
      <c r="S37" s="21" t="s">
        <v>23</v>
      </c>
      <c r="T37" s="21" t="s">
        <v>23</v>
      </c>
      <c r="U37" s="21">
        <v>45</v>
      </c>
      <c r="V37" s="7">
        <v>45</v>
      </c>
      <c r="W37" s="90"/>
      <c r="X37" s="90"/>
      <c r="AA37" s="184" t="str">
        <f t="shared" si="2"/>
        <v>early</v>
      </c>
    </row>
    <row r="38" customHeight="1" spans="1:27">
      <c r="A38" s="86">
        <v>10320412</v>
      </c>
      <c r="B38" s="51" t="s">
        <v>59</v>
      </c>
      <c r="C38" s="21" t="s">
        <v>20</v>
      </c>
      <c r="D38" s="21" t="s">
        <v>21</v>
      </c>
      <c r="E38" s="21" t="s">
        <v>22</v>
      </c>
      <c r="F38" s="87">
        <v>3</v>
      </c>
      <c r="G38" s="54">
        <v>0.375</v>
      </c>
      <c r="H38" s="54">
        <v>0.75</v>
      </c>
      <c r="I38" s="54">
        <v>0.375</v>
      </c>
      <c r="J38" s="54">
        <v>0.75</v>
      </c>
      <c r="K38" s="54">
        <v>0.375</v>
      </c>
      <c r="L38" s="54">
        <v>0.75</v>
      </c>
      <c r="M38" s="54">
        <v>0.375</v>
      </c>
      <c r="N38" s="54">
        <v>0.75</v>
      </c>
      <c r="O38" s="54">
        <v>0.375</v>
      </c>
      <c r="P38" s="54">
        <v>0.75</v>
      </c>
      <c r="Q38" s="21" t="s">
        <v>23</v>
      </c>
      <c r="R38" s="21" t="s">
        <v>23</v>
      </c>
      <c r="S38" s="21" t="s">
        <v>23</v>
      </c>
      <c r="T38" s="21" t="s">
        <v>23</v>
      </c>
      <c r="U38" s="21">
        <v>45</v>
      </c>
      <c r="V38" s="7">
        <v>45</v>
      </c>
      <c r="W38" s="90"/>
      <c r="X38" s="90"/>
      <c r="AA38" s="184" t="str">
        <f t="shared" si="2"/>
        <v>early</v>
      </c>
    </row>
    <row r="39" customHeight="1" spans="1:27">
      <c r="A39" s="86">
        <v>10320413</v>
      </c>
      <c r="B39" s="51" t="s">
        <v>60</v>
      </c>
      <c r="C39" s="21" t="s">
        <v>20</v>
      </c>
      <c r="D39" s="21" t="s">
        <v>21</v>
      </c>
      <c r="E39" s="21" t="s">
        <v>22</v>
      </c>
      <c r="F39" s="87">
        <v>3</v>
      </c>
      <c r="G39" s="54">
        <v>0.375</v>
      </c>
      <c r="H39" s="54">
        <v>0.75</v>
      </c>
      <c r="I39" s="54">
        <v>0.375</v>
      </c>
      <c r="J39" s="54">
        <v>0.75</v>
      </c>
      <c r="K39" s="54">
        <v>0.375</v>
      </c>
      <c r="L39" s="54">
        <v>0.75</v>
      </c>
      <c r="M39" s="54">
        <v>0.375</v>
      </c>
      <c r="N39" s="54">
        <v>0.75</v>
      </c>
      <c r="O39" s="54">
        <v>0.375</v>
      </c>
      <c r="P39" s="54">
        <v>0.75</v>
      </c>
      <c r="Q39" s="21" t="s">
        <v>23</v>
      </c>
      <c r="R39" s="21" t="s">
        <v>23</v>
      </c>
      <c r="S39" s="21" t="s">
        <v>23</v>
      </c>
      <c r="T39" s="21" t="s">
        <v>23</v>
      </c>
      <c r="U39" s="21">
        <v>45</v>
      </c>
      <c r="V39" s="7">
        <v>45</v>
      </c>
      <c r="W39" s="90"/>
      <c r="X39" s="90"/>
      <c r="AA39" s="184" t="str">
        <f t="shared" si="2"/>
        <v>early</v>
      </c>
    </row>
    <row r="40" customHeight="1" spans="1:27">
      <c r="A40" s="86">
        <v>10250966</v>
      </c>
      <c r="B40" s="51" t="s">
        <v>61</v>
      </c>
      <c r="C40" s="21" t="s">
        <v>20</v>
      </c>
      <c r="D40" s="21" t="s">
        <v>21</v>
      </c>
      <c r="E40" s="21" t="s">
        <v>22</v>
      </c>
      <c r="F40" s="87">
        <v>3</v>
      </c>
      <c r="G40" s="54">
        <v>0.375</v>
      </c>
      <c r="H40" s="54">
        <v>0.75</v>
      </c>
      <c r="I40" s="54">
        <v>0.375</v>
      </c>
      <c r="J40" s="54">
        <v>0.75</v>
      </c>
      <c r="K40" s="54">
        <v>0.375</v>
      </c>
      <c r="L40" s="54">
        <v>0.75</v>
      </c>
      <c r="M40" s="54">
        <v>0.375</v>
      </c>
      <c r="N40" s="54">
        <v>0.75</v>
      </c>
      <c r="O40" s="54">
        <v>0.375</v>
      </c>
      <c r="P40" s="54">
        <v>0.75</v>
      </c>
      <c r="Q40" s="21" t="s">
        <v>23</v>
      </c>
      <c r="R40" s="21" t="s">
        <v>23</v>
      </c>
      <c r="S40" s="21" t="s">
        <v>23</v>
      </c>
      <c r="T40" s="21" t="s">
        <v>23</v>
      </c>
      <c r="U40" s="21">
        <v>45</v>
      </c>
      <c r="V40" s="7">
        <v>45</v>
      </c>
      <c r="W40" s="90"/>
      <c r="X40" s="90"/>
      <c r="AA40" s="184" t="str">
        <f t="shared" si="2"/>
        <v>early</v>
      </c>
    </row>
    <row r="41" customHeight="1" spans="1:27">
      <c r="A41" s="86">
        <v>10320414</v>
      </c>
      <c r="B41" s="51" t="s">
        <v>62</v>
      </c>
      <c r="C41" s="21" t="s">
        <v>20</v>
      </c>
      <c r="D41" s="21" t="s">
        <v>21</v>
      </c>
      <c r="E41" s="21" t="s">
        <v>22</v>
      </c>
      <c r="F41" s="87">
        <v>3</v>
      </c>
      <c r="G41" s="54">
        <v>0.375</v>
      </c>
      <c r="H41" s="54">
        <v>0.75</v>
      </c>
      <c r="I41" s="54">
        <v>0.375</v>
      </c>
      <c r="J41" s="54">
        <v>0.75</v>
      </c>
      <c r="K41" s="54">
        <v>0.375</v>
      </c>
      <c r="L41" s="54">
        <v>0.75</v>
      </c>
      <c r="M41" s="54">
        <v>0.375</v>
      </c>
      <c r="N41" s="54">
        <v>0.75</v>
      </c>
      <c r="O41" s="54">
        <v>0.375</v>
      </c>
      <c r="P41" s="54">
        <v>0.75</v>
      </c>
      <c r="Q41" s="21" t="s">
        <v>23</v>
      </c>
      <c r="R41" s="21" t="s">
        <v>23</v>
      </c>
      <c r="S41" s="21" t="s">
        <v>23</v>
      </c>
      <c r="T41" s="21" t="s">
        <v>23</v>
      </c>
      <c r="U41" s="21">
        <v>45</v>
      </c>
      <c r="V41" s="7">
        <v>45</v>
      </c>
      <c r="W41" s="7"/>
      <c r="X41" s="7"/>
      <c r="Y41" s="17"/>
      <c r="Z41" s="17"/>
      <c r="AA41" s="184" t="str">
        <f t="shared" si="2"/>
        <v>early</v>
      </c>
    </row>
    <row r="42" customHeight="1" spans="1:27">
      <c r="A42" s="86">
        <v>10320415</v>
      </c>
      <c r="B42" s="51" t="s">
        <v>63</v>
      </c>
      <c r="C42" s="21" t="s">
        <v>20</v>
      </c>
      <c r="D42" s="21" t="s">
        <v>21</v>
      </c>
      <c r="E42" s="21" t="s">
        <v>22</v>
      </c>
      <c r="F42" s="87">
        <v>3</v>
      </c>
      <c r="G42" s="54">
        <v>0.375</v>
      </c>
      <c r="H42" s="54">
        <v>0.75</v>
      </c>
      <c r="I42" s="54">
        <v>0.375</v>
      </c>
      <c r="J42" s="54">
        <v>0.75</v>
      </c>
      <c r="K42" s="54">
        <v>0.375</v>
      </c>
      <c r="L42" s="54">
        <v>0.75</v>
      </c>
      <c r="M42" s="54">
        <v>0.375</v>
      </c>
      <c r="N42" s="54">
        <v>0.75</v>
      </c>
      <c r="O42" s="54">
        <v>0.375</v>
      </c>
      <c r="P42" s="54">
        <v>0.75</v>
      </c>
      <c r="Q42" s="21" t="s">
        <v>23</v>
      </c>
      <c r="R42" s="21" t="s">
        <v>23</v>
      </c>
      <c r="S42" s="21" t="s">
        <v>23</v>
      </c>
      <c r="T42" s="21" t="s">
        <v>23</v>
      </c>
      <c r="U42" s="21">
        <v>45</v>
      </c>
      <c r="V42" s="7">
        <v>45</v>
      </c>
      <c r="W42" s="7"/>
      <c r="X42" s="7"/>
      <c r="Y42" s="17"/>
      <c r="Z42" s="17"/>
      <c r="AA42" s="184" t="str">
        <f t="shared" si="2"/>
        <v>early</v>
      </c>
    </row>
    <row r="43" customHeight="1" spans="1:27">
      <c r="A43" s="86">
        <v>10293627</v>
      </c>
      <c r="B43" s="51" t="s">
        <v>64</v>
      </c>
      <c r="C43" s="21" t="s">
        <v>20</v>
      </c>
      <c r="D43" s="21" t="s">
        <v>21</v>
      </c>
      <c r="E43" s="21" t="s">
        <v>22</v>
      </c>
      <c r="F43" s="87">
        <v>3</v>
      </c>
      <c r="G43" s="54">
        <v>0.375</v>
      </c>
      <c r="H43" s="54">
        <v>0.75</v>
      </c>
      <c r="I43" s="54">
        <v>0.375</v>
      </c>
      <c r="J43" s="54">
        <v>0.75</v>
      </c>
      <c r="K43" s="54">
        <v>0.375</v>
      </c>
      <c r="L43" s="54">
        <v>0.75</v>
      </c>
      <c r="M43" s="54">
        <v>0.375</v>
      </c>
      <c r="N43" s="54">
        <v>0.75</v>
      </c>
      <c r="O43" s="54">
        <v>0.375</v>
      </c>
      <c r="P43" s="54">
        <v>0.75</v>
      </c>
      <c r="Q43" s="21" t="s">
        <v>23</v>
      </c>
      <c r="R43" s="21" t="s">
        <v>23</v>
      </c>
      <c r="S43" s="21" t="s">
        <v>23</v>
      </c>
      <c r="T43" s="21" t="s">
        <v>23</v>
      </c>
      <c r="U43" s="21">
        <v>45</v>
      </c>
      <c r="V43" s="7">
        <v>45</v>
      </c>
      <c r="W43" s="7"/>
      <c r="X43" s="7"/>
      <c r="Y43" s="17"/>
      <c r="Z43" s="17"/>
      <c r="AA43" s="184" t="str">
        <f t="shared" si="2"/>
        <v>early</v>
      </c>
    </row>
    <row r="44" customHeight="1" spans="1:27">
      <c r="A44" s="86">
        <v>10293607</v>
      </c>
      <c r="B44" s="51" t="s">
        <v>65</v>
      </c>
      <c r="C44" s="21" t="s">
        <v>20</v>
      </c>
      <c r="D44" s="21" t="s">
        <v>21</v>
      </c>
      <c r="E44" s="21" t="s">
        <v>22</v>
      </c>
      <c r="F44" s="87">
        <v>3</v>
      </c>
      <c r="G44" s="54">
        <v>0.375</v>
      </c>
      <c r="H44" s="54">
        <v>0.75</v>
      </c>
      <c r="I44" s="54">
        <v>0.375</v>
      </c>
      <c r="J44" s="54">
        <v>0.75</v>
      </c>
      <c r="K44" s="54">
        <v>0.375</v>
      </c>
      <c r="L44" s="54">
        <v>0.75</v>
      </c>
      <c r="M44" s="54">
        <v>0.375</v>
      </c>
      <c r="N44" s="54">
        <v>0.75</v>
      </c>
      <c r="O44" s="54">
        <v>0.375</v>
      </c>
      <c r="P44" s="54">
        <v>0.75</v>
      </c>
      <c r="Q44" s="21" t="s">
        <v>23</v>
      </c>
      <c r="R44" s="21" t="s">
        <v>23</v>
      </c>
      <c r="S44" s="21" t="s">
        <v>23</v>
      </c>
      <c r="T44" s="21" t="s">
        <v>23</v>
      </c>
      <c r="U44" s="21">
        <v>45</v>
      </c>
      <c r="V44" s="7">
        <v>45</v>
      </c>
      <c r="W44" s="7"/>
      <c r="X44" s="7"/>
      <c r="Y44" s="17"/>
      <c r="Z44" s="17"/>
      <c r="AA44" s="184" t="str">
        <f t="shared" si="2"/>
        <v>early</v>
      </c>
    </row>
    <row r="45" customHeight="1" spans="1:27">
      <c r="A45" s="86">
        <v>10320416</v>
      </c>
      <c r="B45" s="51" t="s">
        <v>66</v>
      </c>
      <c r="C45" s="21" t="s">
        <v>20</v>
      </c>
      <c r="D45" s="21" t="s">
        <v>21</v>
      </c>
      <c r="E45" s="21" t="s">
        <v>22</v>
      </c>
      <c r="F45" s="87">
        <v>3</v>
      </c>
      <c r="G45" s="54">
        <v>0.375</v>
      </c>
      <c r="H45" s="54">
        <v>0.75</v>
      </c>
      <c r="I45" s="54">
        <v>0.375</v>
      </c>
      <c r="J45" s="54">
        <v>0.75</v>
      </c>
      <c r="K45" s="54">
        <v>0.375</v>
      </c>
      <c r="L45" s="54">
        <v>0.75</v>
      </c>
      <c r="M45" s="54">
        <v>0.375</v>
      </c>
      <c r="N45" s="54">
        <v>0.75</v>
      </c>
      <c r="O45" s="54">
        <v>0.375</v>
      </c>
      <c r="P45" s="54">
        <v>0.75</v>
      </c>
      <c r="Q45" s="21" t="s">
        <v>23</v>
      </c>
      <c r="R45" s="21" t="s">
        <v>23</v>
      </c>
      <c r="S45" s="21" t="s">
        <v>23</v>
      </c>
      <c r="T45" s="21" t="s">
        <v>23</v>
      </c>
      <c r="U45" s="21">
        <v>45</v>
      </c>
      <c r="V45" s="7">
        <v>45</v>
      </c>
      <c r="W45" s="7"/>
      <c r="X45" s="7"/>
      <c r="Y45" s="17"/>
      <c r="Z45" s="17"/>
      <c r="AA45" s="184" t="str">
        <f t="shared" si="2"/>
        <v>early</v>
      </c>
    </row>
    <row r="46" customHeight="1" spans="1:27">
      <c r="A46" s="86">
        <v>10320417</v>
      </c>
      <c r="B46" s="51" t="s">
        <v>67</v>
      </c>
      <c r="C46" s="21" t="s">
        <v>20</v>
      </c>
      <c r="D46" s="21" t="s">
        <v>21</v>
      </c>
      <c r="E46" s="21" t="s">
        <v>22</v>
      </c>
      <c r="F46" s="87">
        <v>3</v>
      </c>
      <c r="G46" s="54">
        <v>0.375</v>
      </c>
      <c r="H46" s="54">
        <v>0.75</v>
      </c>
      <c r="I46" s="54">
        <v>0.375</v>
      </c>
      <c r="J46" s="54">
        <v>0.75</v>
      </c>
      <c r="K46" s="54">
        <v>0.375</v>
      </c>
      <c r="L46" s="54">
        <v>0.75</v>
      </c>
      <c r="M46" s="54">
        <v>0.375</v>
      </c>
      <c r="N46" s="54">
        <v>0.75</v>
      </c>
      <c r="O46" s="54">
        <v>0.375</v>
      </c>
      <c r="P46" s="54">
        <v>0.75</v>
      </c>
      <c r="Q46" s="21" t="s">
        <v>23</v>
      </c>
      <c r="R46" s="21" t="s">
        <v>23</v>
      </c>
      <c r="S46" s="21" t="s">
        <v>23</v>
      </c>
      <c r="T46" s="21" t="s">
        <v>23</v>
      </c>
      <c r="U46" s="21">
        <v>45</v>
      </c>
      <c r="V46" s="7">
        <v>45</v>
      </c>
      <c r="W46" s="7"/>
      <c r="X46" s="7"/>
      <c r="Y46" s="17"/>
      <c r="Z46" s="17"/>
      <c r="AA46" s="184" t="str">
        <f t="shared" si="2"/>
        <v>early</v>
      </c>
    </row>
    <row r="47" customHeight="1" spans="1:27">
      <c r="A47" s="86">
        <v>10320418</v>
      </c>
      <c r="B47" s="51" t="s">
        <v>68</v>
      </c>
      <c r="C47" s="21" t="s">
        <v>20</v>
      </c>
      <c r="D47" s="21" t="s">
        <v>21</v>
      </c>
      <c r="E47" s="21" t="s">
        <v>22</v>
      </c>
      <c r="F47" s="87">
        <v>3</v>
      </c>
      <c r="G47" s="54">
        <v>0.375</v>
      </c>
      <c r="H47" s="54">
        <v>0.75</v>
      </c>
      <c r="I47" s="54">
        <v>0.375</v>
      </c>
      <c r="J47" s="54">
        <v>0.75</v>
      </c>
      <c r="K47" s="54">
        <v>0.375</v>
      </c>
      <c r="L47" s="54">
        <v>0.75</v>
      </c>
      <c r="M47" s="54">
        <v>0.375</v>
      </c>
      <c r="N47" s="54">
        <v>0.75</v>
      </c>
      <c r="O47" s="54">
        <v>0.375</v>
      </c>
      <c r="P47" s="54">
        <v>0.75</v>
      </c>
      <c r="Q47" s="21" t="s">
        <v>23</v>
      </c>
      <c r="R47" s="21" t="s">
        <v>23</v>
      </c>
      <c r="S47" s="21" t="s">
        <v>23</v>
      </c>
      <c r="T47" s="21" t="s">
        <v>23</v>
      </c>
      <c r="U47" s="21">
        <v>45</v>
      </c>
      <c r="V47" s="7">
        <v>45</v>
      </c>
      <c r="W47" s="7"/>
      <c r="X47" s="7"/>
      <c r="Y47" s="17"/>
      <c r="Z47" s="17"/>
      <c r="AA47" s="184" t="str">
        <f t="shared" si="2"/>
        <v>early</v>
      </c>
    </row>
    <row r="48" customHeight="1" spans="1:27">
      <c r="A48" s="86">
        <v>10320419</v>
      </c>
      <c r="B48" s="51" t="s">
        <v>69</v>
      </c>
      <c r="C48" s="21" t="s">
        <v>20</v>
      </c>
      <c r="D48" s="21" t="s">
        <v>21</v>
      </c>
      <c r="E48" s="21" t="s">
        <v>22</v>
      </c>
      <c r="F48" s="87">
        <v>3</v>
      </c>
      <c r="G48" s="54">
        <v>0.375</v>
      </c>
      <c r="H48" s="54">
        <v>0.75</v>
      </c>
      <c r="I48" s="54">
        <v>0.375</v>
      </c>
      <c r="J48" s="54">
        <v>0.75</v>
      </c>
      <c r="K48" s="54">
        <v>0.375</v>
      </c>
      <c r="L48" s="54">
        <v>0.75</v>
      </c>
      <c r="M48" s="54">
        <v>0.375</v>
      </c>
      <c r="N48" s="54">
        <v>0.75</v>
      </c>
      <c r="O48" s="54">
        <v>0.375</v>
      </c>
      <c r="P48" s="54">
        <v>0.75</v>
      </c>
      <c r="Q48" s="21" t="s">
        <v>23</v>
      </c>
      <c r="R48" s="21" t="s">
        <v>23</v>
      </c>
      <c r="S48" s="21" t="s">
        <v>23</v>
      </c>
      <c r="T48" s="21" t="s">
        <v>23</v>
      </c>
      <c r="U48" s="21">
        <v>45</v>
      </c>
      <c r="V48" s="7">
        <v>45</v>
      </c>
      <c r="W48" s="7"/>
      <c r="X48" s="7"/>
      <c r="Y48" s="17"/>
      <c r="Z48" s="17"/>
      <c r="AA48" s="184" t="str">
        <f t="shared" si="2"/>
        <v>early</v>
      </c>
    </row>
    <row r="49" customHeight="1" spans="1:27">
      <c r="A49" s="86">
        <v>10317154</v>
      </c>
      <c r="B49" s="51" t="s">
        <v>70</v>
      </c>
      <c r="C49" s="21" t="s">
        <v>20</v>
      </c>
      <c r="D49" s="21" t="s">
        <v>21</v>
      </c>
      <c r="E49" s="21" t="s">
        <v>22</v>
      </c>
      <c r="F49" s="87">
        <v>3</v>
      </c>
      <c r="G49" s="54">
        <v>0.375</v>
      </c>
      <c r="H49" s="54">
        <v>0.75</v>
      </c>
      <c r="I49" s="54">
        <v>0.375</v>
      </c>
      <c r="J49" s="54">
        <v>0.75</v>
      </c>
      <c r="K49" s="54">
        <v>0.375</v>
      </c>
      <c r="L49" s="54">
        <v>0.75</v>
      </c>
      <c r="M49" s="54">
        <v>0.375</v>
      </c>
      <c r="N49" s="54">
        <v>0.75</v>
      </c>
      <c r="O49" s="54">
        <v>0.375</v>
      </c>
      <c r="P49" s="54">
        <v>0.75</v>
      </c>
      <c r="Q49" s="21" t="s">
        <v>23</v>
      </c>
      <c r="R49" s="21" t="s">
        <v>23</v>
      </c>
      <c r="S49" s="21" t="s">
        <v>23</v>
      </c>
      <c r="T49" s="21" t="s">
        <v>23</v>
      </c>
      <c r="U49" s="21">
        <v>45</v>
      </c>
      <c r="V49" s="7">
        <v>45</v>
      </c>
      <c r="W49" s="7"/>
      <c r="X49" s="7"/>
      <c r="Y49" s="17"/>
      <c r="Z49" s="17"/>
      <c r="AA49" s="184" t="str">
        <f t="shared" si="2"/>
        <v>early</v>
      </c>
    </row>
    <row r="50" customHeight="1" spans="1:27">
      <c r="A50" s="86">
        <v>10320435</v>
      </c>
      <c r="B50" s="51" t="s">
        <v>71</v>
      </c>
      <c r="C50" s="21" t="s">
        <v>20</v>
      </c>
      <c r="D50" s="21" t="s">
        <v>21</v>
      </c>
      <c r="E50" s="21" t="s">
        <v>22</v>
      </c>
      <c r="F50" s="87">
        <v>3</v>
      </c>
      <c r="G50" s="54">
        <v>0.375</v>
      </c>
      <c r="H50" s="54">
        <v>0.75</v>
      </c>
      <c r="I50" s="54">
        <v>0.375</v>
      </c>
      <c r="J50" s="54">
        <v>0.75</v>
      </c>
      <c r="K50" s="54">
        <v>0.375</v>
      </c>
      <c r="L50" s="54">
        <v>0.75</v>
      </c>
      <c r="M50" s="54">
        <v>0.375</v>
      </c>
      <c r="N50" s="54">
        <v>0.75</v>
      </c>
      <c r="O50" s="54">
        <v>0.375</v>
      </c>
      <c r="P50" s="54">
        <v>0.75</v>
      </c>
      <c r="Q50" s="21" t="s">
        <v>23</v>
      </c>
      <c r="R50" s="21" t="s">
        <v>23</v>
      </c>
      <c r="S50" s="21" t="s">
        <v>23</v>
      </c>
      <c r="T50" s="21" t="s">
        <v>23</v>
      </c>
      <c r="U50" s="21">
        <v>45</v>
      </c>
      <c r="V50" s="7">
        <v>45</v>
      </c>
      <c r="W50" s="7"/>
      <c r="X50" s="7"/>
      <c r="Y50" s="17"/>
      <c r="Z50" s="17"/>
      <c r="AA50" s="184" t="str">
        <f t="shared" si="2"/>
        <v>early</v>
      </c>
    </row>
    <row r="51" customHeight="1" spans="1:27">
      <c r="A51" s="86">
        <v>10320436</v>
      </c>
      <c r="B51" s="51" t="s">
        <v>72</v>
      </c>
      <c r="C51" s="21" t="s">
        <v>20</v>
      </c>
      <c r="D51" s="21" t="s">
        <v>21</v>
      </c>
      <c r="E51" s="21" t="s">
        <v>22</v>
      </c>
      <c r="F51" s="87">
        <v>3</v>
      </c>
      <c r="G51" s="54">
        <v>0.375</v>
      </c>
      <c r="H51" s="54">
        <v>0.75</v>
      </c>
      <c r="I51" s="54">
        <v>0.375</v>
      </c>
      <c r="J51" s="54">
        <v>0.75</v>
      </c>
      <c r="K51" s="54">
        <v>0.375</v>
      </c>
      <c r="L51" s="54">
        <v>0.75</v>
      </c>
      <c r="M51" s="54">
        <v>0.375</v>
      </c>
      <c r="N51" s="54">
        <v>0.75</v>
      </c>
      <c r="O51" s="54">
        <v>0.375</v>
      </c>
      <c r="P51" s="54">
        <v>0.75</v>
      </c>
      <c r="Q51" s="21" t="s">
        <v>23</v>
      </c>
      <c r="R51" s="21" t="s">
        <v>23</v>
      </c>
      <c r="S51" s="21" t="s">
        <v>23</v>
      </c>
      <c r="T51" s="21" t="s">
        <v>23</v>
      </c>
      <c r="U51" s="21">
        <v>45</v>
      </c>
      <c r="V51" s="7">
        <v>45</v>
      </c>
      <c r="W51" s="7"/>
      <c r="X51" s="7"/>
      <c r="Y51" s="17"/>
      <c r="Z51" s="17"/>
      <c r="AA51" s="184" t="str">
        <f t="shared" si="2"/>
        <v>early</v>
      </c>
    </row>
    <row r="52" customHeight="1" spans="1:27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84" t="str">
        <f t="shared" si="2"/>
        <v/>
      </c>
    </row>
    <row r="53" customHeight="1" spans="1:27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84" t="str">
        <f t="shared" si="2"/>
        <v/>
      </c>
    </row>
    <row r="54" customHeight="1" spans="1:27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84" t="str">
        <f t="shared" si="2"/>
        <v/>
      </c>
    </row>
    <row r="55" customHeight="1" spans="1:27">
      <c r="A55" s="17"/>
      <c r="B55" s="17"/>
      <c r="C55" s="17"/>
      <c r="D55" s="17"/>
      <c r="E55" s="17"/>
      <c r="F55" s="7"/>
      <c r="G55" s="50" t="s">
        <v>6</v>
      </c>
      <c r="H55" s="50" t="s">
        <v>7</v>
      </c>
      <c r="I55" s="50" t="s">
        <v>8</v>
      </c>
      <c r="J55" s="50" t="s">
        <v>9</v>
      </c>
      <c r="K55" s="50" t="s">
        <v>10</v>
      </c>
      <c r="L55" s="50" t="s">
        <v>11</v>
      </c>
      <c r="M55" s="50" t="s">
        <v>12</v>
      </c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84" t="str">
        <f t="shared" si="2"/>
        <v/>
      </c>
    </row>
    <row r="56" customHeight="1" spans="1:27">
      <c r="A56" s="17"/>
      <c r="B56" s="17"/>
      <c r="C56" s="17"/>
      <c r="D56" s="17"/>
      <c r="E56" s="17"/>
      <c r="F56" s="7" t="s">
        <v>73</v>
      </c>
      <c r="G56" s="88">
        <v>251.4</v>
      </c>
      <c r="H56" s="88">
        <v>212.1</v>
      </c>
      <c r="I56" s="88">
        <v>205.7</v>
      </c>
      <c r="J56" s="88">
        <v>187.9</v>
      </c>
      <c r="K56" s="88">
        <v>203.7</v>
      </c>
      <c r="L56" s="88">
        <v>115.9</v>
      </c>
      <c r="M56" s="88">
        <v>84.7</v>
      </c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84" t="str">
        <f t="shared" si="2"/>
        <v/>
      </c>
    </row>
    <row r="57" customHeight="1" spans="1:27">
      <c r="A57" s="17"/>
      <c r="B57" s="17"/>
      <c r="C57" s="17"/>
      <c r="D57" s="17"/>
      <c r="E57" s="17"/>
      <c r="F57" s="7" t="s">
        <v>74</v>
      </c>
      <c r="G57" s="7">
        <f t="shared" ref="G57:K57" si="3">G59*7</f>
        <v>252</v>
      </c>
      <c r="H57" s="7">
        <f t="shared" si="3"/>
        <v>322</v>
      </c>
      <c r="I57" s="7">
        <f t="shared" si="3"/>
        <v>301</v>
      </c>
      <c r="J57" s="7">
        <f t="shared" si="3"/>
        <v>308</v>
      </c>
      <c r="K57" s="7">
        <f t="shared" si="3"/>
        <v>245</v>
      </c>
      <c r="L57" s="7">
        <f t="shared" ref="L57:M57" si="4">L59*4</f>
        <v>56</v>
      </c>
      <c r="M57" s="7">
        <f t="shared" si="4"/>
        <v>60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84" t="str">
        <f t="shared" si="2"/>
        <v/>
      </c>
    </row>
    <row r="58" customHeight="1" spans="1:27">
      <c r="A58" s="17"/>
      <c r="B58" s="17"/>
      <c r="C58" s="17"/>
      <c r="D58" s="17"/>
      <c r="E58" s="17"/>
      <c r="F58" s="7" t="s">
        <v>75</v>
      </c>
      <c r="G58" s="57">
        <f t="shared" ref="G58:M58" si="5">G57-G56</f>
        <v>0.599999999999994</v>
      </c>
      <c r="H58" s="57">
        <f t="shared" si="5"/>
        <v>109.9</v>
      </c>
      <c r="I58" s="57">
        <f t="shared" si="5"/>
        <v>95.3</v>
      </c>
      <c r="J58" s="57">
        <f t="shared" si="5"/>
        <v>120.1</v>
      </c>
      <c r="K58" s="57">
        <f t="shared" si="5"/>
        <v>41.3</v>
      </c>
      <c r="L58" s="57">
        <f t="shared" si="5"/>
        <v>-59.9</v>
      </c>
      <c r="M58" s="57">
        <f t="shared" si="5"/>
        <v>-24.7</v>
      </c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84" t="str">
        <f t="shared" si="2"/>
        <v/>
      </c>
    </row>
    <row r="59" customHeight="1" spans="1:27">
      <c r="A59" s="17"/>
      <c r="B59" s="17"/>
      <c r="C59" s="17"/>
      <c r="D59" s="17"/>
      <c r="E59" s="17"/>
      <c r="F59" s="7" t="s">
        <v>76</v>
      </c>
      <c r="G59" s="7">
        <f>IFERROR(__xludf.DUMMYFUNCTION("COUNTA(FILTER($C$4:$C$51, $C$4:$C$51=""CSR"", G5:G52&lt;&gt;"""", NOT(ISTEXT(G5:G52))))"),36)</f>
        <v>36</v>
      </c>
      <c r="H59" s="7">
        <f>IFERROR(__xludf.DUMMYFUNCTION("COUNTA(FILTER($C$4:$C$51, $C$4:$C$51=""CSR"", I5:I52&lt;&gt;"""", NOT(ISTEXT(I5:I52))))"),46)</f>
        <v>46</v>
      </c>
      <c r="I59" s="7">
        <f>IFERROR(__xludf.DUMMYFUNCTION("COUNTA(FILTER($C$4:$C$51, $C$4:$C$51=""CSR"", K5:K52&lt;&gt;"""", NOT(ISTEXT(K5:K52))))"),43)</f>
        <v>43</v>
      </c>
      <c r="J59" s="7">
        <f>IFERROR(__xludf.DUMMYFUNCTION("COUNTA(FILTER($C$4:$C$51, $C$4:$C$51=""CSR"", M5:M52&lt;&gt;"""", NOT(ISTEXT(M5:M52))))"),44)</f>
        <v>44</v>
      </c>
      <c r="K59" s="7">
        <f>IFERROR(__xludf.DUMMYFUNCTION("COUNTA(FILTER($C$4:$C$51, $C$4:$C$51=""CSR"", O5:O52&lt;&gt;"""", NOT(ISTEXT(O5:O52))))"),35)</f>
        <v>35</v>
      </c>
      <c r="L59" s="7">
        <f>IFERROR(__xludf.DUMMYFUNCTION("COUNTA(FILTER($C$4:$C$51, $C$4:$C$51=""CSR"", Q5:Q52&lt;&gt;"""", NOT(ISTEXT(Q5:Q52))))"),14)</f>
        <v>14</v>
      </c>
      <c r="M59" s="7">
        <f>IFERROR(__xludf.DUMMYFUNCTION("COUNTA(FILTER($C$4:$C$51, $C$4:$C$51=""CSR"", S5:S52&lt;&gt;"""", NOT(ISTEXT(S5:S52))))"),15)</f>
        <v>15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84" t="str">
        <f t="shared" si="2"/>
        <v/>
      </c>
    </row>
    <row r="60" customHeight="1" spans="1:27">
      <c r="A60" s="17"/>
      <c r="B60" s="17"/>
      <c r="C60" s="17"/>
      <c r="D60" s="17"/>
      <c r="E60" s="17"/>
      <c r="F60" s="7" t="s">
        <v>77</v>
      </c>
      <c r="G60" s="56">
        <f t="shared" ref="G60:K60" si="6">G56/7</f>
        <v>35.9142857142857</v>
      </c>
      <c r="H60" s="56">
        <f t="shared" si="6"/>
        <v>30.3</v>
      </c>
      <c r="I60" s="56">
        <f t="shared" si="6"/>
        <v>29.3857142857143</v>
      </c>
      <c r="J60" s="56">
        <f t="shared" si="6"/>
        <v>26.8428571428571</v>
      </c>
      <c r="K60" s="56">
        <f t="shared" si="6"/>
        <v>29.1</v>
      </c>
      <c r="L60" s="56">
        <f t="shared" ref="L60:M60" si="7">L56/4</f>
        <v>28.975</v>
      </c>
      <c r="M60" s="56">
        <f t="shared" si="7"/>
        <v>21.175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84" t="str">
        <f t="shared" si="2"/>
        <v/>
      </c>
    </row>
    <row r="61" customHeight="1" spans="1:27">
      <c r="A61" s="17"/>
      <c r="B61" s="17"/>
      <c r="C61" s="17"/>
      <c r="D61" s="17"/>
      <c r="E61" s="17"/>
      <c r="F61" s="7" t="s">
        <v>78</v>
      </c>
      <c r="G61" s="57">
        <f t="shared" ref="G61:M61" si="8">G59-G60</f>
        <v>0.0857142857142819</v>
      </c>
      <c r="H61" s="57">
        <f t="shared" si="8"/>
        <v>15.7</v>
      </c>
      <c r="I61" s="57">
        <f t="shared" si="8"/>
        <v>13.6142857142857</v>
      </c>
      <c r="J61" s="57">
        <f t="shared" si="8"/>
        <v>17.1571428571429</v>
      </c>
      <c r="K61" s="57">
        <f t="shared" si="8"/>
        <v>5.9</v>
      </c>
      <c r="L61" s="57">
        <f t="shared" si="8"/>
        <v>-14.975</v>
      </c>
      <c r="M61" s="57">
        <f t="shared" si="8"/>
        <v>-6.175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84" t="str">
        <f t="shared" si="2"/>
        <v/>
      </c>
    </row>
    <row r="62" customHeight="1" spans="1:27">
      <c r="A62" s="17"/>
      <c r="B62" s="17"/>
      <c r="C62" s="17"/>
      <c r="D62" s="17"/>
      <c r="E62" s="17"/>
      <c r="F62" s="7" t="s">
        <v>79</v>
      </c>
      <c r="G62" s="107">
        <f t="shared" ref="G62:M62" si="9">G61/G60</f>
        <v>0.00238663484486863</v>
      </c>
      <c r="H62" s="107">
        <f t="shared" si="9"/>
        <v>0.518151815181518</v>
      </c>
      <c r="I62" s="107">
        <f t="shared" si="9"/>
        <v>0.463296062226544</v>
      </c>
      <c r="J62" s="107">
        <f t="shared" si="9"/>
        <v>0.63916977115487</v>
      </c>
      <c r="K62" s="107">
        <f t="shared" si="9"/>
        <v>0.202749140893471</v>
      </c>
      <c r="L62" s="107">
        <f t="shared" si="9"/>
        <v>-0.516824849007765</v>
      </c>
      <c r="M62" s="107">
        <f t="shared" si="9"/>
        <v>-0.291617473435655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84" t="str">
        <f t="shared" si="2"/>
        <v/>
      </c>
    </row>
    <row r="63" customHeight="1" spans="1:27">
      <c r="A63" s="17"/>
      <c r="B63" s="17"/>
      <c r="C63" s="17"/>
      <c r="D63" s="17"/>
      <c r="E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84" t="str">
        <f t="shared" si="2"/>
        <v/>
      </c>
    </row>
    <row r="64" customHeight="1" spans="1:27">
      <c r="A64" s="17"/>
      <c r="B64" s="17"/>
      <c r="C64" s="17"/>
      <c r="D64" s="17"/>
      <c r="E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84" t="str">
        <f t="shared" si="2"/>
        <v/>
      </c>
    </row>
    <row r="65" customHeight="1" spans="1:27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84" t="str">
        <f t="shared" si="2"/>
        <v/>
      </c>
    </row>
    <row r="66" customHeight="1" spans="1:27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84" t="str">
        <f t="shared" si="2"/>
        <v/>
      </c>
    </row>
    <row r="67" customHeight="1" spans="1:2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84" t="str">
        <f t="shared" si="2"/>
        <v/>
      </c>
    </row>
    <row r="68" customHeight="1" spans="1:27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84" t="str">
        <f t="shared" si="2"/>
        <v/>
      </c>
    </row>
    <row r="69" customHeight="1" spans="1:27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84" t="str">
        <f t="shared" si="2"/>
        <v/>
      </c>
    </row>
    <row r="70" customHeight="1" spans="1:27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84" t="str">
        <f t="shared" si="2"/>
        <v/>
      </c>
    </row>
    <row r="71" customHeight="1" spans="1:27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84" t="str">
        <f t="shared" si="2"/>
        <v/>
      </c>
    </row>
    <row r="72" customHeight="1" spans="1:27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84" t="str">
        <f t="shared" si="2"/>
        <v/>
      </c>
    </row>
    <row r="73" customHeight="1" spans="1:27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84" t="str">
        <f t="shared" si="2"/>
        <v/>
      </c>
    </row>
    <row r="74" customHeight="1" spans="1:27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84" t="str">
        <f t="shared" si="2"/>
        <v/>
      </c>
    </row>
    <row r="75" customHeight="1" spans="1:27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84" t="str">
        <f t="shared" si="2"/>
        <v/>
      </c>
    </row>
    <row r="76" customHeight="1" spans="1:27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84" t="str">
        <f t="shared" si="2"/>
        <v/>
      </c>
    </row>
    <row r="77" customHeight="1" spans="1:2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84" t="str">
        <f t="shared" si="2"/>
        <v/>
      </c>
    </row>
    <row r="78" customHeight="1" spans="1:27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84" t="str">
        <f t="shared" si="2"/>
        <v/>
      </c>
    </row>
    <row r="79" customHeight="1" spans="1:27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84" t="str">
        <f t="shared" si="2"/>
        <v/>
      </c>
    </row>
    <row r="80" customHeight="1" spans="1:27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84" t="str">
        <f t="shared" si="2"/>
        <v/>
      </c>
    </row>
    <row r="81" customHeight="1" spans="1:27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84" t="str">
        <f t="shared" si="2"/>
        <v/>
      </c>
    </row>
    <row r="82" customHeight="1" spans="1:27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84" t="str">
        <f t="shared" si="2"/>
        <v/>
      </c>
    </row>
    <row r="83" customHeight="1" spans="1:27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84" t="str">
        <f t="shared" si="2"/>
        <v/>
      </c>
    </row>
    <row r="84" customHeight="1" spans="1:27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84" t="str">
        <f t="shared" si="2"/>
        <v/>
      </c>
    </row>
    <row r="85" customHeight="1" spans="1:27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84" t="str">
        <f t="shared" si="2"/>
        <v/>
      </c>
    </row>
    <row r="86" customHeight="1" spans="1:27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84" t="str">
        <f t="shared" si="2"/>
        <v/>
      </c>
    </row>
    <row r="87" customHeight="1" spans="1:2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84" t="str">
        <f t="shared" si="2"/>
        <v/>
      </c>
    </row>
    <row r="88" customHeight="1" spans="1:27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84" t="str">
        <f t="shared" si="2"/>
        <v/>
      </c>
    </row>
    <row r="89" customHeight="1" spans="1:27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84" t="str">
        <f t="shared" si="2"/>
        <v/>
      </c>
    </row>
    <row r="90" customHeight="1" spans="1:27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84" t="str">
        <f t="shared" si="2"/>
        <v/>
      </c>
    </row>
    <row r="91" customHeight="1" spans="1:27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84" t="str">
        <f t="shared" si="2"/>
        <v/>
      </c>
    </row>
    <row r="92" customHeight="1" spans="1:27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84" t="str">
        <f t="shared" si="2"/>
        <v/>
      </c>
    </row>
    <row r="93" customHeight="1" spans="1:27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84" t="str">
        <f t="shared" si="2"/>
        <v/>
      </c>
    </row>
    <row r="94" customHeight="1" spans="1:27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84" t="str">
        <f t="shared" si="2"/>
        <v/>
      </c>
    </row>
    <row r="95" customHeight="1" spans="1:27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84" t="str">
        <f t="shared" si="2"/>
        <v/>
      </c>
    </row>
    <row r="96" customHeight="1" spans="1:27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84" t="str">
        <f t="shared" si="2"/>
        <v/>
      </c>
    </row>
    <row r="97" customHeight="1" spans="1:2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84" t="str">
        <f t="shared" si="2"/>
        <v/>
      </c>
    </row>
    <row r="98" customHeight="1" spans="1:27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84" t="str">
        <f t="shared" si="2"/>
        <v/>
      </c>
    </row>
    <row r="99" customHeight="1" spans="1:27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84" t="str">
        <f t="shared" si="2"/>
        <v/>
      </c>
    </row>
    <row r="100" customHeight="1" spans="1:27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84" t="str">
        <f t="shared" si="2"/>
        <v/>
      </c>
    </row>
    <row r="101" customHeight="1" spans="1:27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84" t="str">
        <f t="shared" si="2"/>
        <v/>
      </c>
    </row>
    <row r="102" customHeight="1" spans="1:27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84" t="str">
        <f t="shared" si="2"/>
        <v/>
      </c>
    </row>
    <row r="103" customHeight="1" spans="1:27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84" t="str">
        <f t="shared" si="2"/>
        <v/>
      </c>
    </row>
    <row r="104" customHeight="1" spans="1:27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84" t="str">
        <f t="shared" si="2"/>
        <v/>
      </c>
    </row>
    <row r="105" customHeight="1" spans="1:27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84" t="str">
        <f t="shared" si="2"/>
        <v/>
      </c>
    </row>
    <row r="106" customHeight="1" spans="1:27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84" t="str">
        <f t="shared" si="2"/>
        <v/>
      </c>
    </row>
    <row r="107" customHeight="1" spans="1:2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84" t="str">
        <f t="shared" si="2"/>
        <v/>
      </c>
    </row>
    <row r="108" customHeight="1" spans="1:27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84" t="str">
        <f t="shared" si="2"/>
        <v/>
      </c>
    </row>
    <row r="109" customHeight="1" spans="1:27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84" t="str">
        <f t="shared" si="2"/>
        <v/>
      </c>
    </row>
    <row r="110" customHeight="1" spans="1:27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84" t="str">
        <f t="shared" si="2"/>
        <v/>
      </c>
    </row>
    <row r="111" customHeight="1" spans="1:27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84" t="str">
        <f t="shared" si="2"/>
        <v/>
      </c>
    </row>
    <row r="112" customHeight="1" spans="1:27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84" t="str">
        <f t="shared" si="2"/>
        <v/>
      </c>
    </row>
    <row r="113" customHeight="1" spans="1:27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84" t="str">
        <f t="shared" si="2"/>
        <v/>
      </c>
    </row>
    <row r="114" customHeight="1" spans="1:27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84" t="str">
        <f t="shared" si="2"/>
        <v/>
      </c>
    </row>
    <row r="115" customHeight="1" spans="1:27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84" t="str">
        <f t="shared" si="2"/>
        <v/>
      </c>
    </row>
    <row r="116" customHeight="1" spans="1:27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84" t="str">
        <f t="shared" si="2"/>
        <v/>
      </c>
    </row>
    <row r="117" customHeight="1" spans="1:2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84" t="str">
        <f t="shared" si="2"/>
        <v/>
      </c>
    </row>
    <row r="118" customHeight="1" spans="1:27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84" t="str">
        <f t="shared" si="2"/>
        <v/>
      </c>
    </row>
    <row r="119" customHeight="1" spans="1:27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84" t="str">
        <f t="shared" si="2"/>
        <v/>
      </c>
    </row>
    <row r="120" customHeight="1" spans="1:27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84" t="str">
        <f t="shared" si="2"/>
        <v/>
      </c>
    </row>
    <row r="121" customHeight="1" spans="1:27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84" t="str">
        <f t="shared" si="2"/>
        <v/>
      </c>
    </row>
    <row r="122" customHeight="1" spans="1:27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84" t="str">
        <f t="shared" si="2"/>
        <v/>
      </c>
    </row>
    <row r="123" customHeight="1" spans="1:27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84" t="str">
        <f t="shared" si="2"/>
        <v/>
      </c>
    </row>
    <row r="124" customHeight="1" spans="1:27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84" t="str">
        <f t="shared" si="2"/>
        <v/>
      </c>
    </row>
    <row r="125" customHeight="1" spans="1:27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84" t="str">
        <f t="shared" si="2"/>
        <v/>
      </c>
    </row>
    <row r="126" customHeight="1" spans="1:27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84" t="str">
        <f t="shared" si="2"/>
        <v/>
      </c>
    </row>
    <row r="127" customHeight="1" spans="1: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84" t="str">
        <f t="shared" si="2"/>
        <v/>
      </c>
    </row>
    <row r="128" customHeight="1" spans="1:27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84" t="str">
        <f t="shared" si="2"/>
        <v/>
      </c>
    </row>
    <row r="129" customHeight="1" spans="1:27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84" t="str">
        <f t="shared" si="2"/>
        <v/>
      </c>
    </row>
    <row r="130" customHeight="1" spans="1:27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84" t="str">
        <f t="shared" si="2"/>
        <v/>
      </c>
    </row>
    <row r="131" customHeight="1" spans="1:27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84" t="str">
        <f t="shared" si="2"/>
        <v/>
      </c>
    </row>
    <row r="132" customHeight="1" spans="1:27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84" t="str">
        <f t="shared" si="2"/>
        <v/>
      </c>
    </row>
    <row r="133" customHeight="1" spans="1:27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84" t="str">
        <f t="shared" si="2"/>
        <v/>
      </c>
    </row>
    <row r="134" customHeight="1" spans="1:27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84" t="str">
        <f t="shared" si="2"/>
        <v/>
      </c>
    </row>
    <row r="135" customHeight="1" spans="1:27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84" t="str">
        <f t="shared" si="2"/>
        <v/>
      </c>
    </row>
    <row r="136" customHeight="1" spans="1:27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84" t="str">
        <f t="shared" si="2"/>
        <v/>
      </c>
    </row>
    <row r="137" customHeight="1" spans="1:2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84" t="str">
        <f t="shared" si="2"/>
        <v/>
      </c>
    </row>
    <row r="138" customHeight="1" spans="1:27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84" t="str">
        <f t="shared" si="2"/>
        <v/>
      </c>
    </row>
    <row r="139" customHeight="1" spans="1:27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84" t="str">
        <f t="shared" si="2"/>
        <v/>
      </c>
    </row>
    <row r="140" customHeight="1" spans="1:27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84" t="str">
        <f t="shared" si="2"/>
        <v/>
      </c>
    </row>
    <row r="141" customHeight="1" spans="1:27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84" t="str">
        <f t="shared" si="2"/>
        <v/>
      </c>
    </row>
    <row r="142" customHeight="1" spans="1:27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84" t="str">
        <f t="shared" si="2"/>
        <v/>
      </c>
    </row>
    <row r="143" customHeight="1" spans="1:27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84" t="str">
        <f t="shared" si="2"/>
        <v/>
      </c>
    </row>
    <row r="144" customHeight="1" spans="1:27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84" t="str">
        <f t="shared" si="2"/>
        <v/>
      </c>
    </row>
    <row r="145" customHeight="1" spans="1:27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84" t="str">
        <f t="shared" si="2"/>
        <v/>
      </c>
    </row>
    <row r="146" customHeight="1" spans="1:27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84" t="str">
        <f t="shared" si="2"/>
        <v/>
      </c>
    </row>
    <row r="147" customHeight="1" spans="1:2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84" t="str">
        <f t="shared" si="2"/>
        <v/>
      </c>
    </row>
    <row r="148" customHeight="1" spans="1:27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84" t="str">
        <f t="shared" si="2"/>
        <v/>
      </c>
    </row>
    <row r="149" customHeight="1" spans="1:27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84" t="str">
        <f t="shared" si="2"/>
        <v/>
      </c>
    </row>
    <row r="150" customHeight="1" spans="1:27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84" t="str">
        <f t="shared" si="2"/>
        <v/>
      </c>
    </row>
    <row r="151" customHeight="1" spans="1:27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84" t="str">
        <f t="shared" si="2"/>
        <v/>
      </c>
    </row>
    <row r="152" customHeight="1" spans="1:27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84" t="str">
        <f t="shared" si="2"/>
        <v/>
      </c>
    </row>
    <row r="153" customHeight="1" spans="1:27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84" t="str">
        <f t="shared" si="2"/>
        <v/>
      </c>
    </row>
    <row r="154" customHeight="1" spans="1:27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84" t="str">
        <f t="shared" si="2"/>
        <v/>
      </c>
    </row>
    <row r="155" customHeight="1" spans="1:27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84" t="str">
        <f t="shared" si="2"/>
        <v/>
      </c>
    </row>
    <row r="156" customHeight="1" spans="1:27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84" t="str">
        <f t="shared" si="2"/>
        <v/>
      </c>
    </row>
    <row r="157" customHeight="1" spans="1:2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84" t="str">
        <f t="shared" si="2"/>
        <v/>
      </c>
    </row>
    <row r="158" customHeight="1" spans="1:27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84" t="str">
        <f t="shared" si="2"/>
        <v/>
      </c>
    </row>
    <row r="159" customHeight="1" spans="1:27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84" t="str">
        <f t="shared" si="2"/>
        <v/>
      </c>
    </row>
    <row r="160" customHeight="1" spans="1:27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84" t="str">
        <f t="shared" si="2"/>
        <v/>
      </c>
    </row>
    <row r="161" customHeight="1" spans="1:27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84" t="str">
        <f t="shared" si="2"/>
        <v/>
      </c>
    </row>
    <row r="162" customHeight="1" spans="1:27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84" t="str">
        <f t="shared" si="2"/>
        <v/>
      </c>
    </row>
    <row r="163" customHeight="1" spans="1:27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84" t="str">
        <f t="shared" si="2"/>
        <v/>
      </c>
    </row>
    <row r="164" customHeight="1" spans="1:27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84" t="str">
        <f t="shared" si="2"/>
        <v/>
      </c>
    </row>
    <row r="165" customHeight="1" spans="1:27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84" t="str">
        <f t="shared" si="2"/>
        <v/>
      </c>
    </row>
    <row r="166" customHeight="1" spans="1:27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84" t="str">
        <f t="shared" si="2"/>
        <v/>
      </c>
    </row>
    <row r="167" customHeight="1" spans="1:2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84" t="str">
        <f t="shared" si="2"/>
        <v/>
      </c>
    </row>
    <row r="168" customHeight="1" spans="1:27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84" t="str">
        <f t="shared" si="2"/>
        <v/>
      </c>
    </row>
    <row r="169" customHeight="1" spans="1:27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84" t="str">
        <f t="shared" si="2"/>
        <v/>
      </c>
    </row>
    <row r="170" customHeight="1" spans="1:27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84" t="str">
        <f t="shared" si="2"/>
        <v/>
      </c>
    </row>
    <row r="171" customHeight="1" spans="1:27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84" t="str">
        <f t="shared" si="2"/>
        <v/>
      </c>
    </row>
    <row r="172" customHeight="1" spans="1:27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84" t="str">
        <f t="shared" si="2"/>
        <v/>
      </c>
    </row>
    <row r="173" customHeight="1" spans="1:27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84" t="str">
        <f t="shared" si="2"/>
        <v/>
      </c>
    </row>
    <row r="174" customHeight="1" spans="1:27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84" t="str">
        <f t="shared" si="2"/>
        <v/>
      </c>
    </row>
    <row r="175" customHeight="1" spans="1:27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84" t="str">
        <f t="shared" si="2"/>
        <v/>
      </c>
    </row>
    <row r="176" customHeight="1" spans="1:27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84" t="str">
        <f t="shared" si="2"/>
        <v/>
      </c>
    </row>
    <row r="177" customHeight="1" spans="1:2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84" t="str">
        <f t="shared" si="2"/>
        <v/>
      </c>
    </row>
    <row r="178" customHeight="1" spans="1:27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84" t="str">
        <f t="shared" si="2"/>
        <v/>
      </c>
    </row>
    <row r="179" customHeight="1" spans="1:27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84" t="str">
        <f t="shared" si="2"/>
        <v/>
      </c>
    </row>
    <row r="180" customHeight="1" spans="1:27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84" t="str">
        <f t="shared" si="2"/>
        <v/>
      </c>
    </row>
    <row r="181" customHeight="1" spans="1:27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84" t="str">
        <f t="shared" si="2"/>
        <v/>
      </c>
    </row>
    <row r="182" customHeight="1" spans="1:27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84" t="str">
        <f t="shared" si="2"/>
        <v/>
      </c>
    </row>
    <row r="183" customHeight="1" spans="1:27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84" t="str">
        <f t="shared" si="2"/>
        <v/>
      </c>
    </row>
    <row r="184" customHeight="1" spans="1:27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84" t="str">
        <f t="shared" si="2"/>
        <v/>
      </c>
    </row>
    <row r="185" customHeight="1" spans="1:27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84" t="str">
        <f t="shared" si="2"/>
        <v/>
      </c>
    </row>
    <row r="186" customHeight="1" spans="1:27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84" t="str">
        <f t="shared" si="2"/>
        <v/>
      </c>
    </row>
    <row r="187" customHeight="1" spans="1:2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84" t="str">
        <f t="shared" si="2"/>
        <v/>
      </c>
    </row>
    <row r="188" customHeight="1" spans="1:27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84" t="str">
        <f t="shared" si="2"/>
        <v/>
      </c>
    </row>
    <row r="189" customHeight="1" spans="1:27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84" t="str">
        <f t="shared" si="2"/>
        <v/>
      </c>
    </row>
    <row r="190" customHeight="1" spans="1:27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84" t="str">
        <f t="shared" si="2"/>
        <v/>
      </c>
    </row>
    <row r="191" customHeight="1" spans="1:27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84" t="str">
        <f t="shared" si="2"/>
        <v/>
      </c>
    </row>
    <row r="192" customHeight="1" spans="1:27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84" t="str">
        <f t="shared" si="2"/>
        <v/>
      </c>
    </row>
    <row r="193" customHeight="1" spans="1:27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84" t="str">
        <f t="shared" si="2"/>
        <v/>
      </c>
    </row>
    <row r="194" customHeight="1" spans="1:27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84" t="str">
        <f t="shared" si="2"/>
        <v/>
      </c>
    </row>
    <row r="195" customHeight="1" spans="1:27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84" t="str">
        <f t="shared" si="2"/>
        <v/>
      </c>
    </row>
    <row r="196" customHeight="1" spans="1:27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84" t="str">
        <f t="shared" si="2"/>
        <v/>
      </c>
    </row>
    <row r="197" customHeight="1" spans="1:2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84" t="str">
        <f t="shared" si="2"/>
        <v/>
      </c>
    </row>
    <row r="198" customHeight="1" spans="1:27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84" t="str">
        <f t="shared" si="2"/>
        <v/>
      </c>
    </row>
    <row r="199" customHeight="1" spans="1:27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84" t="str">
        <f t="shared" si="2"/>
        <v/>
      </c>
    </row>
    <row r="200" customHeight="1" spans="1:27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84" t="str">
        <f t="shared" si="2"/>
        <v/>
      </c>
    </row>
    <row r="201" customHeight="1" spans="1:27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84" t="str">
        <f t="shared" si="2"/>
        <v/>
      </c>
    </row>
    <row r="202" customHeight="1" spans="1:27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84" t="str">
        <f t="shared" si="2"/>
        <v/>
      </c>
    </row>
    <row r="203" customHeight="1" spans="1:27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84" t="str">
        <f t="shared" si="2"/>
        <v/>
      </c>
    </row>
    <row r="204" customHeight="1" spans="1:27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84" t="str">
        <f t="shared" si="2"/>
        <v/>
      </c>
    </row>
    <row r="205" customHeight="1" spans="1:27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84" t="str">
        <f t="shared" si="2"/>
        <v/>
      </c>
    </row>
    <row r="206" customHeight="1" spans="1:27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84" t="str">
        <f t="shared" si="2"/>
        <v/>
      </c>
    </row>
    <row r="207" customHeight="1" spans="1:2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84" t="str">
        <f t="shared" si="2"/>
        <v/>
      </c>
    </row>
    <row r="208" customHeight="1" spans="1:27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84" t="str">
        <f t="shared" si="2"/>
        <v/>
      </c>
    </row>
    <row r="209" customHeight="1" spans="1:27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84" t="str">
        <f t="shared" si="2"/>
        <v/>
      </c>
    </row>
    <row r="210" customHeight="1" spans="1:27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84" t="str">
        <f t="shared" si="2"/>
        <v/>
      </c>
    </row>
    <row r="211" customHeight="1" spans="1:27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84" t="str">
        <f t="shared" si="2"/>
        <v/>
      </c>
    </row>
    <row r="212" customHeight="1" spans="1:27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84" t="str">
        <f t="shared" si="2"/>
        <v/>
      </c>
    </row>
    <row r="213" customHeight="1" spans="1:27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84" t="str">
        <f t="shared" si="2"/>
        <v/>
      </c>
    </row>
    <row r="214" customHeight="1" spans="1:27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84" t="str">
        <f t="shared" si="2"/>
        <v/>
      </c>
    </row>
    <row r="215" customHeight="1" spans="1:27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84" t="str">
        <f t="shared" si="2"/>
        <v/>
      </c>
    </row>
    <row r="216" customHeight="1" spans="1:27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84" t="str">
        <f t="shared" si="2"/>
        <v/>
      </c>
    </row>
    <row r="217" customHeight="1" spans="1:2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84" t="str">
        <f t="shared" si="2"/>
        <v/>
      </c>
    </row>
    <row r="218" customHeight="1" spans="1:27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84" t="str">
        <f t="shared" si="2"/>
        <v/>
      </c>
    </row>
    <row r="219" customHeight="1" spans="1:27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84" t="str">
        <f t="shared" si="2"/>
        <v/>
      </c>
    </row>
    <row r="220" customHeight="1" spans="1:27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84" t="str">
        <f t="shared" si="2"/>
        <v/>
      </c>
    </row>
    <row r="221" customHeight="1" spans="1:27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84" t="str">
        <f t="shared" si="2"/>
        <v/>
      </c>
    </row>
    <row r="222" customHeight="1" spans="1:27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84" t="str">
        <f t="shared" si="2"/>
        <v/>
      </c>
    </row>
    <row r="223" customHeight="1" spans="1:27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84" t="str">
        <f t="shared" si="2"/>
        <v/>
      </c>
    </row>
    <row r="224" customHeight="1" spans="1:27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84" t="str">
        <f t="shared" si="2"/>
        <v/>
      </c>
    </row>
    <row r="225" customHeight="1" spans="1:27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84" t="str">
        <f t="shared" si="2"/>
        <v/>
      </c>
    </row>
    <row r="226" customHeight="1" spans="1:27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84" t="str">
        <f t="shared" si="2"/>
        <v/>
      </c>
    </row>
    <row r="227" customHeight="1" spans="1: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84" t="str">
        <f t="shared" si="2"/>
        <v/>
      </c>
    </row>
    <row r="228" customHeight="1" spans="1:27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84" t="str">
        <f t="shared" si="2"/>
        <v/>
      </c>
    </row>
    <row r="229" customHeight="1" spans="1:27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84" t="str">
        <f t="shared" si="2"/>
        <v/>
      </c>
    </row>
    <row r="230" customHeight="1" spans="1:27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84" t="str">
        <f t="shared" si="2"/>
        <v/>
      </c>
    </row>
    <row r="231" customHeight="1" spans="1:27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84" t="str">
        <f t="shared" si="2"/>
        <v/>
      </c>
    </row>
    <row r="232" customHeight="1" spans="1:27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84" t="str">
        <f t="shared" si="2"/>
        <v/>
      </c>
    </row>
    <row r="233" customHeight="1" spans="1:27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84" t="str">
        <f t="shared" si="2"/>
        <v/>
      </c>
    </row>
    <row r="234" customHeight="1" spans="1:27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84" t="str">
        <f t="shared" si="2"/>
        <v/>
      </c>
    </row>
    <row r="235" customHeight="1" spans="1:27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84" t="str">
        <f t="shared" si="2"/>
        <v/>
      </c>
    </row>
    <row r="236" customHeight="1" spans="1:27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84" t="str">
        <f t="shared" si="2"/>
        <v/>
      </c>
    </row>
    <row r="237" customHeight="1" spans="1:2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84" t="str">
        <f t="shared" si="2"/>
        <v/>
      </c>
    </row>
    <row r="238" customHeight="1" spans="1:27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84" t="str">
        <f t="shared" si="2"/>
        <v/>
      </c>
    </row>
    <row r="239" customHeight="1" spans="1:27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84" t="str">
        <f t="shared" si="2"/>
        <v/>
      </c>
    </row>
    <row r="240" customHeight="1" spans="1:27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84" t="str">
        <f t="shared" si="2"/>
        <v/>
      </c>
    </row>
    <row r="241" customHeight="1" spans="1:27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84" t="str">
        <f t="shared" si="2"/>
        <v/>
      </c>
    </row>
    <row r="242" customHeight="1" spans="1:27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84" t="str">
        <f t="shared" si="2"/>
        <v/>
      </c>
    </row>
    <row r="243" customHeight="1" spans="1:27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84" t="str">
        <f t="shared" si="2"/>
        <v/>
      </c>
    </row>
    <row r="244" customHeight="1" spans="1:27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84" t="str">
        <f t="shared" si="2"/>
        <v/>
      </c>
    </row>
    <row r="245" customHeight="1" spans="1:27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84" t="str">
        <f t="shared" si="2"/>
        <v/>
      </c>
    </row>
    <row r="246" customHeight="1" spans="1:27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84" t="str">
        <f t="shared" si="2"/>
        <v/>
      </c>
    </row>
    <row r="247" customHeight="1" spans="1:2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84" t="str">
        <f t="shared" si="2"/>
        <v/>
      </c>
    </row>
    <row r="248" customHeight="1" spans="1:27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84" t="str">
        <f t="shared" si="2"/>
        <v/>
      </c>
    </row>
    <row r="249" customHeight="1" spans="1:27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84" t="str">
        <f t="shared" si="2"/>
        <v/>
      </c>
    </row>
    <row r="250" customHeight="1" spans="1:27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84" t="str">
        <f t="shared" si="2"/>
        <v/>
      </c>
    </row>
    <row r="251" customHeight="1" spans="1:27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84" t="str">
        <f t="shared" si="2"/>
        <v/>
      </c>
    </row>
    <row r="252" customHeight="1" spans="1:27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84" t="str">
        <f t="shared" si="2"/>
        <v/>
      </c>
    </row>
    <row r="253" customHeight="1" spans="1:27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84" t="str">
        <f t="shared" si="2"/>
        <v/>
      </c>
    </row>
    <row r="254" customHeight="1" spans="1:27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84" t="str">
        <f t="shared" si="2"/>
        <v/>
      </c>
    </row>
    <row r="255" customHeight="1" spans="1:27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84" t="str">
        <f t="shared" si="2"/>
        <v/>
      </c>
    </row>
    <row r="256" customHeight="1" spans="1:27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84" t="str">
        <f t="shared" si="2"/>
        <v/>
      </c>
    </row>
    <row r="257" customHeight="1" spans="1:2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84" t="str">
        <f t="shared" si="2"/>
        <v/>
      </c>
    </row>
    <row r="258" customHeight="1" spans="1:27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84" t="str">
        <f t="shared" si="2"/>
        <v/>
      </c>
    </row>
    <row r="259" customHeight="1" spans="1:27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84" t="str">
        <f t="shared" si="2"/>
        <v/>
      </c>
    </row>
    <row r="260" customHeight="1" spans="1:27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84" t="str">
        <f t="shared" si="2"/>
        <v/>
      </c>
    </row>
    <row r="261" customHeight="1" spans="1:27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84" t="str">
        <f t="shared" si="2"/>
        <v/>
      </c>
    </row>
    <row r="262" customHeight="1" spans="1:27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84" t="str">
        <f t="shared" si="2"/>
        <v/>
      </c>
    </row>
    <row r="263" customHeight="1" spans="1:27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84" t="str">
        <f t="shared" si="2"/>
        <v/>
      </c>
    </row>
    <row r="264" customHeight="1" spans="1:27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84" t="str">
        <f t="shared" si="2"/>
        <v/>
      </c>
    </row>
    <row r="265" customHeight="1" spans="1:27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84" t="str">
        <f t="shared" si="2"/>
        <v/>
      </c>
    </row>
    <row r="266" customHeight="1" spans="1:27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84" t="str">
        <f t="shared" si="2"/>
        <v/>
      </c>
    </row>
    <row r="267" customHeight="1" spans="1:2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84" t="str">
        <f t="shared" si="2"/>
        <v/>
      </c>
    </row>
    <row r="268" customHeight="1" spans="1:27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84" t="str">
        <f t="shared" si="2"/>
        <v/>
      </c>
    </row>
    <row r="269" customHeight="1" spans="1:27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84" t="str">
        <f t="shared" si="2"/>
        <v/>
      </c>
    </row>
    <row r="270" customHeight="1" spans="1:27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84" t="str">
        <f t="shared" si="2"/>
        <v/>
      </c>
    </row>
    <row r="271" customHeight="1" spans="1:27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84" t="str">
        <f t="shared" si="2"/>
        <v/>
      </c>
    </row>
    <row r="272" customHeight="1" spans="1:27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84" t="str">
        <f t="shared" si="2"/>
        <v/>
      </c>
    </row>
    <row r="273" customHeight="1" spans="1:27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84" t="str">
        <f t="shared" si="2"/>
        <v/>
      </c>
    </row>
    <row r="274" customHeight="1" spans="1:27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84" t="str">
        <f t="shared" si="2"/>
        <v/>
      </c>
    </row>
    <row r="275" customHeight="1" spans="1:27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84" t="str">
        <f t="shared" si="2"/>
        <v/>
      </c>
    </row>
    <row r="276" customHeight="1" spans="1:27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84" t="str">
        <f t="shared" si="2"/>
        <v/>
      </c>
    </row>
    <row r="277" customHeight="1" spans="1:2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84" t="str">
        <f t="shared" si="2"/>
        <v/>
      </c>
    </row>
    <row r="278" customHeight="1" spans="1:27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84" t="str">
        <f t="shared" si="2"/>
        <v/>
      </c>
    </row>
    <row r="279" customHeight="1" spans="1:27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84" t="str">
        <f t="shared" si="2"/>
        <v/>
      </c>
    </row>
    <row r="280" customHeight="1" spans="1:27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84" t="str">
        <f t="shared" si="2"/>
        <v/>
      </c>
    </row>
    <row r="281" customHeight="1" spans="1:27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84" t="str">
        <f t="shared" si="2"/>
        <v/>
      </c>
    </row>
    <row r="282" customHeight="1" spans="1:27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84" t="str">
        <f t="shared" si="2"/>
        <v/>
      </c>
    </row>
    <row r="283" customHeight="1" spans="1:27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84" t="str">
        <f t="shared" si="2"/>
        <v/>
      </c>
    </row>
    <row r="284" customHeight="1" spans="1:27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84" t="str">
        <f t="shared" si="2"/>
        <v/>
      </c>
    </row>
    <row r="285" customHeight="1" spans="1:27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84" t="str">
        <f t="shared" si="2"/>
        <v/>
      </c>
    </row>
    <row r="286" customHeight="1" spans="1:27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84" t="str">
        <f t="shared" si="2"/>
        <v/>
      </c>
    </row>
    <row r="287" customHeight="1" spans="1:2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84" t="str">
        <f t="shared" si="2"/>
        <v/>
      </c>
    </row>
    <row r="288" customHeight="1" spans="1:27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84" t="str">
        <f t="shared" si="2"/>
        <v/>
      </c>
    </row>
    <row r="289" customHeight="1" spans="1:27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84" t="str">
        <f t="shared" si="2"/>
        <v/>
      </c>
    </row>
    <row r="290" customHeight="1" spans="1:27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84" t="str">
        <f t="shared" si="2"/>
        <v/>
      </c>
    </row>
    <row r="291" customHeight="1" spans="1:27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84" t="str">
        <f t="shared" si="2"/>
        <v/>
      </c>
    </row>
    <row r="292" customHeight="1" spans="1:27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84" t="str">
        <f t="shared" si="2"/>
        <v/>
      </c>
    </row>
    <row r="293" customHeight="1" spans="1:27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84" t="str">
        <f t="shared" si="2"/>
        <v/>
      </c>
    </row>
    <row r="294" customHeight="1" spans="1:27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84" t="str">
        <f t="shared" si="2"/>
        <v/>
      </c>
    </row>
    <row r="295" customHeight="1" spans="1:27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84" t="str">
        <f t="shared" si="2"/>
        <v/>
      </c>
    </row>
    <row r="296" customHeight="1" spans="1:27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84" t="str">
        <f t="shared" si="2"/>
        <v/>
      </c>
    </row>
    <row r="297" customHeight="1" spans="1:2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84" t="str">
        <f t="shared" si="2"/>
        <v/>
      </c>
    </row>
    <row r="298" customHeight="1" spans="1:27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84" t="str">
        <f t="shared" si="2"/>
        <v/>
      </c>
    </row>
    <row r="299" customHeight="1" spans="1:27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84" t="str">
        <f t="shared" si="2"/>
        <v/>
      </c>
    </row>
    <row r="300" customHeight="1" spans="1:27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84" t="str">
        <f t="shared" si="2"/>
        <v/>
      </c>
    </row>
    <row r="301" customHeight="1" spans="1:27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84" t="str">
        <f t="shared" si="2"/>
        <v/>
      </c>
    </row>
    <row r="302" customHeight="1" spans="1:27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84" t="str">
        <f t="shared" si="2"/>
        <v/>
      </c>
    </row>
    <row r="303" customHeight="1" spans="1:27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84" t="str">
        <f t="shared" si="2"/>
        <v/>
      </c>
    </row>
    <row r="304" customHeight="1" spans="1:27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84" t="str">
        <f t="shared" si="2"/>
        <v/>
      </c>
    </row>
    <row r="305" customHeight="1" spans="1:27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84" t="str">
        <f t="shared" si="2"/>
        <v/>
      </c>
    </row>
    <row r="306" customHeight="1" spans="1:27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84" t="str">
        <f t="shared" si="2"/>
        <v/>
      </c>
    </row>
    <row r="307" customHeight="1" spans="1:2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84" t="str">
        <f t="shared" si="2"/>
        <v/>
      </c>
    </row>
    <row r="308" customHeight="1" spans="1:27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84" t="str">
        <f t="shared" si="2"/>
        <v/>
      </c>
    </row>
    <row r="309" customHeight="1" spans="1:27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84" t="str">
        <f t="shared" si="2"/>
        <v/>
      </c>
    </row>
    <row r="310" customHeight="1" spans="1:27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84" t="str">
        <f t="shared" si="2"/>
        <v/>
      </c>
    </row>
    <row r="311" customHeight="1" spans="1:27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84" t="str">
        <f t="shared" si="2"/>
        <v/>
      </c>
    </row>
    <row r="312" customHeight="1" spans="1:27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84" t="str">
        <f t="shared" si="2"/>
        <v/>
      </c>
    </row>
    <row r="313" customHeight="1" spans="1:27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84" t="str">
        <f t="shared" si="2"/>
        <v/>
      </c>
    </row>
    <row r="314" customHeight="1" spans="1:27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84" t="str">
        <f t="shared" si="2"/>
        <v/>
      </c>
    </row>
    <row r="315" customHeight="1" spans="1:27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84" t="str">
        <f t="shared" si="2"/>
        <v/>
      </c>
    </row>
    <row r="316" customHeight="1" spans="1:27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84" t="str">
        <f t="shared" si="2"/>
        <v/>
      </c>
    </row>
    <row r="317" customHeight="1" spans="1:2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84" t="str">
        <f t="shared" si="2"/>
        <v/>
      </c>
    </row>
    <row r="318" customHeight="1" spans="1:27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84" t="str">
        <f t="shared" si="2"/>
        <v/>
      </c>
    </row>
    <row r="319" customHeight="1" spans="1:27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84" t="str">
        <f t="shared" si="2"/>
        <v/>
      </c>
    </row>
    <row r="320" customHeight="1" spans="1:27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84" t="str">
        <f t="shared" si="2"/>
        <v/>
      </c>
    </row>
    <row r="321" customHeight="1" spans="1:27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84" t="str">
        <f t="shared" si="2"/>
        <v/>
      </c>
    </row>
    <row r="322" customHeight="1" spans="1:27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84" t="str">
        <f t="shared" si="2"/>
        <v/>
      </c>
    </row>
    <row r="323" customHeight="1" spans="1:27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84" t="str">
        <f t="shared" si="2"/>
        <v/>
      </c>
    </row>
    <row r="324" customHeight="1" spans="1:27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84" t="str">
        <f t="shared" si="2"/>
        <v/>
      </c>
    </row>
    <row r="325" customHeight="1" spans="1:27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84" t="str">
        <f t="shared" si="2"/>
        <v/>
      </c>
    </row>
    <row r="326" customHeight="1" spans="1:27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84" t="str">
        <f t="shared" si="2"/>
        <v/>
      </c>
    </row>
    <row r="327" customHeight="1" spans="1: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84" t="str">
        <f t="shared" si="2"/>
        <v/>
      </c>
    </row>
    <row r="328" customHeight="1" spans="1:27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84" t="str">
        <f t="shared" si="2"/>
        <v/>
      </c>
    </row>
    <row r="329" customHeight="1" spans="1:27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84" t="str">
        <f t="shared" si="2"/>
        <v/>
      </c>
    </row>
    <row r="330" customHeight="1" spans="1:27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84" t="str">
        <f t="shared" si="2"/>
        <v/>
      </c>
    </row>
    <row r="331" customHeight="1" spans="1:27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84" t="str">
        <f t="shared" si="2"/>
        <v/>
      </c>
    </row>
    <row r="332" customHeight="1" spans="1:27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84" t="str">
        <f t="shared" si="2"/>
        <v/>
      </c>
    </row>
    <row r="333" customHeight="1" spans="1:27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84" t="str">
        <f t="shared" si="2"/>
        <v/>
      </c>
    </row>
    <row r="334" customHeight="1" spans="1:27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84" t="str">
        <f t="shared" si="2"/>
        <v/>
      </c>
    </row>
    <row r="335" customHeight="1" spans="1:27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84" t="str">
        <f t="shared" si="2"/>
        <v/>
      </c>
    </row>
    <row r="336" customHeight="1" spans="1:27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84" t="str">
        <f t="shared" si="2"/>
        <v/>
      </c>
    </row>
    <row r="337" customHeight="1" spans="1:2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84" t="str">
        <f t="shared" si="2"/>
        <v/>
      </c>
    </row>
    <row r="338" customHeight="1" spans="1:27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84" t="str">
        <f t="shared" si="2"/>
        <v/>
      </c>
    </row>
    <row r="339" customHeight="1" spans="1:27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84" t="str">
        <f t="shared" si="2"/>
        <v/>
      </c>
    </row>
    <row r="340" customHeight="1" spans="1:27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84" t="str">
        <f t="shared" si="2"/>
        <v/>
      </c>
    </row>
    <row r="341" customHeight="1" spans="1:27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84" t="str">
        <f t="shared" si="2"/>
        <v/>
      </c>
    </row>
    <row r="342" customHeight="1" spans="1:27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84" t="str">
        <f t="shared" si="2"/>
        <v/>
      </c>
    </row>
    <row r="343" customHeight="1" spans="1:27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84" t="str">
        <f t="shared" si="2"/>
        <v/>
      </c>
    </row>
    <row r="344" customHeight="1" spans="1:27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84" t="str">
        <f t="shared" si="2"/>
        <v/>
      </c>
    </row>
    <row r="345" customHeight="1" spans="1:27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84" t="str">
        <f t="shared" si="2"/>
        <v/>
      </c>
    </row>
    <row r="346" customHeight="1" spans="1:27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84" t="str">
        <f t="shared" si="2"/>
        <v/>
      </c>
    </row>
    <row r="347" customHeight="1" spans="1:2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84" t="str">
        <f t="shared" si="2"/>
        <v/>
      </c>
    </row>
    <row r="348" customHeight="1" spans="1:27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84" t="str">
        <f t="shared" si="2"/>
        <v/>
      </c>
    </row>
    <row r="349" customHeight="1" spans="1:27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84" t="str">
        <f t="shared" si="2"/>
        <v/>
      </c>
    </row>
    <row r="350" customHeight="1" spans="1:27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84" t="str">
        <f t="shared" si="2"/>
        <v/>
      </c>
    </row>
    <row r="351" customHeight="1" spans="1:27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84" t="str">
        <f t="shared" si="2"/>
        <v/>
      </c>
    </row>
    <row r="352" customHeight="1" spans="1:27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84" t="str">
        <f t="shared" si="2"/>
        <v/>
      </c>
    </row>
    <row r="353" customHeight="1" spans="1:27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84" t="str">
        <f t="shared" si="2"/>
        <v/>
      </c>
    </row>
    <row r="354" customHeight="1" spans="1:27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84" t="str">
        <f t="shared" si="2"/>
        <v/>
      </c>
    </row>
    <row r="355" customHeight="1" spans="1:27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84" t="str">
        <f t="shared" si="2"/>
        <v/>
      </c>
    </row>
    <row r="356" customHeight="1" spans="1:27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84" t="str">
        <f t="shared" si="2"/>
        <v/>
      </c>
    </row>
    <row r="357" customHeight="1" spans="1:2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84" t="str">
        <f t="shared" si="2"/>
        <v/>
      </c>
    </row>
    <row r="358" customHeight="1" spans="1:27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84" t="str">
        <f t="shared" si="2"/>
        <v/>
      </c>
    </row>
    <row r="359" customHeight="1" spans="1:27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84" t="str">
        <f t="shared" si="2"/>
        <v/>
      </c>
    </row>
    <row r="360" customHeight="1" spans="1:27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84" t="str">
        <f t="shared" si="2"/>
        <v/>
      </c>
    </row>
    <row r="361" customHeight="1" spans="1:27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84" t="str">
        <f t="shared" si="2"/>
        <v/>
      </c>
    </row>
    <row r="362" customHeight="1" spans="1:27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84" t="str">
        <f t="shared" si="2"/>
        <v/>
      </c>
    </row>
    <row r="363" customHeight="1" spans="1:27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84" t="str">
        <f t="shared" si="2"/>
        <v/>
      </c>
    </row>
    <row r="364" customHeight="1" spans="1:27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84" t="str">
        <f t="shared" si="2"/>
        <v/>
      </c>
    </row>
    <row r="365" customHeight="1" spans="1:27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84" t="str">
        <f t="shared" si="2"/>
        <v/>
      </c>
    </row>
    <row r="366" customHeight="1" spans="1:27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84" t="str">
        <f t="shared" si="2"/>
        <v/>
      </c>
    </row>
    <row r="367" customHeight="1" spans="1:2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84" t="str">
        <f t="shared" si="2"/>
        <v/>
      </c>
    </row>
    <row r="368" customHeight="1" spans="1:27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84" t="str">
        <f t="shared" si="2"/>
        <v/>
      </c>
    </row>
    <row r="369" customHeight="1" spans="1:27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84" t="str">
        <f t="shared" si="2"/>
        <v/>
      </c>
    </row>
    <row r="370" customHeight="1" spans="1:27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84" t="str">
        <f t="shared" si="2"/>
        <v/>
      </c>
    </row>
    <row r="371" customHeight="1" spans="1:27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84" t="str">
        <f t="shared" si="2"/>
        <v/>
      </c>
    </row>
    <row r="372" customHeight="1" spans="1:27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84" t="str">
        <f t="shared" si="2"/>
        <v/>
      </c>
    </row>
    <row r="373" customHeight="1" spans="1:27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84" t="str">
        <f t="shared" si="2"/>
        <v/>
      </c>
    </row>
    <row r="374" customHeight="1" spans="1:27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84" t="str">
        <f t="shared" si="2"/>
        <v/>
      </c>
    </row>
    <row r="375" customHeight="1" spans="1:27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84" t="str">
        <f t="shared" si="2"/>
        <v/>
      </c>
    </row>
    <row r="376" customHeight="1" spans="1:27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84" t="str">
        <f t="shared" si="2"/>
        <v/>
      </c>
    </row>
    <row r="377" customHeight="1" spans="1:2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84" t="str">
        <f t="shared" si="2"/>
        <v/>
      </c>
    </row>
    <row r="378" customHeight="1" spans="1:27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84" t="str">
        <f t="shared" si="2"/>
        <v/>
      </c>
    </row>
    <row r="379" customHeight="1" spans="1:27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84" t="str">
        <f t="shared" si="2"/>
        <v/>
      </c>
    </row>
    <row r="380" customHeight="1" spans="1:27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84" t="str">
        <f t="shared" si="2"/>
        <v/>
      </c>
    </row>
    <row r="381" customHeight="1" spans="1:27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84" t="str">
        <f t="shared" si="2"/>
        <v/>
      </c>
    </row>
    <row r="382" customHeight="1" spans="1:27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84" t="str">
        <f t="shared" si="2"/>
        <v/>
      </c>
    </row>
    <row r="383" customHeight="1" spans="1:27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84" t="str">
        <f t="shared" si="2"/>
        <v/>
      </c>
    </row>
    <row r="384" customHeight="1" spans="1:27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84" t="str">
        <f t="shared" si="2"/>
        <v/>
      </c>
    </row>
    <row r="385" customHeight="1" spans="1:27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84" t="str">
        <f t="shared" si="2"/>
        <v/>
      </c>
    </row>
    <row r="386" customHeight="1" spans="1:27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84" t="str">
        <f t="shared" si="2"/>
        <v/>
      </c>
    </row>
    <row r="387" customHeight="1" spans="1:2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84" t="str">
        <f t="shared" si="2"/>
        <v/>
      </c>
    </row>
    <row r="388" customHeight="1" spans="1:27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84" t="str">
        <f t="shared" si="2"/>
        <v/>
      </c>
    </row>
    <row r="389" customHeight="1" spans="1:27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84" t="str">
        <f t="shared" si="2"/>
        <v/>
      </c>
    </row>
    <row r="390" customHeight="1" spans="1:27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84" t="str">
        <f t="shared" si="2"/>
        <v/>
      </c>
    </row>
    <row r="391" customHeight="1" spans="1:27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84" t="str">
        <f t="shared" si="2"/>
        <v/>
      </c>
    </row>
    <row r="392" customHeight="1" spans="1:27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84" t="str">
        <f t="shared" si="2"/>
        <v/>
      </c>
    </row>
    <row r="393" customHeight="1" spans="1:27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84" t="str">
        <f t="shared" si="2"/>
        <v/>
      </c>
    </row>
    <row r="394" customHeight="1" spans="1:27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84" t="str">
        <f t="shared" si="2"/>
        <v/>
      </c>
    </row>
    <row r="395" customHeight="1" spans="1:27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84" t="str">
        <f t="shared" si="2"/>
        <v/>
      </c>
    </row>
    <row r="396" customHeight="1" spans="1:27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84" t="str">
        <f t="shared" si="2"/>
        <v/>
      </c>
    </row>
    <row r="397" customHeight="1" spans="1:2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84" t="str">
        <f t="shared" si="2"/>
        <v/>
      </c>
    </row>
    <row r="398" customHeight="1" spans="1:27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84" t="str">
        <f t="shared" si="2"/>
        <v/>
      </c>
    </row>
    <row r="399" customHeight="1" spans="1:27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84" t="str">
        <f t="shared" si="2"/>
        <v/>
      </c>
    </row>
    <row r="400" customHeight="1" spans="1:27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84" t="str">
        <f t="shared" si="2"/>
        <v/>
      </c>
    </row>
    <row r="401" customHeight="1" spans="1:27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84" t="str">
        <f t="shared" si="2"/>
        <v/>
      </c>
    </row>
    <row r="402" customHeight="1" spans="1:27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84" t="str">
        <f t="shared" si="2"/>
        <v/>
      </c>
    </row>
    <row r="403" customHeight="1" spans="1:27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84" t="str">
        <f t="shared" si="2"/>
        <v/>
      </c>
    </row>
    <row r="404" customHeight="1" spans="1:27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84" t="str">
        <f t="shared" si="2"/>
        <v/>
      </c>
    </row>
    <row r="405" customHeight="1" spans="1:27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84" t="str">
        <f t="shared" si="2"/>
        <v/>
      </c>
    </row>
    <row r="406" customHeight="1" spans="1:27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84" t="str">
        <f t="shared" si="2"/>
        <v/>
      </c>
    </row>
    <row r="407" customHeight="1" spans="1:2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84" t="str">
        <f t="shared" si="2"/>
        <v/>
      </c>
    </row>
    <row r="408" customHeight="1" spans="1:27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84" t="str">
        <f t="shared" si="2"/>
        <v/>
      </c>
    </row>
    <row r="409" customHeight="1" spans="1:27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84" t="str">
        <f t="shared" si="2"/>
        <v/>
      </c>
    </row>
    <row r="410" customHeight="1" spans="1:27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84" t="str">
        <f t="shared" si="2"/>
        <v/>
      </c>
    </row>
    <row r="411" customHeight="1" spans="1:27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84" t="str">
        <f t="shared" si="2"/>
        <v/>
      </c>
    </row>
    <row r="412" customHeight="1" spans="1:27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84" t="str">
        <f t="shared" si="2"/>
        <v/>
      </c>
    </row>
    <row r="413" customHeight="1" spans="1:27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84" t="str">
        <f t="shared" si="2"/>
        <v/>
      </c>
    </row>
    <row r="414" customHeight="1" spans="1:27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84" t="str">
        <f t="shared" si="2"/>
        <v/>
      </c>
    </row>
    <row r="415" customHeight="1" spans="1:27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84" t="str">
        <f t="shared" si="2"/>
        <v/>
      </c>
    </row>
    <row r="416" customHeight="1" spans="1:27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84" t="str">
        <f t="shared" si="2"/>
        <v/>
      </c>
    </row>
    <row r="417" customHeight="1" spans="1:2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84" t="str">
        <f t="shared" si="2"/>
        <v/>
      </c>
    </row>
    <row r="418" customHeight="1" spans="1:27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84" t="str">
        <f t="shared" si="2"/>
        <v/>
      </c>
    </row>
    <row r="419" customHeight="1" spans="1:27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84" t="str">
        <f t="shared" si="2"/>
        <v/>
      </c>
    </row>
    <row r="420" customHeight="1" spans="1:27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84" t="str">
        <f t="shared" si="2"/>
        <v/>
      </c>
    </row>
    <row r="421" customHeight="1" spans="1:27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84" t="str">
        <f t="shared" si="2"/>
        <v/>
      </c>
    </row>
    <row r="422" customHeight="1" spans="1:27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84" t="str">
        <f t="shared" si="2"/>
        <v/>
      </c>
    </row>
    <row r="423" customHeight="1" spans="1:27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84" t="str">
        <f t="shared" si="2"/>
        <v/>
      </c>
    </row>
    <row r="424" customHeight="1" spans="1:27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84" t="str">
        <f t="shared" si="2"/>
        <v/>
      </c>
    </row>
    <row r="425" customHeight="1" spans="1:27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84" t="str">
        <f t="shared" si="2"/>
        <v/>
      </c>
    </row>
    <row r="426" customHeight="1" spans="1:27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84" t="str">
        <f t="shared" si="2"/>
        <v/>
      </c>
    </row>
    <row r="427" customHeight="1" spans="1: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84" t="str">
        <f t="shared" si="2"/>
        <v/>
      </c>
    </row>
    <row r="428" customHeight="1" spans="1:27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84" t="str">
        <f t="shared" si="2"/>
        <v/>
      </c>
    </row>
    <row r="429" customHeight="1" spans="1:27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84" t="str">
        <f t="shared" si="2"/>
        <v/>
      </c>
    </row>
    <row r="430" customHeight="1" spans="1:27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84" t="str">
        <f t="shared" si="2"/>
        <v/>
      </c>
    </row>
    <row r="431" customHeight="1" spans="1:27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84" t="str">
        <f t="shared" si="2"/>
        <v/>
      </c>
    </row>
    <row r="432" customHeight="1" spans="1:27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84" t="str">
        <f t="shared" si="2"/>
        <v/>
      </c>
    </row>
    <row r="433" customHeight="1" spans="1:27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84" t="str">
        <f t="shared" si="2"/>
        <v/>
      </c>
    </row>
    <row r="434" customHeight="1" spans="1:27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84" t="str">
        <f t="shared" si="2"/>
        <v/>
      </c>
    </row>
    <row r="435" customHeight="1" spans="1:27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84" t="str">
        <f t="shared" si="2"/>
        <v/>
      </c>
    </row>
    <row r="436" customHeight="1" spans="1:27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84" t="str">
        <f t="shared" si="2"/>
        <v/>
      </c>
    </row>
    <row r="437" customHeight="1" spans="1:2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84" t="str">
        <f t="shared" si="2"/>
        <v/>
      </c>
    </row>
    <row r="438" customHeight="1" spans="1:27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84" t="str">
        <f t="shared" si="2"/>
        <v/>
      </c>
    </row>
    <row r="439" customHeight="1" spans="1:27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84" t="str">
        <f t="shared" si="2"/>
        <v/>
      </c>
    </row>
    <row r="440" customHeight="1" spans="1:27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84" t="str">
        <f t="shared" si="2"/>
        <v/>
      </c>
    </row>
    <row r="441" customHeight="1" spans="1:27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84" t="str">
        <f t="shared" si="2"/>
        <v/>
      </c>
    </row>
    <row r="442" customHeight="1" spans="1:27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84" t="str">
        <f t="shared" si="2"/>
        <v/>
      </c>
    </row>
    <row r="443" customHeight="1" spans="1:27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84" t="str">
        <f t="shared" si="2"/>
        <v/>
      </c>
    </row>
    <row r="444" customHeight="1" spans="1:27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84" t="str">
        <f t="shared" si="2"/>
        <v/>
      </c>
    </row>
    <row r="445" customHeight="1" spans="1:27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84" t="str">
        <f t="shared" si="2"/>
        <v/>
      </c>
    </row>
    <row r="446" customHeight="1" spans="1:27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84" t="str">
        <f t="shared" si="2"/>
        <v/>
      </c>
    </row>
    <row r="447" customHeight="1" spans="1:2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84" t="str">
        <f t="shared" si="2"/>
        <v/>
      </c>
    </row>
    <row r="448" customHeight="1" spans="1:27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84" t="str">
        <f t="shared" si="2"/>
        <v/>
      </c>
    </row>
    <row r="449" customHeight="1" spans="1:27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84" t="str">
        <f t="shared" si="2"/>
        <v/>
      </c>
    </row>
    <row r="450" customHeight="1" spans="1:27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84" t="str">
        <f t="shared" si="2"/>
        <v/>
      </c>
    </row>
    <row r="451" customHeight="1" spans="1:27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84" t="str">
        <f t="shared" si="2"/>
        <v/>
      </c>
    </row>
    <row r="452" customHeight="1" spans="1:27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84" t="str">
        <f t="shared" si="2"/>
        <v/>
      </c>
    </row>
    <row r="453" customHeight="1" spans="1:27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84" t="str">
        <f t="shared" si="2"/>
        <v/>
      </c>
    </row>
    <row r="454" customHeight="1" spans="1:27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84" t="str">
        <f t="shared" si="2"/>
        <v/>
      </c>
    </row>
    <row r="455" customHeight="1" spans="1:27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84" t="str">
        <f t="shared" si="2"/>
        <v/>
      </c>
    </row>
    <row r="456" customHeight="1" spans="1:27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84" t="str">
        <f t="shared" si="2"/>
        <v/>
      </c>
    </row>
    <row r="457" customHeight="1" spans="1:2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84" t="str">
        <f t="shared" si="2"/>
        <v/>
      </c>
    </row>
    <row r="458" customHeight="1" spans="1:27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84" t="str">
        <f t="shared" si="2"/>
        <v/>
      </c>
    </row>
    <row r="459" customHeight="1" spans="1:27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84" t="str">
        <f t="shared" si="2"/>
        <v/>
      </c>
    </row>
    <row r="460" customHeight="1" spans="1:27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84" t="str">
        <f t="shared" si="2"/>
        <v/>
      </c>
    </row>
    <row r="461" customHeight="1" spans="1:27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84" t="str">
        <f t="shared" si="2"/>
        <v/>
      </c>
    </row>
    <row r="462" customHeight="1" spans="1:27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84" t="str">
        <f t="shared" si="2"/>
        <v/>
      </c>
    </row>
    <row r="463" customHeight="1" spans="1:27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84" t="str">
        <f t="shared" si="2"/>
        <v/>
      </c>
    </row>
    <row r="464" customHeight="1" spans="1:27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84" t="str">
        <f t="shared" si="2"/>
        <v/>
      </c>
    </row>
    <row r="465" customHeight="1" spans="1:27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84" t="str">
        <f t="shared" si="2"/>
        <v/>
      </c>
    </row>
    <row r="466" customHeight="1" spans="1:27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84" t="str">
        <f t="shared" si="2"/>
        <v/>
      </c>
    </row>
    <row r="467" customHeight="1" spans="1:2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84" t="str">
        <f t="shared" si="2"/>
        <v/>
      </c>
    </row>
    <row r="468" customHeight="1" spans="1:27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84" t="str">
        <f t="shared" si="2"/>
        <v/>
      </c>
    </row>
    <row r="469" customHeight="1" spans="1:27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84" t="str">
        <f t="shared" si="2"/>
        <v/>
      </c>
    </row>
    <row r="470" customHeight="1" spans="1:27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84" t="str">
        <f t="shared" si="2"/>
        <v/>
      </c>
    </row>
    <row r="471" customHeight="1" spans="1:27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84" t="str">
        <f t="shared" si="2"/>
        <v/>
      </c>
    </row>
    <row r="472" customHeight="1" spans="1:27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84" t="str">
        <f t="shared" si="2"/>
        <v/>
      </c>
    </row>
    <row r="473" customHeight="1" spans="1:27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84" t="str">
        <f t="shared" si="2"/>
        <v/>
      </c>
    </row>
    <row r="474" customHeight="1" spans="1:27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84" t="str">
        <f t="shared" si="2"/>
        <v/>
      </c>
    </row>
    <row r="475" customHeight="1" spans="1:27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84" t="str">
        <f t="shared" si="2"/>
        <v/>
      </c>
    </row>
    <row r="476" customHeight="1" spans="1:27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84" t="str">
        <f t="shared" si="2"/>
        <v/>
      </c>
    </row>
    <row r="477" customHeight="1" spans="1:2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84" t="str">
        <f t="shared" si="2"/>
        <v/>
      </c>
    </row>
    <row r="478" customHeight="1" spans="1:27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84" t="str">
        <f t="shared" si="2"/>
        <v/>
      </c>
    </row>
    <row r="479" customHeight="1" spans="1:27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84" t="str">
        <f t="shared" si="2"/>
        <v/>
      </c>
    </row>
    <row r="480" customHeight="1" spans="1:27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84" t="str">
        <f t="shared" si="2"/>
        <v/>
      </c>
    </row>
    <row r="481" customHeight="1" spans="1:27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84" t="str">
        <f t="shared" si="2"/>
        <v/>
      </c>
    </row>
    <row r="482" customHeight="1" spans="1:27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84" t="str">
        <f t="shared" si="2"/>
        <v/>
      </c>
    </row>
    <row r="483" customHeight="1" spans="1:27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84" t="str">
        <f t="shared" si="2"/>
        <v/>
      </c>
    </row>
    <row r="484" customHeight="1" spans="1:27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84" t="str">
        <f t="shared" si="2"/>
        <v/>
      </c>
    </row>
    <row r="485" customHeight="1" spans="1:27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84" t="str">
        <f t="shared" si="2"/>
        <v/>
      </c>
    </row>
    <row r="486" customHeight="1" spans="1:27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84" t="str">
        <f t="shared" si="2"/>
        <v/>
      </c>
    </row>
    <row r="487" customHeight="1" spans="1:2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84" t="str">
        <f t="shared" si="2"/>
        <v/>
      </c>
    </row>
    <row r="488" customHeight="1" spans="1:27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84" t="str">
        <f t="shared" si="2"/>
        <v/>
      </c>
    </row>
    <row r="489" customHeight="1" spans="1:27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84" t="str">
        <f t="shared" si="2"/>
        <v/>
      </c>
    </row>
    <row r="490" customHeight="1" spans="1:27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84" t="str">
        <f t="shared" si="2"/>
        <v/>
      </c>
    </row>
    <row r="491" customHeight="1" spans="1:27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84" t="str">
        <f t="shared" si="2"/>
        <v/>
      </c>
    </row>
    <row r="492" customHeight="1" spans="1:27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84" t="str">
        <f t="shared" si="2"/>
        <v/>
      </c>
    </row>
    <row r="493" customHeight="1" spans="1:27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84" t="str">
        <f t="shared" si="2"/>
        <v/>
      </c>
    </row>
    <row r="494" customHeight="1" spans="1:27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84" t="str">
        <f t="shared" si="2"/>
        <v/>
      </c>
    </row>
    <row r="495" customHeight="1" spans="1:27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84" t="str">
        <f t="shared" si="2"/>
        <v/>
      </c>
    </row>
    <row r="496" customHeight="1" spans="1:27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84" t="str">
        <f t="shared" si="2"/>
        <v/>
      </c>
    </row>
    <row r="497" customHeight="1" spans="1:2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84" t="str">
        <f t="shared" si="2"/>
        <v/>
      </c>
    </row>
    <row r="498" customHeight="1" spans="1:27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84" t="str">
        <f t="shared" si="2"/>
        <v/>
      </c>
    </row>
    <row r="499" customHeight="1" spans="1:27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84" t="str">
        <f t="shared" si="2"/>
        <v/>
      </c>
    </row>
    <row r="500" customHeight="1" spans="1:27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84" t="str">
        <f t="shared" si="2"/>
        <v/>
      </c>
    </row>
    <row r="501" customHeight="1" spans="1:27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84" t="str">
        <f t="shared" si="2"/>
        <v/>
      </c>
    </row>
    <row r="502" customHeight="1" spans="1:27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84" t="str">
        <f t="shared" si="2"/>
        <v/>
      </c>
    </row>
    <row r="503" customHeight="1" spans="1:27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84" t="str">
        <f t="shared" si="2"/>
        <v/>
      </c>
    </row>
    <row r="504" customHeight="1" spans="1:27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84" t="str">
        <f t="shared" si="2"/>
        <v/>
      </c>
    </row>
    <row r="505" customHeight="1" spans="1:27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84" t="str">
        <f t="shared" si="2"/>
        <v/>
      </c>
    </row>
    <row r="506" customHeight="1" spans="1:27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84" t="str">
        <f t="shared" si="2"/>
        <v/>
      </c>
    </row>
    <row r="507" customHeight="1" spans="1:2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84" t="str">
        <f t="shared" si="2"/>
        <v/>
      </c>
    </row>
    <row r="508" customHeight="1" spans="1:27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84" t="str">
        <f t="shared" si="2"/>
        <v/>
      </c>
    </row>
    <row r="509" customHeight="1" spans="1:27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84" t="str">
        <f t="shared" si="2"/>
        <v/>
      </c>
    </row>
    <row r="510" customHeight="1" spans="1:27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84" t="str">
        <f t="shared" si="2"/>
        <v/>
      </c>
    </row>
    <row r="511" customHeight="1" spans="1:27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84" t="str">
        <f t="shared" si="2"/>
        <v/>
      </c>
    </row>
    <row r="512" customHeight="1" spans="1:27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84" t="str">
        <f t="shared" si="2"/>
        <v/>
      </c>
    </row>
    <row r="513" customHeight="1" spans="1:27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84" t="str">
        <f t="shared" si="2"/>
        <v/>
      </c>
    </row>
    <row r="514" customHeight="1" spans="1:27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84" t="str">
        <f t="shared" si="2"/>
        <v/>
      </c>
    </row>
    <row r="515" customHeight="1" spans="1:27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84" t="str">
        <f t="shared" si="2"/>
        <v/>
      </c>
    </row>
    <row r="516" customHeight="1" spans="1:27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84" t="str">
        <f t="shared" si="2"/>
        <v/>
      </c>
    </row>
    <row r="517" customHeight="1" spans="1:2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84" t="str">
        <f t="shared" si="2"/>
        <v/>
      </c>
    </row>
    <row r="518" customHeight="1" spans="1:27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84" t="str">
        <f t="shared" si="2"/>
        <v/>
      </c>
    </row>
    <row r="519" customHeight="1" spans="1:27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84" t="str">
        <f t="shared" si="2"/>
        <v/>
      </c>
    </row>
    <row r="520" customHeight="1" spans="1:27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84" t="str">
        <f t="shared" si="2"/>
        <v/>
      </c>
    </row>
    <row r="521" customHeight="1" spans="1:27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84" t="str">
        <f t="shared" si="2"/>
        <v/>
      </c>
    </row>
    <row r="522" customHeight="1" spans="1:27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84" t="str">
        <f t="shared" si="2"/>
        <v/>
      </c>
    </row>
    <row r="523" customHeight="1" spans="1:27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84" t="str">
        <f t="shared" si="2"/>
        <v/>
      </c>
    </row>
    <row r="524" customHeight="1" spans="1:27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84" t="str">
        <f t="shared" si="2"/>
        <v/>
      </c>
    </row>
    <row r="525" customHeight="1" spans="1:27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84" t="str">
        <f t="shared" si="2"/>
        <v/>
      </c>
    </row>
    <row r="526" customHeight="1" spans="1:27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84" t="str">
        <f t="shared" si="2"/>
        <v/>
      </c>
    </row>
    <row r="527" customHeight="1" spans="1: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84" t="str">
        <f t="shared" si="2"/>
        <v/>
      </c>
    </row>
    <row r="528" customHeight="1" spans="1:27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84" t="str">
        <f t="shared" si="2"/>
        <v/>
      </c>
    </row>
    <row r="529" customHeight="1" spans="1:27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84" t="str">
        <f t="shared" si="2"/>
        <v/>
      </c>
    </row>
    <row r="530" customHeight="1" spans="1:27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84" t="str">
        <f t="shared" si="2"/>
        <v/>
      </c>
    </row>
    <row r="531" customHeight="1" spans="1:27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84" t="str">
        <f t="shared" si="2"/>
        <v/>
      </c>
    </row>
    <row r="532" customHeight="1" spans="1:27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84" t="str">
        <f t="shared" si="2"/>
        <v/>
      </c>
    </row>
    <row r="533" customHeight="1" spans="1:27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84" t="str">
        <f t="shared" si="2"/>
        <v/>
      </c>
    </row>
    <row r="534" customHeight="1" spans="1:27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84" t="str">
        <f t="shared" si="2"/>
        <v/>
      </c>
    </row>
    <row r="535" customHeight="1" spans="1:27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84" t="str">
        <f t="shared" si="2"/>
        <v/>
      </c>
    </row>
    <row r="536" customHeight="1" spans="1:27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84" t="str">
        <f t="shared" si="2"/>
        <v/>
      </c>
    </row>
    <row r="537" customHeight="1" spans="1:2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84" t="str">
        <f t="shared" si="2"/>
        <v/>
      </c>
    </row>
    <row r="538" customHeight="1" spans="1:27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84" t="str">
        <f t="shared" si="2"/>
        <v/>
      </c>
    </row>
    <row r="539" customHeight="1" spans="1:27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84" t="str">
        <f t="shared" si="2"/>
        <v/>
      </c>
    </row>
    <row r="540" customHeight="1" spans="1:27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84" t="str">
        <f t="shared" si="2"/>
        <v/>
      </c>
    </row>
    <row r="541" customHeight="1" spans="1:27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84" t="str">
        <f t="shared" si="2"/>
        <v/>
      </c>
    </row>
    <row r="542" customHeight="1" spans="1:27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84" t="str">
        <f t="shared" si="2"/>
        <v/>
      </c>
    </row>
    <row r="543" customHeight="1" spans="1:27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84" t="str">
        <f t="shared" si="2"/>
        <v/>
      </c>
    </row>
    <row r="544" customHeight="1" spans="1:27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84" t="str">
        <f t="shared" si="2"/>
        <v/>
      </c>
    </row>
    <row r="545" customHeight="1" spans="1:27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84" t="str">
        <f t="shared" si="2"/>
        <v/>
      </c>
    </row>
    <row r="546" customHeight="1" spans="1:27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84" t="str">
        <f t="shared" si="2"/>
        <v/>
      </c>
    </row>
    <row r="547" customHeight="1" spans="1:2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84" t="str">
        <f t="shared" si="2"/>
        <v/>
      </c>
    </row>
    <row r="548" customHeight="1" spans="1:27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84" t="str">
        <f t="shared" si="2"/>
        <v/>
      </c>
    </row>
    <row r="549" customHeight="1" spans="1:27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84" t="str">
        <f t="shared" si="2"/>
        <v/>
      </c>
    </row>
    <row r="550" customHeight="1" spans="1:27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84" t="str">
        <f t="shared" si="2"/>
        <v/>
      </c>
    </row>
    <row r="551" customHeight="1" spans="1:27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84" t="str">
        <f t="shared" si="2"/>
        <v/>
      </c>
    </row>
    <row r="552" customHeight="1" spans="1:27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84" t="str">
        <f t="shared" si="2"/>
        <v/>
      </c>
    </row>
    <row r="553" customHeight="1" spans="1:27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84" t="str">
        <f t="shared" si="2"/>
        <v/>
      </c>
    </row>
    <row r="554" customHeight="1" spans="1:27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84" t="str">
        <f t="shared" si="2"/>
        <v/>
      </c>
    </row>
    <row r="555" customHeight="1" spans="1:27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84" t="str">
        <f t="shared" si="2"/>
        <v/>
      </c>
    </row>
    <row r="556" customHeight="1" spans="1:27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84" t="str">
        <f t="shared" si="2"/>
        <v/>
      </c>
    </row>
    <row r="557" customHeight="1" spans="1:2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84" t="str">
        <f t="shared" si="2"/>
        <v/>
      </c>
    </row>
    <row r="558" customHeight="1" spans="1:27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84" t="str">
        <f t="shared" si="2"/>
        <v/>
      </c>
    </row>
    <row r="559" customHeight="1" spans="1:27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84" t="str">
        <f t="shared" si="2"/>
        <v/>
      </c>
    </row>
    <row r="560" customHeight="1" spans="1:27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84" t="str">
        <f t="shared" si="2"/>
        <v/>
      </c>
    </row>
    <row r="561" customHeight="1" spans="1:27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84" t="str">
        <f t="shared" si="2"/>
        <v/>
      </c>
    </row>
    <row r="562" customHeight="1" spans="1:27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84" t="str">
        <f t="shared" si="2"/>
        <v/>
      </c>
    </row>
    <row r="563" customHeight="1" spans="1:27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84" t="str">
        <f t="shared" si="2"/>
        <v/>
      </c>
    </row>
    <row r="564" customHeight="1" spans="1:27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84" t="str">
        <f t="shared" si="2"/>
        <v/>
      </c>
    </row>
    <row r="565" customHeight="1" spans="1:27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84" t="str">
        <f t="shared" si="2"/>
        <v/>
      </c>
    </row>
    <row r="566" customHeight="1" spans="1:27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84" t="str">
        <f t="shared" si="2"/>
        <v/>
      </c>
    </row>
    <row r="567" customHeight="1" spans="1:2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84" t="str">
        <f t="shared" si="2"/>
        <v/>
      </c>
    </row>
    <row r="568" customHeight="1" spans="1:27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84" t="str">
        <f t="shared" si="2"/>
        <v/>
      </c>
    </row>
    <row r="569" customHeight="1" spans="1:27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84" t="str">
        <f t="shared" si="2"/>
        <v/>
      </c>
    </row>
    <row r="570" customHeight="1" spans="1:27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84" t="str">
        <f t="shared" si="2"/>
        <v/>
      </c>
    </row>
    <row r="571" customHeight="1" spans="1:27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84" t="str">
        <f t="shared" si="2"/>
        <v/>
      </c>
    </row>
    <row r="572" customHeight="1" spans="1:27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84" t="str">
        <f t="shared" si="2"/>
        <v/>
      </c>
    </row>
    <row r="573" customHeight="1" spans="1:27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84" t="str">
        <f t="shared" si="2"/>
        <v/>
      </c>
    </row>
    <row r="574" customHeight="1" spans="1:27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84" t="str">
        <f t="shared" si="2"/>
        <v/>
      </c>
    </row>
    <row r="575" customHeight="1" spans="1:27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84" t="str">
        <f t="shared" si="2"/>
        <v/>
      </c>
    </row>
    <row r="576" customHeight="1" spans="1:27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84" t="str">
        <f t="shared" si="2"/>
        <v/>
      </c>
    </row>
    <row r="577" customHeight="1" spans="1:2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84" t="str">
        <f t="shared" si="2"/>
        <v/>
      </c>
    </row>
    <row r="578" customHeight="1" spans="1:27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84" t="str">
        <f t="shared" si="2"/>
        <v/>
      </c>
    </row>
    <row r="579" customHeight="1" spans="1:27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84" t="str">
        <f t="shared" si="2"/>
        <v/>
      </c>
    </row>
    <row r="580" customHeight="1" spans="1:27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84" t="str">
        <f t="shared" si="2"/>
        <v/>
      </c>
    </row>
    <row r="581" customHeight="1" spans="1:27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84" t="str">
        <f t="shared" si="2"/>
        <v/>
      </c>
    </row>
    <row r="582" customHeight="1" spans="1:27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84" t="str">
        <f t="shared" si="2"/>
        <v/>
      </c>
    </row>
    <row r="583" customHeight="1" spans="1:27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84" t="str">
        <f t="shared" si="2"/>
        <v/>
      </c>
    </row>
    <row r="584" customHeight="1" spans="1:27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84" t="str">
        <f t="shared" si="2"/>
        <v/>
      </c>
    </row>
    <row r="585" customHeight="1" spans="1:27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84" t="str">
        <f t="shared" si="2"/>
        <v/>
      </c>
    </row>
    <row r="586" customHeight="1" spans="1:27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84" t="str">
        <f t="shared" si="2"/>
        <v/>
      </c>
    </row>
    <row r="587" customHeight="1" spans="1:2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84" t="str">
        <f t="shared" si="2"/>
        <v/>
      </c>
    </row>
    <row r="588" customHeight="1" spans="1:27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84" t="str">
        <f t="shared" si="2"/>
        <v/>
      </c>
    </row>
    <row r="589" customHeight="1" spans="1:27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84" t="str">
        <f t="shared" si="2"/>
        <v/>
      </c>
    </row>
    <row r="590" customHeight="1" spans="1:27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84" t="str">
        <f t="shared" si="2"/>
        <v/>
      </c>
    </row>
    <row r="591" customHeight="1" spans="1:27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84" t="str">
        <f t="shared" si="2"/>
        <v/>
      </c>
    </row>
    <row r="592" customHeight="1" spans="1:27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84" t="str">
        <f t="shared" si="2"/>
        <v/>
      </c>
    </row>
    <row r="593" customHeight="1" spans="1:27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84" t="str">
        <f t="shared" si="2"/>
        <v/>
      </c>
    </row>
    <row r="594" customHeight="1" spans="1:27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84" t="str">
        <f t="shared" si="2"/>
        <v/>
      </c>
    </row>
    <row r="595" customHeight="1" spans="1:27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84" t="str">
        <f t="shared" si="2"/>
        <v/>
      </c>
    </row>
    <row r="596" customHeight="1" spans="1:27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84" t="str">
        <f t="shared" si="2"/>
        <v/>
      </c>
    </row>
    <row r="597" customHeight="1" spans="1:2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84" t="str">
        <f t="shared" si="2"/>
        <v/>
      </c>
    </row>
    <row r="598" customHeight="1" spans="1:27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84" t="str">
        <f t="shared" si="2"/>
        <v/>
      </c>
    </row>
    <row r="599" customHeight="1" spans="1:27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84" t="str">
        <f t="shared" si="2"/>
        <v/>
      </c>
    </row>
    <row r="600" customHeight="1" spans="1:27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84" t="str">
        <f t="shared" si="2"/>
        <v/>
      </c>
    </row>
    <row r="601" customHeight="1" spans="1:27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84" t="str">
        <f t="shared" si="2"/>
        <v/>
      </c>
    </row>
    <row r="602" customHeight="1" spans="1:27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84" t="str">
        <f t="shared" si="2"/>
        <v/>
      </c>
    </row>
    <row r="603" customHeight="1" spans="1:27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84" t="str">
        <f t="shared" si="2"/>
        <v/>
      </c>
    </row>
    <row r="604" customHeight="1" spans="1:27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84" t="str">
        <f t="shared" si="2"/>
        <v/>
      </c>
    </row>
    <row r="605" customHeight="1" spans="1:27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84" t="str">
        <f t="shared" si="2"/>
        <v/>
      </c>
    </row>
    <row r="606" customHeight="1" spans="1:27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84" t="str">
        <f t="shared" si="2"/>
        <v/>
      </c>
    </row>
    <row r="607" customHeight="1" spans="1:2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84" t="str">
        <f t="shared" si="2"/>
        <v/>
      </c>
    </row>
    <row r="608" customHeight="1" spans="1:27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84" t="str">
        <f t="shared" si="2"/>
        <v/>
      </c>
    </row>
    <row r="609" customHeight="1" spans="1:27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84" t="str">
        <f t="shared" si="2"/>
        <v/>
      </c>
    </row>
    <row r="610" customHeight="1" spans="1:27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84" t="str">
        <f t="shared" si="2"/>
        <v/>
      </c>
    </row>
    <row r="611" customHeight="1" spans="1:27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84" t="str">
        <f t="shared" si="2"/>
        <v/>
      </c>
    </row>
    <row r="612" customHeight="1" spans="1:27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84" t="str">
        <f t="shared" si="2"/>
        <v/>
      </c>
    </row>
    <row r="613" customHeight="1" spans="1:27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84" t="str">
        <f t="shared" si="2"/>
        <v/>
      </c>
    </row>
    <row r="614" customHeight="1" spans="1:27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84" t="str">
        <f t="shared" si="2"/>
        <v/>
      </c>
    </row>
    <row r="615" customHeight="1" spans="1:27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84" t="str">
        <f t="shared" si="2"/>
        <v/>
      </c>
    </row>
    <row r="616" customHeight="1" spans="1:27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84" t="str">
        <f t="shared" si="2"/>
        <v/>
      </c>
    </row>
    <row r="617" customHeight="1" spans="1:2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84" t="str">
        <f t="shared" si="2"/>
        <v/>
      </c>
    </row>
    <row r="618" customHeight="1" spans="1:27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84" t="str">
        <f t="shared" si="2"/>
        <v/>
      </c>
    </row>
    <row r="619" customHeight="1" spans="1:27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84" t="str">
        <f t="shared" si="2"/>
        <v/>
      </c>
    </row>
    <row r="620" customHeight="1" spans="1:27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84" t="str">
        <f t="shared" si="2"/>
        <v/>
      </c>
    </row>
    <row r="621" customHeight="1" spans="1:27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84" t="str">
        <f t="shared" si="2"/>
        <v/>
      </c>
    </row>
    <row r="622" customHeight="1" spans="1:27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84" t="str">
        <f t="shared" si="2"/>
        <v/>
      </c>
    </row>
    <row r="623" customHeight="1" spans="1:27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84" t="str">
        <f t="shared" si="2"/>
        <v/>
      </c>
    </row>
    <row r="624" customHeight="1" spans="1:27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84" t="str">
        <f t="shared" si="2"/>
        <v/>
      </c>
    </row>
    <row r="625" customHeight="1" spans="1:27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84" t="str">
        <f t="shared" si="2"/>
        <v/>
      </c>
    </row>
    <row r="626" customHeight="1" spans="1:27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84" t="str">
        <f t="shared" si="2"/>
        <v/>
      </c>
    </row>
    <row r="627" customHeight="1" spans="1: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84" t="str">
        <f t="shared" si="2"/>
        <v/>
      </c>
    </row>
    <row r="628" customHeight="1" spans="1:27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84" t="str">
        <f t="shared" si="2"/>
        <v/>
      </c>
    </row>
    <row r="629" customHeight="1" spans="1:27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84" t="str">
        <f t="shared" si="2"/>
        <v/>
      </c>
    </row>
    <row r="630" customHeight="1" spans="1:27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84" t="str">
        <f t="shared" si="2"/>
        <v/>
      </c>
    </row>
    <row r="631" customHeight="1" spans="1:27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84" t="str">
        <f t="shared" si="2"/>
        <v/>
      </c>
    </row>
    <row r="632" customHeight="1" spans="1:27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84" t="str">
        <f t="shared" si="2"/>
        <v/>
      </c>
    </row>
    <row r="633" customHeight="1" spans="1:27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84" t="str">
        <f t="shared" si="2"/>
        <v/>
      </c>
    </row>
    <row r="634" customHeight="1" spans="1:27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84" t="str">
        <f t="shared" si="2"/>
        <v/>
      </c>
    </row>
    <row r="635" customHeight="1" spans="1:27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84" t="str">
        <f t="shared" si="2"/>
        <v/>
      </c>
    </row>
    <row r="636" customHeight="1" spans="1:27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84" t="str">
        <f t="shared" si="2"/>
        <v/>
      </c>
    </row>
    <row r="637" customHeight="1" spans="1:2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84" t="str">
        <f t="shared" si="2"/>
        <v/>
      </c>
    </row>
    <row r="638" customHeight="1" spans="1:27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84" t="str">
        <f t="shared" si="2"/>
        <v/>
      </c>
    </row>
    <row r="639" customHeight="1" spans="1:27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84" t="str">
        <f t="shared" si="2"/>
        <v/>
      </c>
    </row>
    <row r="640" customHeight="1" spans="1:27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84" t="str">
        <f t="shared" si="2"/>
        <v/>
      </c>
    </row>
    <row r="641" customHeight="1" spans="1:27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84" t="str">
        <f t="shared" si="2"/>
        <v/>
      </c>
    </row>
    <row r="642" customHeight="1" spans="1:27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84" t="str">
        <f t="shared" si="2"/>
        <v/>
      </c>
    </row>
    <row r="643" customHeight="1" spans="1:27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84" t="str">
        <f t="shared" si="2"/>
        <v/>
      </c>
    </row>
    <row r="644" customHeight="1" spans="1:27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84" t="str">
        <f t="shared" si="2"/>
        <v/>
      </c>
    </row>
    <row r="645" customHeight="1" spans="1:27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84" t="str">
        <f t="shared" si="2"/>
        <v/>
      </c>
    </row>
    <row r="646" customHeight="1" spans="1:27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84" t="str">
        <f t="shared" si="2"/>
        <v/>
      </c>
    </row>
    <row r="647" customHeight="1" spans="1:2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84" t="str">
        <f t="shared" si="2"/>
        <v/>
      </c>
    </row>
    <row r="648" customHeight="1" spans="1:27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84" t="str">
        <f t="shared" si="2"/>
        <v/>
      </c>
    </row>
    <row r="649" customHeight="1" spans="1:27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84" t="str">
        <f t="shared" si="2"/>
        <v/>
      </c>
    </row>
    <row r="650" customHeight="1" spans="1:27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84" t="str">
        <f t="shared" si="2"/>
        <v/>
      </c>
    </row>
    <row r="651" customHeight="1" spans="1:27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84" t="str">
        <f t="shared" si="2"/>
        <v/>
      </c>
    </row>
    <row r="652" customHeight="1" spans="1:27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84" t="str">
        <f t="shared" si="2"/>
        <v/>
      </c>
    </row>
    <row r="653" customHeight="1" spans="1:27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84" t="str">
        <f t="shared" si="2"/>
        <v/>
      </c>
    </row>
    <row r="654" customHeight="1" spans="1:27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84" t="str">
        <f t="shared" si="2"/>
        <v/>
      </c>
    </row>
    <row r="655" customHeight="1" spans="1:27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84" t="str">
        <f t="shared" si="2"/>
        <v/>
      </c>
    </row>
    <row r="656" customHeight="1" spans="1:27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84" t="str">
        <f t="shared" si="2"/>
        <v/>
      </c>
    </row>
    <row r="657" customHeight="1" spans="1:2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84" t="str">
        <f t="shared" si="2"/>
        <v/>
      </c>
    </row>
    <row r="658" customHeight="1" spans="1:27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84" t="str">
        <f t="shared" si="2"/>
        <v/>
      </c>
    </row>
    <row r="659" customHeight="1" spans="1:27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84" t="str">
        <f t="shared" si="2"/>
        <v/>
      </c>
    </row>
    <row r="660" customHeight="1" spans="1:27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84" t="str">
        <f t="shared" si="2"/>
        <v/>
      </c>
    </row>
    <row r="661" customHeight="1" spans="1:27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84" t="str">
        <f t="shared" si="2"/>
        <v/>
      </c>
    </row>
    <row r="662" customHeight="1" spans="1:27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84" t="str">
        <f t="shared" si="2"/>
        <v/>
      </c>
    </row>
    <row r="663" customHeight="1" spans="1:27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84" t="str">
        <f t="shared" si="2"/>
        <v/>
      </c>
    </row>
    <row r="664" customHeight="1" spans="1:27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84" t="str">
        <f t="shared" si="2"/>
        <v/>
      </c>
    </row>
    <row r="665" customHeight="1" spans="1:27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84" t="str">
        <f t="shared" si="2"/>
        <v/>
      </c>
    </row>
    <row r="666" customHeight="1" spans="1:27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84" t="str">
        <f t="shared" si="2"/>
        <v/>
      </c>
    </row>
    <row r="667" customHeight="1" spans="1:2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84" t="str">
        <f t="shared" si="2"/>
        <v/>
      </c>
    </row>
    <row r="668" customHeight="1" spans="1:27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84" t="str">
        <f t="shared" si="2"/>
        <v/>
      </c>
    </row>
    <row r="669" customHeight="1" spans="1:27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84" t="str">
        <f t="shared" si="2"/>
        <v/>
      </c>
    </row>
    <row r="670" customHeight="1" spans="1:27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84" t="str">
        <f t="shared" si="2"/>
        <v/>
      </c>
    </row>
    <row r="671" customHeight="1" spans="1:27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84" t="str">
        <f t="shared" si="2"/>
        <v/>
      </c>
    </row>
    <row r="672" customHeight="1" spans="1:27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84" t="str">
        <f t="shared" si="2"/>
        <v/>
      </c>
    </row>
    <row r="673" customHeight="1" spans="1:27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84" t="str">
        <f t="shared" si="2"/>
        <v/>
      </c>
    </row>
    <row r="674" customHeight="1" spans="1:27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84" t="str">
        <f t="shared" si="2"/>
        <v/>
      </c>
    </row>
    <row r="675" customHeight="1" spans="1:27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84" t="str">
        <f t="shared" si="2"/>
        <v/>
      </c>
    </row>
    <row r="676" customHeight="1" spans="1:27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84" t="str">
        <f t="shared" si="2"/>
        <v/>
      </c>
    </row>
    <row r="677" customHeight="1" spans="1:2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84" t="str">
        <f t="shared" si="2"/>
        <v/>
      </c>
    </row>
    <row r="678" customHeight="1" spans="1:27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84" t="str">
        <f t="shared" si="2"/>
        <v/>
      </c>
    </row>
    <row r="679" customHeight="1" spans="1:27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84" t="str">
        <f t="shared" si="2"/>
        <v/>
      </c>
    </row>
    <row r="680" customHeight="1" spans="1:27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84" t="str">
        <f t="shared" si="2"/>
        <v/>
      </c>
    </row>
    <row r="681" customHeight="1" spans="1:27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84" t="str">
        <f t="shared" si="2"/>
        <v/>
      </c>
    </row>
    <row r="682" customHeight="1" spans="1:27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84" t="str">
        <f t="shared" si="2"/>
        <v/>
      </c>
    </row>
    <row r="683" customHeight="1" spans="1:27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84" t="str">
        <f t="shared" si="2"/>
        <v/>
      </c>
    </row>
    <row r="684" customHeight="1" spans="1:27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84" t="str">
        <f t="shared" si="2"/>
        <v/>
      </c>
    </row>
    <row r="685" customHeight="1" spans="1:27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84" t="str">
        <f t="shared" si="2"/>
        <v/>
      </c>
    </row>
    <row r="686" customHeight="1" spans="1:27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84" t="str">
        <f t="shared" si="2"/>
        <v/>
      </c>
    </row>
    <row r="687" customHeight="1" spans="1:2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84" t="str">
        <f t="shared" si="2"/>
        <v/>
      </c>
    </row>
    <row r="688" customHeight="1" spans="1:27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84" t="str">
        <f t="shared" si="2"/>
        <v/>
      </c>
    </row>
    <row r="689" customHeight="1" spans="1:27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84" t="str">
        <f t="shared" si="2"/>
        <v/>
      </c>
    </row>
    <row r="690" customHeight="1" spans="1:27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84" t="str">
        <f t="shared" si="2"/>
        <v/>
      </c>
    </row>
    <row r="691" customHeight="1" spans="1:27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84" t="str">
        <f t="shared" si="2"/>
        <v/>
      </c>
    </row>
    <row r="692" customHeight="1" spans="1:27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84" t="str">
        <f t="shared" si="2"/>
        <v/>
      </c>
    </row>
    <row r="693" customHeight="1" spans="1:27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84" t="str">
        <f t="shared" si="2"/>
        <v/>
      </c>
    </row>
    <row r="694" customHeight="1" spans="1:27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84" t="str">
        <f t="shared" si="2"/>
        <v/>
      </c>
    </row>
    <row r="695" customHeight="1" spans="1:27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84" t="str">
        <f t="shared" si="2"/>
        <v/>
      </c>
    </row>
    <row r="696" customHeight="1" spans="1:27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84" t="str">
        <f t="shared" si="2"/>
        <v/>
      </c>
    </row>
    <row r="697" customHeight="1" spans="1:2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84" t="str">
        <f t="shared" si="2"/>
        <v/>
      </c>
    </row>
    <row r="698" customHeight="1" spans="1:27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84" t="str">
        <f t="shared" si="2"/>
        <v/>
      </c>
    </row>
    <row r="699" customHeight="1" spans="1:27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84" t="str">
        <f t="shared" si="2"/>
        <v/>
      </c>
    </row>
    <row r="700" customHeight="1" spans="1:27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84" t="str">
        <f t="shared" si="2"/>
        <v/>
      </c>
    </row>
    <row r="701" customHeight="1" spans="1:27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84" t="str">
        <f t="shared" si="2"/>
        <v/>
      </c>
    </row>
    <row r="702" customHeight="1" spans="1:27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84" t="str">
        <f t="shared" si="2"/>
        <v/>
      </c>
    </row>
    <row r="703" customHeight="1" spans="1:27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84" t="str">
        <f t="shared" si="2"/>
        <v/>
      </c>
    </row>
    <row r="704" customHeight="1" spans="1:27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84" t="str">
        <f t="shared" si="2"/>
        <v/>
      </c>
    </row>
    <row r="705" customHeight="1" spans="1:27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84" t="str">
        <f t="shared" si="2"/>
        <v/>
      </c>
    </row>
    <row r="706" customHeight="1" spans="1:27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84" t="str">
        <f t="shared" si="2"/>
        <v/>
      </c>
    </row>
    <row r="707" customHeight="1" spans="1:2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84" t="str">
        <f t="shared" si="2"/>
        <v/>
      </c>
    </row>
    <row r="708" customHeight="1" spans="1:27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84" t="str">
        <f t="shared" si="2"/>
        <v/>
      </c>
    </row>
    <row r="709" customHeight="1" spans="1:27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84" t="str">
        <f t="shared" si="2"/>
        <v/>
      </c>
    </row>
    <row r="710" customHeight="1" spans="1:27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84" t="str">
        <f t="shared" si="2"/>
        <v/>
      </c>
    </row>
    <row r="711" customHeight="1" spans="1:27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84" t="str">
        <f t="shared" si="2"/>
        <v/>
      </c>
    </row>
    <row r="712" customHeight="1" spans="1:27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84" t="str">
        <f t="shared" si="2"/>
        <v/>
      </c>
    </row>
    <row r="713" customHeight="1" spans="1:27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84" t="str">
        <f t="shared" si="2"/>
        <v/>
      </c>
    </row>
    <row r="714" customHeight="1" spans="1:27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84" t="str">
        <f t="shared" si="2"/>
        <v/>
      </c>
    </row>
    <row r="715" customHeight="1" spans="1:27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84" t="str">
        <f t="shared" si="2"/>
        <v/>
      </c>
    </row>
    <row r="716" customHeight="1" spans="1:27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84" t="str">
        <f t="shared" si="2"/>
        <v/>
      </c>
    </row>
    <row r="717" customHeight="1" spans="1:2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84" t="str">
        <f t="shared" si="2"/>
        <v/>
      </c>
    </row>
    <row r="718" customHeight="1" spans="1:27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84" t="str">
        <f t="shared" si="2"/>
        <v/>
      </c>
    </row>
    <row r="719" customHeight="1" spans="1:27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84" t="str">
        <f t="shared" si="2"/>
        <v/>
      </c>
    </row>
    <row r="720" customHeight="1" spans="1:27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84" t="str">
        <f t="shared" si="2"/>
        <v/>
      </c>
    </row>
    <row r="721" customHeight="1" spans="1:27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84" t="str">
        <f t="shared" si="2"/>
        <v/>
      </c>
    </row>
    <row r="722" customHeight="1" spans="1:27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84" t="str">
        <f t="shared" si="2"/>
        <v/>
      </c>
    </row>
    <row r="723" customHeight="1" spans="1:27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84" t="str">
        <f t="shared" si="2"/>
        <v/>
      </c>
    </row>
    <row r="724" customHeight="1" spans="1:27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84" t="str">
        <f t="shared" si="2"/>
        <v/>
      </c>
    </row>
    <row r="725" customHeight="1" spans="1:27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84" t="str">
        <f t="shared" si="2"/>
        <v/>
      </c>
    </row>
    <row r="726" customHeight="1" spans="1:27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84" t="str">
        <f t="shared" si="2"/>
        <v/>
      </c>
    </row>
    <row r="727" customHeight="1" spans="1: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84" t="str">
        <f t="shared" si="2"/>
        <v/>
      </c>
    </row>
    <row r="728" customHeight="1" spans="1:27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84" t="str">
        <f t="shared" si="2"/>
        <v/>
      </c>
    </row>
    <row r="729" customHeight="1" spans="1:27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84" t="str">
        <f t="shared" si="2"/>
        <v/>
      </c>
    </row>
    <row r="730" customHeight="1" spans="1:27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84" t="str">
        <f t="shared" si="2"/>
        <v/>
      </c>
    </row>
    <row r="731" customHeight="1" spans="1:27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84" t="str">
        <f t="shared" si="2"/>
        <v/>
      </c>
    </row>
    <row r="732" customHeight="1" spans="1:27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84" t="str">
        <f t="shared" si="2"/>
        <v/>
      </c>
    </row>
    <row r="733" customHeight="1" spans="1:27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84" t="str">
        <f t="shared" si="2"/>
        <v/>
      </c>
    </row>
    <row r="734" customHeight="1" spans="1:27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84" t="str">
        <f t="shared" si="2"/>
        <v/>
      </c>
    </row>
    <row r="735" customHeight="1" spans="1:27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84" t="str">
        <f t="shared" si="2"/>
        <v/>
      </c>
    </row>
    <row r="736" customHeight="1" spans="1:27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84" t="str">
        <f t="shared" si="2"/>
        <v/>
      </c>
    </row>
    <row r="737" customHeight="1" spans="1:2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84" t="str">
        <f t="shared" si="2"/>
        <v/>
      </c>
    </row>
    <row r="738" customHeight="1" spans="1:27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84" t="str">
        <f t="shared" si="2"/>
        <v/>
      </c>
    </row>
    <row r="739" customHeight="1" spans="1:27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84" t="str">
        <f t="shared" si="2"/>
        <v/>
      </c>
    </row>
    <row r="740" customHeight="1" spans="1:27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84" t="str">
        <f t="shared" si="2"/>
        <v/>
      </c>
    </row>
    <row r="741" customHeight="1" spans="1:27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84" t="str">
        <f t="shared" si="2"/>
        <v/>
      </c>
    </row>
    <row r="742" customHeight="1" spans="1:27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84" t="str">
        <f t="shared" si="2"/>
        <v/>
      </c>
    </row>
    <row r="743" customHeight="1" spans="1:27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84" t="str">
        <f t="shared" si="2"/>
        <v/>
      </c>
    </row>
    <row r="744" customHeight="1" spans="1:27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84" t="str">
        <f t="shared" si="2"/>
        <v/>
      </c>
    </row>
    <row r="745" customHeight="1" spans="1:27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84" t="str">
        <f t="shared" si="2"/>
        <v/>
      </c>
    </row>
    <row r="746" customHeight="1" spans="1:27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84" t="str">
        <f t="shared" si="2"/>
        <v/>
      </c>
    </row>
    <row r="747" customHeight="1" spans="1:2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84" t="str">
        <f t="shared" si="2"/>
        <v/>
      </c>
    </row>
    <row r="748" customHeight="1" spans="1:27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84" t="str">
        <f t="shared" si="2"/>
        <v/>
      </c>
    </row>
    <row r="749" customHeight="1" spans="1:27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84" t="str">
        <f t="shared" si="2"/>
        <v/>
      </c>
    </row>
    <row r="750" customHeight="1" spans="1:27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84" t="str">
        <f t="shared" si="2"/>
        <v/>
      </c>
    </row>
    <row r="751" customHeight="1" spans="1:27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84" t="str">
        <f t="shared" si="2"/>
        <v/>
      </c>
    </row>
    <row r="752" customHeight="1" spans="1:27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84" t="str">
        <f t="shared" si="2"/>
        <v/>
      </c>
    </row>
    <row r="753" customHeight="1" spans="1:27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84" t="str">
        <f t="shared" si="2"/>
        <v/>
      </c>
    </row>
    <row r="754" customHeight="1" spans="1:27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84" t="str">
        <f t="shared" si="2"/>
        <v/>
      </c>
    </row>
    <row r="755" customHeight="1" spans="1:27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84" t="str">
        <f t="shared" si="2"/>
        <v/>
      </c>
    </row>
    <row r="756" customHeight="1" spans="1:27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84" t="str">
        <f t="shared" si="2"/>
        <v/>
      </c>
    </row>
    <row r="757" customHeight="1" spans="1:2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84" t="str">
        <f t="shared" si="2"/>
        <v/>
      </c>
    </row>
    <row r="758" customHeight="1" spans="1:27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84" t="str">
        <f t="shared" si="2"/>
        <v/>
      </c>
    </row>
    <row r="759" customHeight="1" spans="1:27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84" t="str">
        <f t="shared" si="2"/>
        <v/>
      </c>
    </row>
    <row r="760" customHeight="1" spans="1:27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84" t="str">
        <f t="shared" si="2"/>
        <v/>
      </c>
    </row>
    <row r="761" customHeight="1" spans="1:27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84" t="str">
        <f t="shared" si="2"/>
        <v/>
      </c>
    </row>
    <row r="762" customHeight="1" spans="1:27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84" t="str">
        <f t="shared" si="2"/>
        <v/>
      </c>
    </row>
    <row r="763" customHeight="1" spans="1:27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84" t="str">
        <f t="shared" si="2"/>
        <v/>
      </c>
    </row>
    <row r="764" customHeight="1" spans="1:27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84" t="str">
        <f t="shared" si="2"/>
        <v/>
      </c>
    </row>
    <row r="765" customHeight="1" spans="1:27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84" t="str">
        <f t="shared" si="2"/>
        <v/>
      </c>
    </row>
    <row r="766" customHeight="1" spans="1:27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84" t="str">
        <f t="shared" si="2"/>
        <v/>
      </c>
    </row>
    <row r="767" customHeight="1" spans="1:2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84" t="str">
        <f t="shared" si="2"/>
        <v/>
      </c>
    </row>
    <row r="768" customHeight="1" spans="1:27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84" t="str">
        <f t="shared" si="2"/>
        <v/>
      </c>
    </row>
    <row r="769" customHeight="1" spans="1:27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84" t="str">
        <f t="shared" si="2"/>
        <v/>
      </c>
    </row>
    <row r="770" customHeight="1" spans="1:27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84" t="str">
        <f t="shared" si="2"/>
        <v/>
      </c>
    </row>
    <row r="771" customHeight="1" spans="1:27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84" t="str">
        <f t="shared" si="2"/>
        <v/>
      </c>
    </row>
    <row r="772" customHeight="1" spans="1:27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84" t="str">
        <f t="shared" si="2"/>
        <v/>
      </c>
    </row>
    <row r="773" customHeight="1" spans="1:27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84" t="str">
        <f t="shared" si="2"/>
        <v/>
      </c>
    </row>
    <row r="774" customHeight="1" spans="1:27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84" t="str">
        <f t="shared" si="2"/>
        <v/>
      </c>
    </row>
    <row r="775" customHeight="1" spans="1:27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84" t="str">
        <f t="shared" si="2"/>
        <v/>
      </c>
    </row>
    <row r="776" customHeight="1" spans="1:27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84" t="str">
        <f t="shared" si="2"/>
        <v/>
      </c>
    </row>
    <row r="777" customHeight="1" spans="1:2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84" t="str">
        <f t="shared" si="2"/>
        <v/>
      </c>
    </row>
    <row r="778" customHeight="1" spans="1:27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84" t="str">
        <f t="shared" si="2"/>
        <v/>
      </c>
    </row>
    <row r="779" customHeight="1" spans="1:27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84" t="str">
        <f t="shared" si="2"/>
        <v/>
      </c>
    </row>
    <row r="780" customHeight="1" spans="1:27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84" t="str">
        <f t="shared" si="2"/>
        <v/>
      </c>
    </row>
    <row r="781" customHeight="1" spans="1:27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84" t="str">
        <f t="shared" si="2"/>
        <v/>
      </c>
    </row>
    <row r="782" customHeight="1" spans="1:27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84" t="str">
        <f t="shared" si="2"/>
        <v/>
      </c>
    </row>
    <row r="783" customHeight="1" spans="1:27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84" t="str">
        <f t="shared" si="2"/>
        <v/>
      </c>
    </row>
    <row r="784" customHeight="1" spans="1:27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84" t="str">
        <f t="shared" si="2"/>
        <v/>
      </c>
    </row>
    <row r="785" customHeight="1" spans="1:27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84" t="str">
        <f t="shared" si="2"/>
        <v/>
      </c>
    </row>
    <row r="786" customHeight="1" spans="1:27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84" t="str">
        <f t="shared" si="2"/>
        <v/>
      </c>
    </row>
    <row r="787" customHeight="1" spans="1:2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84" t="str">
        <f t="shared" si="2"/>
        <v/>
      </c>
    </row>
    <row r="788" customHeight="1" spans="1:27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84" t="str">
        <f t="shared" si="2"/>
        <v/>
      </c>
    </row>
    <row r="789" customHeight="1" spans="1:27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84" t="str">
        <f t="shared" si="2"/>
        <v/>
      </c>
    </row>
    <row r="790" customHeight="1" spans="1:27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84" t="str">
        <f t="shared" si="2"/>
        <v/>
      </c>
    </row>
    <row r="791" customHeight="1" spans="1:27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84" t="str">
        <f t="shared" si="2"/>
        <v/>
      </c>
    </row>
    <row r="792" customHeight="1" spans="1:27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84" t="str">
        <f t="shared" si="2"/>
        <v/>
      </c>
    </row>
    <row r="793" customHeight="1" spans="1:27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84" t="str">
        <f t="shared" si="2"/>
        <v/>
      </c>
    </row>
    <row r="794" customHeight="1" spans="1:27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84" t="str">
        <f t="shared" si="2"/>
        <v/>
      </c>
    </row>
    <row r="795" customHeight="1" spans="1:27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84" t="str">
        <f t="shared" si="2"/>
        <v/>
      </c>
    </row>
    <row r="796" customHeight="1" spans="1:27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84" t="str">
        <f t="shared" si="2"/>
        <v/>
      </c>
    </row>
    <row r="797" customHeight="1" spans="1:2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84" t="str">
        <f t="shared" si="2"/>
        <v/>
      </c>
    </row>
    <row r="798" customHeight="1" spans="1:27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84" t="str">
        <f t="shared" si="2"/>
        <v/>
      </c>
    </row>
    <row r="799" customHeight="1" spans="1:27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84" t="str">
        <f t="shared" si="2"/>
        <v/>
      </c>
    </row>
    <row r="800" customHeight="1" spans="1:27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84" t="str">
        <f t="shared" si="2"/>
        <v/>
      </c>
    </row>
    <row r="801" customHeight="1" spans="1:27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84" t="str">
        <f t="shared" si="2"/>
        <v/>
      </c>
    </row>
    <row r="802" customHeight="1" spans="1:27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84" t="str">
        <f t="shared" si="2"/>
        <v/>
      </c>
    </row>
    <row r="803" customHeight="1" spans="1:27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84" t="str">
        <f t="shared" si="2"/>
        <v/>
      </c>
    </row>
    <row r="804" customHeight="1" spans="1:27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84" t="str">
        <f t="shared" si="2"/>
        <v/>
      </c>
    </row>
    <row r="805" customHeight="1" spans="1:27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84" t="str">
        <f t="shared" si="2"/>
        <v/>
      </c>
    </row>
    <row r="806" customHeight="1" spans="1:27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84" t="str">
        <f t="shared" si="2"/>
        <v/>
      </c>
    </row>
    <row r="807" customHeight="1" spans="1:2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84" t="str">
        <f t="shared" si="2"/>
        <v/>
      </c>
    </row>
    <row r="808" customHeight="1" spans="1:27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84" t="str">
        <f t="shared" si="2"/>
        <v/>
      </c>
    </row>
    <row r="809" customHeight="1" spans="1:27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84" t="str">
        <f t="shared" si="2"/>
        <v/>
      </c>
    </row>
    <row r="810" customHeight="1" spans="1:27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84" t="str">
        <f t="shared" si="2"/>
        <v/>
      </c>
    </row>
    <row r="811" customHeight="1" spans="1:27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84" t="str">
        <f t="shared" si="2"/>
        <v/>
      </c>
    </row>
    <row r="812" customHeight="1" spans="1:27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84" t="str">
        <f t="shared" si="2"/>
        <v/>
      </c>
    </row>
    <row r="813" customHeight="1" spans="1:27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84" t="str">
        <f t="shared" si="2"/>
        <v/>
      </c>
    </row>
    <row r="814" customHeight="1" spans="1:27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84" t="str">
        <f t="shared" si="2"/>
        <v/>
      </c>
    </row>
    <row r="815" customHeight="1" spans="1:27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84" t="str">
        <f t="shared" si="2"/>
        <v/>
      </c>
    </row>
    <row r="816" customHeight="1" spans="1:27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84" t="str">
        <f t="shared" si="2"/>
        <v/>
      </c>
    </row>
    <row r="817" customHeight="1" spans="1:2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84" t="str">
        <f t="shared" si="2"/>
        <v/>
      </c>
    </row>
    <row r="818" customHeight="1" spans="1:27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84" t="str">
        <f t="shared" si="2"/>
        <v/>
      </c>
    </row>
    <row r="819" customHeight="1" spans="1:27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84" t="str">
        <f t="shared" si="2"/>
        <v/>
      </c>
    </row>
    <row r="820" customHeight="1" spans="1:27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84" t="str">
        <f t="shared" si="2"/>
        <v/>
      </c>
    </row>
    <row r="821" customHeight="1" spans="1:27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84" t="str">
        <f t="shared" si="2"/>
        <v/>
      </c>
    </row>
    <row r="822" customHeight="1" spans="1:27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84" t="str">
        <f t="shared" si="2"/>
        <v/>
      </c>
    </row>
    <row r="823" customHeight="1" spans="1:27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84" t="str">
        <f t="shared" si="2"/>
        <v/>
      </c>
    </row>
    <row r="824" customHeight="1" spans="1:27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84" t="str">
        <f t="shared" si="2"/>
        <v/>
      </c>
    </row>
    <row r="825" customHeight="1" spans="1:27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84" t="str">
        <f t="shared" si="2"/>
        <v/>
      </c>
    </row>
    <row r="826" customHeight="1" spans="1:27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84" t="str">
        <f t="shared" si="2"/>
        <v/>
      </c>
    </row>
    <row r="827" customHeight="1" spans="1: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84" t="str">
        <f t="shared" si="2"/>
        <v/>
      </c>
    </row>
    <row r="828" customHeight="1" spans="1:27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84" t="str">
        <f t="shared" si="2"/>
        <v/>
      </c>
    </row>
    <row r="829" customHeight="1" spans="1:27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84" t="str">
        <f t="shared" si="2"/>
        <v/>
      </c>
    </row>
    <row r="830" customHeight="1" spans="1:27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84" t="str">
        <f t="shared" si="2"/>
        <v/>
      </c>
    </row>
    <row r="831" customHeight="1" spans="1:27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84" t="str">
        <f t="shared" si="2"/>
        <v/>
      </c>
    </row>
    <row r="832" customHeight="1" spans="1:27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84" t="str">
        <f t="shared" si="2"/>
        <v/>
      </c>
    </row>
    <row r="833" customHeight="1" spans="1:27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84" t="str">
        <f t="shared" si="2"/>
        <v/>
      </c>
    </row>
    <row r="834" customHeight="1" spans="1:27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84" t="str">
        <f t="shared" si="2"/>
        <v/>
      </c>
    </row>
    <row r="835" customHeight="1" spans="1:27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84" t="str">
        <f t="shared" si="2"/>
        <v/>
      </c>
    </row>
    <row r="836" customHeight="1" spans="1:27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84" t="str">
        <f t="shared" si="2"/>
        <v/>
      </c>
    </row>
    <row r="837" customHeight="1" spans="1:2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84" t="str">
        <f t="shared" si="2"/>
        <v/>
      </c>
    </row>
    <row r="838" customHeight="1" spans="1:27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84" t="str">
        <f t="shared" si="2"/>
        <v/>
      </c>
    </row>
    <row r="839" customHeight="1" spans="1:27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84" t="str">
        <f t="shared" si="2"/>
        <v/>
      </c>
    </row>
    <row r="840" customHeight="1" spans="1:27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84" t="str">
        <f t="shared" si="2"/>
        <v/>
      </c>
    </row>
    <row r="841" customHeight="1" spans="1:27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84" t="str">
        <f t="shared" si="2"/>
        <v/>
      </c>
    </row>
    <row r="842" customHeight="1" spans="1:27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84" t="str">
        <f t="shared" si="2"/>
        <v/>
      </c>
    </row>
    <row r="843" customHeight="1" spans="1:27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84" t="str">
        <f t="shared" si="2"/>
        <v/>
      </c>
    </row>
    <row r="844" customHeight="1" spans="1:27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84" t="str">
        <f t="shared" si="2"/>
        <v/>
      </c>
    </row>
    <row r="845" customHeight="1" spans="1:27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84" t="str">
        <f t="shared" si="2"/>
        <v/>
      </c>
    </row>
    <row r="846" customHeight="1" spans="1:27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84" t="str">
        <f t="shared" si="2"/>
        <v/>
      </c>
    </row>
    <row r="847" customHeight="1" spans="1:2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84" t="str">
        <f t="shared" si="2"/>
        <v/>
      </c>
    </row>
    <row r="848" customHeight="1" spans="1:27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84" t="str">
        <f t="shared" si="2"/>
        <v/>
      </c>
    </row>
    <row r="849" customHeight="1" spans="1:27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84" t="str">
        <f t="shared" si="2"/>
        <v/>
      </c>
    </row>
    <row r="850" customHeight="1" spans="1:27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84" t="str">
        <f t="shared" si="2"/>
        <v/>
      </c>
    </row>
    <row r="851" customHeight="1" spans="1:27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84" t="str">
        <f t="shared" si="2"/>
        <v/>
      </c>
    </row>
    <row r="852" customHeight="1" spans="1:27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84" t="str">
        <f t="shared" si="2"/>
        <v/>
      </c>
    </row>
    <row r="853" customHeight="1" spans="1:27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84" t="str">
        <f t="shared" si="2"/>
        <v/>
      </c>
    </row>
    <row r="854" customHeight="1" spans="1:27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84" t="str">
        <f t="shared" si="2"/>
        <v/>
      </c>
    </row>
    <row r="855" customHeight="1" spans="1:27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84" t="str">
        <f t="shared" si="2"/>
        <v/>
      </c>
    </row>
    <row r="856" customHeight="1" spans="1:27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84" t="str">
        <f t="shared" si="2"/>
        <v/>
      </c>
    </row>
    <row r="857" customHeight="1" spans="1:2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84" t="str">
        <f t="shared" si="2"/>
        <v/>
      </c>
    </row>
    <row r="858" customHeight="1" spans="1:27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84" t="str">
        <f t="shared" si="2"/>
        <v/>
      </c>
    </row>
    <row r="859" customHeight="1" spans="1:27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84" t="str">
        <f t="shared" si="2"/>
        <v/>
      </c>
    </row>
    <row r="860" customHeight="1" spans="1:27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84" t="str">
        <f t="shared" si="2"/>
        <v/>
      </c>
    </row>
    <row r="861" customHeight="1" spans="1:27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84" t="str">
        <f t="shared" si="2"/>
        <v/>
      </c>
    </row>
    <row r="862" customHeight="1" spans="1:27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84" t="str">
        <f t="shared" si="2"/>
        <v/>
      </c>
    </row>
    <row r="863" customHeight="1" spans="1:27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84" t="str">
        <f t="shared" si="2"/>
        <v/>
      </c>
    </row>
    <row r="864" customHeight="1" spans="1:27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84" t="str">
        <f t="shared" si="2"/>
        <v/>
      </c>
    </row>
    <row r="865" customHeight="1" spans="1:27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84" t="str">
        <f t="shared" si="2"/>
        <v/>
      </c>
    </row>
    <row r="866" customHeight="1" spans="1:27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84" t="str">
        <f t="shared" si="2"/>
        <v/>
      </c>
    </row>
    <row r="867" customHeight="1" spans="1:2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84" t="str">
        <f t="shared" si="2"/>
        <v/>
      </c>
    </row>
    <row r="868" customHeight="1" spans="1:27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84" t="str">
        <f t="shared" si="2"/>
        <v/>
      </c>
    </row>
    <row r="869" customHeight="1" spans="1:27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84" t="str">
        <f t="shared" si="2"/>
        <v/>
      </c>
    </row>
    <row r="870" customHeight="1" spans="1:27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84" t="str">
        <f t="shared" si="2"/>
        <v/>
      </c>
    </row>
    <row r="871" customHeight="1" spans="1:27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84" t="str">
        <f t="shared" si="2"/>
        <v/>
      </c>
    </row>
    <row r="872" customHeight="1" spans="1:27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84" t="str">
        <f t="shared" si="2"/>
        <v/>
      </c>
    </row>
    <row r="873" customHeight="1" spans="1:27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84" t="str">
        <f t="shared" si="2"/>
        <v/>
      </c>
    </row>
    <row r="874" customHeight="1" spans="1:27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84" t="str">
        <f t="shared" si="2"/>
        <v/>
      </c>
    </row>
    <row r="875" customHeight="1" spans="1:27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84" t="str">
        <f t="shared" si="2"/>
        <v/>
      </c>
    </row>
    <row r="876" customHeight="1" spans="1:27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84" t="str">
        <f t="shared" si="2"/>
        <v/>
      </c>
    </row>
    <row r="877" customHeight="1" spans="1:2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84" t="str">
        <f t="shared" si="2"/>
        <v/>
      </c>
    </row>
    <row r="878" customHeight="1" spans="1:27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84" t="str">
        <f t="shared" si="2"/>
        <v/>
      </c>
    </row>
    <row r="879" customHeight="1" spans="1:27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84" t="str">
        <f t="shared" si="2"/>
        <v/>
      </c>
    </row>
    <row r="880" customHeight="1" spans="1:27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84" t="str">
        <f t="shared" si="2"/>
        <v/>
      </c>
    </row>
    <row r="881" customHeight="1" spans="1:27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84" t="str">
        <f t="shared" si="2"/>
        <v/>
      </c>
    </row>
    <row r="882" customHeight="1" spans="1:27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84" t="str">
        <f t="shared" si="2"/>
        <v/>
      </c>
    </row>
    <row r="883" customHeight="1" spans="1:27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84" t="str">
        <f t="shared" si="2"/>
        <v/>
      </c>
    </row>
    <row r="884" customHeight="1" spans="1:27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84" t="str">
        <f t="shared" si="2"/>
        <v/>
      </c>
    </row>
    <row r="885" customHeight="1" spans="1:27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84" t="str">
        <f t="shared" si="2"/>
        <v/>
      </c>
    </row>
    <row r="886" customHeight="1" spans="1:27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84" t="str">
        <f t="shared" si="2"/>
        <v/>
      </c>
    </row>
    <row r="887" customHeight="1" spans="1:2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84" t="str">
        <f t="shared" si="2"/>
        <v/>
      </c>
    </row>
    <row r="888" customHeight="1" spans="1:27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84" t="str">
        <f t="shared" si="2"/>
        <v/>
      </c>
    </row>
    <row r="889" customHeight="1" spans="1:27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84" t="str">
        <f t="shared" si="2"/>
        <v/>
      </c>
    </row>
    <row r="890" customHeight="1" spans="1:27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84" t="str">
        <f t="shared" si="2"/>
        <v/>
      </c>
    </row>
    <row r="891" customHeight="1" spans="1:27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84" t="str">
        <f t="shared" si="2"/>
        <v/>
      </c>
    </row>
    <row r="892" customHeight="1" spans="1:27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84" t="str">
        <f t="shared" si="2"/>
        <v/>
      </c>
    </row>
    <row r="893" customHeight="1" spans="1:27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84" t="str">
        <f t="shared" si="2"/>
        <v/>
      </c>
    </row>
    <row r="894" customHeight="1" spans="1:27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84" t="str">
        <f t="shared" si="2"/>
        <v/>
      </c>
    </row>
    <row r="895" customHeight="1" spans="1:27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84" t="str">
        <f t="shared" si="2"/>
        <v/>
      </c>
    </row>
    <row r="896" customHeight="1" spans="1:27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84" t="str">
        <f t="shared" si="2"/>
        <v/>
      </c>
    </row>
    <row r="897" customHeight="1" spans="1:2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84" t="str">
        <f t="shared" si="2"/>
        <v/>
      </c>
    </row>
    <row r="898" customHeight="1" spans="1:27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84" t="str">
        <f t="shared" si="2"/>
        <v/>
      </c>
    </row>
    <row r="899" customHeight="1" spans="1:27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84" t="str">
        <f t="shared" si="2"/>
        <v/>
      </c>
    </row>
    <row r="900" customHeight="1" spans="1:27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84" t="str">
        <f t="shared" si="2"/>
        <v/>
      </c>
    </row>
    <row r="901" customHeight="1" spans="1:27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84" t="str">
        <f t="shared" si="2"/>
        <v/>
      </c>
    </row>
    <row r="902" customHeight="1" spans="1:27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84" t="str">
        <f t="shared" si="2"/>
        <v/>
      </c>
    </row>
    <row r="903" customHeight="1" spans="1:27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84" t="str">
        <f t="shared" si="2"/>
        <v/>
      </c>
    </row>
    <row r="904" customHeight="1" spans="1:27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84" t="str">
        <f t="shared" si="2"/>
        <v/>
      </c>
    </row>
    <row r="905" customHeight="1" spans="1:27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84" t="str">
        <f t="shared" si="2"/>
        <v/>
      </c>
    </row>
    <row r="906" customHeight="1" spans="1:27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84" t="str">
        <f t="shared" si="2"/>
        <v/>
      </c>
    </row>
    <row r="907" customHeight="1" spans="1:2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84" t="str">
        <f t="shared" si="2"/>
        <v/>
      </c>
    </row>
    <row r="908" customHeight="1" spans="1:27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84" t="str">
        <f t="shared" si="2"/>
        <v/>
      </c>
    </row>
    <row r="909" customHeight="1" spans="1:27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84" t="str">
        <f t="shared" si="2"/>
        <v/>
      </c>
    </row>
    <row r="910" customHeight="1" spans="1:27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84" t="str">
        <f t="shared" si="2"/>
        <v/>
      </c>
    </row>
    <row r="911" customHeight="1" spans="1:27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84" t="str">
        <f t="shared" si="2"/>
        <v/>
      </c>
    </row>
    <row r="912" customHeight="1" spans="1:27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84" t="str">
        <f t="shared" si="2"/>
        <v/>
      </c>
    </row>
    <row r="913" customHeight="1" spans="1:27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84" t="str">
        <f t="shared" si="2"/>
        <v/>
      </c>
    </row>
    <row r="914" customHeight="1" spans="1:27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84" t="str">
        <f t="shared" si="2"/>
        <v/>
      </c>
    </row>
    <row r="915" customHeight="1" spans="1:27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84" t="str">
        <f t="shared" si="2"/>
        <v/>
      </c>
    </row>
    <row r="916" customHeight="1" spans="1:27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84" t="str">
        <f t="shared" si="2"/>
        <v/>
      </c>
    </row>
    <row r="917" customHeight="1" spans="1:2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84" t="str">
        <f t="shared" si="2"/>
        <v/>
      </c>
    </row>
    <row r="918" customHeight="1" spans="1:27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84" t="str">
        <f t="shared" si="2"/>
        <v/>
      </c>
    </row>
    <row r="919" customHeight="1" spans="1:27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84" t="str">
        <f t="shared" si="2"/>
        <v/>
      </c>
    </row>
    <row r="920" customHeight="1" spans="1:27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84" t="str">
        <f t="shared" si="2"/>
        <v/>
      </c>
    </row>
    <row r="921" customHeight="1" spans="1:27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84" t="str">
        <f t="shared" si="2"/>
        <v/>
      </c>
    </row>
    <row r="922" customHeight="1" spans="1:27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84" t="str">
        <f t="shared" si="2"/>
        <v/>
      </c>
    </row>
    <row r="923" customHeight="1" spans="1:27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84" t="str">
        <f t="shared" si="2"/>
        <v/>
      </c>
    </row>
    <row r="924" customHeight="1" spans="1:27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84" t="str">
        <f t="shared" si="2"/>
        <v/>
      </c>
    </row>
    <row r="925" customHeight="1" spans="1:27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84" t="str">
        <f t="shared" si="2"/>
        <v/>
      </c>
    </row>
    <row r="926" customHeight="1" spans="1:27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84" t="str">
        <f t="shared" si="2"/>
        <v/>
      </c>
    </row>
    <row r="927" customHeight="1" spans="1: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84" t="str">
        <f t="shared" si="2"/>
        <v/>
      </c>
    </row>
    <row r="928" customHeight="1" spans="1:27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84" t="str">
        <f t="shared" si="2"/>
        <v/>
      </c>
    </row>
    <row r="929" customHeight="1" spans="1:27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84" t="str">
        <f t="shared" si="2"/>
        <v/>
      </c>
    </row>
    <row r="930" customHeight="1" spans="1:27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84" t="str">
        <f t="shared" si="2"/>
        <v/>
      </c>
    </row>
    <row r="931" customHeight="1" spans="1:27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84" t="str">
        <f t="shared" si="2"/>
        <v/>
      </c>
    </row>
    <row r="932" customHeight="1" spans="1:27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84" t="str">
        <f t="shared" si="2"/>
        <v/>
      </c>
    </row>
    <row r="933" customHeight="1" spans="1:27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84" t="str">
        <f t="shared" si="2"/>
        <v/>
      </c>
    </row>
    <row r="934" customHeight="1" spans="1:27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84" t="str">
        <f t="shared" si="2"/>
        <v/>
      </c>
    </row>
    <row r="935" customHeight="1" spans="1:27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84" t="str">
        <f t="shared" si="2"/>
        <v/>
      </c>
    </row>
    <row r="936" customHeight="1" spans="1:27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84" t="str">
        <f t="shared" si="2"/>
        <v/>
      </c>
    </row>
    <row r="937" customHeight="1" spans="1:2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84" t="str">
        <f t="shared" si="2"/>
        <v/>
      </c>
    </row>
    <row r="938" customHeight="1" spans="1:27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84" t="str">
        <f t="shared" si="2"/>
        <v/>
      </c>
    </row>
    <row r="939" customHeight="1" spans="1:27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84" t="str">
        <f t="shared" si="2"/>
        <v/>
      </c>
    </row>
    <row r="940" customHeight="1" spans="1:27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84" t="str">
        <f t="shared" si="2"/>
        <v/>
      </c>
    </row>
    <row r="941" customHeight="1" spans="1:27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84" t="str">
        <f t="shared" si="2"/>
        <v/>
      </c>
    </row>
    <row r="942" customHeight="1" spans="1:27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84" t="str">
        <f t="shared" si="2"/>
        <v/>
      </c>
    </row>
    <row r="943" customHeight="1" spans="1:27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84" t="str">
        <f t="shared" si="2"/>
        <v/>
      </c>
    </row>
    <row r="944" customHeight="1" spans="1:27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84" t="str">
        <f t="shared" si="2"/>
        <v/>
      </c>
    </row>
    <row r="945" customHeight="1" spans="1:27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84" t="str">
        <f t="shared" si="2"/>
        <v/>
      </c>
    </row>
    <row r="946" customHeight="1" spans="1:27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84" t="str">
        <f t="shared" si="2"/>
        <v/>
      </c>
    </row>
    <row r="947" customHeight="1" spans="1:2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84" t="str">
        <f t="shared" si="2"/>
        <v/>
      </c>
    </row>
    <row r="948" customHeight="1" spans="1:27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84" t="str">
        <f t="shared" si="2"/>
        <v/>
      </c>
    </row>
    <row r="949" customHeight="1" spans="1:27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84" t="str">
        <f t="shared" si="2"/>
        <v/>
      </c>
    </row>
    <row r="950" customHeight="1" spans="1:27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84" t="str">
        <f t="shared" si="2"/>
        <v/>
      </c>
    </row>
    <row r="951" customHeight="1" spans="1:27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84" t="str">
        <f t="shared" si="2"/>
        <v/>
      </c>
    </row>
    <row r="952" customHeight="1" spans="1:27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84" t="str">
        <f t="shared" si="2"/>
        <v/>
      </c>
    </row>
    <row r="953" customHeight="1" spans="1:27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84" t="str">
        <f t="shared" si="2"/>
        <v/>
      </c>
    </row>
    <row r="954" customHeight="1" spans="1:27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84" t="str">
        <f t="shared" si="2"/>
        <v/>
      </c>
    </row>
    <row r="955" customHeight="1" spans="1:27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84" t="str">
        <f t="shared" si="2"/>
        <v/>
      </c>
    </row>
    <row r="956" customHeight="1" spans="1:27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84" t="str">
        <f t="shared" si="2"/>
        <v/>
      </c>
    </row>
    <row r="957" customHeight="1" spans="1:2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84" t="str">
        <f t="shared" si="2"/>
        <v/>
      </c>
    </row>
    <row r="958" customHeight="1" spans="1:27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84" t="str">
        <f t="shared" si="2"/>
        <v/>
      </c>
    </row>
    <row r="959" customHeight="1" spans="1:27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84" t="str">
        <f t="shared" si="2"/>
        <v/>
      </c>
    </row>
    <row r="960" customHeight="1" spans="1:27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84" t="str">
        <f t="shared" si="2"/>
        <v/>
      </c>
    </row>
    <row r="961" customHeight="1" spans="1:27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84" t="str">
        <f t="shared" si="2"/>
        <v/>
      </c>
    </row>
    <row r="962" customHeight="1" spans="1:27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84" t="str">
        <f t="shared" si="2"/>
        <v/>
      </c>
    </row>
    <row r="963" customHeight="1" spans="1:27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84" t="str">
        <f t="shared" si="2"/>
        <v/>
      </c>
    </row>
    <row r="964" customHeight="1" spans="1:27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84" t="str">
        <f t="shared" si="2"/>
        <v/>
      </c>
    </row>
    <row r="965" customHeight="1" spans="1:27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84" t="str">
        <f t="shared" si="2"/>
        <v/>
      </c>
    </row>
    <row r="966" customHeight="1" spans="1:27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84" t="str">
        <f t="shared" si="2"/>
        <v/>
      </c>
    </row>
    <row r="967" customHeight="1" spans="1:2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84" t="str">
        <f t="shared" si="2"/>
        <v/>
      </c>
    </row>
    <row r="968" customHeight="1" spans="1:27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84" t="str">
        <f t="shared" si="2"/>
        <v/>
      </c>
    </row>
    <row r="969" customHeight="1" spans="1:27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84" t="str">
        <f t="shared" si="2"/>
        <v/>
      </c>
    </row>
    <row r="970" customHeight="1" spans="1:27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84" t="str">
        <f t="shared" si="2"/>
        <v/>
      </c>
    </row>
    <row r="971" customHeight="1" spans="1:27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84" t="str">
        <f t="shared" si="2"/>
        <v/>
      </c>
    </row>
    <row r="972" customHeight="1" spans="1:27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84" t="str">
        <f t="shared" si="2"/>
        <v/>
      </c>
    </row>
    <row r="973" customHeight="1" spans="1:27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84" t="str">
        <f t="shared" si="2"/>
        <v/>
      </c>
    </row>
    <row r="974" customHeight="1" spans="1:27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84" t="str">
        <f t="shared" si="2"/>
        <v/>
      </c>
    </row>
    <row r="975" customHeight="1" spans="1:27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84" t="str">
        <f t="shared" si="2"/>
        <v/>
      </c>
    </row>
    <row r="976" customHeight="1" spans="1:27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84" t="str">
        <f t="shared" si="2"/>
        <v/>
      </c>
    </row>
    <row r="977" customHeight="1" spans="1:2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84" t="str">
        <f t="shared" si="2"/>
        <v/>
      </c>
    </row>
    <row r="978" customHeight="1" spans="1:27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84" t="str">
        <f t="shared" si="2"/>
        <v/>
      </c>
    </row>
    <row r="979" customHeight="1" spans="1:27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84" t="str">
        <f t="shared" si="2"/>
        <v/>
      </c>
    </row>
    <row r="980" customHeight="1" spans="1:27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84" t="str">
        <f t="shared" si="2"/>
        <v/>
      </c>
    </row>
    <row r="981" customHeight="1" spans="1:27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84" t="str">
        <f t="shared" si="2"/>
        <v/>
      </c>
    </row>
    <row r="982" customHeight="1" spans="1:27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84" t="str">
        <f t="shared" si="2"/>
        <v/>
      </c>
    </row>
    <row r="983" customHeight="1" spans="1:27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84" t="str">
        <f t="shared" si="2"/>
        <v/>
      </c>
    </row>
    <row r="984" customHeight="1" spans="1:27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84" t="str">
        <f t="shared" si="2"/>
        <v/>
      </c>
    </row>
    <row r="985" customHeight="1" spans="1:27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84" t="str">
        <f t="shared" si="2"/>
        <v/>
      </c>
    </row>
    <row r="986" customHeight="1" spans="1:27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84" t="str">
        <f t="shared" si="2"/>
        <v/>
      </c>
    </row>
    <row r="987" customHeight="1" spans="1:2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84" t="str">
        <f t="shared" si="2"/>
        <v/>
      </c>
    </row>
    <row r="988" customHeight="1" spans="1:27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84" t="str">
        <f t="shared" si="2"/>
        <v/>
      </c>
    </row>
    <row r="989" customHeight="1" spans="1:27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84" t="str">
        <f t="shared" si="2"/>
        <v/>
      </c>
    </row>
    <row r="990" customHeight="1" spans="1:27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84" t="str">
        <f t="shared" si="2"/>
        <v/>
      </c>
    </row>
    <row r="991" customHeight="1" spans="1:27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84" t="str">
        <f t="shared" si="2"/>
        <v/>
      </c>
    </row>
    <row r="992" customHeight="1" spans="1:27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84" t="str">
        <f t="shared" si="2"/>
        <v/>
      </c>
    </row>
    <row r="993" customHeight="1" spans="1:27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84" t="str">
        <f t="shared" si="2"/>
        <v/>
      </c>
    </row>
  </sheetData>
  <mergeCells count="14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</mergeCells>
  <conditionalFormatting sqref="G58:M58">
    <cfRule type="cellIs" dxfId="0" priority="4" operator="lessThan">
      <formula>0</formula>
    </cfRule>
  </conditionalFormatting>
  <conditionalFormatting sqref="W4:W33">
    <cfRule type="cellIs" dxfId="0" priority="2" operator="greaterThanOrEqual">
      <formula>1</formula>
    </cfRule>
    <cfRule type="cellIs" dxfId="0" priority="3" operator="lessThanOrEqual">
      <formula>-1</formula>
    </cfRule>
  </conditionalFormatting>
  <conditionalFormatting sqref="A4:A51 A74:A993">
    <cfRule type="expression" dxfId="1" priority="1">
      <formula>COUNTIF(A:A,A4)&gt;1</formula>
    </cfRule>
  </conditionalFormatting>
  <conditionalFormatting sqref="G4:T51">
    <cfRule type="colorScale" priority="5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AG998"/>
  <sheetViews>
    <sheetView workbookViewId="0">
      <selection activeCell="A1" sqref="A1"/>
    </sheetView>
  </sheetViews>
  <sheetFormatPr defaultColWidth="12.6272727272727" defaultRowHeight="15.75" customHeight="1"/>
  <cols>
    <col min="1" max="1" width="8.38181818181818" customWidth="1"/>
    <col min="2" max="2" width="18.7545454545455" customWidth="1"/>
    <col min="3" max="4" width="9" customWidth="1"/>
    <col min="5" max="5" width="13.3818181818182" customWidth="1"/>
    <col min="6" max="6" width="8" customWidth="1"/>
    <col min="7" max="7" width="9.38181818181818" customWidth="1"/>
    <col min="8" max="8" width="8.88181818181818" customWidth="1"/>
    <col min="9" max="9" width="9.38181818181818" customWidth="1"/>
    <col min="10" max="10" width="6.12727272727273" customWidth="1"/>
    <col min="11" max="11" width="9.38181818181818" customWidth="1"/>
    <col min="12" max="12" width="7.25454545454545" customWidth="1"/>
    <col min="13" max="13" width="9.38181818181818" customWidth="1"/>
    <col min="14" max="14" width="5.88181818181818" customWidth="1"/>
    <col min="15" max="15" width="9.38181818181818" customWidth="1"/>
    <col min="16" max="16" width="5.88181818181818" customWidth="1"/>
    <col min="17" max="17" width="9.38181818181818" customWidth="1"/>
    <col min="18" max="18" width="5.88181818181818" customWidth="1"/>
    <col min="19" max="19" width="9.5" customWidth="1"/>
    <col min="20" max="20" width="5.88181818181818" customWidth="1"/>
    <col min="21" max="21" width="15.2545454545455" customWidth="1"/>
    <col min="22" max="23" width="10.8818181818182" customWidth="1"/>
    <col min="24" max="24" width="7.62727272727273" customWidth="1"/>
    <col min="25" max="25" width="46.2545454545455" customWidth="1"/>
  </cols>
  <sheetData>
    <row r="1" customHeight="1" spans="1:33">
      <c r="A1" s="47"/>
      <c r="B1" s="47"/>
      <c r="C1" s="47"/>
      <c r="D1" s="47"/>
      <c r="E1" s="47"/>
      <c r="F1" s="50"/>
      <c r="G1" s="112">
        <v>45621</v>
      </c>
      <c r="H1" s="14"/>
      <c r="I1" s="112">
        <v>45622</v>
      </c>
      <c r="J1" s="14"/>
      <c r="K1" s="112">
        <v>45623</v>
      </c>
      <c r="L1" s="14"/>
      <c r="M1" s="112">
        <v>45624</v>
      </c>
      <c r="N1" s="14"/>
      <c r="O1" s="112">
        <v>45625</v>
      </c>
      <c r="P1" s="14"/>
      <c r="Q1" s="112">
        <v>45626</v>
      </c>
      <c r="R1" s="14"/>
      <c r="S1" s="112">
        <v>45627</v>
      </c>
      <c r="T1" s="14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</row>
    <row r="2" customHeight="1" spans="1:33">
      <c r="A2" s="47"/>
      <c r="B2" s="47"/>
      <c r="C2" s="47"/>
      <c r="D2" s="47"/>
      <c r="E2" s="47"/>
      <c r="F2" s="50" t="s">
        <v>5</v>
      </c>
      <c r="G2" s="48" t="s">
        <v>6</v>
      </c>
      <c r="H2" s="14"/>
      <c r="I2" s="48" t="s">
        <v>7</v>
      </c>
      <c r="J2" s="14"/>
      <c r="K2" s="48" t="s">
        <v>8</v>
      </c>
      <c r="L2" s="14"/>
      <c r="M2" s="48" t="s">
        <v>9</v>
      </c>
      <c r="N2" s="14"/>
      <c r="O2" s="48" t="s">
        <v>10</v>
      </c>
      <c r="P2" s="14"/>
      <c r="Q2" s="48" t="s">
        <v>11</v>
      </c>
      <c r="R2" s="14"/>
      <c r="S2" s="48" t="s">
        <v>12</v>
      </c>
      <c r="T2" s="14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</row>
    <row r="3" customHeight="1" spans="1:3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50"/>
      <c r="G3" s="59" t="s">
        <v>80</v>
      </c>
      <c r="H3" s="59" t="s">
        <v>81</v>
      </c>
      <c r="I3" s="59" t="s">
        <v>80</v>
      </c>
      <c r="J3" s="59" t="s">
        <v>81</v>
      </c>
      <c r="K3" s="59" t="s">
        <v>80</v>
      </c>
      <c r="L3" s="59" t="s">
        <v>81</v>
      </c>
      <c r="M3" s="59" t="s">
        <v>80</v>
      </c>
      <c r="N3" s="59" t="s">
        <v>81</v>
      </c>
      <c r="O3" s="59" t="s">
        <v>80</v>
      </c>
      <c r="P3" s="59" t="s">
        <v>81</v>
      </c>
      <c r="Q3" s="59" t="s">
        <v>80</v>
      </c>
      <c r="R3" s="59" t="s">
        <v>81</v>
      </c>
      <c r="S3" s="59" t="s">
        <v>80</v>
      </c>
      <c r="T3" s="59" t="s">
        <v>81</v>
      </c>
      <c r="U3" s="17" t="s">
        <v>82</v>
      </c>
      <c r="V3" s="17" t="s">
        <v>83</v>
      </c>
      <c r="W3" s="17" t="s">
        <v>84</v>
      </c>
      <c r="X3" s="17" t="s">
        <v>85</v>
      </c>
      <c r="Y3" s="17" t="s">
        <v>18</v>
      </c>
      <c r="Z3" s="61"/>
      <c r="AA3" s="61"/>
      <c r="AB3" s="61"/>
      <c r="AC3" s="61"/>
      <c r="AD3" s="61"/>
      <c r="AE3" s="61"/>
      <c r="AF3" s="61"/>
      <c r="AG3" s="61"/>
    </row>
    <row r="4" customHeight="1" spans="1:33">
      <c r="A4" s="21">
        <v>10317524</v>
      </c>
      <c r="B4" s="86" t="s">
        <v>53</v>
      </c>
      <c r="C4" s="21" t="s">
        <v>20</v>
      </c>
      <c r="D4" s="21" t="s">
        <v>21</v>
      </c>
      <c r="E4" s="54" t="str">
        <f t="array" ref="E4">_xlfn.XLOOKUP(A4,'Schedule Wk 47'!A:A,'Schedule Wk 47'!E:E,"")</f>
        <v>FT</v>
      </c>
      <c r="F4" s="103">
        <f t="array" ref="F4">_xlfn.XLOOKUP(A4,'Schedule Wk 47'!A:A,'Schedule Wk 47'!F:F,"")</f>
        <v>2</v>
      </c>
      <c r="G4" s="54">
        <v>0.375</v>
      </c>
      <c r="H4" s="54">
        <f t="shared" ref="H4:H5" si="0">IFERROR(G4+$Y4,"OFF")</f>
        <v>0.75</v>
      </c>
      <c r="I4" s="54">
        <v>0.375</v>
      </c>
      <c r="J4" s="54">
        <f t="shared" ref="J4:J7" si="1">IFERROR(I4+$Y4,"OFF")</f>
        <v>0.75</v>
      </c>
      <c r="K4" s="54">
        <v>0.375</v>
      </c>
      <c r="L4" s="54">
        <f t="shared" ref="L4:L7" si="2">IFERROR(K4+$Y4,"OFF")</f>
        <v>0.75</v>
      </c>
      <c r="M4" s="54">
        <v>0.375</v>
      </c>
      <c r="N4" s="54">
        <f t="shared" ref="N4:N7" si="3">IFERROR(M4+$Y4,"OFF")</f>
        <v>0.75</v>
      </c>
      <c r="O4" s="54">
        <v>0.375</v>
      </c>
      <c r="P4" s="54">
        <f>IFERROR(O4+$Y4,"OFF")</f>
        <v>0.75</v>
      </c>
      <c r="Q4" s="21" t="s">
        <v>23</v>
      </c>
      <c r="R4" s="21" t="s">
        <v>23</v>
      </c>
      <c r="S4" s="21" t="s">
        <v>23</v>
      </c>
      <c r="T4" s="21" t="s">
        <v>23</v>
      </c>
      <c r="U4" s="21">
        <f>IFERROR(__xludf.DUMMYFUNCTION("TO_PURE_NUMBER(SUM(FILTER(G4:T4, ISEVEN(COLUMN(G4:T4))))-SUM(FILTER(G4:T4, ISODD(COLUMN(G4:T4)))))*24"),45)</f>
        <v>45</v>
      </c>
      <c r="V4" s="17">
        <f t="array" ref="V4">_xlfn.XLOOKUP(A4,'WK 47'!A:A,'WK 47'!V:V,"")</f>
        <v>45</v>
      </c>
      <c r="W4" s="17" t="str">
        <f t="array" ref="W4">_xlfn.XLOOKUP(A4,'WK 47'!A:A,'WK 47'!AA:AA,"")</f>
        <v>early</v>
      </c>
      <c r="X4" s="7">
        <f t="shared" ref="X4:X51" si="4">V4-U4</f>
        <v>0</v>
      </c>
      <c r="Y4" s="20">
        <f t="array" ref="Y4">_xlfn.XLOOKUP(A4,'WK 45'!A:A,'WK 45'!X:X,"")</f>
        <v>0.375</v>
      </c>
      <c r="Z4" s="61"/>
      <c r="AA4" s="61"/>
      <c r="AB4" s="61"/>
      <c r="AC4" s="61"/>
      <c r="AD4" s="61"/>
      <c r="AE4" s="61"/>
      <c r="AF4" s="61"/>
      <c r="AG4" s="61"/>
    </row>
    <row r="5" customHeight="1" spans="1:33">
      <c r="A5" s="21">
        <v>10316683</v>
      </c>
      <c r="B5" s="86" t="s">
        <v>51</v>
      </c>
      <c r="C5" s="21" t="s">
        <v>20</v>
      </c>
      <c r="D5" s="21" t="s">
        <v>21</v>
      </c>
      <c r="E5" s="54" t="str">
        <f t="array" ref="E5">_xlfn.XLOOKUP(A5,'Schedule Wk 47'!A:A,'Schedule Wk 47'!E:E,"")</f>
        <v>FT</v>
      </c>
      <c r="F5" s="103">
        <f t="array" ref="F5">_xlfn.XLOOKUP(A5,'Schedule Wk 47'!A:A,'Schedule Wk 47'!F:F,"")</f>
        <v>1</v>
      </c>
      <c r="G5" s="54">
        <v>0.375</v>
      </c>
      <c r="H5" s="54">
        <f t="shared" si="0"/>
        <v>0.791666666666667</v>
      </c>
      <c r="I5" s="54">
        <v>0.375</v>
      </c>
      <c r="J5" s="54">
        <f t="shared" si="1"/>
        <v>0.791666666666667</v>
      </c>
      <c r="K5" s="54">
        <v>0.375</v>
      </c>
      <c r="L5" s="54">
        <f t="shared" si="2"/>
        <v>0.791666666666667</v>
      </c>
      <c r="M5" s="54">
        <v>0.375</v>
      </c>
      <c r="N5" s="54">
        <f t="shared" si="3"/>
        <v>0.791666666666667</v>
      </c>
      <c r="O5" s="21" t="s">
        <v>23</v>
      </c>
      <c r="P5" s="21" t="s">
        <v>23</v>
      </c>
      <c r="Q5" s="21" t="s">
        <v>23</v>
      </c>
      <c r="R5" s="21" t="s">
        <v>23</v>
      </c>
      <c r="S5" s="54">
        <v>0.458333333333333</v>
      </c>
      <c r="T5" s="54">
        <v>0.666666666666667</v>
      </c>
      <c r="U5" s="21">
        <f>IFERROR(__xludf.DUMMYFUNCTION("TO_PURE_NUMBER(SUM(FILTER(G5:T5, ISEVEN(COLUMN(G5:T5))))-SUM(FILTER(G5:T5, ISODD(COLUMN(G5:T5)))))*24"),44.9999999999999)</f>
        <v>44.9999999999999</v>
      </c>
      <c r="V5" s="17">
        <f t="array" ref="V5">_xlfn.XLOOKUP(A5,'WK 47'!A:A,'WK 47'!V:V,"")</f>
        <v>45</v>
      </c>
      <c r="W5" s="17" t="str">
        <f t="array" ref="W5">_xlfn.XLOOKUP(A5,'WK 47'!A:A,'WK 47'!AA:AA,"")</f>
        <v>early</v>
      </c>
      <c r="X5" s="7">
        <f t="shared" si="4"/>
        <v>9.9475983006414e-14</v>
      </c>
      <c r="Y5" s="20">
        <f t="array" ref="Y5">_xlfn.XLOOKUP(A5,'WK 45'!A:A,'WK 45'!X:X,"")</f>
        <v>0.416666666666667</v>
      </c>
      <c r="Z5" s="61"/>
      <c r="AA5" s="61"/>
      <c r="AB5" s="61"/>
      <c r="AC5" s="61"/>
      <c r="AD5" s="61"/>
      <c r="AE5" s="61"/>
      <c r="AF5" s="61"/>
      <c r="AG5" s="61"/>
    </row>
    <row r="6" customHeight="1" spans="1:33">
      <c r="A6" s="21">
        <v>10320419</v>
      </c>
      <c r="B6" s="86" t="s">
        <v>69</v>
      </c>
      <c r="C6" s="21" t="s">
        <v>20</v>
      </c>
      <c r="D6" s="21" t="s">
        <v>21</v>
      </c>
      <c r="E6" s="54" t="str">
        <f t="array" ref="E6">_xlfn.XLOOKUP(A6,'Schedule Wk 47'!A:A,'Schedule Wk 47'!E:E,"")</f>
        <v>FT</v>
      </c>
      <c r="F6" s="103">
        <f t="array" ref="F6">_xlfn.XLOOKUP(A6,'Schedule Wk 47'!A:A,'Schedule Wk 47'!F:F,"")</f>
        <v>3</v>
      </c>
      <c r="G6" s="21" t="s">
        <v>23</v>
      </c>
      <c r="H6" s="21" t="s">
        <v>23</v>
      </c>
      <c r="I6" s="54">
        <v>0.375</v>
      </c>
      <c r="J6" s="54">
        <f t="shared" si="1"/>
        <v>0.791666666666667</v>
      </c>
      <c r="K6" s="54">
        <v>0.375</v>
      </c>
      <c r="L6" s="54">
        <f t="shared" si="2"/>
        <v>0.791666666666667</v>
      </c>
      <c r="M6" s="54">
        <v>0.375</v>
      </c>
      <c r="N6" s="54">
        <f t="shared" si="3"/>
        <v>0.791666666666667</v>
      </c>
      <c r="O6" s="54">
        <v>0.375</v>
      </c>
      <c r="P6" s="54">
        <f t="shared" ref="P6:P7" si="5">IFERROR(O6+$Y6,"OFF")</f>
        <v>0.791666666666667</v>
      </c>
      <c r="Q6" s="54">
        <v>0.458333333333333</v>
      </c>
      <c r="R6" s="54">
        <v>0.666666666666667</v>
      </c>
      <c r="S6" s="21" t="s">
        <v>23</v>
      </c>
      <c r="T6" s="21" t="s">
        <v>23</v>
      </c>
      <c r="U6" s="21">
        <f>IFERROR(__xludf.DUMMYFUNCTION("TO_PURE_NUMBER(SUM(FILTER(G6:T6, ISEVEN(COLUMN(G6:T6))))-SUM(FILTER(G6:T6, ISODD(COLUMN(G6:T6)))))*24"),44.9999999999999)</f>
        <v>44.9999999999999</v>
      </c>
      <c r="V6" s="17">
        <f t="array" ref="V6">_xlfn.XLOOKUP(A6,'WK 47'!A:A,'WK 47'!V:V,"")</f>
        <v>45</v>
      </c>
      <c r="W6" s="17" t="str">
        <f t="array" ref="W6">_xlfn.XLOOKUP(A6,'WK 47'!A:A,'WK 47'!AA:AA,"")</f>
        <v>early</v>
      </c>
      <c r="X6" s="7">
        <f t="shared" si="4"/>
        <v>9.9475983006414e-14</v>
      </c>
      <c r="Y6" s="20">
        <v>0.416666666666667</v>
      </c>
      <c r="Z6" s="61"/>
      <c r="AA6" s="61"/>
      <c r="AB6" s="61"/>
      <c r="AC6" s="61"/>
      <c r="AD6" s="61"/>
      <c r="AE6" s="61"/>
      <c r="AF6" s="61"/>
      <c r="AG6" s="61"/>
    </row>
    <row r="7" customHeight="1" spans="1:33">
      <c r="A7" s="21">
        <v>10316572</v>
      </c>
      <c r="B7" s="86" t="s">
        <v>46</v>
      </c>
      <c r="C7" s="21" t="s">
        <v>20</v>
      </c>
      <c r="D7" s="21" t="s">
        <v>21</v>
      </c>
      <c r="E7" s="54" t="str">
        <f t="array" ref="E7">_xlfn.XLOOKUP(A7,'Schedule Wk 47'!A:A,'Schedule Wk 47'!E:E,"")</f>
        <v>FT</v>
      </c>
      <c r="F7" s="103">
        <f t="array" ref="F7">_xlfn.XLOOKUP(A7,'Schedule Wk 47'!A:A,'Schedule Wk 47'!F:F,"")</f>
        <v>2</v>
      </c>
      <c r="G7" s="54">
        <v>0.5</v>
      </c>
      <c r="H7" s="54">
        <f>IFERROR(G7+$Y7,"OFF")</f>
        <v>0.875</v>
      </c>
      <c r="I7" s="54">
        <v>0.5</v>
      </c>
      <c r="J7" s="54">
        <f t="shared" si="1"/>
        <v>0.875</v>
      </c>
      <c r="K7" s="54">
        <v>0.5</v>
      </c>
      <c r="L7" s="54">
        <f t="shared" si="2"/>
        <v>0.875</v>
      </c>
      <c r="M7" s="54">
        <v>0.5</v>
      </c>
      <c r="N7" s="54">
        <f t="shared" si="3"/>
        <v>0.875</v>
      </c>
      <c r="O7" s="54">
        <v>0.5</v>
      </c>
      <c r="P7" s="54">
        <f t="shared" si="5"/>
        <v>0.875</v>
      </c>
      <c r="Q7" s="21" t="s">
        <v>23</v>
      </c>
      <c r="R7" s="21" t="s">
        <v>23</v>
      </c>
      <c r="S7" s="21" t="s">
        <v>23</v>
      </c>
      <c r="T7" s="21" t="s">
        <v>23</v>
      </c>
      <c r="U7" s="21">
        <f>IFERROR(__xludf.DUMMYFUNCTION("TO_PURE_NUMBER(SUM(FILTER(G7:T7, ISEVEN(COLUMN(G7:T7))))-SUM(FILTER(G7:T7, ISODD(COLUMN(G7:T7)))))*24"),45)</f>
        <v>45</v>
      </c>
      <c r="V7" s="17">
        <f t="array" ref="V7">_xlfn.XLOOKUP(A7,'WK 47'!A:A,'WK 47'!V:V,"")</f>
        <v>45</v>
      </c>
      <c r="W7" s="17" t="str">
        <f t="array" ref="W7">_xlfn.XLOOKUP(A7,'WK 47'!A:A,'WK 47'!AA:AA,"")</f>
        <v>late</v>
      </c>
      <c r="X7" s="7">
        <f t="shared" si="4"/>
        <v>0</v>
      </c>
      <c r="Y7" s="20">
        <f t="array" ref="Y7">_xlfn.XLOOKUP(A7,'WK 45'!A:A,'WK 45'!X:X,"")</f>
        <v>0.375</v>
      </c>
      <c r="Z7" s="61"/>
      <c r="AA7" s="61"/>
      <c r="AB7" s="61"/>
      <c r="AC7" s="61"/>
      <c r="AD7" s="61"/>
      <c r="AE7" s="61"/>
      <c r="AF7" s="61"/>
      <c r="AG7" s="61"/>
    </row>
    <row r="8" customHeight="1" spans="1:33">
      <c r="A8" s="21">
        <v>10316545</v>
      </c>
      <c r="B8" s="86" t="s">
        <v>45</v>
      </c>
      <c r="C8" s="21" t="s">
        <v>20</v>
      </c>
      <c r="D8" s="21" t="s">
        <v>21</v>
      </c>
      <c r="E8" s="54" t="str">
        <f t="array" ref="E8">_xlfn.XLOOKUP(A8,'Schedule Wk 47'!A:A,'Schedule Wk 47'!E:E,"")</f>
        <v>FT</v>
      </c>
      <c r="F8" s="103">
        <f t="array" ref="F8">_xlfn.XLOOKUP(A8,'Schedule Wk 47'!A:A,'Schedule Wk 47'!F:F,"")</f>
        <v>1</v>
      </c>
      <c r="G8" s="54">
        <v>0.375</v>
      </c>
      <c r="H8" s="54">
        <v>0.75</v>
      </c>
      <c r="I8" s="54">
        <v>0.375</v>
      </c>
      <c r="J8" s="54">
        <v>0.75</v>
      </c>
      <c r="K8" s="54">
        <v>0.375</v>
      </c>
      <c r="L8" s="54">
        <v>0.75</v>
      </c>
      <c r="M8" s="54">
        <v>0.375</v>
      </c>
      <c r="N8" s="54">
        <v>0.75</v>
      </c>
      <c r="O8" s="54">
        <v>0.375</v>
      </c>
      <c r="P8" s="54">
        <v>0.75</v>
      </c>
      <c r="Q8" s="21" t="s">
        <v>23</v>
      </c>
      <c r="R8" s="21" t="s">
        <v>23</v>
      </c>
      <c r="S8" s="21" t="s">
        <v>23</v>
      </c>
      <c r="T8" s="21" t="s">
        <v>23</v>
      </c>
      <c r="U8" s="21">
        <f>IFERROR(__xludf.DUMMYFUNCTION("TO_PURE_NUMBER(SUM(FILTER(G8:T8, ISEVEN(COLUMN(G8:T8))))-SUM(FILTER(G8:T8, ISODD(COLUMN(G8:T8)))))*24"),45)</f>
        <v>45</v>
      </c>
      <c r="V8" s="17">
        <f t="array" ref="V8">_xlfn.XLOOKUP(A8,'WK 47'!A:A,'WK 47'!V:V,"")</f>
        <v>45</v>
      </c>
      <c r="W8" s="17" t="str">
        <f t="array" ref="W8">_xlfn.XLOOKUP(A8,'WK 47'!A:A,'WK 47'!AA:AA,"")</f>
        <v>early</v>
      </c>
      <c r="X8" s="7">
        <f t="shared" si="4"/>
        <v>0</v>
      </c>
      <c r="Y8" s="20">
        <f t="array" ref="Y8">_xlfn.XLOOKUP(A8,'WK 45'!A:A,'WK 45'!X:X,"")</f>
        <v>0.416666666666667</v>
      </c>
      <c r="Z8" s="61"/>
      <c r="AA8" s="61"/>
      <c r="AB8" s="61"/>
      <c r="AC8" s="61"/>
      <c r="AD8" s="61"/>
      <c r="AE8" s="61"/>
      <c r="AF8" s="61"/>
      <c r="AG8" s="61"/>
    </row>
    <row r="9" customHeight="1" spans="1:33">
      <c r="A9" s="21">
        <v>10317517</v>
      </c>
      <c r="B9" s="86" t="s">
        <v>29</v>
      </c>
      <c r="C9" s="21" t="s">
        <v>20</v>
      </c>
      <c r="D9" s="21" t="s">
        <v>21</v>
      </c>
      <c r="E9" s="54" t="str">
        <f t="array" ref="E9">_xlfn.XLOOKUP(A9,'Schedule Wk 47'!A:A,'Schedule Wk 47'!E:E,"")</f>
        <v>FT</v>
      </c>
      <c r="F9" s="103">
        <f t="array" ref="F9">_xlfn.XLOOKUP(A9,'Schedule Wk 47'!A:A,'Schedule Wk 47'!F:F,"")</f>
        <v>2</v>
      </c>
      <c r="G9" s="54">
        <v>0.375</v>
      </c>
      <c r="H9" s="54">
        <v>0.791666666666667</v>
      </c>
      <c r="I9" s="54">
        <v>0.375</v>
      </c>
      <c r="J9" s="54">
        <v>0.791666666666667</v>
      </c>
      <c r="K9" s="54">
        <v>0.375</v>
      </c>
      <c r="L9" s="54">
        <v>0.791666666666667</v>
      </c>
      <c r="M9" s="54">
        <v>0.375</v>
      </c>
      <c r="N9" s="54">
        <v>0.791666666666667</v>
      </c>
      <c r="O9" s="21" t="s">
        <v>23</v>
      </c>
      <c r="P9" s="21" t="s">
        <v>23</v>
      </c>
      <c r="Q9" s="21" t="s">
        <v>23</v>
      </c>
      <c r="R9" s="21" t="s">
        <v>23</v>
      </c>
      <c r="S9" s="54">
        <v>0.458333333333333</v>
      </c>
      <c r="T9" s="54">
        <v>0.666666666666667</v>
      </c>
      <c r="U9" s="21">
        <f>IFERROR(__xludf.DUMMYFUNCTION("TO_PURE_NUMBER(SUM(FILTER(G9:T9, ISEVEN(COLUMN(G9:T9))))-SUM(FILTER(G9:T9, ISODD(COLUMN(G9:T9)))))*24"),44.9999999999999)</f>
        <v>44.9999999999999</v>
      </c>
      <c r="V9" s="17">
        <f t="array" ref="V9">_xlfn.XLOOKUP(A9,'WK 47'!A:A,'WK 47'!V:V,"")</f>
        <v>45</v>
      </c>
      <c r="W9" s="17" t="str">
        <f t="array" ref="W9">_xlfn.XLOOKUP(A9,'WK 47'!A:A,'WK 47'!AA:AA,"")</f>
        <v>early</v>
      </c>
      <c r="X9" s="7">
        <f t="shared" si="4"/>
        <v>9.9475983006414e-14</v>
      </c>
      <c r="Y9" s="20">
        <f t="array" ref="Y9">_xlfn.XLOOKUP(A9,'WK 45'!A:A,'WK 45'!X:X,"")</f>
        <v>0.375</v>
      </c>
      <c r="Z9" s="61"/>
      <c r="AA9" s="61"/>
      <c r="AB9" s="61"/>
      <c r="AC9" s="61"/>
      <c r="AD9" s="61"/>
      <c r="AE9" s="61"/>
      <c r="AF9" s="61"/>
      <c r="AG9" s="61"/>
    </row>
    <row r="10" customHeight="1" spans="1:33">
      <c r="A10" s="21">
        <v>10317521</v>
      </c>
      <c r="B10" s="86" t="s">
        <v>28</v>
      </c>
      <c r="C10" s="21" t="s">
        <v>20</v>
      </c>
      <c r="D10" s="21" t="s">
        <v>21</v>
      </c>
      <c r="E10" s="54" t="str">
        <f t="array" ref="E10">_xlfn.XLOOKUP(A10,'Schedule Wk 47'!A:A,'Schedule Wk 47'!E:E,"")</f>
        <v>FT</v>
      </c>
      <c r="F10" s="103">
        <f t="array" ref="F10">_xlfn.XLOOKUP(A10,'Schedule Wk 47'!A:A,'Schedule Wk 47'!F:F,"")</f>
        <v>2</v>
      </c>
      <c r="G10" s="54">
        <v>0.375</v>
      </c>
      <c r="H10" s="54">
        <v>0.75</v>
      </c>
      <c r="I10" s="54">
        <v>0.375</v>
      </c>
      <c r="J10" s="54">
        <v>0.75</v>
      </c>
      <c r="K10" s="54">
        <v>0.375</v>
      </c>
      <c r="L10" s="54">
        <v>0.75</v>
      </c>
      <c r="M10" s="54">
        <v>0.375</v>
      </c>
      <c r="N10" s="54">
        <v>0.75</v>
      </c>
      <c r="O10" s="54">
        <v>0.375</v>
      </c>
      <c r="P10" s="54">
        <v>0.75</v>
      </c>
      <c r="Q10" s="21" t="s">
        <v>23</v>
      </c>
      <c r="R10" s="21" t="s">
        <v>23</v>
      </c>
      <c r="S10" s="21" t="s">
        <v>23</v>
      </c>
      <c r="T10" s="21" t="s">
        <v>23</v>
      </c>
      <c r="U10" s="21">
        <f>IFERROR(__xludf.DUMMYFUNCTION("TO_PURE_NUMBER(SUM(FILTER(G10:T10, ISEVEN(COLUMN(G10:T10))))-SUM(FILTER(G10:T10, ISODD(COLUMN(G10:T10)))))*24"),45)</f>
        <v>45</v>
      </c>
      <c r="V10" s="17">
        <f t="array" ref="V10">_xlfn.XLOOKUP(A10,'WK 47'!A:A,'WK 47'!V:V,"")</f>
        <v>45</v>
      </c>
      <c r="W10" s="17" t="str">
        <f t="array" ref="W10">_xlfn.XLOOKUP(A10,'WK 47'!A:A,'WK 47'!AA:AA,"")</f>
        <v>early</v>
      </c>
      <c r="X10" s="7">
        <f t="shared" si="4"/>
        <v>0</v>
      </c>
      <c r="Y10" s="20">
        <f t="array" ref="Y10">_xlfn.XLOOKUP(A10,'WK 45'!A:A,'WK 45'!X:X,"")</f>
        <v>0.375</v>
      </c>
      <c r="Z10" s="61"/>
      <c r="AA10" s="61"/>
      <c r="AB10" s="61"/>
      <c r="AC10" s="61"/>
      <c r="AD10" s="61"/>
      <c r="AE10" s="61"/>
      <c r="AF10" s="61"/>
      <c r="AG10" s="61"/>
    </row>
    <row r="11" customHeight="1" spans="1:33">
      <c r="A11" s="21">
        <v>10316680</v>
      </c>
      <c r="B11" s="86" t="s">
        <v>40</v>
      </c>
      <c r="C11" s="21" t="s">
        <v>20</v>
      </c>
      <c r="D11" s="21" t="s">
        <v>21</v>
      </c>
      <c r="E11" s="54" t="str">
        <f t="array" ref="E11">_xlfn.XLOOKUP(A11,'Schedule Wk 47'!A:A,'Schedule Wk 47'!E:E,"")</f>
        <v>FT</v>
      </c>
      <c r="F11" s="103">
        <f t="array" ref="F11">_xlfn.XLOOKUP(A11,'Schedule Wk 47'!A:A,'Schedule Wk 47'!F:F,"")</f>
        <v>1</v>
      </c>
      <c r="G11" s="21" t="s">
        <v>23</v>
      </c>
      <c r="H11" s="21" t="s">
        <v>23</v>
      </c>
      <c r="I11" s="54">
        <v>0.458333333333333</v>
      </c>
      <c r="J11" s="54">
        <v>0.875</v>
      </c>
      <c r="K11" s="54">
        <v>0.458333333333333</v>
      </c>
      <c r="L11" s="54">
        <v>0.875</v>
      </c>
      <c r="M11" s="54">
        <v>0.458333333333333</v>
      </c>
      <c r="N11" s="54">
        <v>0.875</v>
      </c>
      <c r="O11" s="54">
        <v>0.458333333333333</v>
      </c>
      <c r="P11" s="54">
        <v>0.875</v>
      </c>
      <c r="Q11" s="54">
        <v>0.458333333333333</v>
      </c>
      <c r="R11" s="54">
        <v>0.666666666666667</v>
      </c>
      <c r="S11" s="21" t="s">
        <v>23</v>
      </c>
      <c r="T11" s="21" t="s">
        <v>23</v>
      </c>
      <c r="U11" s="21">
        <f>IFERROR(__xludf.DUMMYFUNCTION("TO_PURE_NUMBER(SUM(FILTER(G11:T11, ISEVEN(COLUMN(G11:T11))))-SUM(FILTER(G11:T11, ISODD(COLUMN(G11:T11)))))*24"),45)</f>
        <v>45</v>
      </c>
      <c r="V11" s="17">
        <f t="array" ref="V11">_xlfn.XLOOKUP(A11,'WK 47'!A:A,'WK 47'!V:V,"")</f>
        <v>45</v>
      </c>
      <c r="W11" s="17" t="str">
        <f t="array" ref="W11">_xlfn.XLOOKUP(A11,'WK 47'!A:A,'WK 47'!AA:AA,"")</f>
        <v>late</v>
      </c>
      <c r="X11" s="7">
        <f t="shared" si="4"/>
        <v>0</v>
      </c>
      <c r="Y11" s="20">
        <f t="array" ref="Y11">_xlfn.XLOOKUP(A11,'WK 45'!A:A,'WK 45'!X:X,"")</f>
        <v>0.416666666666667</v>
      </c>
      <c r="Z11" s="61"/>
      <c r="AA11" s="61"/>
      <c r="AB11" s="61"/>
      <c r="AC11" s="61"/>
      <c r="AD11" s="61"/>
      <c r="AE11" s="61"/>
      <c r="AF11" s="61"/>
      <c r="AG11" s="61"/>
    </row>
    <row r="12" customHeight="1" spans="1:33">
      <c r="A12" s="21">
        <v>10320416</v>
      </c>
      <c r="B12" s="86" t="s">
        <v>66</v>
      </c>
      <c r="C12" s="21" t="s">
        <v>20</v>
      </c>
      <c r="D12" s="21" t="s">
        <v>21</v>
      </c>
      <c r="E12" s="54" t="str">
        <f t="array" ref="E12">_xlfn.XLOOKUP(A12,'Schedule Wk 47'!A:A,'Schedule Wk 47'!E:E,"")</f>
        <v>FT</v>
      </c>
      <c r="F12" s="103">
        <f t="array" ref="F12">_xlfn.XLOOKUP(A12,'Schedule Wk 47'!A:A,'Schedule Wk 47'!F:F,"")</f>
        <v>3</v>
      </c>
      <c r="G12" s="21" t="s">
        <v>23</v>
      </c>
      <c r="H12" s="21" t="s">
        <v>23</v>
      </c>
      <c r="I12" s="54">
        <v>0.375</v>
      </c>
      <c r="J12" s="54">
        <v>0.791666666666667</v>
      </c>
      <c r="K12" s="54">
        <v>0.375</v>
      </c>
      <c r="L12" s="54">
        <v>0.791666666666667</v>
      </c>
      <c r="M12" s="54">
        <v>0.375</v>
      </c>
      <c r="N12" s="54">
        <v>0.791666666666667</v>
      </c>
      <c r="O12" s="54">
        <v>0.375</v>
      </c>
      <c r="P12" s="54">
        <v>0.791666666666667</v>
      </c>
      <c r="Q12" s="54">
        <v>0.458333333333333</v>
      </c>
      <c r="R12" s="54">
        <v>0.666666666666667</v>
      </c>
      <c r="S12" s="21" t="s">
        <v>23</v>
      </c>
      <c r="T12" s="21" t="s">
        <v>23</v>
      </c>
      <c r="U12" s="21">
        <f>IFERROR(__xludf.DUMMYFUNCTION("TO_PURE_NUMBER(SUM(FILTER(G12:T12, ISEVEN(COLUMN(G12:T12))))-SUM(FILTER(G12:T12, ISODD(COLUMN(G12:T12)))))*24"),44.9999999999999)</f>
        <v>44.9999999999999</v>
      </c>
      <c r="V12" s="17">
        <f t="array" ref="V12">_xlfn.XLOOKUP(A12,'WK 47'!A:A,'WK 47'!V:V,"")</f>
        <v>45</v>
      </c>
      <c r="W12" s="17" t="str">
        <f t="array" ref="W12">_xlfn.XLOOKUP(A12,'WK 47'!A:A,'WK 47'!AA:AA,"")</f>
        <v>early</v>
      </c>
      <c r="X12" s="7">
        <f t="shared" si="4"/>
        <v>9.9475983006414e-14</v>
      </c>
      <c r="Y12" s="17" t="str">
        <f t="array" ref="Y12">_xlfn.XLOOKUP(A12,'WK 45'!A:A,'WK 45'!X:X,"")</f>
        <v/>
      </c>
      <c r="Z12" s="61"/>
      <c r="AA12" s="61"/>
      <c r="AB12" s="61"/>
      <c r="AC12" s="61"/>
      <c r="AD12" s="61"/>
      <c r="AE12" s="61"/>
      <c r="AF12" s="61"/>
      <c r="AG12" s="61"/>
    </row>
    <row r="13" customHeight="1" spans="1:33">
      <c r="A13" s="21">
        <v>10316650</v>
      </c>
      <c r="B13" s="86" t="s">
        <v>39</v>
      </c>
      <c r="C13" s="21" t="s">
        <v>20</v>
      </c>
      <c r="D13" s="21" t="s">
        <v>21</v>
      </c>
      <c r="E13" s="54" t="str">
        <f t="array" ref="E13">_xlfn.XLOOKUP(A13,'Schedule Wk 47'!A:A,'Schedule Wk 47'!E:E,"")</f>
        <v>FT</v>
      </c>
      <c r="F13" s="103">
        <f t="array" ref="F13">_xlfn.XLOOKUP(A13,'Schedule Wk 47'!A:A,'Schedule Wk 47'!F:F,"")</f>
        <v>2</v>
      </c>
      <c r="G13" s="54">
        <v>0.5</v>
      </c>
      <c r="H13" s="54">
        <v>0.875</v>
      </c>
      <c r="I13" s="54">
        <v>0.5</v>
      </c>
      <c r="J13" s="54">
        <v>0.875</v>
      </c>
      <c r="K13" s="54">
        <v>0.5</v>
      </c>
      <c r="L13" s="54">
        <v>0.875</v>
      </c>
      <c r="M13" s="54">
        <v>0.5</v>
      </c>
      <c r="N13" s="54">
        <v>0.875</v>
      </c>
      <c r="O13" s="54">
        <v>0.5</v>
      </c>
      <c r="P13" s="54">
        <v>0.875</v>
      </c>
      <c r="Q13" s="21" t="s">
        <v>23</v>
      </c>
      <c r="R13" s="21" t="s">
        <v>23</v>
      </c>
      <c r="S13" s="21" t="s">
        <v>23</v>
      </c>
      <c r="T13" s="21" t="s">
        <v>23</v>
      </c>
      <c r="U13" s="21">
        <f>IFERROR(__xludf.DUMMYFUNCTION("TO_PURE_NUMBER(SUM(FILTER(G13:T13, ISEVEN(COLUMN(G13:T13))))-SUM(FILTER(G13:T13, ISODD(COLUMN(G13:T13)))))*24"),45)</f>
        <v>45</v>
      </c>
      <c r="V13" s="17">
        <f t="array" ref="V13">_xlfn.XLOOKUP(A13,'WK 47'!A:A,'WK 47'!V:V,"")</f>
        <v>45</v>
      </c>
      <c r="W13" s="17" t="str">
        <f t="array" ref="W13">_xlfn.XLOOKUP(A13,'WK 47'!A:A,'WK 47'!AA:AA,"")</f>
        <v>early</v>
      </c>
      <c r="X13" s="7">
        <f t="shared" si="4"/>
        <v>0</v>
      </c>
      <c r="Y13" s="20">
        <f t="array" ref="Y13">_xlfn.XLOOKUP(A13,'WK 45'!A:A,'WK 45'!X:X,"")</f>
        <v>0.375</v>
      </c>
      <c r="Z13" s="61"/>
      <c r="AA13" s="61"/>
      <c r="AB13" s="61"/>
      <c r="AC13" s="61"/>
      <c r="AD13" s="61"/>
      <c r="AE13" s="61"/>
      <c r="AF13" s="61"/>
      <c r="AG13" s="61"/>
    </row>
    <row r="14" customHeight="1" spans="1:33">
      <c r="A14" s="21">
        <v>10317520</v>
      </c>
      <c r="B14" s="86" t="s">
        <v>37</v>
      </c>
      <c r="C14" s="21" t="s">
        <v>20</v>
      </c>
      <c r="D14" s="21" t="s">
        <v>21</v>
      </c>
      <c r="E14" s="54" t="str">
        <f t="array" ref="E14">_xlfn.XLOOKUP(A14,'Schedule Wk 47'!A:A,'Schedule Wk 47'!E:E,"")</f>
        <v>FT</v>
      </c>
      <c r="F14" s="103">
        <f t="array" ref="F14">_xlfn.XLOOKUP(A14,'Schedule Wk 47'!A:A,'Schedule Wk 47'!F:F,"")</f>
        <v>2</v>
      </c>
      <c r="G14" s="54">
        <v>0.375</v>
      </c>
      <c r="H14" s="54">
        <v>0.75</v>
      </c>
      <c r="I14" s="54">
        <v>0.375</v>
      </c>
      <c r="J14" s="54">
        <v>0.75</v>
      </c>
      <c r="K14" s="54">
        <v>0.375</v>
      </c>
      <c r="L14" s="54">
        <v>0.75</v>
      </c>
      <c r="M14" s="54">
        <v>0.375</v>
      </c>
      <c r="N14" s="54">
        <v>0.75</v>
      </c>
      <c r="O14" s="54">
        <v>0.375</v>
      </c>
      <c r="P14" s="54">
        <v>0.75</v>
      </c>
      <c r="Q14" s="21" t="s">
        <v>23</v>
      </c>
      <c r="R14" s="21" t="s">
        <v>23</v>
      </c>
      <c r="S14" s="21" t="s">
        <v>23</v>
      </c>
      <c r="T14" s="21" t="s">
        <v>23</v>
      </c>
      <c r="U14" s="21">
        <f>IFERROR(__xludf.DUMMYFUNCTION("TO_PURE_NUMBER(SUM(FILTER(G14:T14, ISEVEN(COLUMN(G14:T14))))-SUM(FILTER(G14:T14, ISODD(COLUMN(G14:T14)))))*24"),45)</f>
        <v>45</v>
      </c>
      <c r="V14" s="17">
        <f t="array" ref="V14">_xlfn.XLOOKUP(A14,'WK 47'!A:A,'WK 47'!V:V,"")</f>
        <v>45</v>
      </c>
      <c r="W14" s="17" t="str">
        <f t="array" ref="W14">_xlfn.XLOOKUP(A14,'WK 47'!A:A,'WK 47'!AA:AA,"")</f>
        <v>early</v>
      </c>
      <c r="X14" s="7">
        <f t="shared" si="4"/>
        <v>0</v>
      </c>
      <c r="Y14" s="20">
        <f t="array" ref="Y14">_xlfn.XLOOKUP(A14,'WK 45'!A:A,'WK 45'!X:X,"")</f>
        <v>0.375</v>
      </c>
      <c r="Z14" s="61"/>
      <c r="AA14" s="61"/>
      <c r="AB14" s="61"/>
      <c r="AC14" s="61"/>
      <c r="AD14" s="61"/>
      <c r="AE14" s="61"/>
      <c r="AF14" s="61"/>
      <c r="AG14" s="61"/>
    </row>
    <row r="15" customHeight="1" spans="1:33">
      <c r="A15" s="21">
        <v>10317147</v>
      </c>
      <c r="B15" s="86" t="s">
        <v>24</v>
      </c>
      <c r="C15" s="21" t="s">
        <v>20</v>
      </c>
      <c r="D15" s="21" t="s">
        <v>21</v>
      </c>
      <c r="E15" s="54" t="str">
        <f t="array" ref="E15">_xlfn.XLOOKUP(A15,'Schedule Wk 47'!A:A,'Schedule Wk 47'!E:E,"")</f>
        <v>FT</v>
      </c>
      <c r="F15" s="103">
        <f t="array" ref="F15">_xlfn.XLOOKUP(A15,'Schedule Wk 47'!A:A,'Schedule Wk 47'!F:F,"")</f>
        <v>1</v>
      </c>
      <c r="G15" s="21" t="s">
        <v>23</v>
      </c>
      <c r="H15" s="21" t="s">
        <v>23</v>
      </c>
      <c r="I15" s="54">
        <v>0.458333333333333</v>
      </c>
      <c r="J15" s="54">
        <v>0.875</v>
      </c>
      <c r="K15" s="54">
        <v>0.458333333333333</v>
      </c>
      <c r="L15" s="54">
        <v>0.875</v>
      </c>
      <c r="M15" s="54">
        <v>0.458333333333333</v>
      </c>
      <c r="N15" s="54">
        <v>0.875</v>
      </c>
      <c r="O15" s="54">
        <v>0.458333333333333</v>
      </c>
      <c r="P15" s="54">
        <v>0.875</v>
      </c>
      <c r="Q15" s="54">
        <v>0.458333333333333</v>
      </c>
      <c r="R15" s="54">
        <v>0.666666666666667</v>
      </c>
      <c r="S15" s="21" t="s">
        <v>23</v>
      </c>
      <c r="T15" s="21" t="s">
        <v>23</v>
      </c>
      <c r="U15" s="21">
        <f>IFERROR(__xludf.DUMMYFUNCTION("TO_PURE_NUMBER(SUM(FILTER(G15:T15, ISEVEN(COLUMN(G15:T15))))-SUM(FILTER(G15:T15, ISODD(COLUMN(G15:T15)))))*24"),45)</f>
        <v>45</v>
      </c>
      <c r="V15" s="17">
        <f t="array" ref="V15">_xlfn.XLOOKUP(A15,'WK 47'!A:A,'WK 47'!V:V,"")</f>
        <v>45</v>
      </c>
      <c r="W15" s="17" t="str">
        <f t="array" ref="W15">_xlfn.XLOOKUP(A15,'WK 47'!A:A,'WK 47'!AA:AA,"")</f>
        <v>early</v>
      </c>
      <c r="X15" s="7">
        <f t="shared" si="4"/>
        <v>0</v>
      </c>
      <c r="Y15" s="20">
        <f t="array" ref="Y15">_xlfn.XLOOKUP(A15,'WK 45'!A:A,'WK 45'!X:X,"")</f>
        <v>0.416666666666667</v>
      </c>
      <c r="Z15" s="61"/>
      <c r="AA15" s="61"/>
      <c r="AB15" s="61"/>
      <c r="AC15" s="61"/>
      <c r="AD15" s="61"/>
      <c r="AE15" s="61"/>
      <c r="AF15" s="61"/>
      <c r="AG15" s="61"/>
    </row>
    <row r="16" customHeight="1" spans="1:33">
      <c r="A16" s="21">
        <v>10320413</v>
      </c>
      <c r="B16" s="86" t="s">
        <v>60</v>
      </c>
      <c r="C16" s="21" t="s">
        <v>20</v>
      </c>
      <c r="D16" s="21" t="s">
        <v>21</v>
      </c>
      <c r="E16" s="54" t="str">
        <f t="array" ref="E16">_xlfn.XLOOKUP(A16,'Schedule Wk 47'!A:A,'Schedule Wk 47'!E:E,"")</f>
        <v>FT</v>
      </c>
      <c r="F16" s="103">
        <f t="array" ref="F16">_xlfn.XLOOKUP(A16,'Schedule Wk 47'!A:A,'Schedule Wk 47'!F:F,"")</f>
        <v>3</v>
      </c>
      <c r="G16" s="21" t="s">
        <v>23</v>
      </c>
      <c r="H16" s="21" t="s">
        <v>23</v>
      </c>
      <c r="I16" s="54">
        <v>0.375</v>
      </c>
      <c r="J16" s="54">
        <v>0.791666666666667</v>
      </c>
      <c r="K16" s="54">
        <v>0.375</v>
      </c>
      <c r="L16" s="54">
        <v>0.791666666666667</v>
      </c>
      <c r="M16" s="54">
        <v>0.375</v>
      </c>
      <c r="N16" s="54">
        <v>0.791666666666667</v>
      </c>
      <c r="O16" s="54">
        <v>0.375</v>
      </c>
      <c r="P16" s="54">
        <v>0.791666666666667</v>
      </c>
      <c r="Q16" s="54">
        <v>0.458333333333333</v>
      </c>
      <c r="R16" s="54">
        <v>0.666666666666667</v>
      </c>
      <c r="S16" s="21" t="s">
        <v>23</v>
      </c>
      <c r="T16" s="21" t="s">
        <v>23</v>
      </c>
      <c r="U16" s="21">
        <f>IFERROR(__xludf.DUMMYFUNCTION("TO_PURE_NUMBER(SUM(FILTER(G16:T16, ISEVEN(COLUMN(G16:T16))))-SUM(FILTER(G16:T16, ISODD(COLUMN(G16:T16)))))*24"),44.9999999999999)</f>
        <v>44.9999999999999</v>
      </c>
      <c r="V16" s="17">
        <f t="array" ref="V16">_xlfn.XLOOKUP(A16,'WK 47'!A:A,'WK 47'!V:V,"")</f>
        <v>45</v>
      </c>
      <c r="W16" s="17" t="str">
        <f t="array" ref="W16">_xlfn.XLOOKUP(A16,'WK 47'!A:A,'WK 47'!AA:AA,"")</f>
        <v>early</v>
      </c>
      <c r="X16" s="7">
        <f t="shared" si="4"/>
        <v>9.9475983006414e-14</v>
      </c>
      <c r="Y16" s="17" t="str">
        <f t="array" ref="Y16">_xlfn.XLOOKUP(A16,'WK 45'!A:A,'WK 45'!X:X,"")</f>
        <v/>
      </c>
      <c r="Z16" s="61"/>
      <c r="AA16" s="61"/>
      <c r="AB16" s="61"/>
      <c r="AC16" s="61"/>
      <c r="AD16" s="61"/>
      <c r="AE16" s="61"/>
      <c r="AF16" s="61"/>
      <c r="AG16" s="61"/>
    </row>
    <row r="17" customHeight="1" spans="1:33">
      <c r="A17" s="21">
        <v>10317522</v>
      </c>
      <c r="B17" s="86" t="s">
        <v>31</v>
      </c>
      <c r="C17" s="21" t="s">
        <v>20</v>
      </c>
      <c r="D17" s="21" t="s">
        <v>21</v>
      </c>
      <c r="E17" s="54" t="str">
        <f t="array" ref="E17">_xlfn.XLOOKUP(A17,'Schedule Wk 47'!A:A,'Schedule Wk 47'!E:E,"")</f>
        <v>FT</v>
      </c>
      <c r="F17" s="103">
        <f t="array" ref="F17">_xlfn.XLOOKUP(A17,'Schedule Wk 47'!A:A,'Schedule Wk 47'!F:F,"")</f>
        <v>2</v>
      </c>
      <c r="G17" s="21" t="s">
        <v>23</v>
      </c>
      <c r="H17" s="21" t="s">
        <v>23</v>
      </c>
      <c r="I17" s="54">
        <v>0.458333333333333</v>
      </c>
      <c r="J17" s="54">
        <v>0.875</v>
      </c>
      <c r="K17" s="54">
        <v>0.458333333333333</v>
      </c>
      <c r="L17" s="54">
        <v>0.875</v>
      </c>
      <c r="M17" s="54">
        <v>0.458333333333333</v>
      </c>
      <c r="N17" s="54">
        <v>0.875</v>
      </c>
      <c r="O17" s="54">
        <v>0.458333333333333</v>
      </c>
      <c r="P17" s="54">
        <v>0.875</v>
      </c>
      <c r="Q17" s="54">
        <v>0.458333333333333</v>
      </c>
      <c r="R17" s="54">
        <v>0.666666666666667</v>
      </c>
      <c r="S17" s="21" t="s">
        <v>23</v>
      </c>
      <c r="T17" s="21" t="s">
        <v>23</v>
      </c>
      <c r="U17" s="21">
        <f>IFERROR(__xludf.DUMMYFUNCTION("TO_PURE_NUMBER(SUM(FILTER(G17:T17, ISEVEN(COLUMN(G17:T17))))-SUM(FILTER(G17:T17, ISODD(COLUMN(G17:T17)))))*24"),45)</f>
        <v>45</v>
      </c>
      <c r="V17" s="17">
        <f t="array" ref="V17">_xlfn.XLOOKUP(A17,'WK 47'!A:A,'WK 47'!V:V,"")</f>
        <v>45</v>
      </c>
      <c r="W17" s="17" t="str">
        <f t="array" ref="W17">_xlfn.XLOOKUP(A17,'WK 47'!A:A,'WK 47'!AA:AA,"")</f>
        <v>late</v>
      </c>
      <c r="X17" s="7">
        <f t="shared" si="4"/>
        <v>0</v>
      </c>
      <c r="Y17" s="20">
        <f t="array" ref="Y17">_xlfn.XLOOKUP(A17,'WK 45'!A:A,'WK 45'!X:X,"")</f>
        <v>0.375</v>
      </c>
      <c r="Z17" s="61"/>
      <c r="AA17" s="61"/>
      <c r="AB17" s="61"/>
      <c r="AC17" s="61"/>
      <c r="AD17" s="61"/>
      <c r="AE17" s="61"/>
      <c r="AF17" s="61"/>
      <c r="AG17" s="61"/>
    </row>
    <row r="18" hidden="1" customHeight="1" spans="1:33">
      <c r="A18" s="21">
        <v>10317151</v>
      </c>
      <c r="B18" s="86" t="s">
        <v>52</v>
      </c>
      <c r="C18" s="21" t="s">
        <v>20</v>
      </c>
      <c r="D18" s="21" t="s">
        <v>86</v>
      </c>
      <c r="E18" s="54" t="str">
        <f t="array" ref="E18">_xlfn.XLOOKUP(A18,'Schedule Wk 47'!A:A,'Schedule Wk 47'!E:E,"")</f>
        <v>FT</v>
      </c>
      <c r="F18" s="103">
        <f t="array" ref="F18">_xlfn.XLOOKUP(A18,'Schedule Wk 47'!A:A,'Schedule Wk 47'!F:F,"")</f>
        <v>1</v>
      </c>
      <c r="G18" s="54">
        <v>0.375</v>
      </c>
      <c r="H18" s="54">
        <v>0.75</v>
      </c>
      <c r="I18" s="54">
        <v>0.375</v>
      </c>
      <c r="J18" s="54">
        <v>0.75</v>
      </c>
      <c r="K18" s="54">
        <v>0.375</v>
      </c>
      <c r="L18" s="54">
        <v>0.75</v>
      </c>
      <c r="M18" s="54">
        <v>0.375</v>
      </c>
      <c r="N18" s="54">
        <v>0.75</v>
      </c>
      <c r="O18" s="54">
        <v>0.375</v>
      </c>
      <c r="P18" s="54">
        <v>0.75</v>
      </c>
      <c r="Q18" s="114" t="s">
        <v>23</v>
      </c>
      <c r="R18" s="114" t="s">
        <v>23</v>
      </c>
      <c r="S18" s="114" t="s">
        <v>23</v>
      </c>
      <c r="T18" s="114" t="s">
        <v>23</v>
      </c>
      <c r="U18" s="21">
        <f>IFERROR(__xludf.DUMMYFUNCTION("TO_PURE_NUMBER(SUM(FILTER(G18:T18, ISEVEN(COLUMN(G18:T18))))-SUM(FILTER(G18:T18, ISODD(COLUMN(G18:T18)))))*24"),45)</f>
        <v>45</v>
      </c>
      <c r="V18" s="17">
        <f t="array" ref="V18">_xlfn.XLOOKUP(A18,'WK 47'!A:A,'WK 47'!V:V,"")</f>
        <v>45</v>
      </c>
      <c r="W18" s="17" t="str">
        <f t="array" ref="W18">_xlfn.XLOOKUP(A18,'WK 47'!A:A,'WK 47'!AA:AA,"")</f>
        <v>early</v>
      </c>
      <c r="X18" s="7">
        <f t="shared" si="4"/>
        <v>0</v>
      </c>
      <c r="Y18" s="20">
        <f t="array" ref="Y18">_xlfn.XLOOKUP(A18,'WK 45'!A:A,'WK 45'!X:X,"")</f>
        <v>0.416666666666667</v>
      </c>
      <c r="Z18" s="61"/>
      <c r="AA18" s="61"/>
      <c r="AB18" s="61"/>
      <c r="AC18" s="61"/>
      <c r="AD18" s="61"/>
      <c r="AE18" s="61"/>
      <c r="AF18" s="61"/>
      <c r="AG18" s="61"/>
    </row>
    <row r="19" customHeight="1" spans="1:33">
      <c r="A19" s="21">
        <v>10320409</v>
      </c>
      <c r="B19" s="21" t="s">
        <v>57</v>
      </c>
      <c r="C19" s="21" t="s">
        <v>20</v>
      </c>
      <c r="D19" s="21" t="s">
        <v>21</v>
      </c>
      <c r="E19" s="54" t="str">
        <f t="array" ref="E19">_xlfn.XLOOKUP(A19,'Schedule Wk 47'!A:A,'Schedule Wk 47'!E:E,"")</f>
        <v>FT</v>
      </c>
      <c r="F19" s="103">
        <f t="array" ref="F19">_xlfn.XLOOKUP(A19,'Schedule Wk 47'!A:A,'Schedule Wk 47'!F:F,"")</f>
        <v>3</v>
      </c>
      <c r="G19" s="54">
        <v>0.375</v>
      </c>
      <c r="H19" s="54">
        <v>0.75</v>
      </c>
      <c r="I19" s="54">
        <v>0.375</v>
      </c>
      <c r="J19" s="54">
        <v>0.75</v>
      </c>
      <c r="K19" s="54">
        <v>0.375</v>
      </c>
      <c r="L19" s="54">
        <v>0.75</v>
      </c>
      <c r="M19" s="54">
        <v>0.375</v>
      </c>
      <c r="N19" s="54">
        <v>0.75</v>
      </c>
      <c r="O19" s="54">
        <v>0.375</v>
      </c>
      <c r="P19" s="54">
        <v>0.75</v>
      </c>
      <c r="Q19" s="21" t="s">
        <v>23</v>
      </c>
      <c r="R19" s="21" t="s">
        <v>23</v>
      </c>
      <c r="S19" s="21" t="s">
        <v>23</v>
      </c>
      <c r="T19" s="21" t="s">
        <v>23</v>
      </c>
      <c r="U19" s="21">
        <f>IFERROR(__xludf.DUMMYFUNCTION("TO_PURE_NUMBER(SUM(FILTER(G19:T19, ISEVEN(COLUMN(G19:T19))))-SUM(FILTER(G19:T19, ISODD(COLUMN(G19:T19)))))*24"),45)</f>
        <v>45</v>
      </c>
      <c r="V19" s="17">
        <f t="array" ref="V19">_xlfn.XLOOKUP(A19,'WK 47'!A:A,'WK 47'!V:V,"")</f>
        <v>45</v>
      </c>
      <c r="W19" s="17" t="str">
        <f t="array" ref="W19">_xlfn.XLOOKUP(A19,'WK 47'!A:A,'WK 47'!AA:AA,"")</f>
        <v>early</v>
      </c>
      <c r="X19" s="7">
        <f t="shared" si="4"/>
        <v>0</v>
      </c>
      <c r="Y19" s="17" t="str">
        <f t="array" ref="Y19">_xlfn.XLOOKUP(A19,'WK 45'!A:A,'WK 45'!X:X,"")</f>
        <v/>
      </c>
      <c r="Z19" s="61"/>
      <c r="AA19" s="61"/>
      <c r="AB19" s="61"/>
      <c r="AC19" s="61"/>
      <c r="AD19" s="61"/>
      <c r="AE19" s="61"/>
      <c r="AF19" s="61"/>
      <c r="AG19" s="61"/>
    </row>
    <row r="20" customHeight="1" spans="1:33">
      <c r="A20" s="21">
        <v>10293627</v>
      </c>
      <c r="B20" s="183" t="s">
        <v>64</v>
      </c>
      <c r="C20" s="21" t="s">
        <v>20</v>
      </c>
      <c r="D20" s="21" t="s">
        <v>21</v>
      </c>
      <c r="E20" s="54" t="str">
        <f t="array" ref="E20">_xlfn.XLOOKUP(A20,'Schedule Wk 47'!A:A,'Schedule Wk 47'!E:E,"")</f>
        <v>FT</v>
      </c>
      <c r="F20" s="103">
        <f t="array" ref="F20">_xlfn.XLOOKUP(A20,'Schedule Wk 47'!A:A,'Schedule Wk 47'!F:F,"")</f>
        <v>3</v>
      </c>
      <c r="G20" s="54">
        <v>0.375</v>
      </c>
      <c r="H20" s="54">
        <v>0.75</v>
      </c>
      <c r="I20" s="54">
        <v>0.375</v>
      </c>
      <c r="J20" s="54">
        <v>0.75</v>
      </c>
      <c r="K20" s="54">
        <v>0.375</v>
      </c>
      <c r="L20" s="54">
        <v>0.75</v>
      </c>
      <c r="M20" s="54">
        <v>0.375</v>
      </c>
      <c r="N20" s="54">
        <v>0.75</v>
      </c>
      <c r="O20" s="54">
        <v>0.375</v>
      </c>
      <c r="P20" s="54">
        <v>0.75</v>
      </c>
      <c r="Q20" s="21" t="s">
        <v>23</v>
      </c>
      <c r="R20" s="21" t="s">
        <v>23</v>
      </c>
      <c r="S20" s="21" t="s">
        <v>23</v>
      </c>
      <c r="T20" s="21" t="s">
        <v>23</v>
      </c>
      <c r="U20" s="21">
        <f>IFERROR(__xludf.DUMMYFUNCTION("TO_PURE_NUMBER(SUM(FILTER(G20:T20, ISEVEN(COLUMN(G20:T20))))-SUM(FILTER(G20:T20, ISODD(COLUMN(G20:T20)))))*24"),45)</f>
        <v>45</v>
      </c>
      <c r="V20" s="17">
        <f t="array" ref="V20">_xlfn.XLOOKUP(A20,'WK 47'!A:A,'WK 47'!V:V,"")</f>
        <v>45</v>
      </c>
      <c r="W20" s="17" t="str">
        <f t="array" ref="W20">_xlfn.XLOOKUP(A20,'WK 47'!A:A,'WK 47'!AA:AA,"")</f>
        <v>early</v>
      </c>
      <c r="X20" s="7">
        <f t="shared" si="4"/>
        <v>0</v>
      </c>
      <c r="Y20" s="20">
        <v>0.416666666666667</v>
      </c>
      <c r="Z20" s="61"/>
      <c r="AA20" s="61"/>
      <c r="AB20" s="61"/>
      <c r="AC20" s="61"/>
      <c r="AD20" s="61"/>
      <c r="AE20" s="61"/>
      <c r="AF20" s="61"/>
      <c r="AG20" s="61"/>
    </row>
    <row r="21" hidden="1" customHeight="1" spans="1:33">
      <c r="A21" s="21">
        <v>10316540</v>
      </c>
      <c r="B21" s="21" t="s">
        <v>30</v>
      </c>
      <c r="C21" s="21" t="s">
        <v>20</v>
      </c>
      <c r="D21" s="21" t="s">
        <v>86</v>
      </c>
      <c r="E21" s="54" t="str">
        <f t="array" ref="E21">_xlfn.XLOOKUP(A21,'Schedule Wk 47'!A:A,'Schedule Wk 47'!E:E,"")</f>
        <v>FT</v>
      </c>
      <c r="F21" s="103">
        <f t="array" ref="F21">_xlfn.XLOOKUP(A21,'Schedule Wk 47'!A:A,'Schedule Wk 47'!F:F,"")</f>
        <v>1</v>
      </c>
      <c r="G21" s="54">
        <v>0.375</v>
      </c>
      <c r="H21" s="54">
        <v>0.75</v>
      </c>
      <c r="I21" s="54">
        <v>0.375</v>
      </c>
      <c r="J21" s="54">
        <v>0.75</v>
      </c>
      <c r="K21" s="54">
        <v>0.375</v>
      </c>
      <c r="L21" s="54">
        <v>0.75</v>
      </c>
      <c r="M21" s="54">
        <v>0.375</v>
      </c>
      <c r="N21" s="54">
        <v>0.75</v>
      </c>
      <c r="O21" s="54">
        <v>0.375</v>
      </c>
      <c r="P21" s="54">
        <v>0.75</v>
      </c>
      <c r="Q21" s="114" t="s">
        <v>23</v>
      </c>
      <c r="R21" s="114" t="s">
        <v>23</v>
      </c>
      <c r="S21" s="114" t="s">
        <v>23</v>
      </c>
      <c r="T21" s="114" t="s">
        <v>23</v>
      </c>
      <c r="U21" s="21">
        <f>IFERROR(__xludf.DUMMYFUNCTION("TO_PURE_NUMBER(SUM(FILTER(G21:T21, ISEVEN(COLUMN(G21:T21))))-SUM(FILTER(G21:T21, ISODD(COLUMN(G21:T21)))))*24"),45)</f>
        <v>45</v>
      </c>
      <c r="V21" s="17">
        <f t="array" ref="V21">_xlfn.XLOOKUP(A21,'WK 47'!A:A,'WK 47'!V:V,"")</f>
        <v>45</v>
      </c>
      <c r="W21" s="17" t="str">
        <f t="array" ref="W21">_xlfn.XLOOKUP(A21,'WK 47'!A:A,'WK 47'!AA:AA,"")</f>
        <v>late</v>
      </c>
      <c r="X21" s="7">
        <f t="shared" si="4"/>
        <v>0</v>
      </c>
      <c r="Y21" s="20">
        <f t="array" ref="Y21">_xlfn.XLOOKUP(A21,'WK 45'!A:A,'WK 45'!X:X,"")</f>
        <v>0.416666666666667</v>
      </c>
      <c r="Z21" s="61"/>
      <c r="AA21" s="61"/>
      <c r="AB21" s="61"/>
      <c r="AC21" s="61"/>
      <c r="AD21" s="61"/>
      <c r="AE21" s="61"/>
      <c r="AF21" s="61"/>
      <c r="AG21" s="61"/>
    </row>
    <row r="22" customHeight="1" spans="1:33">
      <c r="A22" s="21">
        <v>10320435</v>
      </c>
      <c r="B22" s="21" t="s">
        <v>71</v>
      </c>
      <c r="C22" s="21" t="s">
        <v>20</v>
      </c>
      <c r="D22" s="21" t="s">
        <v>21</v>
      </c>
      <c r="E22" s="54" t="str">
        <f t="array" ref="E22">_xlfn.XLOOKUP(A22,'Schedule Wk 47'!A:A,'Schedule Wk 47'!E:E,"")</f>
        <v>FT</v>
      </c>
      <c r="F22" s="103">
        <f t="array" ref="F22">_xlfn.XLOOKUP(A22,'Schedule Wk 47'!A:A,'Schedule Wk 47'!F:F,"")</f>
        <v>3</v>
      </c>
      <c r="G22" s="54">
        <v>0.375</v>
      </c>
      <c r="H22" s="54">
        <v>0.75</v>
      </c>
      <c r="I22" s="54">
        <v>0.375</v>
      </c>
      <c r="J22" s="54">
        <v>0.75</v>
      </c>
      <c r="K22" s="54">
        <v>0.375</v>
      </c>
      <c r="L22" s="54">
        <v>0.75</v>
      </c>
      <c r="M22" s="54">
        <v>0.375</v>
      </c>
      <c r="N22" s="54">
        <v>0.75</v>
      </c>
      <c r="O22" s="54">
        <v>0.375</v>
      </c>
      <c r="P22" s="54">
        <v>0.75</v>
      </c>
      <c r="Q22" s="21" t="s">
        <v>23</v>
      </c>
      <c r="R22" s="21" t="s">
        <v>23</v>
      </c>
      <c r="S22" s="21" t="s">
        <v>23</v>
      </c>
      <c r="T22" s="21" t="s">
        <v>23</v>
      </c>
      <c r="U22" s="21">
        <f>IFERROR(__xludf.DUMMYFUNCTION("TO_PURE_NUMBER(SUM(FILTER(G22:T22, ISEVEN(COLUMN(G22:T22))))-SUM(FILTER(G22:T22, ISODD(COLUMN(G22:T22)))))*24"),45)</f>
        <v>45</v>
      </c>
      <c r="V22" s="17">
        <f t="array" ref="V22">_xlfn.XLOOKUP(A22,'WK 47'!A:A,'WK 47'!V:V,"")</f>
        <v>45</v>
      </c>
      <c r="W22" s="17" t="str">
        <f t="array" ref="W22">_xlfn.XLOOKUP(A22,'WK 47'!A:A,'WK 47'!AA:AA,"")</f>
        <v>early</v>
      </c>
      <c r="X22" s="7">
        <f t="shared" si="4"/>
        <v>0</v>
      </c>
      <c r="Y22" s="17" t="str">
        <f t="array" ref="Y22">_xlfn.XLOOKUP(A22,'WK 45'!A:A,'WK 45'!X:X,"")</f>
        <v/>
      </c>
      <c r="Z22" s="61"/>
      <c r="AA22" s="61"/>
      <c r="AB22" s="61"/>
      <c r="AC22" s="61"/>
      <c r="AD22" s="61"/>
      <c r="AE22" s="61"/>
      <c r="AF22" s="61"/>
      <c r="AG22" s="61"/>
    </row>
    <row r="23" hidden="1" customHeight="1" spans="1:33">
      <c r="A23" s="21">
        <v>10316551</v>
      </c>
      <c r="B23" s="21" t="s">
        <v>87</v>
      </c>
      <c r="C23" s="21" t="s">
        <v>20</v>
      </c>
      <c r="D23" s="21" t="s">
        <v>21</v>
      </c>
      <c r="E23" s="54" t="str">
        <f t="array" ref="E23">_xlfn.XLOOKUP(A23,'Schedule Wk 47'!A:A,'Schedule Wk 47'!E:E,"")</f>
        <v>FT</v>
      </c>
      <c r="F23" s="103">
        <f t="array" ref="F23">_xlfn.XLOOKUP(A23,'Schedule Wk 47'!A:A,'Schedule Wk 47'!F:F,"")</f>
        <v>1</v>
      </c>
      <c r="G23" s="54">
        <v>0.5</v>
      </c>
      <c r="H23" s="54">
        <v>0.875</v>
      </c>
      <c r="I23" s="54">
        <v>0.5</v>
      </c>
      <c r="J23" s="54">
        <v>0.875</v>
      </c>
      <c r="K23" s="21" t="s">
        <v>23</v>
      </c>
      <c r="L23" s="21" t="s">
        <v>23</v>
      </c>
      <c r="M23" s="21" t="s">
        <v>23</v>
      </c>
      <c r="N23" s="21" t="s">
        <v>23</v>
      </c>
      <c r="O23" s="54">
        <v>0.5</v>
      </c>
      <c r="P23" s="54">
        <v>0.875</v>
      </c>
      <c r="Q23" s="54">
        <v>0.458333333333333</v>
      </c>
      <c r="R23" s="54">
        <v>0.666666666666667</v>
      </c>
      <c r="S23" s="54">
        <v>0.458333333333333</v>
      </c>
      <c r="T23" s="54">
        <v>0.666666666666667</v>
      </c>
      <c r="U23" s="21">
        <f>IFERROR(__xludf.DUMMYFUNCTION("TO_PURE_NUMBER(SUM(FILTER(G23:T23, ISEVEN(COLUMN(G23:T23))))-SUM(FILTER(G23:T23, ISODD(COLUMN(G23:T23)))))*24"),37)</f>
        <v>37</v>
      </c>
      <c r="V23" s="17">
        <f t="array" ref="V23">_xlfn.XLOOKUP(A23,'WK 47'!A:A,'WK 47'!V:V,"")</f>
        <v>45</v>
      </c>
      <c r="W23" s="17" t="str">
        <f t="array" ref="W23">_xlfn.XLOOKUP(A23,'WK 47'!A:A,'WK 47'!AA:AA,"")</f>
        <v>early</v>
      </c>
      <c r="X23" s="7">
        <f t="shared" si="4"/>
        <v>8</v>
      </c>
      <c r="Y23" s="20">
        <v>0.416666666666667</v>
      </c>
      <c r="Z23" s="61"/>
      <c r="AA23" s="61"/>
      <c r="AB23" s="61"/>
      <c r="AC23" s="61"/>
      <c r="AD23" s="61"/>
      <c r="AE23" s="61"/>
      <c r="AF23" s="61"/>
      <c r="AG23" s="61"/>
    </row>
    <row r="24" hidden="1" customHeight="1" spans="1:33">
      <c r="A24" s="21">
        <v>10316546</v>
      </c>
      <c r="B24" s="21" t="s">
        <v>49</v>
      </c>
      <c r="C24" s="21" t="s">
        <v>20</v>
      </c>
      <c r="D24" s="21" t="s">
        <v>21</v>
      </c>
      <c r="E24" s="54" t="str">
        <f t="array" ref="E24">_xlfn.XLOOKUP(A24,'Schedule Wk 47'!A:A,'Schedule Wk 47'!E:E,"")</f>
        <v>FT</v>
      </c>
      <c r="F24" s="103">
        <f t="array" ref="F24">_xlfn.XLOOKUP(A24,'Schedule Wk 47'!A:A,'Schedule Wk 47'!F:F,"")</f>
        <v>1</v>
      </c>
      <c r="G24" s="54">
        <v>0.5</v>
      </c>
      <c r="H24" s="54">
        <v>0.875</v>
      </c>
      <c r="I24" s="54">
        <v>0.5</v>
      </c>
      <c r="J24" s="54">
        <v>0.875</v>
      </c>
      <c r="K24" s="54">
        <v>0.5</v>
      </c>
      <c r="L24" s="54">
        <v>0.875</v>
      </c>
      <c r="M24" s="21" t="s">
        <v>23</v>
      </c>
      <c r="N24" s="21" t="s">
        <v>23</v>
      </c>
      <c r="O24" s="21" t="s">
        <v>23</v>
      </c>
      <c r="P24" s="21" t="s">
        <v>23</v>
      </c>
      <c r="Q24" s="54">
        <v>0.458333333333333</v>
      </c>
      <c r="R24" s="54">
        <v>0.666666666666667</v>
      </c>
      <c r="S24" s="54">
        <v>0.458333333333333</v>
      </c>
      <c r="T24" s="54">
        <v>0.666666666666667</v>
      </c>
      <c r="U24" s="21">
        <f>IFERROR(__xludf.DUMMYFUNCTION("TO_PURE_NUMBER(SUM(FILTER(G24:T24, ISEVEN(COLUMN(G24:T24))))-SUM(FILTER(G24:T24, ISODD(COLUMN(G24:T24)))))*24"),37)</f>
        <v>37</v>
      </c>
      <c r="V24" s="17">
        <v>37</v>
      </c>
      <c r="W24" s="17" t="str">
        <f t="array" ref="W24">_xlfn.XLOOKUP(A24,'WK 47'!A:A,'WK 47'!AA:AA,"")</f>
        <v>early</v>
      </c>
      <c r="X24" s="7">
        <f t="shared" si="4"/>
        <v>0</v>
      </c>
      <c r="Y24" s="20">
        <v>0.375</v>
      </c>
      <c r="Z24" s="61"/>
      <c r="AA24" s="61"/>
      <c r="AB24" s="61"/>
      <c r="AC24" s="61"/>
      <c r="AD24" s="61"/>
      <c r="AE24" s="61"/>
      <c r="AF24" s="61"/>
      <c r="AG24" s="61"/>
    </row>
    <row r="25" customHeight="1" spans="1:33">
      <c r="A25" s="21">
        <v>10276839</v>
      </c>
      <c r="B25" s="21" t="s">
        <v>54</v>
      </c>
      <c r="C25" s="21" t="s">
        <v>20</v>
      </c>
      <c r="D25" s="21" t="s">
        <v>21</v>
      </c>
      <c r="E25" s="54" t="str">
        <f t="array" ref="E25">_xlfn.XLOOKUP(A25,'Schedule Wk 47'!A:A,'Schedule Wk 47'!E:E,"")</f>
        <v>FT</v>
      </c>
      <c r="F25" s="103">
        <f t="array" ref="F25">_xlfn.XLOOKUP(A25,'Schedule Wk 47'!A:A,'Schedule Wk 47'!F:F,"")</f>
        <v>2</v>
      </c>
      <c r="G25" s="54">
        <v>0.375</v>
      </c>
      <c r="H25" s="54">
        <v>0.791666666666667</v>
      </c>
      <c r="I25" s="54">
        <v>0.375</v>
      </c>
      <c r="J25" s="54">
        <v>0.791666666666667</v>
      </c>
      <c r="K25" s="54">
        <v>0.375</v>
      </c>
      <c r="L25" s="54">
        <v>0.791666666666667</v>
      </c>
      <c r="M25" s="54">
        <v>0.375</v>
      </c>
      <c r="N25" s="54">
        <v>0.791666666666667</v>
      </c>
      <c r="O25" s="21" t="s">
        <v>23</v>
      </c>
      <c r="P25" s="21" t="s">
        <v>23</v>
      </c>
      <c r="Q25" s="21" t="s">
        <v>23</v>
      </c>
      <c r="R25" s="21" t="s">
        <v>23</v>
      </c>
      <c r="S25" s="54">
        <v>0.458333333333333</v>
      </c>
      <c r="T25" s="54">
        <v>0.666666666666667</v>
      </c>
      <c r="U25" s="21">
        <f>IFERROR(__xludf.DUMMYFUNCTION("TO_PURE_NUMBER(SUM(FILTER(G25:T25, ISEVEN(COLUMN(G25:T25))))-SUM(FILTER(G25:T25, ISODD(COLUMN(G25:T25)))))*24"),44.9999999999999)</f>
        <v>44.9999999999999</v>
      </c>
      <c r="V25" s="17">
        <f t="array" ref="V25">_xlfn.XLOOKUP(A25,'WK 47'!A:A,'WK 47'!V:V,"")</f>
        <v>45</v>
      </c>
      <c r="W25" s="17" t="str">
        <f t="array" ref="W25">_xlfn.XLOOKUP(A25,'WK 47'!A:A,'WK 47'!AA:AA,"")</f>
        <v>early</v>
      </c>
      <c r="X25" s="7">
        <f t="shared" si="4"/>
        <v>9.9475983006414e-14</v>
      </c>
      <c r="Y25" s="20">
        <f t="array" ref="Y25">_xlfn.XLOOKUP(A25,'WK 45'!A:A,'WK 45'!X:X,"")</f>
        <v>0.375</v>
      </c>
      <c r="Z25" s="61"/>
      <c r="AA25" s="61"/>
      <c r="AB25" s="61"/>
      <c r="AC25" s="61"/>
      <c r="AD25" s="61"/>
      <c r="AE25" s="61"/>
      <c r="AF25" s="61"/>
      <c r="AG25" s="61"/>
    </row>
    <row r="26" hidden="1" customHeight="1" spans="1:33">
      <c r="A26" s="21">
        <v>10274446</v>
      </c>
      <c r="B26" s="21" t="s">
        <v>88</v>
      </c>
      <c r="C26" s="21" t="s">
        <v>20</v>
      </c>
      <c r="D26" s="21" t="s">
        <v>21</v>
      </c>
      <c r="E26" s="54" t="str">
        <f t="array" ref="E26">_xlfn.XLOOKUP(A26,'Schedule Wk 47'!A:A,'Schedule Wk 47'!E:E,"")</f>
        <v>FT</v>
      </c>
      <c r="F26" s="103">
        <f t="array" ref="F26">_xlfn.XLOOKUP(A26,'Schedule Wk 47'!A:A,'Schedule Wk 47'!F:F,"")</f>
        <v>2</v>
      </c>
      <c r="G26" s="54">
        <v>0.5</v>
      </c>
      <c r="H26" s="54">
        <v>0.875</v>
      </c>
      <c r="I26" s="21" t="s">
        <v>23</v>
      </c>
      <c r="J26" s="21" t="s">
        <v>23</v>
      </c>
      <c r="K26" s="21" t="s">
        <v>23</v>
      </c>
      <c r="L26" s="21" t="s">
        <v>23</v>
      </c>
      <c r="M26" s="54">
        <v>0.5</v>
      </c>
      <c r="N26" s="54">
        <v>0.875</v>
      </c>
      <c r="O26" s="54">
        <v>0.5</v>
      </c>
      <c r="P26" s="54">
        <v>0.875</v>
      </c>
      <c r="Q26" s="54">
        <v>0.458333333333333</v>
      </c>
      <c r="R26" s="54">
        <v>0.666666666666667</v>
      </c>
      <c r="S26" s="54">
        <v>0.458333333333333</v>
      </c>
      <c r="T26" s="54">
        <v>0.666666666666667</v>
      </c>
      <c r="U26" s="21">
        <f>IFERROR(__xludf.DUMMYFUNCTION("TO_PURE_NUMBER(SUM(FILTER(G26:T26, ISEVEN(COLUMN(G26:T26))))-SUM(FILTER(G26:T26, ISODD(COLUMN(G26:T26)))))*24"),37)</f>
        <v>37</v>
      </c>
      <c r="V26" s="17">
        <v>37</v>
      </c>
      <c r="W26" s="17" t="str">
        <f t="array" ref="W26">_xlfn.XLOOKUP(A26,'WK 47'!A:A,'WK 47'!AA:AA,"")</f>
        <v>late</v>
      </c>
      <c r="X26" s="7">
        <f t="shared" si="4"/>
        <v>0</v>
      </c>
      <c r="Y26" s="20">
        <v>0.375</v>
      </c>
      <c r="Z26" s="61"/>
      <c r="AA26" s="61"/>
      <c r="AB26" s="61"/>
      <c r="AC26" s="61"/>
      <c r="AD26" s="61"/>
      <c r="AE26" s="61"/>
      <c r="AF26" s="61"/>
      <c r="AG26" s="61"/>
    </row>
    <row r="27" hidden="1" customHeight="1" spans="1:33">
      <c r="A27" s="21">
        <v>10316685</v>
      </c>
      <c r="B27" s="86" t="s">
        <v>47</v>
      </c>
      <c r="C27" s="21" t="s">
        <v>89</v>
      </c>
      <c r="D27" s="21" t="s">
        <v>21</v>
      </c>
      <c r="E27" s="54" t="str">
        <f t="array" ref="E27">_xlfn.XLOOKUP(A27,'Schedule Wk 47'!A:A,'Schedule Wk 47'!E:E,"")</f>
        <v>FT</v>
      </c>
      <c r="F27" s="103">
        <f t="array" ref="F27">_xlfn.XLOOKUP(A27,'Schedule Wk 47'!A:A,'Schedule Wk 47'!F:F,"")</f>
        <v>1</v>
      </c>
      <c r="G27" s="54">
        <v>0.375</v>
      </c>
      <c r="H27" s="54">
        <v>0.75</v>
      </c>
      <c r="I27" s="54">
        <v>0.375</v>
      </c>
      <c r="J27" s="54">
        <v>0.75</v>
      </c>
      <c r="K27" s="54">
        <v>0.375</v>
      </c>
      <c r="L27" s="54">
        <v>0.75</v>
      </c>
      <c r="M27" s="54">
        <v>0.375</v>
      </c>
      <c r="N27" s="54">
        <v>0.75</v>
      </c>
      <c r="O27" s="54">
        <v>0.375</v>
      </c>
      <c r="P27" s="54">
        <v>0.75</v>
      </c>
      <c r="Q27" s="115" t="s">
        <v>23</v>
      </c>
      <c r="R27" s="115" t="s">
        <v>23</v>
      </c>
      <c r="S27" s="21" t="s">
        <v>23</v>
      </c>
      <c r="T27" s="21" t="s">
        <v>23</v>
      </c>
      <c r="U27" s="21">
        <f>IFERROR(__xludf.DUMMYFUNCTION("TO_PURE_NUMBER(SUM(FILTER(G27:T27, ISEVEN(COLUMN(G27:T27))))-SUM(FILTER(G27:T27, ISODD(COLUMN(G27:T27)))))*24"),45)</f>
        <v>45</v>
      </c>
      <c r="V27" s="17">
        <f t="array" ref="V27">_xlfn.XLOOKUP(A27,'WK 47'!A:A,'WK 47'!V:V,"")</f>
        <v>45</v>
      </c>
      <c r="W27" s="17" t="str">
        <f t="array" ref="W27">_xlfn.XLOOKUP(A27,'WK 47'!A:A,'WK 47'!AA:AA,"")</f>
        <v>late</v>
      </c>
      <c r="X27" s="7">
        <f t="shared" si="4"/>
        <v>0</v>
      </c>
      <c r="Y27" s="20">
        <f t="array" ref="Y27">_xlfn.XLOOKUP(A27,'WK 45'!A:A,'WK 45'!X:X,"")</f>
        <v>0.416666666666667</v>
      </c>
      <c r="Z27" s="61"/>
      <c r="AA27" s="61"/>
      <c r="AB27" s="61"/>
      <c r="AC27" s="61"/>
      <c r="AD27" s="61"/>
      <c r="AE27" s="61"/>
      <c r="AF27" s="61"/>
      <c r="AG27" s="61"/>
    </row>
    <row r="28" customHeight="1" spans="1:33">
      <c r="A28" s="21">
        <v>10293607</v>
      </c>
      <c r="B28" s="183" t="s">
        <v>65</v>
      </c>
      <c r="C28" s="21" t="s">
        <v>20</v>
      </c>
      <c r="D28" s="21" t="s">
        <v>21</v>
      </c>
      <c r="E28" s="54" t="str">
        <f t="array" ref="E28">_xlfn.XLOOKUP(A28,'Schedule Wk 47'!A:A,'Schedule Wk 47'!E:E,"")</f>
        <v>FT</v>
      </c>
      <c r="F28" s="103">
        <f t="array" ref="F28">_xlfn.XLOOKUP(A28,'Schedule Wk 47'!A:A,'Schedule Wk 47'!F:F,"")</f>
        <v>3</v>
      </c>
      <c r="G28" s="54">
        <v>0.375</v>
      </c>
      <c r="H28" s="54">
        <v>0.75</v>
      </c>
      <c r="I28" s="54">
        <v>0.375</v>
      </c>
      <c r="J28" s="54">
        <v>0.75</v>
      </c>
      <c r="K28" s="54">
        <v>0.375</v>
      </c>
      <c r="L28" s="54">
        <v>0.75</v>
      </c>
      <c r="M28" s="54">
        <v>0.375</v>
      </c>
      <c r="N28" s="54">
        <v>0.75</v>
      </c>
      <c r="O28" s="54">
        <v>0.375</v>
      </c>
      <c r="P28" s="54">
        <v>0.75</v>
      </c>
      <c r="Q28" s="21" t="s">
        <v>23</v>
      </c>
      <c r="R28" s="21" t="s">
        <v>23</v>
      </c>
      <c r="S28" s="21" t="s">
        <v>23</v>
      </c>
      <c r="T28" s="21" t="s">
        <v>23</v>
      </c>
      <c r="U28" s="21">
        <f>IFERROR(__xludf.DUMMYFUNCTION("TO_PURE_NUMBER(SUM(FILTER(G28:T28, ISEVEN(COLUMN(G28:T28))))-SUM(FILTER(G28:T28, ISODD(COLUMN(G28:T28)))))*24"),45)</f>
        <v>45</v>
      </c>
      <c r="V28" s="17">
        <f t="array" ref="V28">_xlfn.XLOOKUP(A28,'WK 47'!A:A,'WK 47'!V:V,"")</f>
        <v>45</v>
      </c>
      <c r="W28" s="17" t="str">
        <f t="array" ref="W28">_xlfn.XLOOKUP(A28,'WK 47'!A:A,'WK 47'!AA:AA,"")</f>
        <v>early</v>
      </c>
      <c r="X28" s="7">
        <f t="shared" si="4"/>
        <v>0</v>
      </c>
      <c r="Y28" s="17" t="str">
        <f t="array" ref="Y28">_xlfn.XLOOKUP(A28,'WK 45'!A:A,'WK 45'!X:X,"")</f>
        <v/>
      </c>
      <c r="Z28" s="61"/>
      <c r="AA28" s="61"/>
      <c r="AB28" s="61"/>
      <c r="AC28" s="61"/>
      <c r="AD28" s="61"/>
      <c r="AE28" s="61"/>
      <c r="AF28" s="61"/>
      <c r="AG28" s="61"/>
    </row>
    <row r="29" hidden="1" customHeight="1" spans="1:33">
      <c r="A29" s="21">
        <v>10316538</v>
      </c>
      <c r="B29" s="21" t="s">
        <v>44</v>
      </c>
      <c r="C29" s="21" t="s">
        <v>20</v>
      </c>
      <c r="D29" s="21" t="s">
        <v>21</v>
      </c>
      <c r="E29" s="54" t="str">
        <f t="array" ref="E29">_xlfn.XLOOKUP(A29,'Schedule Wk 47'!A:A,'Schedule Wk 47'!E:E,"")</f>
        <v>FT</v>
      </c>
      <c r="F29" s="103">
        <f t="array" ref="F29">_xlfn.XLOOKUP(A29,'Schedule Wk 47'!A:A,'Schedule Wk 47'!F:F,"")</f>
        <v>1</v>
      </c>
      <c r="G29" s="54">
        <v>0.5</v>
      </c>
      <c r="H29" s="54">
        <v>0.875</v>
      </c>
      <c r="I29" s="54">
        <v>0.5</v>
      </c>
      <c r="J29" s="54">
        <v>0.875</v>
      </c>
      <c r="K29" s="21" t="s">
        <v>23</v>
      </c>
      <c r="L29" s="21" t="s">
        <v>23</v>
      </c>
      <c r="M29" s="21" t="s">
        <v>23</v>
      </c>
      <c r="N29" s="21" t="s">
        <v>23</v>
      </c>
      <c r="O29" s="54">
        <v>0.5</v>
      </c>
      <c r="P29" s="54">
        <v>0.875</v>
      </c>
      <c r="Q29" s="54">
        <v>0.458333333333333</v>
      </c>
      <c r="R29" s="54">
        <v>0.666666666666667</v>
      </c>
      <c r="S29" s="54">
        <v>0.458333333333333</v>
      </c>
      <c r="T29" s="54">
        <v>0.666666666666667</v>
      </c>
      <c r="U29" s="21">
        <f>IFERROR(__xludf.DUMMYFUNCTION("TO_PURE_NUMBER(SUM(FILTER(G29:T29, ISEVEN(COLUMN(G29:T29))))-SUM(FILTER(G29:T29, ISODD(COLUMN(G29:T29)))))*24"),37)</f>
        <v>37</v>
      </c>
      <c r="V29" s="17">
        <f t="array" ref="V29">_xlfn.XLOOKUP(A29,'WK 47'!A:A,'WK 47'!V:V,"")</f>
        <v>37</v>
      </c>
      <c r="W29" s="17" t="str">
        <f t="array" ref="W29">_xlfn.XLOOKUP(A29,'WK 47'!A:A,'WK 47'!AA:AA,"")</f>
        <v>late</v>
      </c>
      <c r="X29" s="7">
        <f t="shared" si="4"/>
        <v>0</v>
      </c>
      <c r="Y29" s="20">
        <f t="array" ref="Y29">_xlfn.XLOOKUP(A29,'WK 45'!A:A,'WK 45'!X:X,"")</f>
        <v>0.416666666666667</v>
      </c>
      <c r="Z29" s="61"/>
      <c r="AA29" s="61"/>
      <c r="AB29" s="61"/>
      <c r="AC29" s="61"/>
      <c r="AD29" s="61"/>
      <c r="AE29" s="61"/>
      <c r="AF29" s="61"/>
      <c r="AG29" s="61"/>
    </row>
    <row r="30" customHeight="1" spans="1:33">
      <c r="A30" s="21">
        <v>10320436</v>
      </c>
      <c r="B30" s="21" t="s">
        <v>90</v>
      </c>
      <c r="C30" s="21" t="s">
        <v>20</v>
      </c>
      <c r="D30" s="21" t="s">
        <v>21</v>
      </c>
      <c r="E30" s="54" t="str">
        <f t="array" ref="E30">_xlfn.XLOOKUP(A30,'Schedule Wk 47'!A:A,'Schedule Wk 47'!E:E,"")</f>
        <v>FT</v>
      </c>
      <c r="F30" s="103">
        <f t="array" ref="F30">_xlfn.XLOOKUP(A30,'Schedule Wk 47'!A:A,'Schedule Wk 47'!F:F,"")</f>
        <v>3</v>
      </c>
      <c r="G30" s="54">
        <v>0.375</v>
      </c>
      <c r="H30" s="54">
        <v>0.75</v>
      </c>
      <c r="I30" s="54">
        <v>0.375</v>
      </c>
      <c r="J30" s="54">
        <v>0.75</v>
      </c>
      <c r="K30" s="54">
        <v>0.375</v>
      </c>
      <c r="L30" s="54">
        <v>0.75</v>
      </c>
      <c r="M30" s="54">
        <v>0.375</v>
      </c>
      <c r="N30" s="54">
        <v>0.75</v>
      </c>
      <c r="O30" s="54">
        <v>0.375</v>
      </c>
      <c r="P30" s="54">
        <v>0.75</v>
      </c>
      <c r="Q30" s="21" t="s">
        <v>23</v>
      </c>
      <c r="R30" s="21" t="s">
        <v>23</v>
      </c>
      <c r="S30" s="21" t="s">
        <v>23</v>
      </c>
      <c r="T30" s="21" t="s">
        <v>23</v>
      </c>
      <c r="U30" s="21">
        <f>IFERROR(__xludf.DUMMYFUNCTION("TO_PURE_NUMBER(SUM(FILTER(G30:T30, ISEVEN(COLUMN(G30:T30))))-SUM(FILTER(G30:T30, ISODD(COLUMN(G30:T30)))))*24"),45)</f>
        <v>45</v>
      </c>
      <c r="V30" s="17">
        <f t="array" ref="V30">_xlfn.XLOOKUP(A30,'WK 47'!A:A,'WK 47'!V:V,"")</f>
        <v>45</v>
      </c>
      <c r="W30" s="17" t="str">
        <f t="array" ref="W30">_xlfn.XLOOKUP(A30,'WK 47'!A:A,'WK 47'!AA:AA,"")</f>
        <v>early</v>
      </c>
      <c r="X30" s="7">
        <f t="shared" si="4"/>
        <v>0</v>
      </c>
      <c r="Y30" s="17" t="str">
        <f t="array" ref="Y30">_xlfn.XLOOKUP(A30,'WK 45'!A:A,'WK 45'!X:X,"")</f>
        <v/>
      </c>
      <c r="Z30" s="61"/>
      <c r="AA30" s="61"/>
      <c r="AB30" s="61"/>
      <c r="AC30" s="61"/>
      <c r="AD30" s="61"/>
      <c r="AE30" s="61"/>
      <c r="AF30" s="61"/>
      <c r="AG30" s="61"/>
    </row>
    <row r="31" customHeight="1" spans="1:33">
      <c r="A31" s="21">
        <v>10317154</v>
      </c>
      <c r="B31" s="21" t="s">
        <v>70</v>
      </c>
      <c r="C31" s="21" t="s">
        <v>20</v>
      </c>
      <c r="D31" s="21" t="s">
        <v>21</v>
      </c>
      <c r="E31" s="54" t="str">
        <f t="array" ref="E31">_xlfn.XLOOKUP(A31,'Schedule Wk 47'!A:A,'Schedule Wk 47'!E:E,"")</f>
        <v>FT</v>
      </c>
      <c r="F31" s="103">
        <f t="array" ref="F31">_xlfn.XLOOKUP(A31,'Schedule Wk 47'!A:A,'Schedule Wk 47'!F:F,"")</f>
        <v>3</v>
      </c>
      <c r="G31" s="54">
        <v>0.375</v>
      </c>
      <c r="H31" s="54">
        <v>0.75</v>
      </c>
      <c r="I31" s="54">
        <v>0.375</v>
      </c>
      <c r="J31" s="54">
        <v>0.75</v>
      </c>
      <c r="K31" s="54">
        <v>0.375</v>
      </c>
      <c r="L31" s="54">
        <v>0.75</v>
      </c>
      <c r="M31" s="54">
        <v>0.375</v>
      </c>
      <c r="N31" s="54">
        <v>0.75</v>
      </c>
      <c r="O31" s="54">
        <v>0.375</v>
      </c>
      <c r="P31" s="54">
        <v>0.75</v>
      </c>
      <c r="Q31" s="21" t="s">
        <v>23</v>
      </c>
      <c r="R31" s="21" t="s">
        <v>23</v>
      </c>
      <c r="S31" s="21" t="s">
        <v>23</v>
      </c>
      <c r="T31" s="21" t="s">
        <v>23</v>
      </c>
      <c r="U31" s="21">
        <f>IFERROR(__xludf.DUMMYFUNCTION("TO_PURE_NUMBER(SUM(FILTER(G31:T31, ISEVEN(COLUMN(G31:T31))))-SUM(FILTER(G31:T31, ISODD(COLUMN(G31:T31)))))*24"),45)</f>
        <v>45</v>
      </c>
      <c r="V31" s="17">
        <f t="array" ref="V31">_xlfn.XLOOKUP(A31,'WK 47'!A:A,'WK 47'!V:V,"")</f>
        <v>45</v>
      </c>
      <c r="W31" s="17" t="str">
        <f t="array" ref="W31">_xlfn.XLOOKUP(A31,'WK 47'!A:A,'WK 47'!AA:AA,"")</f>
        <v>early</v>
      </c>
      <c r="X31" s="7">
        <f t="shared" si="4"/>
        <v>0</v>
      </c>
      <c r="Y31" s="17" t="str">
        <f t="array" ref="Y31">_xlfn.XLOOKUP(A31,'WK 45'!A:A,'WK 45'!X:X,"")</f>
        <v/>
      </c>
      <c r="Z31" s="61"/>
      <c r="AA31" s="61"/>
      <c r="AB31" s="61"/>
      <c r="AC31" s="61"/>
      <c r="AD31" s="61"/>
      <c r="AE31" s="61"/>
      <c r="AF31" s="61"/>
      <c r="AG31" s="61"/>
    </row>
    <row r="32" customHeight="1" spans="1:33">
      <c r="A32" s="21">
        <v>10320417</v>
      </c>
      <c r="B32" s="21" t="s">
        <v>67</v>
      </c>
      <c r="C32" s="21" t="s">
        <v>20</v>
      </c>
      <c r="D32" s="21" t="s">
        <v>21</v>
      </c>
      <c r="E32" s="54" t="str">
        <f t="array" ref="E32">_xlfn.XLOOKUP(A32,'Schedule Wk 47'!A:A,'Schedule Wk 47'!E:E,"")</f>
        <v>FT</v>
      </c>
      <c r="F32" s="103">
        <f t="array" ref="F32">_xlfn.XLOOKUP(A32,'Schedule Wk 47'!A:A,'Schedule Wk 47'!F:F,"")</f>
        <v>3</v>
      </c>
      <c r="G32" s="54">
        <v>0.375</v>
      </c>
      <c r="H32" s="54">
        <v>0.75</v>
      </c>
      <c r="I32" s="54">
        <v>0.375</v>
      </c>
      <c r="J32" s="54">
        <v>0.75</v>
      </c>
      <c r="K32" s="54">
        <v>0.375</v>
      </c>
      <c r="L32" s="54">
        <v>0.75</v>
      </c>
      <c r="M32" s="54">
        <v>0.375</v>
      </c>
      <c r="N32" s="54">
        <v>0.75</v>
      </c>
      <c r="O32" s="54">
        <v>0.375</v>
      </c>
      <c r="P32" s="54">
        <v>0.75</v>
      </c>
      <c r="Q32" s="21" t="s">
        <v>23</v>
      </c>
      <c r="R32" s="21" t="s">
        <v>23</v>
      </c>
      <c r="S32" s="21" t="s">
        <v>23</v>
      </c>
      <c r="T32" s="21" t="s">
        <v>23</v>
      </c>
      <c r="U32" s="21">
        <f>IFERROR(__xludf.DUMMYFUNCTION("TO_PURE_NUMBER(SUM(FILTER(G32:T32, ISEVEN(COLUMN(G32:T32))))-SUM(FILTER(G32:T32, ISODD(COLUMN(G32:T32)))))*24"),45)</f>
        <v>45</v>
      </c>
      <c r="V32" s="17">
        <f t="array" ref="V32">_xlfn.XLOOKUP(A32,'WK 47'!A:A,'WK 47'!V:V,"")</f>
        <v>45</v>
      </c>
      <c r="W32" s="17" t="str">
        <f t="array" ref="W32">_xlfn.XLOOKUP(A32,'WK 47'!A:A,'WK 47'!AA:AA,"")</f>
        <v>early</v>
      </c>
      <c r="X32" s="7">
        <f t="shared" si="4"/>
        <v>0</v>
      </c>
      <c r="Y32" s="20">
        <v>0.208333333333333</v>
      </c>
      <c r="Z32" s="61"/>
      <c r="AA32" s="61"/>
      <c r="AB32" s="61"/>
      <c r="AC32" s="61"/>
      <c r="AD32" s="61"/>
      <c r="AE32" s="61"/>
      <c r="AF32" s="61"/>
      <c r="AG32" s="61"/>
    </row>
    <row r="33" customHeight="1" spans="1:33">
      <c r="A33" s="21">
        <v>10320407</v>
      </c>
      <c r="B33" s="21" t="s">
        <v>55</v>
      </c>
      <c r="C33" s="21" t="s">
        <v>20</v>
      </c>
      <c r="D33" s="21" t="s">
        <v>21</v>
      </c>
      <c r="E33" s="54" t="str">
        <f t="array" ref="E33">_xlfn.XLOOKUP(A33,'Schedule Wk 47'!A:A,'Schedule Wk 47'!E:E,"")</f>
        <v>FT</v>
      </c>
      <c r="F33" s="103">
        <f t="array" ref="F33">_xlfn.XLOOKUP(A33,'Schedule Wk 47'!A:A,'Schedule Wk 47'!F:F,"")</f>
        <v>3</v>
      </c>
      <c r="G33" s="54">
        <v>0.375</v>
      </c>
      <c r="H33" s="54">
        <v>0.75</v>
      </c>
      <c r="I33" s="54">
        <v>0.375</v>
      </c>
      <c r="J33" s="54">
        <v>0.75</v>
      </c>
      <c r="K33" s="54">
        <v>0.375</v>
      </c>
      <c r="L33" s="54">
        <v>0.75</v>
      </c>
      <c r="M33" s="54">
        <v>0.375</v>
      </c>
      <c r="N33" s="54">
        <v>0.75</v>
      </c>
      <c r="O33" s="54">
        <v>0.375</v>
      </c>
      <c r="P33" s="54">
        <v>0.75</v>
      </c>
      <c r="Q33" s="21" t="s">
        <v>23</v>
      </c>
      <c r="R33" s="21" t="s">
        <v>23</v>
      </c>
      <c r="S33" s="21" t="s">
        <v>23</v>
      </c>
      <c r="T33" s="21" t="s">
        <v>23</v>
      </c>
      <c r="U33" s="21">
        <f>IFERROR(__xludf.DUMMYFUNCTION("TO_PURE_NUMBER(SUM(FILTER(G33:T33, ISEVEN(COLUMN(G33:T33))))-SUM(FILTER(G33:T33, ISODD(COLUMN(G33:T33)))))*24"),45)</f>
        <v>45</v>
      </c>
      <c r="V33" s="17">
        <f t="array" ref="V33">_xlfn.XLOOKUP(A33,'WK 47'!A:A,'WK 47'!V:V,"")</f>
        <v>45</v>
      </c>
      <c r="W33" s="17" t="str">
        <f t="array" ref="W33">_xlfn.XLOOKUP(A33,'WK 47'!A:A,'WK 47'!AA:AA,"")</f>
        <v>early</v>
      </c>
      <c r="X33" s="7">
        <f t="shared" si="4"/>
        <v>0</v>
      </c>
      <c r="Y33" s="17" t="str">
        <f t="array" ref="Y33">_xlfn.XLOOKUP(A33,Pref!A:A,Pref!E:E,"")</f>
        <v>10 hours (4 weekdays) + 5 hours (1 weekends) (45hrs/Week)</v>
      </c>
      <c r="Z33" s="61"/>
      <c r="AA33" s="61"/>
      <c r="AB33" s="61"/>
      <c r="AC33" s="61"/>
      <c r="AD33" s="61"/>
      <c r="AE33" s="61"/>
      <c r="AF33" s="61"/>
      <c r="AG33" s="61"/>
    </row>
    <row r="34" hidden="1" customHeight="1" spans="1:33">
      <c r="A34" s="21">
        <v>10252106</v>
      </c>
      <c r="B34" s="21" t="s">
        <v>43</v>
      </c>
      <c r="C34" s="21" t="s">
        <v>20</v>
      </c>
      <c r="D34" s="21" t="s">
        <v>21</v>
      </c>
      <c r="E34" s="54" t="str">
        <f t="array" ref="E34">_xlfn.XLOOKUP(A34,'Schedule Wk 47'!A:A,'Schedule Wk 47'!E:E,"")</f>
        <v>FT</v>
      </c>
      <c r="F34" s="103">
        <f t="array" ref="F34">_xlfn.XLOOKUP(A34,'Schedule Wk 47'!A:A,'Schedule Wk 47'!F:F,"")</f>
        <v>2</v>
      </c>
      <c r="G34" s="21" t="s">
        <v>23</v>
      </c>
      <c r="H34" s="21" t="s">
        <v>23</v>
      </c>
      <c r="I34" s="54">
        <v>0.375</v>
      </c>
      <c r="J34" s="54">
        <v>0.75</v>
      </c>
      <c r="K34" s="21" t="s">
        <v>23</v>
      </c>
      <c r="L34" s="21" t="s">
        <v>23</v>
      </c>
      <c r="M34" s="54">
        <v>0.375</v>
      </c>
      <c r="N34" s="54">
        <v>0.75</v>
      </c>
      <c r="O34" s="54">
        <v>0.375</v>
      </c>
      <c r="P34" s="54">
        <v>0.75</v>
      </c>
      <c r="Q34" s="54">
        <v>0.458333333333333</v>
      </c>
      <c r="R34" s="54">
        <v>0.666666666666667</v>
      </c>
      <c r="S34" s="54">
        <v>0.458333333333333</v>
      </c>
      <c r="T34" s="54">
        <v>0.666666666666667</v>
      </c>
      <c r="U34" s="21">
        <f>IFERROR(__xludf.DUMMYFUNCTION("TO_PURE_NUMBER(SUM(FILTER(G34:T34, ISEVEN(COLUMN(G34:T34))))-SUM(FILTER(G34:T34, ISODD(COLUMN(G34:T34)))))*24"),37)</f>
        <v>37</v>
      </c>
      <c r="V34" s="17">
        <f t="array" ref="V34">_xlfn.XLOOKUP(A34,'WK 47'!A:A,'WK 47'!V:V,"")</f>
        <v>37</v>
      </c>
      <c r="W34" s="17" t="str">
        <f t="array" ref="W34">_xlfn.XLOOKUP(A34,'WK 47'!A:A,'WK 47'!AA:AA,"")</f>
        <v>early</v>
      </c>
      <c r="X34" s="7">
        <f t="shared" si="4"/>
        <v>0</v>
      </c>
      <c r="Y34" s="20">
        <v>0.375</v>
      </c>
      <c r="Z34" s="61"/>
      <c r="AA34" s="61"/>
      <c r="AB34" s="61"/>
      <c r="AC34" s="61"/>
      <c r="AD34" s="61"/>
      <c r="AE34" s="61"/>
      <c r="AF34" s="61"/>
      <c r="AG34" s="61"/>
    </row>
    <row r="35" hidden="1" customHeight="1" spans="1:33">
      <c r="A35" s="21">
        <v>10317153</v>
      </c>
      <c r="B35" s="21" t="s">
        <v>42</v>
      </c>
      <c r="C35" s="21" t="s">
        <v>20</v>
      </c>
      <c r="D35" s="21" t="s">
        <v>21</v>
      </c>
      <c r="E35" s="54" t="str">
        <f t="array" ref="E35">_xlfn.XLOOKUP(A35,'Schedule Wk 47'!A:A,'Schedule Wk 47'!E:E,"")</f>
        <v>FT</v>
      </c>
      <c r="F35" s="103">
        <f t="array" ref="F35">_xlfn.XLOOKUP(A35,'Schedule Wk 47'!A:A,'Schedule Wk 47'!F:F,"")</f>
        <v>1</v>
      </c>
      <c r="G35" s="21" t="s">
        <v>23</v>
      </c>
      <c r="H35" s="21" t="s">
        <v>23</v>
      </c>
      <c r="I35" s="54">
        <v>0.375</v>
      </c>
      <c r="J35" s="54">
        <v>0.75</v>
      </c>
      <c r="K35" s="54">
        <v>0.375</v>
      </c>
      <c r="L35" s="54">
        <v>0.75</v>
      </c>
      <c r="M35" s="54">
        <v>0.375</v>
      </c>
      <c r="N35" s="54">
        <v>0.75</v>
      </c>
      <c r="O35" s="54">
        <v>0.375</v>
      </c>
      <c r="P35" s="54">
        <v>0.791666666666667</v>
      </c>
      <c r="Q35" s="54">
        <v>0.458333333333333</v>
      </c>
      <c r="R35" s="54">
        <v>0.666666666666667</v>
      </c>
      <c r="S35" s="21" t="s">
        <v>23</v>
      </c>
      <c r="T35" s="21" t="s">
        <v>23</v>
      </c>
      <c r="U35" s="21">
        <f>IFERROR(__xludf.DUMMYFUNCTION("TO_PURE_NUMBER(SUM(FILTER(G35:T35, ISEVEN(COLUMN(G35:T35))))-SUM(FILTER(G35:T35, ISODD(COLUMN(G35:T35)))))*24"),41.9999999999999)</f>
        <v>41.9999999999999</v>
      </c>
      <c r="V35" s="17">
        <f t="array" ref="V35">_xlfn.XLOOKUP(A35,'WK 47'!A:A,'WK 47'!V:V,"")</f>
        <v>45</v>
      </c>
      <c r="W35" s="17" t="str">
        <f t="array" ref="W35">_xlfn.XLOOKUP(A35,'WK 47'!A:A,'WK 47'!AA:AA,"")</f>
        <v>early</v>
      </c>
      <c r="X35" s="7">
        <f t="shared" si="4"/>
        <v>3.0000000000001</v>
      </c>
      <c r="Y35" s="20">
        <v>0.416666666666667</v>
      </c>
      <c r="Z35" s="61"/>
      <c r="AA35" s="61"/>
      <c r="AB35" s="61"/>
      <c r="AC35" s="61"/>
      <c r="AD35" s="61"/>
      <c r="AE35" s="61"/>
      <c r="AF35" s="61"/>
      <c r="AG35" s="61"/>
    </row>
    <row r="36" customHeight="1" spans="1:33">
      <c r="A36" s="21">
        <v>10316543</v>
      </c>
      <c r="B36" s="21" t="s">
        <v>41</v>
      </c>
      <c r="C36" s="21" t="s">
        <v>20</v>
      </c>
      <c r="D36" s="21" t="s">
        <v>21</v>
      </c>
      <c r="E36" s="54" t="str">
        <f t="array" ref="E36">_xlfn.XLOOKUP(A36,'Schedule Wk 47'!A:A,'Schedule Wk 47'!E:E,"")</f>
        <v>FT</v>
      </c>
      <c r="F36" s="103">
        <f t="array" ref="F36">_xlfn.XLOOKUP(A36,'Schedule Wk 47'!A:A,'Schedule Wk 47'!F:F,"")</f>
        <v>1</v>
      </c>
      <c r="G36" s="54">
        <v>0.458333333333333</v>
      </c>
      <c r="H36" s="54">
        <v>0.875</v>
      </c>
      <c r="I36" s="54">
        <v>0.458333333333333</v>
      </c>
      <c r="J36" s="54">
        <v>0.875</v>
      </c>
      <c r="K36" s="54">
        <v>0.458333333333333</v>
      </c>
      <c r="L36" s="54">
        <v>0.875</v>
      </c>
      <c r="M36" s="54">
        <v>0.458333333333333</v>
      </c>
      <c r="N36" s="54">
        <v>0.875</v>
      </c>
      <c r="O36" s="21" t="s">
        <v>23</v>
      </c>
      <c r="P36" s="21" t="s">
        <v>23</v>
      </c>
      <c r="Q36" s="21" t="s">
        <v>23</v>
      </c>
      <c r="R36" s="21" t="s">
        <v>23</v>
      </c>
      <c r="S36" s="54">
        <v>0.458333333333333</v>
      </c>
      <c r="T36" s="54">
        <v>0.666666666666667</v>
      </c>
      <c r="U36" s="21">
        <f>IFERROR(__xludf.DUMMYFUNCTION("TO_PURE_NUMBER(SUM(FILTER(G36:T36, ISEVEN(COLUMN(G36:T36))))-SUM(FILTER(G36:T36, ISODD(COLUMN(G36:T36)))))*24"),45)</f>
        <v>45</v>
      </c>
      <c r="V36" s="17">
        <f t="array" ref="V36">_xlfn.XLOOKUP(A36,'WK 47'!A:A,'WK 47'!V:V,"")</f>
        <v>45</v>
      </c>
      <c r="W36" s="17" t="str">
        <f t="array" ref="W36">_xlfn.XLOOKUP(A36,'WK 47'!A:A,'WK 47'!AA:AA,"")</f>
        <v>late</v>
      </c>
      <c r="X36" s="7">
        <f t="shared" si="4"/>
        <v>0</v>
      </c>
      <c r="Y36" s="20">
        <v>0.416666666666667</v>
      </c>
      <c r="Z36" s="61"/>
      <c r="AA36" s="61"/>
      <c r="AB36" s="61"/>
      <c r="AC36" s="61"/>
      <c r="AD36" s="61"/>
      <c r="AE36" s="61"/>
      <c r="AF36" s="61"/>
      <c r="AG36" s="61"/>
    </row>
    <row r="37" customHeight="1" spans="1:33">
      <c r="A37" s="21">
        <v>10250966</v>
      </c>
      <c r="B37" s="183" t="s">
        <v>61</v>
      </c>
      <c r="C37" s="21" t="s">
        <v>20</v>
      </c>
      <c r="D37" s="21" t="s">
        <v>21</v>
      </c>
      <c r="E37" s="54" t="str">
        <f t="array" ref="E37">_xlfn.XLOOKUP(A37,'Schedule Wk 47'!A:A,'Schedule Wk 47'!E:E,"")</f>
        <v>FT</v>
      </c>
      <c r="F37" s="103">
        <f t="array" ref="F37">_xlfn.XLOOKUP(A37,'Schedule Wk 47'!A:A,'Schedule Wk 47'!F:F,"")</f>
        <v>3</v>
      </c>
      <c r="G37" s="54">
        <v>0.375</v>
      </c>
      <c r="H37" s="54">
        <v>0.75</v>
      </c>
      <c r="I37" s="54">
        <v>0.375</v>
      </c>
      <c r="J37" s="54">
        <v>0.75</v>
      </c>
      <c r="K37" s="54">
        <v>0.375</v>
      </c>
      <c r="L37" s="54">
        <v>0.75</v>
      </c>
      <c r="M37" s="54">
        <v>0.375</v>
      </c>
      <c r="N37" s="54">
        <v>0.75</v>
      </c>
      <c r="O37" s="54">
        <v>0.375</v>
      </c>
      <c r="P37" s="54">
        <v>0.75</v>
      </c>
      <c r="Q37" s="21" t="s">
        <v>23</v>
      </c>
      <c r="R37" s="21" t="s">
        <v>23</v>
      </c>
      <c r="S37" s="21" t="s">
        <v>23</v>
      </c>
      <c r="T37" s="21" t="s">
        <v>23</v>
      </c>
      <c r="U37" s="21">
        <f>IFERROR(__xludf.DUMMYFUNCTION("TO_PURE_NUMBER(SUM(FILTER(G37:T37, ISEVEN(COLUMN(G37:T37))))-SUM(FILTER(G37:T37, ISODD(COLUMN(G37:T37)))))*24"),45)</f>
        <v>45</v>
      </c>
      <c r="V37" s="17">
        <f t="array" ref="V37">_xlfn.XLOOKUP(A37,'WK 47'!A:A,'WK 47'!V:V,"")</f>
        <v>45</v>
      </c>
      <c r="W37" s="17" t="str">
        <f t="array" ref="W37">_xlfn.XLOOKUP(A37,'WK 47'!A:A,'WK 47'!AA:AA,"")</f>
        <v>early</v>
      </c>
      <c r="X37" s="7">
        <f t="shared" si="4"/>
        <v>0</v>
      </c>
      <c r="Y37" s="20">
        <v>0.416666666666667</v>
      </c>
      <c r="Z37" s="61"/>
      <c r="AA37" s="61"/>
      <c r="AB37" s="61"/>
      <c r="AC37" s="61"/>
      <c r="AD37" s="61"/>
      <c r="AE37" s="61"/>
      <c r="AF37" s="61"/>
      <c r="AG37" s="61"/>
    </row>
    <row r="38" customHeight="1" spans="1:33">
      <c r="A38" s="21">
        <v>10317943</v>
      </c>
      <c r="B38" s="21" t="s">
        <v>27</v>
      </c>
      <c r="C38" s="21" t="s">
        <v>20</v>
      </c>
      <c r="D38" s="21" t="s">
        <v>21</v>
      </c>
      <c r="E38" s="54" t="str">
        <f t="array" ref="E38">_xlfn.XLOOKUP(A38,'Schedule Wk 47'!A:A,'Schedule Wk 47'!E:E,"")</f>
        <v>FT</v>
      </c>
      <c r="F38" s="103">
        <f t="array" ref="F38">_xlfn.XLOOKUP(A38,'Schedule Wk 47'!A:A,'Schedule Wk 47'!F:F,"")</f>
        <v>2</v>
      </c>
      <c r="G38" s="54">
        <v>0.458333333333333</v>
      </c>
      <c r="H38" s="54">
        <v>0.875</v>
      </c>
      <c r="I38" s="54">
        <v>0.458333333333333</v>
      </c>
      <c r="J38" s="54">
        <v>0.875</v>
      </c>
      <c r="K38" s="54">
        <v>0.458333333333333</v>
      </c>
      <c r="L38" s="54">
        <v>0.875</v>
      </c>
      <c r="M38" s="54">
        <v>0.458333333333333</v>
      </c>
      <c r="N38" s="54">
        <v>0.875</v>
      </c>
      <c r="O38" s="21" t="s">
        <v>23</v>
      </c>
      <c r="P38" s="21" t="s">
        <v>23</v>
      </c>
      <c r="Q38" s="21" t="s">
        <v>23</v>
      </c>
      <c r="R38" s="21" t="s">
        <v>23</v>
      </c>
      <c r="S38" s="54">
        <v>0.458333333333333</v>
      </c>
      <c r="T38" s="54">
        <v>0.666666666666667</v>
      </c>
      <c r="U38" s="21">
        <f>IFERROR(__xludf.DUMMYFUNCTION("TO_PURE_NUMBER(SUM(FILTER(G38:T38, ISEVEN(COLUMN(G38:T38))))-SUM(FILTER(G38:T38, ISODD(COLUMN(G38:T38)))))*24"),45)</f>
        <v>45</v>
      </c>
      <c r="V38" s="17">
        <f t="array" ref="V38">_xlfn.XLOOKUP(A38,'WK 47'!A:A,'WK 47'!V:V,"")</f>
        <v>45</v>
      </c>
      <c r="W38" s="17" t="str">
        <f t="array" ref="W38">_xlfn.XLOOKUP(A38,'WK 47'!A:A,'WK 47'!AA:AA,"")</f>
        <v>early</v>
      </c>
      <c r="X38" s="7">
        <f t="shared" si="4"/>
        <v>0</v>
      </c>
      <c r="Y38" s="20">
        <v>0.416666666666667</v>
      </c>
      <c r="Z38" s="61"/>
      <c r="AA38" s="61"/>
      <c r="AB38" s="61"/>
      <c r="AC38" s="61"/>
      <c r="AD38" s="61"/>
      <c r="AE38" s="61"/>
      <c r="AF38" s="61"/>
      <c r="AG38" s="61"/>
    </row>
    <row r="39" customHeight="1" spans="1:33">
      <c r="A39" s="21">
        <v>10316530</v>
      </c>
      <c r="B39" s="21" t="s">
        <v>26</v>
      </c>
      <c r="C39" s="21" t="s">
        <v>20</v>
      </c>
      <c r="D39" s="21" t="s">
        <v>21</v>
      </c>
      <c r="E39" s="54" t="str">
        <f t="array" ref="E39">_xlfn.XLOOKUP(A39,'Schedule Wk 47'!A:A,'Schedule Wk 47'!E:E,"")</f>
        <v>FT</v>
      </c>
      <c r="F39" s="103">
        <f t="array" ref="F39">_xlfn.XLOOKUP(A39,'Schedule Wk 47'!A:A,'Schedule Wk 47'!F:F,"")</f>
        <v>1</v>
      </c>
      <c r="G39" s="21" t="s">
        <v>23</v>
      </c>
      <c r="H39" s="21" t="s">
        <v>23</v>
      </c>
      <c r="I39" s="54">
        <v>0.458333333333333</v>
      </c>
      <c r="J39" s="54">
        <v>0.875</v>
      </c>
      <c r="K39" s="54">
        <v>0.458333333333333</v>
      </c>
      <c r="L39" s="54">
        <v>0.875</v>
      </c>
      <c r="M39" s="54">
        <v>0.458333333333333</v>
      </c>
      <c r="N39" s="54">
        <v>0.875</v>
      </c>
      <c r="O39" s="54">
        <v>0.458333333333333</v>
      </c>
      <c r="P39" s="54">
        <v>0.875</v>
      </c>
      <c r="Q39" s="54">
        <v>0.458333333333333</v>
      </c>
      <c r="R39" s="54">
        <v>0.666666666666667</v>
      </c>
      <c r="S39" s="21" t="s">
        <v>23</v>
      </c>
      <c r="T39" s="21" t="s">
        <v>23</v>
      </c>
      <c r="U39" s="21">
        <f>IFERROR(__xludf.DUMMYFUNCTION("TO_PURE_NUMBER(SUM(FILTER(G39:T39, ISEVEN(COLUMN(G39:T39))))-SUM(FILTER(G39:T39, ISODD(COLUMN(G39:T39)))))*24"),45)</f>
        <v>45</v>
      </c>
      <c r="V39" s="17">
        <f t="array" ref="V39">_xlfn.XLOOKUP(A39,'WK 47'!A:A,'WK 47'!V:V,"")</f>
        <v>45</v>
      </c>
      <c r="W39" s="17" t="str">
        <f t="array" ref="W39">_xlfn.XLOOKUP(A39,'WK 47'!A:A,'WK 47'!AA:AA,"")</f>
        <v>late</v>
      </c>
      <c r="X39" s="7">
        <f t="shared" si="4"/>
        <v>0</v>
      </c>
      <c r="Y39" s="20">
        <v>0.416666666666667</v>
      </c>
      <c r="Z39" s="61"/>
      <c r="AA39" s="61"/>
      <c r="AB39" s="61"/>
      <c r="AC39" s="61"/>
      <c r="AD39" s="61"/>
      <c r="AE39" s="61"/>
      <c r="AF39" s="61"/>
      <c r="AG39" s="61"/>
    </row>
    <row r="40" hidden="1" customHeight="1" spans="1:33">
      <c r="A40" s="21">
        <v>10316681</v>
      </c>
      <c r="B40" s="86" t="s">
        <v>38</v>
      </c>
      <c r="C40" s="21" t="s">
        <v>89</v>
      </c>
      <c r="D40" s="21" t="s">
        <v>21</v>
      </c>
      <c r="E40" s="54" t="str">
        <f t="array" ref="E40">_xlfn.XLOOKUP(A40,'Schedule Wk 47'!A:A,'Schedule Wk 47'!E:E,"")</f>
        <v>FT</v>
      </c>
      <c r="F40" s="103">
        <f t="array" ref="F40">_xlfn.XLOOKUP(A40,'Schedule Wk 47'!A:A,'Schedule Wk 47'!F:F,"")</f>
        <v>1</v>
      </c>
      <c r="G40" s="54">
        <v>0.375</v>
      </c>
      <c r="H40" s="54">
        <v>0.75</v>
      </c>
      <c r="I40" s="54">
        <v>0.375</v>
      </c>
      <c r="J40" s="54">
        <v>0.75</v>
      </c>
      <c r="K40" s="54">
        <v>0.375</v>
      </c>
      <c r="L40" s="54">
        <v>0.75</v>
      </c>
      <c r="M40" s="54">
        <v>0.375</v>
      </c>
      <c r="N40" s="54">
        <v>0.75</v>
      </c>
      <c r="O40" s="54">
        <v>0.375</v>
      </c>
      <c r="P40" s="54">
        <v>0.75</v>
      </c>
      <c r="Q40" s="21" t="s">
        <v>23</v>
      </c>
      <c r="R40" s="21" t="s">
        <v>23</v>
      </c>
      <c r="S40" s="21" t="s">
        <v>23</v>
      </c>
      <c r="T40" s="21" t="s">
        <v>23</v>
      </c>
      <c r="U40" s="21">
        <f>IFERROR(__xludf.DUMMYFUNCTION("TO_PURE_NUMBER(SUM(FILTER(G40:T40, ISEVEN(COLUMN(G40:T40))))-SUM(FILTER(G40:T40, ISODD(COLUMN(G40:T40)))))*24"),45)</f>
        <v>45</v>
      </c>
      <c r="V40" s="17">
        <f t="array" ref="V40">_xlfn.XLOOKUP(A40,'WK 47'!A:A,'WK 47'!V:V,"")</f>
        <v>45</v>
      </c>
      <c r="W40" s="17" t="str">
        <f t="array" ref="W40">_xlfn.XLOOKUP(A40,'WK 47'!A:A,'WK 47'!AA:AA,"")</f>
        <v>early</v>
      </c>
      <c r="X40" s="7">
        <f t="shared" si="4"/>
        <v>0</v>
      </c>
      <c r="Y40" s="20">
        <f t="array" ref="Y40">_xlfn.XLOOKUP(A40,'WK 45'!A:A,'WK 45'!X:X,"")</f>
        <v>0.375</v>
      </c>
      <c r="Z40" s="61"/>
      <c r="AA40" s="61"/>
      <c r="AB40" s="61"/>
      <c r="AC40" s="61"/>
      <c r="AD40" s="61"/>
      <c r="AE40" s="61"/>
      <c r="AF40" s="61"/>
      <c r="AG40" s="61"/>
    </row>
    <row r="41" customHeight="1" spans="1:33">
      <c r="A41" s="21">
        <v>10320414</v>
      </c>
      <c r="B41" s="21" t="s">
        <v>62</v>
      </c>
      <c r="C41" s="21" t="s">
        <v>20</v>
      </c>
      <c r="D41" s="21" t="s">
        <v>21</v>
      </c>
      <c r="E41" s="54" t="str">
        <f t="array" ref="E41">_xlfn.XLOOKUP(A41,'Schedule Wk 47'!A:A,'Schedule Wk 47'!E:E,"")</f>
        <v>FT</v>
      </c>
      <c r="F41" s="103">
        <f t="array" ref="F41">_xlfn.XLOOKUP(A41,'Schedule Wk 47'!A:A,'Schedule Wk 47'!F:F,"")</f>
        <v>3</v>
      </c>
      <c r="G41" s="54">
        <v>0.375</v>
      </c>
      <c r="H41" s="54">
        <v>0.75</v>
      </c>
      <c r="I41" s="54">
        <v>0.375</v>
      </c>
      <c r="J41" s="54">
        <v>0.75</v>
      </c>
      <c r="K41" s="54">
        <v>0.375</v>
      </c>
      <c r="L41" s="54">
        <v>0.75</v>
      </c>
      <c r="M41" s="54">
        <v>0.375</v>
      </c>
      <c r="N41" s="54">
        <v>0.75</v>
      </c>
      <c r="O41" s="54">
        <v>0.375</v>
      </c>
      <c r="P41" s="54">
        <v>0.75</v>
      </c>
      <c r="Q41" s="21" t="s">
        <v>23</v>
      </c>
      <c r="R41" s="21" t="s">
        <v>23</v>
      </c>
      <c r="S41" s="21" t="s">
        <v>23</v>
      </c>
      <c r="T41" s="21" t="s">
        <v>23</v>
      </c>
      <c r="U41" s="21">
        <f>IFERROR(__xludf.DUMMYFUNCTION("TO_PURE_NUMBER(SUM(FILTER(G41:T41, ISEVEN(COLUMN(G41:T41))))-SUM(FILTER(G41:T41, ISODD(COLUMN(G41:T41)))))*24"),45)</f>
        <v>45</v>
      </c>
      <c r="V41" s="17">
        <f t="array" ref="V41">_xlfn.XLOOKUP(A41,'WK 47'!A:A,'WK 47'!V:V,"")</f>
        <v>45</v>
      </c>
      <c r="W41" s="17" t="str">
        <f t="array" ref="W41">_xlfn.XLOOKUP(A41,'WK 47'!A:A,'WK 47'!AA:AA,"")</f>
        <v>early</v>
      </c>
      <c r="X41" s="7">
        <f t="shared" si="4"/>
        <v>0</v>
      </c>
      <c r="Y41" s="20">
        <v>0.416666666666667</v>
      </c>
      <c r="Z41" s="61"/>
      <c r="AA41" s="61"/>
      <c r="AB41" s="61"/>
      <c r="AC41" s="61"/>
      <c r="AD41" s="61"/>
      <c r="AE41" s="61"/>
      <c r="AF41" s="61"/>
      <c r="AG41" s="61"/>
    </row>
    <row r="42" hidden="1" customHeight="1" spans="1:33">
      <c r="A42" s="21">
        <v>10295555</v>
      </c>
      <c r="B42" s="21" t="s">
        <v>34</v>
      </c>
      <c r="C42" s="21" t="s">
        <v>20</v>
      </c>
      <c r="D42" s="21" t="s">
        <v>21</v>
      </c>
      <c r="E42" s="54" t="str">
        <f t="array" ref="E42">_xlfn.XLOOKUP(A42,'Schedule Wk 47'!A:A,'Schedule Wk 47'!E:E,"")</f>
        <v>PT</v>
      </c>
      <c r="F42" s="103">
        <f t="array" ref="F42">_xlfn.XLOOKUP(A42,'Schedule Wk 47'!A:A,'Schedule Wk 47'!F:F,"")</f>
        <v>2</v>
      </c>
      <c r="G42" s="54">
        <v>0.375</v>
      </c>
      <c r="H42" s="54">
        <v>0.583333333333333</v>
      </c>
      <c r="I42" s="54">
        <v>0.375</v>
      </c>
      <c r="J42" s="54">
        <v>0.583333333333333</v>
      </c>
      <c r="K42" s="54">
        <v>0.375</v>
      </c>
      <c r="L42" s="54">
        <v>0.583333333333333</v>
      </c>
      <c r="M42" s="21" t="s">
        <v>23</v>
      </c>
      <c r="N42" s="21" t="s">
        <v>23</v>
      </c>
      <c r="O42" s="21" t="s">
        <v>23</v>
      </c>
      <c r="P42" s="21" t="s">
        <v>23</v>
      </c>
      <c r="Q42" s="54">
        <v>0.458333333333333</v>
      </c>
      <c r="R42" s="54">
        <v>0.666666666666667</v>
      </c>
      <c r="S42" s="54">
        <v>0.458333333333333</v>
      </c>
      <c r="T42" s="54">
        <v>0.666666666666667</v>
      </c>
      <c r="U42" s="21">
        <f>IFERROR(__xludf.DUMMYFUNCTION("TO_PURE_NUMBER(SUM(FILTER(G42:T42, ISEVEN(COLUMN(G42:T42))))-SUM(FILTER(G42:T42, ISODD(COLUMN(G42:T42)))))*24"),24.9999999999999)</f>
        <v>24.9999999999999</v>
      </c>
      <c r="V42" s="17">
        <f t="array" ref="V42">_xlfn.XLOOKUP(A42,'WK 47'!A:A,'WK 47'!V:V,"")</f>
        <v>25</v>
      </c>
      <c r="W42" s="17" t="str">
        <f t="array" ref="W42">_xlfn.XLOOKUP(A42,'WK 47'!A:A,'WK 47'!AA:AA,"")</f>
        <v/>
      </c>
      <c r="X42" s="17">
        <f t="shared" si="4"/>
        <v>9.9475983006414e-14</v>
      </c>
      <c r="Y42" s="20">
        <f t="array" ref="Y42">_xlfn.XLOOKUP(A42,'WK 45'!A:A,'WK 45'!X:X,"")</f>
        <v>0.208333333333333</v>
      </c>
      <c r="Z42" s="61"/>
      <c r="AA42" s="61"/>
      <c r="AB42" s="61"/>
      <c r="AC42" s="61"/>
      <c r="AD42" s="61"/>
      <c r="AE42" s="61"/>
      <c r="AF42" s="61"/>
      <c r="AG42" s="61"/>
    </row>
    <row r="43" customHeight="1" spans="1:33">
      <c r="A43" s="21">
        <v>10250963</v>
      </c>
      <c r="B43" s="21" t="s">
        <v>25</v>
      </c>
      <c r="C43" s="21" t="s">
        <v>20</v>
      </c>
      <c r="D43" s="21" t="s">
        <v>21</v>
      </c>
      <c r="E43" s="54" t="str">
        <f t="array" ref="E43">_xlfn.XLOOKUP(A43,'Schedule Wk 47'!A:A,'Schedule Wk 47'!E:E,"")</f>
        <v>FT</v>
      </c>
      <c r="F43" s="103">
        <f t="array" ref="F43">_xlfn.XLOOKUP(A43,'Schedule Wk 47'!A:A,'Schedule Wk 47'!F:F,"")</f>
        <v>1</v>
      </c>
      <c r="G43" s="21" t="s">
        <v>23</v>
      </c>
      <c r="H43" s="21" t="s">
        <v>23</v>
      </c>
      <c r="I43" s="54">
        <v>0.458333333333333</v>
      </c>
      <c r="J43" s="54">
        <v>0.875</v>
      </c>
      <c r="K43" s="54">
        <v>0.458333333333333</v>
      </c>
      <c r="L43" s="54">
        <v>0.875</v>
      </c>
      <c r="M43" s="54">
        <v>0.458333333333333</v>
      </c>
      <c r="N43" s="54">
        <v>0.875</v>
      </c>
      <c r="O43" s="54">
        <v>0.458333333333333</v>
      </c>
      <c r="P43" s="54">
        <v>0.875</v>
      </c>
      <c r="Q43" s="54">
        <v>0.458333333333333</v>
      </c>
      <c r="R43" s="54">
        <v>0.666666666666667</v>
      </c>
      <c r="S43" s="21" t="s">
        <v>23</v>
      </c>
      <c r="T43" s="21" t="s">
        <v>23</v>
      </c>
      <c r="U43" s="21">
        <f>IFERROR(__xludf.DUMMYFUNCTION("TO_PURE_NUMBER(SUM(FILTER(G43:T43, ISEVEN(COLUMN(G43:T43))))-SUM(FILTER(G43:T43, ISODD(COLUMN(G43:T43)))))*24"),45)</f>
        <v>45</v>
      </c>
      <c r="V43" s="17">
        <f t="array" ref="V43">_xlfn.XLOOKUP(A43,'WK 47'!A:A,'WK 47'!V:V,"")</f>
        <v>45</v>
      </c>
      <c r="W43" s="17" t="str">
        <f t="array" ref="W43">_xlfn.XLOOKUP(A43,'WK 47'!A:A,'WK 47'!AA:AA,"")</f>
        <v>late</v>
      </c>
      <c r="X43" s="7">
        <f t="shared" si="4"/>
        <v>0</v>
      </c>
      <c r="Y43" s="20">
        <v>0.416666666666667</v>
      </c>
      <c r="Z43" s="61"/>
      <c r="AA43" s="61"/>
      <c r="AB43" s="61"/>
      <c r="AC43" s="61"/>
      <c r="AD43" s="61"/>
      <c r="AE43" s="61"/>
      <c r="AF43" s="61"/>
      <c r="AG43" s="61"/>
    </row>
    <row r="44" hidden="1" customHeight="1" spans="1:33">
      <c r="A44" s="21">
        <v>10316618</v>
      </c>
      <c r="B44" s="86" t="s">
        <v>33</v>
      </c>
      <c r="C44" s="21" t="s">
        <v>20</v>
      </c>
      <c r="D44" s="21" t="s">
        <v>86</v>
      </c>
      <c r="E44" s="54" t="str">
        <f t="array" ref="E44">_xlfn.XLOOKUP(A44,'Schedule Wk 47'!A:A,'Schedule Wk 47'!E:E,"")</f>
        <v>FT</v>
      </c>
      <c r="F44" s="103">
        <f t="array" ref="F44">_xlfn.XLOOKUP(A44,'Schedule Wk 47'!A:A,'Schedule Wk 47'!F:F,"")</f>
        <v>1</v>
      </c>
      <c r="G44" s="54">
        <v>0.375</v>
      </c>
      <c r="H44" s="54">
        <v>0.75</v>
      </c>
      <c r="I44" s="54">
        <v>0.375</v>
      </c>
      <c r="J44" s="54">
        <v>0.75</v>
      </c>
      <c r="K44" s="54">
        <v>0.375</v>
      </c>
      <c r="L44" s="54">
        <v>0.75</v>
      </c>
      <c r="M44" s="54">
        <v>0.375</v>
      </c>
      <c r="N44" s="54">
        <v>0.75</v>
      </c>
      <c r="O44" s="54">
        <v>0.375</v>
      </c>
      <c r="P44" s="54">
        <v>0.75</v>
      </c>
      <c r="Q44" s="114" t="s">
        <v>23</v>
      </c>
      <c r="R44" s="114" t="s">
        <v>23</v>
      </c>
      <c r="S44" s="114" t="s">
        <v>23</v>
      </c>
      <c r="T44" s="114" t="s">
        <v>23</v>
      </c>
      <c r="U44" s="21">
        <f>IFERROR(__xludf.DUMMYFUNCTION("TO_PURE_NUMBER(SUM(FILTER(G44:T44, ISEVEN(COLUMN(G44:T44))))-SUM(FILTER(G44:T44, ISODD(COLUMN(G44:T44)))))*24"),45)</f>
        <v>45</v>
      </c>
      <c r="V44" s="17">
        <f t="array" ref="V44">_xlfn.XLOOKUP(A44,'WK 47'!A:A,'WK 47'!V:V,"")</f>
        <v>45</v>
      </c>
      <c r="W44" s="17" t="str">
        <f t="array" ref="W44">_xlfn.XLOOKUP(A44,'WK 47'!A:A,'WK 47'!AA:AA,"")</f>
        <v>late</v>
      </c>
      <c r="X44" s="7">
        <f t="shared" si="4"/>
        <v>0</v>
      </c>
      <c r="Y44" s="20">
        <f t="array" ref="Y44">_xlfn.XLOOKUP(A44,'WK 45'!A:A,'WK 45'!X:X,"")</f>
        <v>0.416666666666667</v>
      </c>
      <c r="Z44" s="61"/>
      <c r="AA44" s="61"/>
      <c r="AB44" s="61"/>
      <c r="AC44" s="61"/>
      <c r="AD44" s="61"/>
      <c r="AE44" s="61"/>
      <c r="AF44" s="61"/>
      <c r="AG44" s="61"/>
    </row>
    <row r="45" customHeight="1" spans="1:33">
      <c r="A45" s="21">
        <v>10320418</v>
      </c>
      <c r="B45" s="21" t="s">
        <v>68</v>
      </c>
      <c r="C45" s="21" t="s">
        <v>20</v>
      </c>
      <c r="D45" s="21" t="s">
        <v>21</v>
      </c>
      <c r="E45" s="54" t="str">
        <f t="array" ref="E45">_xlfn.XLOOKUP(A45,'Schedule Wk 47'!A:A,'Schedule Wk 47'!E:E,"")</f>
        <v>FT</v>
      </c>
      <c r="F45" s="103">
        <f t="array" ref="F45">_xlfn.XLOOKUP(A45,'Schedule Wk 47'!A:A,'Schedule Wk 47'!F:F,"")</f>
        <v>3</v>
      </c>
      <c r="G45" s="54">
        <v>0.375</v>
      </c>
      <c r="H45" s="54">
        <v>0.75</v>
      </c>
      <c r="I45" s="54">
        <v>0.375</v>
      </c>
      <c r="J45" s="54">
        <v>0.75</v>
      </c>
      <c r="K45" s="54">
        <v>0.375</v>
      </c>
      <c r="L45" s="54">
        <v>0.75</v>
      </c>
      <c r="M45" s="54">
        <v>0.375</v>
      </c>
      <c r="N45" s="54">
        <v>0.75</v>
      </c>
      <c r="O45" s="54">
        <v>0.375</v>
      </c>
      <c r="P45" s="54">
        <v>0.75</v>
      </c>
      <c r="Q45" s="21" t="s">
        <v>23</v>
      </c>
      <c r="R45" s="21" t="s">
        <v>23</v>
      </c>
      <c r="S45" s="21" t="s">
        <v>23</v>
      </c>
      <c r="T45" s="21" t="s">
        <v>23</v>
      </c>
      <c r="U45" s="21">
        <f>IFERROR(__xludf.DUMMYFUNCTION("TO_PURE_NUMBER(SUM(FILTER(G45:T45, ISEVEN(COLUMN(G45:T45))))-SUM(FILTER(G45:T45, ISODD(COLUMN(G45:T45)))))*24"),45)</f>
        <v>45</v>
      </c>
      <c r="V45" s="17">
        <f t="array" ref="V45">_xlfn.XLOOKUP(A45,'WK 47'!A:A,'WK 47'!V:V,"")</f>
        <v>45</v>
      </c>
      <c r="W45" s="17" t="str">
        <f t="array" ref="W45">_xlfn.XLOOKUP(A45,'WK 47'!A:A,'WK 47'!AA:AA,"")</f>
        <v>early</v>
      </c>
      <c r="X45" s="7">
        <f t="shared" si="4"/>
        <v>0</v>
      </c>
      <c r="Y45" s="20">
        <v>0.416666666666667</v>
      </c>
      <c r="Z45" s="61"/>
      <c r="AA45" s="61"/>
      <c r="AB45" s="61"/>
      <c r="AC45" s="61"/>
      <c r="AD45" s="61"/>
      <c r="AE45" s="61"/>
      <c r="AF45" s="61"/>
      <c r="AG45" s="61"/>
    </row>
    <row r="46" customHeight="1" spans="1:33">
      <c r="A46" s="21">
        <v>10320412</v>
      </c>
      <c r="B46" s="21" t="s">
        <v>59</v>
      </c>
      <c r="C46" s="21" t="s">
        <v>20</v>
      </c>
      <c r="D46" s="21" t="s">
        <v>21</v>
      </c>
      <c r="E46" s="54" t="str">
        <f t="array" ref="E46">_xlfn.XLOOKUP(A46,'Schedule Wk 47'!A:A,'Schedule Wk 47'!E:E,"")</f>
        <v>FT</v>
      </c>
      <c r="F46" s="103">
        <f t="array" ref="F46">_xlfn.XLOOKUP(A46,'Schedule Wk 47'!A:A,'Schedule Wk 47'!F:F,"")</f>
        <v>3</v>
      </c>
      <c r="G46" s="54">
        <v>0.5</v>
      </c>
      <c r="H46" s="54">
        <v>0.875</v>
      </c>
      <c r="I46" s="54">
        <v>0.5</v>
      </c>
      <c r="J46" s="54">
        <v>0.875</v>
      </c>
      <c r="K46" s="54">
        <v>0.5</v>
      </c>
      <c r="L46" s="54">
        <v>0.875</v>
      </c>
      <c r="M46" s="54">
        <v>0.5</v>
      </c>
      <c r="N46" s="54">
        <v>0.875</v>
      </c>
      <c r="O46" s="54">
        <v>0.5</v>
      </c>
      <c r="P46" s="54">
        <v>0.875</v>
      </c>
      <c r="Q46" s="21" t="s">
        <v>23</v>
      </c>
      <c r="R46" s="21" t="s">
        <v>23</v>
      </c>
      <c r="S46" s="21" t="s">
        <v>23</v>
      </c>
      <c r="T46" s="21" t="s">
        <v>23</v>
      </c>
      <c r="U46" s="21">
        <f>IFERROR(__xludf.DUMMYFUNCTION("TO_PURE_NUMBER(SUM(FILTER(G46:T46, ISEVEN(COLUMN(G46:T46))))-SUM(FILTER(G46:T46, ISODD(COLUMN(G46:T46)))))*24"),45)</f>
        <v>45</v>
      </c>
      <c r="V46" s="17">
        <f t="array" ref="V46">_xlfn.XLOOKUP(A46,'WK 47'!A:A,'WK 47'!V:V,"")</f>
        <v>45</v>
      </c>
      <c r="W46" s="17" t="str">
        <f t="array" ref="W46">_xlfn.XLOOKUP(A46,'WK 47'!A:A,'WK 47'!AA:AA,"")</f>
        <v>early</v>
      </c>
      <c r="X46" s="7">
        <f t="shared" si="4"/>
        <v>0</v>
      </c>
      <c r="Y46" s="20">
        <v>0.375</v>
      </c>
      <c r="Z46" s="61"/>
      <c r="AA46" s="61"/>
      <c r="AB46" s="61"/>
      <c r="AC46" s="61"/>
      <c r="AD46" s="61"/>
      <c r="AE46" s="61"/>
      <c r="AF46" s="61"/>
      <c r="AG46" s="61"/>
    </row>
    <row r="47" hidden="1" customHeight="1" spans="1:33">
      <c r="A47" s="21">
        <v>10272259</v>
      </c>
      <c r="B47" s="21" t="s">
        <v>32</v>
      </c>
      <c r="C47" s="21" t="s">
        <v>20</v>
      </c>
      <c r="D47" s="21" t="s">
        <v>21</v>
      </c>
      <c r="E47" s="54" t="str">
        <f t="array" ref="E47">_xlfn.XLOOKUP(A47,'Schedule Wk 47'!A:A,'Schedule Wk 47'!E:E,"")</f>
        <v>FT</v>
      </c>
      <c r="F47" s="103">
        <f t="array" ref="F47">_xlfn.XLOOKUP(A47,'Schedule Wk 47'!A:A,'Schedule Wk 47'!F:F,"")</f>
        <v>2</v>
      </c>
      <c r="G47" s="54">
        <v>0.5</v>
      </c>
      <c r="H47" s="54">
        <v>0.875</v>
      </c>
      <c r="I47" s="21" t="s">
        <v>23</v>
      </c>
      <c r="J47" s="21" t="s">
        <v>23</v>
      </c>
      <c r="K47" s="21" t="s">
        <v>23</v>
      </c>
      <c r="L47" s="21" t="s">
        <v>23</v>
      </c>
      <c r="M47" s="54">
        <v>0.5</v>
      </c>
      <c r="N47" s="54">
        <v>0.875</v>
      </c>
      <c r="O47" s="54">
        <v>0.5</v>
      </c>
      <c r="P47" s="54">
        <v>0.875</v>
      </c>
      <c r="Q47" s="54">
        <v>0.458333333333333</v>
      </c>
      <c r="R47" s="54">
        <v>0.666666666666667</v>
      </c>
      <c r="S47" s="54">
        <v>0.458333333333333</v>
      </c>
      <c r="T47" s="54">
        <v>0.666666666666667</v>
      </c>
      <c r="U47" s="21">
        <f>IFERROR(__xludf.DUMMYFUNCTION("TO_PURE_NUMBER(SUM(FILTER(G47:T47, ISEVEN(COLUMN(G47:T47))))-SUM(FILTER(G47:T47, ISODD(COLUMN(G47:T47)))))*24"),37)</f>
        <v>37</v>
      </c>
      <c r="V47" s="17">
        <f t="array" ref="V47">_xlfn.XLOOKUP(A47,'WK 47'!A:A,'WK 47'!V:V,"")</f>
        <v>37</v>
      </c>
      <c r="W47" s="17" t="str">
        <f t="array" ref="W47">_xlfn.XLOOKUP(A47,'WK 47'!A:A,'WK 47'!AA:AA,"")</f>
        <v/>
      </c>
      <c r="X47" s="7">
        <f t="shared" si="4"/>
        <v>0</v>
      </c>
      <c r="Y47" s="20">
        <v>0.416666666666667</v>
      </c>
      <c r="Z47" s="61"/>
      <c r="AA47" s="61"/>
      <c r="AB47" s="61"/>
      <c r="AC47" s="61"/>
      <c r="AD47" s="61"/>
      <c r="AE47" s="61"/>
      <c r="AF47" s="61"/>
      <c r="AG47" s="61"/>
    </row>
    <row r="48" customHeight="1" spans="1:33">
      <c r="A48" s="21">
        <v>10320408</v>
      </c>
      <c r="B48" s="21" t="s">
        <v>56</v>
      </c>
      <c r="C48" s="21" t="s">
        <v>20</v>
      </c>
      <c r="D48" s="21" t="s">
        <v>21</v>
      </c>
      <c r="E48" s="54" t="str">
        <f t="array" ref="E48">_xlfn.XLOOKUP(A48,'Schedule Wk 47'!A:A,'Schedule Wk 47'!E:E,"")</f>
        <v>FT</v>
      </c>
      <c r="F48" s="103">
        <f t="array" ref="F48">_xlfn.XLOOKUP(A48,'Schedule Wk 47'!A:A,'Schedule Wk 47'!F:F,"")</f>
        <v>3</v>
      </c>
      <c r="G48" s="54">
        <v>0.375</v>
      </c>
      <c r="H48" s="54">
        <v>0.75</v>
      </c>
      <c r="I48" s="54">
        <v>0.375</v>
      </c>
      <c r="J48" s="54">
        <v>0.75</v>
      </c>
      <c r="K48" s="54">
        <v>0.375</v>
      </c>
      <c r="L48" s="54">
        <v>0.75</v>
      </c>
      <c r="M48" s="54">
        <v>0.375</v>
      </c>
      <c r="N48" s="54">
        <v>0.75</v>
      </c>
      <c r="O48" s="54">
        <v>0.375</v>
      </c>
      <c r="P48" s="54">
        <v>0.75</v>
      </c>
      <c r="Q48" s="21" t="s">
        <v>23</v>
      </c>
      <c r="R48" s="21" t="s">
        <v>23</v>
      </c>
      <c r="S48" s="21" t="s">
        <v>23</v>
      </c>
      <c r="T48" s="21" t="s">
        <v>23</v>
      </c>
      <c r="U48" s="21">
        <f>IFERROR(__xludf.DUMMYFUNCTION("TO_PURE_NUMBER(SUM(FILTER(G48:T48, ISEVEN(COLUMN(G48:T48))))-SUM(FILTER(G48:T48, ISODD(COLUMN(G48:T48)))))*24"),45)</f>
        <v>45</v>
      </c>
      <c r="V48" s="17">
        <f t="array" ref="V48">_xlfn.XLOOKUP(A48,'WK 47'!A:A,'WK 47'!V:V,"")</f>
        <v>45</v>
      </c>
      <c r="W48" s="17" t="str">
        <f t="array" ref="W48">_xlfn.XLOOKUP(A48,'WK 47'!A:A,'WK 47'!AA:AA,"")</f>
        <v>early</v>
      </c>
      <c r="X48" s="7">
        <f t="shared" si="4"/>
        <v>0</v>
      </c>
      <c r="Y48" s="20">
        <v>0.416666666666667</v>
      </c>
      <c r="Z48" s="61"/>
      <c r="AA48" s="61"/>
      <c r="AB48" s="61"/>
      <c r="AC48" s="61"/>
      <c r="AD48" s="61"/>
      <c r="AE48" s="61"/>
      <c r="AF48" s="61"/>
      <c r="AG48" s="61"/>
    </row>
    <row r="49" hidden="1" customHeight="1" spans="1:33">
      <c r="A49" s="21">
        <v>10316549</v>
      </c>
      <c r="B49" s="86" t="s">
        <v>19</v>
      </c>
      <c r="C49" s="21" t="s">
        <v>20</v>
      </c>
      <c r="D49" s="21" t="s">
        <v>86</v>
      </c>
      <c r="E49" s="54" t="str">
        <f t="array" ref="E49">_xlfn.XLOOKUP(A49,'Schedule Wk 47'!A:A,'Schedule Wk 47'!E:E,"")</f>
        <v>FT</v>
      </c>
      <c r="F49" s="103">
        <f t="array" ref="F49">_xlfn.XLOOKUP(A49,'Schedule Wk 47'!A:A,'Schedule Wk 47'!F:F,"")</f>
        <v>1</v>
      </c>
      <c r="G49" s="54">
        <v>0.375</v>
      </c>
      <c r="H49" s="54">
        <v>0.75</v>
      </c>
      <c r="I49" s="54">
        <v>0.375</v>
      </c>
      <c r="J49" s="54">
        <v>0.75</v>
      </c>
      <c r="K49" s="54">
        <v>0.375</v>
      </c>
      <c r="L49" s="54">
        <v>0.75</v>
      </c>
      <c r="M49" s="54">
        <v>0.375</v>
      </c>
      <c r="N49" s="54">
        <v>0.75</v>
      </c>
      <c r="O49" s="54">
        <v>0.375</v>
      </c>
      <c r="P49" s="54">
        <v>0.75</v>
      </c>
      <c r="Q49" s="114" t="s">
        <v>23</v>
      </c>
      <c r="R49" s="114" t="s">
        <v>23</v>
      </c>
      <c r="S49" s="114" t="s">
        <v>23</v>
      </c>
      <c r="T49" s="114" t="s">
        <v>23</v>
      </c>
      <c r="U49" s="21">
        <f>IFERROR(__xludf.DUMMYFUNCTION("TO_PURE_NUMBER(SUM(FILTER(G49:T49, ISEVEN(COLUMN(G49:T49))))-SUM(FILTER(G49:T49, ISODD(COLUMN(G49:T49)))))*24"),45)</f>
        <v>45</v>
      </c>
      <c r="V49" s="17">
        <f t="array" ref="V49">_xlfn.XLOOKUP(A49,'WK 47'!A:A,'WK 47'!V:V,"")</f>
        <v>45</v>
      </c>
      <c r="W49" s="17" t="str">
        <f t="array" ref="W49">_xlfn.XLOOKUP(A49,'WK 47'!A:A,'WK 47'!AA:AA,"")</f>
        <v>late</v>
      </c>
      <c r="X49" s="7">
        <f t="shared" si="4"/>
        <v>0</v>
      </c>
      <c r="Y49" s="20">
        <f t="array" ref="Y49">_xlfn.XLOOKUP(A49,'WK 45'!A:A,'WK 45'!X:X,"")</f>
        <v>0.416666666666667</v>
      </c>
      <c r="Z49" s="61"/>
      <c r="AA49" s="61"/>
      <c r="AB49" s="61"/>
      <c r="AC49" s="61"/>
      <c r="AD49" s="61"/>
      <c r="AE49" s="61"/>
      <c r="AF49" s="61"/>
      <c r="AG49" s="61"/>
    </row>
    <row r="50" customHeight="1" spans="1:33">
      <c r="A50" s="21">
        <v>10320415</v>
      </c>
      <c r="B50" s="21" t="s">
        <v>63</v>
      </c>
      <c r="C50" s="21" t="s">
        <v>20</v>
      </c>
      <c r="D50" s="21" t="s">
        <v>21</v>
      </c>
      <c r="E50" s="54" t="str">
        <f t="array" ref="E50">_xlfn.XLOOKUP(A50,'Schedule Wk 47'!A:A,'Schedule Wk 47'!E:E,"")</f>
        <v>FT</v>
      </c>
      <c r="F50" s="103">
        <f t="array" ref="F50">_xlfn.XLOOKUP(A50,'Schedule Wk 47'!A:A,'Schedule Wk 47'!F:F,"")</f>
        <v>3</v>
      </c>
      <c r="G50" s="54">
        <v>0.5</v>
      </c>
      <c r="H50" s="54">
        <v>0.875</v>
      </c>
      <c r="I50" s="54">
        <v>0.5</v>
      </c>
      <c r="J50" s="54">
        <v>0.875</v>
      </c>
      <c r="K50" s="54">
        <v>0.5</v>
      </c>
      <c r="L50" s="54">
        <v>0.875</v>
      </c>
      <c r="M50" s="54">
        <v>0.5</v>
      </c>
      <c r="N50" s="54">
        <v>0.875</v>
      </c>
      <c r="O50" s="54">
        <v>0.5</v>
      </c>
      <c r="P50" s="54">
        <v>0.875</v>
      </c>
      <c r="Q50" s="21" t="s">
        <v>23</v>
      </c>
      <c r="R50" s="21" t="s">
        <v>23</v>
      </c>
      <c r="S50" s="21" t="s">
        <v>23</v>
      </c>
      <c r="T50" s="21" t="s">
        <v>23</v>
      </c>
      <c r="U50" s="21">
        <f>IFERROR(__xludf.DUMMYFUNCTION("TO_PURE_NUMBER(SUM(FILTER(G50:T50, ISEVEN(COLUMN(G50:T50))))-SUM(FILTER(G50:T50, ISODD(COLUMN(G50:T50)))))*24"),45)</f>
        <v>45</v>
      </c>
      <c r="V50" s="17">
        <f t="array" ref="V50">_xlfn.XLOOKUP(A50,'WK 47'!A:A,'WK 47'!V:V,"")</f>
        <v>45</v>
      </c>
      <c r="W50" s="17" t="str">
        <f t="array" ref="W50">_xlfn.XLOOKUP(A50,'WK 47'!A:A,'WK 47'!AA:AA,"")</f>
        <v>early</v>
      </c>
      <c r="X50" s="7">
        <f t="shared" si="4"/>
        <v>0</v>
      </c>
      <c r="Y50" s="20">
        <v>0.416666666666667</v>
      </c>
      <c r="Z50" s="61"/>
      <c r="AA50" s="61"/>
      <c r="AB50" s="61"/>
      <c r="AC50" s="61"/>
      <c r="AD50" s="61"/>
      <c r="AE50" s="61"/>
      <c r="AF50" s="61"/>
      <c r="AG50" s="61"/>
    </row>
    <row r="51" customHeight="1" spans="1:33">
      <c r="A51" s="21">
        <v>10320410</v>
      </c>
      <c r="B51" s="21" t="s">
        <v>58</v>
      </c>
      <c r="C51" s="21" t="s">
        <v>20</v>
      </c>
      <c r="D51" s="21" t="s">
        <v>21</v>
      </c>
      <c r="E51" s="54" t="str">
        <f t="array" ref="E51">_xlfn.XLOOKUP(A51,'Schedule Wk 47'!A:A,'Schedule Wk 47'!E:E,"")</f>
        <v>FT</v>
      </c>
      <c r="F51" s="103">
        <f t="array" ref="F51">_xlfn.XLOOKUP(A51,'Schedule Wk 47'!A:A,'Schedule Wk 47'!F:F,"")</f>
        <v>3</v>
      </c>
      <c r="G51" s="54">
        <v>0.375</v>
      </c>
      <c r="H51" s="54">
        <v>0.75</v>
      </c>
      <c r="I51" s="54">
        <v>0.375</v>
      </c>
      <c r="J51" s="54">
        <v>0.75</v>
      </c>
      <c r="K51" s="54">
        <v>0.375</v>
      </c>
      <c r="L51" s="54">
        <v>0.75</v>
      </c>
      <c r="M51" s="54">
        <v>0.375</v>
      </c>
      <c r="N51" s="54">
        <v>0.75</v>
      </c>
      <c r="O51" s="54">
        <v>0.375</v>
      </c>
      <c r="P51" s="54">
        <v>0.75</v>
      </c>
      <c r="Q51" s="21" t="s">
        <v>23</v>
      </c>
      <c r="R51" s="21" t="s">
        <v>23</v>
      </c>
      <c r="S51" s="21" t="s">
        <v>23</v>
      </c>
      <c r="T51" s="21" t="s">
        <v>23</v>
      </c>
      <c r="U51" s="21">
        <f>IFERROR(__xludf.DUMMYFUNCTION("TO_PURE_NUMBER(SUM(FILTER(G51:T51, ISEVEN(COLUMN(G51:T51))))-SUM(FILTER(G51:T51, ISODD(COLUMN(G51:T51)))))*24"),45)</f>
        <v>45</v>
      </c>
      <c r="V51" s="17">
        <f t="array" ref="V51">_xlfn.XLOOKUP(A51,'WK 47'!A:A,'WK 47'!V:V,"")</f>
        <v>45</v>
      </c>
      <c r="W51" s="17" t="str">
        <f t="array" ref="W51">_xlfn.XLOOKUP(A51,'WK 47'!A:A,'WK 47'!AA:AA,"")</f>
        <v>early</v>
      </c>
      <c r="X51" s="7">
        <f t="shared" si="4"/>
        <v>0</v>
      </c>
      <c r="Y51" s="17" t="str">
        <f t="array" ref="Y51">_xlfn.XLOOKUP(A51,'WK 45'!A:A,'WK 45'!X:X,"")</f>
        <v/>
      </c>
      <c r="Z51" s="61"/>
      <c r="AA51" s="61"/>
      <c r="AB51" s="61"/>
      <c r="AC51" s="61"/>
      <c r="AD51" s="61"/>
      <c r="AE51" s="61"/>
      <c r="AF51" s="61"/>
      <c r="AG51" s="61"/>
    </row>
    <row r="52" hidden="1" customHeight="1" spans="1:33">
      <c r="A52" s="2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</row>
    <row r="53" customHeight="1" spans="1:33">
      <c r="A53" s="2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</row>
    <row r="54" customHeight="1" spans="1:33">
      <c r="A54" s="21"/>
      <c r="B54" s="61"/>
      <c r="C54" s="61"/>
      <c r="D54" s="61"/>
      <c r="E54" s="7"/>
      <c r="F54" s="50" t="s">
        <v>6</v>
      </c>
      <c r="G54" s="50" t="s">
        <v>7</v>
      </c>
      <c r="H54" s="50" t="s">
        <v>8</v>
      </c>
      <c r="I54" s="50" t="s">
        <v>9</v>
      </c>
      <c r="J54" s="50" t="s">
        <v>10</v>
      </c>
      <c r="K54" s="50" t="s">
        <v>11</v>
      </c>
      <c r="L54" s="50" t="s">
        <v>12</v>
      </c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</row>
    <row r="55" customHeight="1" spans="1:33">
      <c r="A55" s="21"/>
      <c r="B55" s="61"/>
      <c r="C55" s="61"/>
      <c r="D55" s="61"/>
      <c r="E55" s="7" t="s">
        <v>73</v>
      </c>
      <c r="F55" s="88">
        <v>309.9</v>
      </c>
      <c r="G55" s="88">
        <v>260.8</v>
      </c>
      <c r="H55" s="88">
        <v>254.7</v>
      </c>
      <c r="I55" s="88">
        <v>233.8</v>
      </c>
      <c r="J55" s="88">
        <v>251.8</v>
      </c>
      <c r="K55" s="88">
        <v>112</v>
      </c>
      <c r="L55" s="88">
        <v>69.8</v>
      </c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</row>
    <row r="56" customHeight="1" spans="1:33">
      <c r="A56" s="21"/>
      <c r="B56" s="61"/>
      <c r="C56" s="61"/>
      <c r="D56" s="61"/>
      <c r="E56" s="7" t="s">
        <v>74</v>
      </c>
      <c r="F56" s="7">
        <f t="shared" ref="F56:J56" si="6">F58*7.5</f>
        <v>270</v>
      </c>
      <c r="G56" s="7">
        <f t="shared" si="6"/>
        <v>330</v>
      </c>
      <c r="H56" s="7">
        <f t="shared" si="6"/>
        <v>307.5</v>
      </c>
      <c r="I56" s="7">
        <f t="shared" si="6"/>
        <v>315</v>
      </c>
      <c r="J56" s="7">
        <f t="shared" si="6"/>
        <v>292.5</v>
      </c>
      <c r="K56" s="7">
        <f t="shared" ref="K56:L56" si="7">K58*4</f>
        <v>64</v>
      </c>
      <c r="L56" s="7">
        <f t="shared" si="7"/>
        <v>48</v>
      </c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</row>
    <row r="57" customHeight="1" spans="1:33">
      <c r="A57" s="21"/>
      <c r="B57" s="61"/>
      <c r="C57" s="61"/>
      <c r="D57" s="61"/>
      <c r="E57" s="7" t="s">
        <v>75</v>
      </c>
      <c r="F57" s="57">
        <f t="shared" ref="F57:L57" si="8">F56-F55</f>
        <v>-39.9</v>
      </c>
      <c r="G57" s="57">
        <f t="shared" si="8"/>
        <v>69.2</v>
      </c>
      <c r="H57" s="57">
        <f t="shared" si="8"/>
        <v>52.8</v>
      </c>
      <c r="I57" s="57">
        <f t="shared" si="8"/>
        <v>81.2</v>
      </c>
      <c r="J57" s="57">
        <f t="shared" si="8"/>
        <v>40.7</v>
      </c>
      <c r="K57" s="57">
        <f t="shared" si="8"/>
        <v>-48</v>
      </c>
      <c r="L57" s="57">
        <f t="shared" si="8"/>
        <v>-21.8</v>
      </c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</row>
    <row r="58" customHeight="1" spans="1:33">
      <c r="A58" s="21"/>
      <c r="B58" s="61"/>
      <c r="C58" s="61"/>
      <c r="D58" s="61"/>
      <c r="E58" s="7" t="s">
        <v>76</v>
      </c>
      <c r="F58" s="7">
        <f>IFERROR(__xludf.DUMMYFUNCTION("COUNTA(FILTER($C$4:$C$51, $C$4:$C$51=""CSR"", G4:G51&lt;&gt;"""", NOT(ISTEXT(G4:G51))))"),36)</f>
        <v>36</v>
      </c>
      <c r="G58" s="7">
        <f>IFERROR(__xludf.DUMMYFUNCTION("COUNTA(FILTER($C$4:$C$51, $C$4:$C$51=""CSR"", I4:I51&lt;&gt;"""", NOT(ISTEXT(I4:I51))))"),44)</f>
        <v>44</v>
      </c>
      <c r="H58" s="7">
        <f>IFERROR(__xludf.DUMMYFUNCTION("COUNTA(FILTER($C$4:$C$51, $C$4:$C$51=""CSR"", K4:K51&lt;&gt;"""", NOT(ISTEXT(K4:K51))))"),41)</f>
        <v>41</v>
      </c>
      <c r="I58" s="7">
        <f>IFERROR(__xludf.DUMMYFUNCTION("COUNTA(FILTER($C$4:$C$51, $C$4:$C$51=""CSR"", M4:M51&lt;&gt;"""", NOT(ISTEXT(M4:M51))))"),42)</f>
        <v>42</v>
      </c>
      <c r="J58" s="7">
        <f>IFERROR(__xludf.DUMMYFUNCTION("COUNTA(FILTER($C$4:$C$51, $C$4:$C$51=""CSR"", O4:O51&lt;&gt;"""", NOT(ISTEXT(O4:O51))))"),39)</f>
        <v>39</v>
      </c>
      <c r="K58" s="7">
        <f>IFERROR(__xludf.DUMMYFUNCTION("COUNTA(FILTER($C$4:$C$51, $C$4:$C$51=""CSR"", Q4:Q51&lt;&gt;"""", NOT(ISTEXT(Q4:Q51))))"),16)</f>
        <v>16</v>
      </c>
      <c r="L58" s="7">
        <f>IFERROR(__xludf.DUMMYFUNCTION("COUNTA(FILTER($C$4:$C$51, $C$4:$C$51=""CSR"", S4:S51&lt;&gt;"""", NOT(ISTEXT(S4:S51))))"),12)</f>
        <v>12</v>
      </c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</row>
    <row r="59" customHeight="1" spans="1:33">
      <c r="A59" s="21"/>
      <c r="B59" s="61"/>
      <c r="C59" s="61"/>
      <c r="D59" s="61"/>
      <c r="E59" s="7" t="s">
        <v>77</v>
      </c>
      <c r="F59" s="56">
        <f t="shared" ref="F59:J59" si="9">F55/7</f>
        <v>44.2714285714286</v>
      </c>
      <c r="G59" s="56">
        <f t="shared" si="9"/>
        <v>37.2571428571429</v>
      </c>
      <c r="H59" s="56">
        <f t="shared" si="9"/>
        <v>36.3857142857143</v>
      </c>
      <c r="I59" s="56">
        <f t="shared" si="9"/>
        <v>33.4</v>
      </c>
      <c r="J59" s="56">
        <f t="shared" si="9"/>
        <v>35.9714285714286</v>
      </c>
      <c r="K59" s="56">
        <f t="shared" ref="K59:L59" si="10">K55/4</f>
        <v>28</v>
      </c>
      <c r="L59" s="56">
        <f t="shared" si="10"/>
        <v>17.45</v>
      </c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</row>
    <row r="60" customHeight="1" spans="1:33">
      <c r="A60" s="21"/>
      <c r="B60" s="61"/>
      <c r="C60" s="61"/>
      <c r="D60" s="61"/>
      <c r="E60" s="7" t="s">
        <v>78</v>
      </c>
      <c r="F60" s="57">
        <f t="shared" ref="F60:L60" si="11">F58-F59</f>
        <v>-8.27142857142857</v>
      </c>
      <c r="G60" s="57">
        <f t="shared" si="11"/>
        <v>6.74285714285714</v>
      </c>
      <c r="H60" s="57">
        <f t="shared" si="11"/>
        <v>4.61428571428571</v>
      </c>
      <c r="I60" s="57">
        <f t="shared" si="11"/>
        <v>8.6</v>
      </c>
      <c r="J60" s="57">
        <f t="shared" si="11"/>
        <v>3.02857142857142</v>
      </c>
      <c r="K60" s="57">
        <f t="shared" si="11"/>
        <v>-12</v>
      </c>
      <c r="L60" s="57">
        <f t="shared" si="11"/>
        <v>-5.45</v>
      </c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</row>
    <row r="61" customHeight="1" spans="1:33">
      <c r="A61" s="21"/>
      <c r="B61" s="61"/>
      <c r="C61" s="61"/>
      <c r="D61" s="61"/>
      <c r="E61" s="7" t="s">
        <v>79</v>
      </c>
      <c r="F61" s="107">
        <f t="shared" ref="F61:L61" si="12">F60/F59</f>
        <v>-0.186834462729913</v>
      </c>
      <c r="G61" s="107">
        <f t="shared" si="12"/>
        <v>0.180981595092024</v>
      </c>
      <c r="H61" s="107">
        <f t="shared" si="12"/>
        <v>0.126815861798194</v>
      </c>
      <c r="I61" s="107">
        <f t="shared" si="12"/>
        <v>0.25748502994012</v>
      </c>
      <c r="J61" s="107">
        <f t="shared" si="12"/>
        <v>0.0841938046068307</v>
      </c>
      <c r="K61" s="107">
        <f t="shared" si="12"/>
        <v>-0.428571428571429</v>
      </c>
      <c r="L61" s="107">
        <f t="shared" si="12"/>
        <v>-0.312320916905444</v>
      </c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</row>
    <row r="62" customHeight="1" spans="1:33">
      <c r="A62" s="2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</row>
    <row r="63" customHeight="1" spans="1:33">
      <c r="A63" s="2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</row>
    <row r="64" customHeight="1" spans="1:33">
      <c r="A64" s="2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</row>
    <row r="65" customHeight="1" spans="1:33">
      <c r="A65" s="2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</row>
    <row r="66" customHeight="1" spans="1:33">
      <c r="A66" s="2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</row>
    <row r="67" customHeight="1" spans="1:33">
      <c r="A67" s="21"/>
      <c r="B67" s="61"/>
      <c r="C67" s="61"/>
      <c r="D67" s="61"/>
      <c r="E67" s="61"/>
      <c r="F67" s="61">
        <f t="shared" ref="F67:L67" si="13">F55/8</f>
        <v>38.7375</v>
      </c>
      <c r="G67" s="61">
        <f t="shared" si="13"/>
        <v>32.6</v>
      </c>
      <c r="H67" s="61">
        <f t="shared" si="13"/>
        <v>31.8375</v>
      </c>
      <c r="I67" s="61">
        <f t="shared" si="13"/>
        <v>29.225</v>
      </c>
      <c r="J67" s="61">
        <f t="shared" si="13"/>
        <v>31.475</v>
      </c>
      <c r="K67" s="61">
        <f t="shared" si="13"/>
        <v>14</v>
      </c>
      <c r="L67" s="61">
        <f t="shared" si="13"/>
        <v>8.725</v>
      </c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</row>
    <row r="68" customHeight="1" spans="1:33">
      <c r="A68" s="21"/>
      <c r="B68" s="61"/>
      <c r="C68" s="61"/>
      <c r="D68" s="61"/>
      <c r="E68" s="61"/>
      <c r="F68" s="7">
        <f>IFERROR(__xludf.DUMMYFUNCTION("COUNTA(FILTER($C$4:$C$51, $C$4:$C$51=""CSR"", G14:G61&lt;&gt;"""", NOT(ISTEXT(G14:G61))))"),36)</f>
        <v>36</v>
      </c>
      <c r="G68" s="7">
        <f>IFERROR(__xludf.DUMMYFUNCTION("COUNTA(FILTER($C$4:$C$51, $C$4:$C$51=""CSR"", H14:H61&lt;&gt;"""", NOT(ISTEXT(H14:H61))))"),36)</f>
        <v>36</v>
      </c>
      <c r="H68" s="7">
        <f>IFERROR(__xludf.DUMMYFUNCTION("COUNTA(FILTER($C$4:$C$51, $C$4:$C$51=""CSR"", I14:I61&lt;&gt;"""", NOT(ISTEXT(I14:I61))))"),41)</f>
        <v>41</v>
      </c>
      <c r="I68" s="7">
        <f>IFERROR(__xludf.DUMMYFUNCTION("COUNTA(FILTER($C$4:$C$51, $C$4:$C$51=""CSR"", J14:J61&lt;&gt;"""", NOT(ISTEXT(J14:J61))))"),41)</f>
        <v>41</v>
      </c>
      <c r="J68" s="7">
        <f>IFERROR(__xludf.DUMMYFUNCTION("COUNTA(FILTER($C$4:$C$51, $C$4:$C$51=""CSR"", K14:K61&lt;&gt;"""", NOT(ISTEXT(K14:K61))))"),38)</f>
        <v>38</v>
      </c>
      <c r="K68" s="7">
        <f>IFERROR(__xludf.DUMMYFUNCTION("COUNTA(FILTER($C$4:$C$51, $C$4:$C$51=""CSR"", L14:L61&lt;&gt;"""", NOT(ISTEXT(L14:L61))))"),38)</f>
        <v>38</v>
      </c>
      <c r="L68" s="7">
        <f>IFERROR(__xludf.DUMMYFUNCTION("COUNTA(FILTER($C$4:$C$51, $C$4:$C$51=""CSR"", M14:M61&lt;&gt;"""", NOT(ISTEXT(M14:M61))))"),32)</f>
        <v>32</v>
      </c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</row>
    <row r="69" customHeight="1" spans="1:33">
      <c r="A69" s="21"/>
      <c r="B69" s="61"/>
      <c r="C69" s="61"/>
      <c r="D69" s="61"/>
      <c r="E69" s="61"/>
      <c r="F69" s="61">
        <f t="shared" ref="F69:L69" si="14">F68-F67</f>
        <v>-2.7375</v>
      </c>
      <c r="G69" s="61">
        <f t="shared" si="14"/>
        <v>3.4</v>
      </c>
      <c r="H69" s="61">
        <f t="shared" si="14"/>
        <v>9.1625</v>
      </c>
      <c r="I69" s="61">
        <f t="shared" si="14"/>
        <v>11.775</v>
      </c>
      <c r="J69" s="61">
        <f t="shared" si="14"/>
        <v>6.525</v>
      </c>
      <c r="K69" s="61">
        <f t="shared" si="14"/>
        <v>24</v>
      </c>
      <c r="L69" s="61">
        <f t="shared" si="14"/>
        <v>23.275</v>
      </c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</row>
    <row r="70" customHeight="1" spans="1:33">
      <c r="A70" s="2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</row>
    <row r="71" customHeight="1" spans="1:33">
      <c r="A71" s="2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</row>
    <row r="72" customHeight="1" spans="1:33">
      <c r="A72" s="2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</row>
    <row r="73" customHeight="1" spans="1:33">
      <c r="A73" s="2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</row>
    <row r="74" customHeight="1" spans="1:33">
      <c r="A74" s="2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</row>
    <row r="75" customHeight="1" spans="1:33">
      <c r="A75" s="2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</row>
    <row r="76" customHeight="1" spans="1:33">
      <c r="A76" s="2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</row>
    <row r="77" customHeight="1" spans="1:33">
      <c r="A77" s="2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</row>
    <row r="78" customHeight="1" spans="1:33">
      <c r="A78" s="2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</row>
    <row r="79" customHeight="1" spans="1:33">
      <c r="A79" s="2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</row>
    <row r="80" customHeight="1" spans="1:33">
      <c r="A80" s="2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</row>
    <row r="81" customHeight="1" spans="1:33">
      <c r="A81" s="2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</row>
    <row r="82" customHeight="1" spans="1:33">
      <c r="A82" s="2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</row>
    <row r="83" customHeight="1" spans="1:33">
      <c r="A83" s="2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</row>
    <row r="84" customHeight="1" spans="1:33">
      <c r="A84" s="2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</row>
    <row r="85" customHeight="1" spans="1:33">
      <c r="A85" s="105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</row>
    <row r="86" customHeight="1" spans="1:33">
      <c r="A86" s="2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</row>
    <row r="87" customHeight="1" spans="1:33">
      <c r="A87" s="105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</row>
    <row r="88" customHeight="1" spans="1:33">
      <c r="A88" s="105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</row>
    <row r="89" customHeight="1" spans="1:33">
      <c r="A89" s="2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</row>
    <row r="90" customHeight="1" spans="1:33">
      <c r="A90" s="2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</row>
    <row r="91" customHeight="1" spans="1:33">
      <c r="A91" s="2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</row>
    <row r="92" customHeight="1" spans="1:33">
      <c r="A92" s="2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</row>
    <row r="93" customHeight="1" spans="1:33">
      <c r="A93" s="2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</row>
    <row r="94" customHeight="1" spans="1:33">
      <c r="A94" s="2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</row>
    <row r="95" customHeight="1" spans="1:33">
      <c r="A95" s="2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</row>
    <row r="96" customHeight="1" spans="1:33">
      <c r="A96" s="2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</row>
    <row r="97" customHeight="1" spans="1:33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</row>
    <row r="98" customHeight="1" spans="1:33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</row>
    <row r="99" customHeight="1" spans="1:33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</row>
    <row r="100" customHeight="1" spans="1:33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</row>
    <row r="101" customHeight="1" spans="1:33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</row>
    <row r="102" customHeight="1" spans="1:33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</row>
    <row r="103" customHeight="1" spans="1:3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</row>
    <row r="104" customHeight="1" spans="1:33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</row>
    <row r="105" customHeight="1" spans="1:33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</row>
    <row r="106" customHeight="1" spans="1:33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</row>
    <row r="107" customHeight="1" spans="1:33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</row>
    <row r="108" customHeight="1" spans="1:33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</row>
    <row r="109" customHeight="1" spans="1:33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</row>
    <row r="110" customHeight="1" spans="1:33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</row>
    <row r="111" customHeight="1" spans="1:33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</row>
    <row r="112" customHeight="1" spans="1:33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</row>
    <row r="113" customHeight="1" spans="1:3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</row>
    <row r="114" customHeight="1" spans="1:33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</row>
    <row r="115" customHeight="1" spans="1:33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</row>
    <row r="116" customHeight="1" spans="1:33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</row>
    <row r="117" customHeight="1" spans="1:33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</row>
    <row r="118" customHeight="1" spans="1:33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</row>
    <row r="119" customHeight="1" spans="1:33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</row>
    <row r="120" customHeight="1" spans="1:33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</row>
    <row r="121" customHeight="1" spans="1:33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</row>
    <row r="122" customHeight="1" spans="1:33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</row>
    <row r="123" customHeight="1" spans="1:3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</row>
    <row r="124" customHeight="1" spans="1:33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</row>
    <row r="125" customHeight="1" spans="1:33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</row>
    <row r="126" customHeight="1" spans="1:33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</row>
    <row r="127" customHeight="1" spans="1:33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</row>
    <row r="128" customHeight="1" spans="1:33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</row>
    <row r="129" customHeight="1" spans="1:33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</row>
    <row r="130" customHeight="1" spans="1:33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</row>
    <row r="131" customHeight="1" spans="1:33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</row>
    <row r="132" customHeight="1" spans="1:33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</row>
    <row r="133" customHeight="1" spans="1:3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</row>
    <row r="134" customHeight="1" spans="1:33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</row>
    <row r="135" customHeight="1" spans="1:33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</row>
    <row r="136" customHeight="1" spans="1:33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</row>
    <row r="137" customHeight="1" spans="1:33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</row>
    <row r="138" customHeight="1" spans="1:33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</row>
    <row r="139" customHeight="1" spans="1:33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</row>
    <row r="140" customHeight="1" spans="1:33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</row>
    <row r="141" customHeight="1" spans="1:33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</row>
    <row r="142" customHeight="1" spans="1:33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</row>
    <row r="143" customHeight="1" spans="1:3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</row>
    <row r="144" customHeight="1" spans="1:33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</row>
    <row r="145" customHeight="1" spans="1:33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</row>
    <row r="146" customHeight="1" spans="1:33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</row>
    <row r="147" customHeight="1" spans="1:33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</row>
    <row r="148" customHeight="1" spans="1:33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</row>
    <row r="149" customHeight="1" spans="1:33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</row>
    <row r="150" customHeight="1" spans="1:33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</row>
    <row r="151" customHeight="1" spans="1:33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</row>
    <row r="152" customHeight="1" spans="1:33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</row>
    <row r="153" customHeight="1" spans="1:3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</row>
    <row r="154" customHeight="1" spans="1:33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</row>
    <row r="155" customHeight="1" spans="1:33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</row>
    <row r="156" customHeight="1" spans="1:33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</row>
    <row r="157" customHeight="1" spans="1:33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</row>
    <row r="158" customHeight="1" spans="1:33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</row>
    <row r="159" customHeight="1" spans="1:33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</row>
    <row r="160" customHeight="1" spans="1:33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</row>
    <row r="161" customHeight="1" spans="1:33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</row>
    <row r="162" customHeight="1" spans="1:33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</row>
    <row r="163" customHeight="1" spans="1:3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</row>
    <row r="164" customHeight="1" spans="1:33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</row>
    <row r="165" customHeight="1" spans="1:33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</row>
    <row r="166" customHeight="1" spans="1:33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</row>
    <row r="167" customHeight="1" spans="1:33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</row>
    <row r="168" customHeight="1" spans="1:33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</row>
    <row r="169" customHeight="1" spans="1:33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</row>
    <row r="170" customHeight="1" spans="1:33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</row>
    <row r="171" customHeight="1" spans="1:33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</row>
    <row r="172" customHeight="1" spans="1:33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</row>
    <row r="173" customHeight="1" spans="1:3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</row>
    <row r="174" customHeight="1" spans="1:33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</row>
    <row r="175" customHeight="1" spans="1:33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</row>
    <row r="176" customHeight="1" spans="1:33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</row>
    <row r="177" customHeight="1" spans="1:33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</row>
    <row r="178" customHeight="1" spans="1:33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</row>
    <row r="179" customHeight="1" spans="1:33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</row>
    <row r="180" customHeight="1" spans="1:33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</row>
    <row r="181" customHeight="1" spans="1:33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</row>
    <row r="182" customHeight="1" spans="1:33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</row>
    <row r="183" customHeight="1" spans="1:3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</row>
    <row r="184" customHeight="1" spans="1:33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</row>
    <row r="185" customHeight="1" spans="1:33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</row>
    <row r="186" customHeight="1" spans="1:33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</row>
    <row r="187" customHeight="1" spans="1:33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</row>
    <row r="188" customHeight="1" spans="1:33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</row>
    <row r="189" customHeight="1" spans="1:33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</row>
    <row r="190" customHeight="1" spans="1:33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</row>
    <row r="191" customHeight="1" spans="1:33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</row>
    <row r="192" customHeight="1" spans="1:33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</row>
    <row r="193" customHeight="1" spans="1:3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</row>
    <row r="194" customHeight="1" spans="1:33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</row>
    <row r="195" customHeight="1" spans="1:33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</row>
    <row r="196" customHeight="1" spans="1:33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</row>
    <row r="197" customHeight="1" spans="1:33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</row>
    <row r="198" customHeight="1" spans="1:33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</row>
    <row r="199" customHeight="1" spans="1:33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</row>
    <row r="200" customHeight="1" spans="1:33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</row>
    <row r="201" customHeight="1" spans="1:33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</row>
    <row r="202" customHeight="1" spans="1:33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</row>
    <row r="203" customHeight="1" spans="1:3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</row>
    <row r="204" customHeight="1" spans="1:33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</row>
    <row r="205" customHeight="1" spans="1:33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</row>
    <row r="206" customHeight="1" spans="1:33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</row>
    <row r="207" customHeight="1" spans="1:33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</row>
    <row r="208" customHeight="1" spans="1:33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</row>
    <row r="209" customHeight="1" spans="1:33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</row>
    <row r="210" customHeight="1" spans="1:33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</row>
    <row r="211" customHeight="1" spans="1:33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</row>
    <row r="212" customHeight="1" spans="1:33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</row>
    <row r="213" customHeight="1" spans="1:3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</row>
    <row r="214" customHeight="1" spans="1:33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</row>
    <row r="215" customHeight="1" spans="1:33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</row>
    <row r="216" customHeight="1" spans="1:33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</row>
    <row r="217" customHeight="1" spans="1:33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</row>
    <row r="218" customHeight="1" spans="1:33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</row>
    <row r="219" customHeight="1" spans="1:33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</row>
    <row r="220" customHeight="1" spans="1:33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</row>
    <row r="221" customHeight="1" spans="1:33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</row>
    <row r="222" customHeight="1" spans="1:33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</row>
    <row r="223" customHeight="1" spans="1:3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</row>
    <row r="224" customHeight="1" spans="1:33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</row>
    <row r="225" customHeight="1" spans="1:33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</row>
    <row r="226" customHeight="1" spans="1:33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</row>
    <row r="227" customHeight="1" spans="1:33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</row>
    <row r="228" customHeight="1" spans="1:33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</row>
    <row r="229" customHeight="1" spans="1:33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</row>
    <row r="230" customHeight="1" spans="1:33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</row>
    <row r="231" customHeight="1" spans="1:33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</row>
    <row r="232" customHeight="1" spans="1:33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</row>
    <row r="233" customHeight="1" spans="1: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</row>
    <row r="234" customHeight="1" spans="1:33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</row>
    <row r="235" customHeight="1" spans="1:33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</row>
    <row r="236" customHeight="1" spans="1:33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</row>
    <row r="237" customHeight="1" spans="1:33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</row>
    <row r="238" customHeight="1" spans="1:33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</row>
    <row r="239" customHeight="1" spans="1:33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</row>
    <row r="240" customHeight="1" spans="1:33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</row>
    <row r="241" customHeight="1" spans="1:33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</row>
    <row r="242" customHeight="1" spans="1:33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</row>
    <row r="243" customHeight="1" spans="1:3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</row>
    <row r="244" customHeight="1" spans="1:33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</row>
    <row r="245" customHeight="1" spans="1:33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</row>
    <row r="246" customHeight="1" spans="1:33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</row>
    <row r="247" customHeight="1" spans="1:33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</row>
    <row r="248" customHeight="1" spans="1:33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</row>
    <row r="249" customHeight="1" spans="1:33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</row>
    <row r="250" customHeight="1" spans="1:33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</row>
    <row r="251" customHeight="1" spans="1:33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</row>
    <row r="252" customHeight="1" spans="1:33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</row>
    <row r="253" customHeight="1" spans="1:3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</row>
    <row r="254" customHeight="1" spans="1:33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</row>
    <row r="255" customHeight="1" spans="1:33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</row>
    <row r="256" customHeight="1" spans="1:33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</row>
    <row r="257" customHeight="1" spans="1:33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</row>
    <row r="258" customHeight="1" spans="1:33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</row>
    <row r="259" customHeight="1" spans="1:33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</row>
    <row r="260" customHeight="1" spans="1:33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</row>
    <row r="261" customHeight="1" spans="1:33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</row>
    <row r="262" customHeight="1" spans="1:33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</row>
    <row r="263" customHeight="1" spans="1:3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</row>
    <row r="264" customHeight="1" spans="1:33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</row>
    <row r="265" customHeight="1" spans="1:33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</row>
    <row r="266" customHeight="1" spans="1:33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</row>
    <row r="267" customHeight="1" spans="1:33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</row>
    <row r="268" customHeight="1" spans="1:33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</row>
    <row r="269" customHeight="1" spans="1:33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</row>
    <row r="270" customHeight="1" spans="1:33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</row>
    <row r="271" customHeight="1" spans="1:33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</row>
    <row r="272" customHeight="1" spans="1:33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</row>
    <row r="273" customHeight="1" spans="1:3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</row>
    <row r="274" customHeight="1" spans="1:33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</row>
    <row r="275" customHeight="1" spans="1:33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</row>
    <row r="276" customHeight="1" spans="1:33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</row>
    <row r="277" customHeight="1" spans="1:33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</row>
    <row r="278" customHeight="1" spans="1:33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</row>
    <row r="279" customHeight="1" spans="1:33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</row>
    <row r="280" customHeight="1" spans="1:33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</row>
    <row r="281" customHeight="1" spans="1:33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</row>
    <row r="282" customHeight="1" spans="1:33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</row>
    <row r="283" customHeight="1" spans="1:3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</row>
    <row r="284" customHeight="1" spans="1:33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</row>
    <row r="285" customHeight="1" spans="1:33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</row>
    <row r="286" customHeight="1" spans="1:33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</row>
    <row r="287" customHeight="1" spans="1:33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</row>
    <row r="288" customHeight="1" spans="1:33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</row>
    <row r="289" customHeight="1" spans="1:33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</row>
    <row r="290" customHeight="1" spans="1:33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</row>
    <row r="291" customHeight="1" spans="1:33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</row>
    <row r="292" customHeight="1" spans="1:33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</row>
    <row r="293" customHeight="1" spans="1:3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</row>
    <row r="294" customHeight="1" spans="1:33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</row>
    <row r="295" customHeight="1" spans="1:33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</row>
    <row r="296" customHeight="1" spans="1:33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</row>
    <row r="297" customHeight="1" spans="1:33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</row>
    <row r="298" customHeight="1" spans="1:33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</row>
    <row r="299" customHeight="1" spans="1:33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</row>
    <row r="300" customHeight="1" spans="1:33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</row>
    <row r="301" customHeight="1" spans="1:33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</row>
    <row r="302" customHeight="1" spans="1:33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</row>
    <row r="303" customHeight="1" spans="1:3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</row>
    <row r="304" customHeight="1" spans="1:33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</row>
    <row r="305" customHeight="1" spans="1:33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</row>
    <row r="306" customHeight="1" spans="1:33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</row>
    <row r="307" customHeight="1" spans="1:33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</row>
    <row r="308" customHeight="1" spans="1:33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</row>
    <row r="309" customHeight="1" spans="1:33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</row>
    <row r="310" customHeight="1" spans="1:33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</row>
    <row r="311" customHeight="1" spans="1:33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</row>
    <row r="312" customHeight="1" spans="1:33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</row>
    <row r="313" customHeight="1" spans="1:3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</row>
    <row r="314" customHeight="1" spans="1:33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</row>
    <row r="315" customHeight="1" spans="1:33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</row>
    <row r="316" customHeight="1" spans="1:33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</row>
    <row r="317" customHeight="1" spans="1:33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</row>
    <row r="318" customHeight="1" spans="1:33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</row>
    <row r="319" customHeight="1" spans="1:33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</row>
    <row r="320" customHeight="1" spans="1:33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</row>
    <row r="321" customHeight="1" spans="1:33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</row>
    <row r="322" customHeight="1" spans="1:33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</row>
    <row r="323" customHeight="1" spans="1:3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</row>
    <row r="324" customHeight="1" spans="1:33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</row>
    <row r="325" customHeight="1" spans="1:33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</row>
    <row r="326" customHeight="1" spans="1:33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</row>
    <row r="327" customHeight="1" spans="1:33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</row>
    <row r="328" customHeight="1" spans="1:33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</row>
    <row r="329" customHeight="1" spans="1:33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</row>
    <row r="330" customHeight="1" spans="1:33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</row>
    <row r="331" customHeight="1" spans="1:33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</row>
    <row r="332" customHeight="1" spans="1:33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</row>
    <row r="333" customHeight="1" spans="1: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</row>
    <row r="334" customHeight="1" spans="1:33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</row>
    <row r="335" customHeight="1" spans="1:33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</row>
    <row r="336" customHeight="1" spans="1:33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</row>
    <row r="337" customHeight="1" spans="1:33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</row>
    <row r="338" customHeight="1" spans="1:33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</row>
    <row r="339" customHeight="1" spans="1:33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</row>
    <row r="340" customHeight="1" spans="1:33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</row>
    <row r="341" customHeight="1" spans="1:33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</row>
    <row r="342" customHeight="1" spans="1:33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</row>
    <row r="343" customHeight="1" spans="1:3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</row>
    <row r="344" customHeight="1" spans="1:33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</row>
    <row r="345" customHeight="1" spans="1:33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</row>
    <row r="346" customHeight="1" spans="1:33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</row>
    <row r="347" customHeight="1" spans="1:33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</row>
    <row r="348" customHeight="1" spans="1:33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</row>
    <row r="349" customHeight="1" spans="1:33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</row>
    <row r="350" customHeight="1" spans="1:33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</row>
    <row r="351" customHeight="1" spans="1:33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</row>
    <row r="352" customHeight="1" spans="1:33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</row>
    <row r="353" customHeight="1" spans="1:3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</row>
    <row r="354" customHeight="1" spans="1:33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</row>
    <row r="355" customHeight="1" spans="1:33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</row>
    <row r="356" customHeight="1" spans="1:33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</row>
    <row r="357" customHeight="1" spans="1:33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</row>
    <row r="358" customHeight="1" spans="1:33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</row>
    <row r="359" customHeight="1" spans="1:33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</row>
    <row r="360" customHeight="1" spans="1:33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</row>
    <row r="361" customHeight="1" spans="1:33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</row>
    <row r="362" customHeight="1" spans="1:33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</row>
    <row r="363" customHeight="1" spans="1:3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</row>
    <row r="364" customHeight="1" spans="1:33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</row>
    <row r="365" customHeight="1" spans="1:33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</row>
    <row r="366" customHeight="1" spans="1:33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</row>
    <row r="367" customHeight="1" spans="1:33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</row>
    <row r="368" customHeight="1" spans="1:33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</row>
    <row r="369" customHeight="1" spans="1:33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</row>
    <row r="370" customHeight="1" spans="1:33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</row>
    <row r="371" customHeight="1" spans="1:33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</row>
    <row r="372" customHeight="1" spans="1:33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</row>
    <row r="373" customHeight="1" spans="1:3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</row>
    <row r="374" customHeight="1" spans="1:33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</row>
    <row r="375" customHeight="1" spans="1:33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</row>
    <row r="376" customHeight="1" spans="1:33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</row>
    <row r="377" customHeight="1" spans="1:33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</row>
    <row r="378" customHeight="1" spans="1:33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</row>
    <row r="379" customHeight="1" spans="1:33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</row>
    <row r="380" customHeight="1" spans="1:33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</row>
    <row r="381" customHeight="1" spans="1:33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</row>
    <row r="382" customHeight="1" spans="1:33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</row>
    <row r="383" customHeight="1" spans="1:3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</row>
    <row r="384" customHeight="1" spans="1:33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</row>
    <row r="385" customHeight="1" spans="1:33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</row>
    <row r="386" customHeight="1" spans="1:33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</row>
    <row r="387" customHeight="1" spans="1:33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</row>
    <row r="388" customHeight="1" spans="1:33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</row>
    <row r="389" customHeight="1" spans="1:33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</row>
    <row r="390" customHeight="1" spans="1:33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</row>
    <row r="391" customHeight="1" spans="1:33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</row>
    <row r="392" customHeight="1" spans="1:33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</row>
    <row r="393" customHeight="1" spans="1:3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</row>
    <row r="394" customHeight="1" spans="1:33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</row>
    <row r="395" customHeight="1" spans="1:33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</row>
    <row r="396" customHeight="1" spans="1:33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</row>
    <row r="397" customHeight="1" spans="1:33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</row>
    <row r="398" customHeight="1" spans="1:33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</row>
    <row r="399" customHeight="1" spans="1:33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</row>
    <row r="400" customHeight="1" spans="1:33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</row>
    <row r="401" customHeight="1" spans="1:33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</row>
    <row r="402" customHeight="1" spans="1:33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</row>
    <row r="403" customHeight="1" spans="1:3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</row>
    <row r="404" customHeight="1" spans="1:33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</row>
    <row r="405" customHeight="1" spans="1:33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</row>
    <row r="406" customHeight="1" spans="1:33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</row>
    <row r="407" customHeight="1" spans="1:33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</row>
    <row r="408" customHeight="1" spans="1:33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</row>
    <row r="409" customHeight="1" spans="1:33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</row>
    <row r="410" customHeight="1" spans="1:33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</row>
    <row r="411" customHeight="1" spans="1:33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</row>
    <row r="412" customHeight="1" spans="1:33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</row>
    <row r="413" customHeight="1" spans="1:3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</row>
    <row r="414" customHeight="1" spans="1:33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</row>
    <row r="415" customHeight="1" spans="1:33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</row>
    <row r="416" customHeight="1" spans="1:33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</row>
    <row r="417" customHeight="1" spans="1:33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</row>
    <row r="418" customHeight="1" spans="1:33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</row>
    <row r="419" customHeight="1" spans="1:33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</row>
    <row r="420" customHeight="1" spans="1:33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</row>
    <row r="421" customHeight="1" spans="1:33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</row>
    <row r="422" customHeight="1" spans="1:33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</row>
    <row r="423" customHeight="1" spans="1:3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</row>
    <row r="424" customHeight="1" spans="1:33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</row>
    <row r="425" customHeight="1" spans="1:33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</row>
    <row r="426" customHeight="1" spans="1:33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</row>
    <row r="427" customHeight="1" spans="1:33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</row>
    <row r="428" customHeight="1" spans="1:33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</row>
    <row r="429" customHeight="1" spans="1:33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</row>
    <row r="430" customHeight="1" spans="1:33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</row>
    <row r="431" customHeight="1" spans="1:33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</row>
    <row r="432" customHeight="1" spans="1:33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</row>
    <row r="433" customHeight="1" spans="1: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</row>
    <row r="434" customHeight="1" spans="1:33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</row>
    <row r="435" customHeight="1" spans="1:33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</row>
    <row r="436" customHeight="1" spans="1:33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</row>
    <row r="437" customHeight="1" spans="1:33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</row>
    <row r="438" customHeight="1" spans="1:33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</row>
    <row r="439" customHeight="1" spans="1:33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</row>
    <row r="440" customHeight="1" spans="1:33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</row>
    <row r="441" customHeight="1" spans="1:33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</row>
    <row r="442" customHeight="1" spans="1:33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</row>
    <row r="443" customHeight="1" spans="1:3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</row>
    <row r="444" customHeight="1" spans="1:33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</row>
    <row r="445" customHeight="1" spans="1:33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</row>
    <row r="446" customHeight="1" spans="1:33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</row>
    <row r="447" customHeight="1" spans="1:33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</row>
    <row r="448" customHeight="1" spans="1:33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</row>
    <row r="449" customHeight="1" spans="1:33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</row>
    <row r="450" customHeight="1" spans="1:33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</row>
    <row r="451" customHeight="1" spans="1:33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</row>
    <row r="452" customHeight="1" spans="1:33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</row>
    <row r="453" customHeight="1" spans="1:3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</row>
    <row r="454" customHeight="1" spans="1:33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</row>
    <row r="455" customHeight="1" spans="1:33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</row>
    <row r="456" customHeight="1" spans="1:33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</row>
    <row r="457" customHeight="1" spans="1:33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</row>
    <row r="458" customHeight="1" spans="1:33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</row>
    <row r="459" customHeight="1" spans="1:33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</row>
    <row r="460" customHeight="1" spans="1:33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</row>
    <row r="461" customHeight="1" spans="1:33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</row>
    <row r="462" customHeight="1" spans="1:33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</row>
    <row r="463" customHeight="1" spans="1:3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</row>
    <row r="464" customHeight="1" spans="1:33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</row>
    <row r="465" customHeight="1" spans="1:33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</row>
    <row r="466" customHeight="1" spans="1:33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</row>
    <row r="467" customHeight="1" spans="1:33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</row>
    <row r="468" customHeight="1" spans="1:33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</row>
    <row r="469" customHeight="1" spans="1:33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</row>
    <row r="470" customHeight="1" spans="1:33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</row>
    <row r="471" customHeight="1" spans="1:33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</row>
    <row r="472" customHeight="1" spans="1:33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</row>
    <row r="473" customHeight="1" spans="1:3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</row>
    <row r="474" customHeight="1" spans="1:33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</row>
    <row r="475" customHeight="1" spans="1:33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</row>
    <row r="476" customHeight="1" spans="1:33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</row>
    <row r="477" customHeight="1" spans="1:33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</row>
    <row r="478" customHeight="1" spans="1:33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</row>
    <row r="479" customHeight="1" spans="1:33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</row>
    <row r="480" customHeight="1" spans="1:33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</row>
    <row r="481" customHeight="1" spans="1:33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</row>
    <row r="482" customHeight="1" spans="1:33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</row>
    <row r="483" customHeight="1" spans="1:3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</row>
    <row r="484" customHeight="1" spans="1:33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</row>
    <row r="485" customHeight="1" spans="1:33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</row>
    <row r="486" customHeight="1" spans="1:33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</row>
    <row r="487" customHeight="1" spans="1:33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</row>
    <row r="488" customHeight="1" spans="1:33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</row>
    <row r="489" customHeight="1" spans="1:33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</row>
    <row r="490" customHeight="1" spans="1:33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</row>
    <row r="491" customHeight="1" spans="1:33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</row>
    <row r="492" customHeight="1" spans="1:33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</row>
    <row r="493" customHeight="1" spans="1:3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</row>
    <row r="494" customHeight="1" spans="1:33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</row>
    <row r="495" customHeight="1" spans="1:33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</row>
    <row r="496" customHeight="1" spans="1:33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</row>
    <row r="497" customHeight="1" spans="1:33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</row>
    <row r="498" customHeight="1" spans="1:33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</row>
    <row r="499" customHeight="1" spans="1:33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</row>
    <row r="500" customHeight="1" spans="1:33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</row>
    <row r="501" customHeight="1" spans="1:33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</row>
    <row r="502" customHeight="1" spans="1:33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</row>
    <row r="503" customHeight="1" spans="1:3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</row>
    <row r="504" customHeight="1" spans="1:33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</row>
    <row r="505" customHeight="1" spans="1:33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</row>
    <row r="506" customHeight="1" spans="1:33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</row>
    <row r="507" customHeight="1" spans="1:33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</row>
    <row r="508" customHeight="1" spans="1:33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</row>
    <row r="509" customHeight="1" spans="1:33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</row>
    <row r="510" customHeight="1" spans="1:33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</row>
    <row r="511" customHeight="1" spans="1:33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</row>
    <row r="512" customHeight="1" spans="1:33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</row>
    <row r="513" customHeight="1" spans="1:3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</row>
    <row r="514" customHeight="1" spans="1:33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</row>
    <row r="515" customHeight="1" spans="1:33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</row>
    <row r="516" customHeight="1" spans="1:33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</row>
    <row r="517" customHeight="1" spans="1:33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</row>
    <row r="518" customHeight="1" spans="1:33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</row>
    <row r="519" customHeight="1" spans="1:33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</row>
    <row r="520" customHeight="1" spans="1:33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</row>
    <row r="521" customHeight="1" spans="1:33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</row>
    <row r="522" customHeight="1" spans="1:33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</row>
    <row r="523" customHeight="1" spans="1:3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</row>
    <row r="524" customHeight="1" spans="1:33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</row>
    <row r="525" customHeight="1" spans="1:33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</row>
    <row r="526" customHeight="1" spans="1:33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</row>
    <row r="527" customHeight="1" spans="1:33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</row>
    <row r="528" customHeight="1" spans="1:33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</row>
    <row r="529" customHeight="1" spans="1:33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</row>
    <row r="530" customHeight="1" spans="1:33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</row>
    <row r="531" customHeight="1" spans="1:33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</row>
    <row r="532" customHeight="1" spans="1:33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</row>
    <row r="533" customHeight="1" spans="1: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</row>
    <row r="534" customHeight="1" spans="1:33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</row>
    <row r="535" customHeight="1" spans="1:33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</row>
    <row r="536" customHeight="1" spans="1:33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</row>
    <row r="537" customHeight="1" spans="1:33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</row>
    <row r="538" customHeight="1" spans="1:33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</row>
    <row r="539" customHeight="1" spans="1:33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</row>
    <row r="540" customHeight="1" spans="1:33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</row>
    <row r="541" customHeight="1" spans="1:33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</row>
    <row r="542" customHeight="1" spans="1:33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</row>
    <row r="543" customHeight="1" spans="1:3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</row>
    <row r="544" customHeight="1" spans="1:33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</row>
    <row r="545" customHeight="1" spans="1:33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</row>
    <row r="546" customHeight="1" spans="1:33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</row>
    <row r="547" customHeight="1" spans="1:33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</row>
    <row r="548" customHeight="1" spans="1:33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</row>
    <row r="549" customHeight="1" spans="1:33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</row>
    <row r="550" customHeight="1" spans="1:33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</row>
    <row r="551" customHeight="1" spans="1:33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</row>
    <row r="552" customHeight="1" spans="1:33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</row>
    <row r="553" customHeight="1" spans="1:3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</row>
    <row r="554" customHeight="1" spans="1:33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</row>
    <row r="555" customHeight="1" spans="1:33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</row>
    <row r="556" customHeight="1" spans="1:33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</row>
    <row r="557" customHeight="1" spans="1:33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</row>
    <row r="558" customHeight="1" spans="1:33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</row>
    <row r="559" customHeight="1" spans="1:33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</row>
    <row r="560" customHeight="1" spans="1:33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</row>
    <row r="561" customHeight="1" spans="1:33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</row>
    <row r="562" customHeight="1" spans="1:33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</row>
    <row r="563" customHeight="1" spans="1:3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</row>
    <row r="564" customHeight="1" spans="1:33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</row>
    <row r="565" customHeight="1" spans="1:33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</row>
    <row r="566" customHeight="1" spans="1:33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</row>
    <row r="567" customHeight="1" spans="1:33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</row>
    <row r="568" customHeight="1" spans="1:33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</row>
    <row r="569" customHeight="1" spans="1:33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</row>
    <row r="570" customHeight="1" spans="1:33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</row>
    <row r="571" customHeight="1" spans="1:33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</row>
    <row r="572" customHeight="1" spans="1:33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</row>
    <row r="573" customHeight="1" spans="1:3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</row>
    <row r="574" customHeight="1" spans="1:33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</row>
    <row r="575" customHeight="1" spans="1:33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</row>
    <row r="576" customHeight="1" spans="1:33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</row>
    <row r="577" customHeight="1" spans="1:33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</row>
    <row r="578" customHeight="1" spans="1:33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</row>
    <row r="579" customHeight="1" spans="1:33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</row>
    <row r="580" customHeight="1" spans="1:33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</row>
    <row r="581" customHeight="1" spans="1:33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</row>
    <row r="582" customHeight="1" spans="1:33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</row>
    <row r="583" customHeight="1" spans="1:3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</row>
    <row r="584" customHeight="1" spans="1:33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</row>
    <row r="585" customHeight="1" spans="1:33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</row>
    <row r="586" customHeight="1" spans="1:33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</row>
    <row r="587" customHeight="1" spans="1:33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</row>
    <row r="588" customHeight="1" spans="1:33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</row>
    <row r="589" customHeight="1" spans="1:33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</row>
    <row r="590" customHeight="1" spans="1:33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</row>
    <row r="591" customHeight="1" spans="1:33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</row>
    <row r="592" customHeight="1" spans="1:33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</row>
    <row r="593" customHeight="1" spans="1:3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</row>
    <row r="594" customHeight="1" spans="1:33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</row>
    <row r="595" customHeight="1" spans="1:33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</row>
    <row r="596" customHeight="1" spans="1:33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</row>
    <row r="597" customHeight="1" spans="1:33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</row>
    <row r="598" customHeight="1" spans="1:33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</row>
    <row r="599" customHeight="1" spans="1:33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</row>
    <row r="600" customHeight="1" spans="1:33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</row>
    <row r="601" customHeight="1" spans="1:33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</row>
    <row r="602" customHeight="1" spans="1:33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</row>
    <row r="603" customHeight="1" spans="1:3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</row>
    <row r="604" customHeight="1" spans="1:33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</row>
    <row r="605" customHeight="1" spans="1:33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</row>
    <row r="606" customHeight="1" spans="1:33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</row>
    <row r="607" customHeight="1" spans="1:33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</row>
    <row r="608" customHeight="1" spans="1:33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</row>
    <row r="609" customHeight="1" spans="1:33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</row>
    <row r="610" customHeight="1" spans="1:33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</row>
    <row r="611" customHeight="1" spans="1:33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</row>
    <row r="612" customHeight="1" spans="1:33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</row>
    <row r="613" customHeight="1" spans="1:3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</row>
    <row r="614" customHeight="1" spans="1:33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</row>
    <row r="615" customHeight="1" spans="1:33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</row>
    <row r="616" customHeight="1" spans="1:33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</row>
    <row r="617" customHeight="1" spans="1:33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</row>
    <row r="618" customHeight="1" spans="1:33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</row>
    <row r="619" customHeight="1" spans="1:33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</row>
    <row r="620" customHeight="1" spans="1:33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</row>
    <row r="621" customHeight="1" spans="1:33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</row>
    <row r="622" customHeight="1" spans="1:33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</row>
    <row r="623" customHeight="1" spans="1:3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</row>
    <row r="624" customHeight="1" spans="1:33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</row>
    <row r="625" customHeight="1" spans="1:33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</row>
    <row r="626" customHeight="1" spans="1:33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</row>
    <row r="627" customHeight="1" spans="1:33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</row>
    <row r="628" customHeight="1" spans="1:33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</row>
    <row r="629" customHeight="1" spans="1:33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</row>
    <row r="630" customHeight="1" spans="1:33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</row>
    <row r="631" customHeight="1" spans="1:33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</row>
    <row r="632" customHeight="1" spans="1:33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</row>
    <row r="633" customHeight="1" spans="1: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</row>
    <row r="634" customHeight="1" spans="1:33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</row>
    <row r="635" customHeight="1" spans="1:33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</row>
    <row r="636" customHeight="1" spans="1:33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</row>
    <row r="637" customHeight="1" spans="1:33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</row>
    <row r="638" customHeight="1" spans="1:33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</row>
    <row r="639" customHeight="1" spans="1:33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</row>
    <row r="640" customHeight="1" spans="1:33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</row>
    <row r="641" customHeight="1" spans="1:33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</row>
    <row r="642" customHeight="1" spans="1:33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</row>
    <row r="643" customHeight="1" spans="1:3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</row>
    <row r="644" customHeight="1" spans="1:33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</row>
    <row r="645" customHeight="1" spans="1:33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</row>
    <row r="646" customHeight="1" spans="1:33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</row>
    <row r="647" customHeight="1" spans="1:33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</row>
    <row r="648" customHeight="1" spans="1:33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</row>
    <row r="649" customHeight="1" spans="1:33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</row>
    <row r="650" customHeight="1" spans="1:33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</row>
    <row r="651" customHeight="1" spans="1:33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</row>
    <row r="652" customHeight="1" spans="1:33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</row>
    <row r="653" customHeight="1" spans="1:3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</row>
    <row r="654" customHeight="1" spans="1:33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</row>
    <row r="655" customHeight="1" spans="1:33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</row>
    <row r="656" customHeight="1" spans="1:33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</row>
    <row r="657" customHeight="1" spans="1:33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</row>
    <row r="658" customHeight="1" spans="1:33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</row>
    <row r="659" customHeight="1" spans="1:33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</row>
    <row r="660" customHeight="1" spans="1:33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</row>
    <row r="661" customHeight="1" spans="1:33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</row>
    <row r="662" customHeight="1" spans="1:33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</row>
    <row r="663" customHeight="1" spans="1:3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</row>
    <row r="664" customHeight="1" spans="1:33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</row>
    <row r="665" customHeight="1" spans="1:33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</row>
    <row r="666" customHeight="1" spans="1:33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</row>
    <row r="667" customHeight="1" spans="1:33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</row>
    <row r="668" customHeight="1" spans="1:33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</row>
    <row r="669" customHeight="1" spans="1:33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</row>
    <row r="670" customHeight="1" spans="1:33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</row>
    <row r="671" customHeight="1" spans="1:33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</row>
    <row r="672" customHeight="1" spans="1:33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</row>
    <row r="673" customHeight="1" spans="1:3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</row>
    <row r="674" customHeight="1" spans="1:33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</row>
    <row r="675" customHeight="1" spans="1:33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</row>
    <row r="676" customHeight="1" spans="1:33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</row>
    <row r="677" customHeight="1" spans="1:33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</row>
    <row r="678" customHeight="1" spans="1:33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</row>
    <row r="679" customHeight="1" spans="1:33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</row>
    <row r="680" customHeight="1" spans="1:33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</row>
    <row r="681" customHeight="1" spans="1:33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</row>
    <row r="682" customHeight="1" spans="1:33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</row>
    <row r="683" customHeight="1" spans="1:3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</row>
    <row r="684" customHeight="1" spans="1:33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</row>
    <row r="685" customHeight="1" spans="1:33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</row>
    <row r="686" customHeight="1" spans="1:33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</row>
    <row r="687" customHeight="1" spans="1:33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</row>
    <row r="688" customHeight="1" spans="1:33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</row>
    <row r="689" customHeight="1" spans="1:33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</row>
    <row r="690" customHeight="1" spans="1:33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</row>
    <row r="691" customHeight="1" spans="1:33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</row>
    <row r="692" customHeight="1" spans="1:33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</row>
    <row r="693" customHeight="1" spans="1:3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</row>
    <row r="694" customHeight="1" spans="1:33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</row>
    <row r="695" customHeight="1" spans="1:33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</row>
    <row r="696" customHeight="1" spans="1:33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</row>
    <row r="697" customHeight="1" spans="1:33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</row>
    <row r="698" customHeight="1" spans="1:33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</row>
    <row r="699" customHeight="1" spans="1:33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</row>
    <row r="700" customHeight="1" spans="1:33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</row>
    <row r="701" customHeight="1" spans="1:33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</row>
    <row r="702" customHeight="1" spans="1:33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</row>
    <row r="703" customHeight="1" spans="1:3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</row>
    <row r="704" customHeight="1" spans="1:33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</row>
    <row r="705" customHeight="1" spans="1:33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</row>
    <row r="706" customHeight="1" spans="1:33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</row>
    <row r="707" customHeight="1" spans="1:33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</row>
    <row r="708" customHeight="1" spans="1:33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</row>
    <row r="709" customHeight="1" spans="1:33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</row>
    <row r="710" customHeight="1" spans="1:33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</row>
    <row r="711" customHeight="1" spans="1:33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</row>
    <row r="712" customHeight="1" spans="1:33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</row>
    <row r="713" customHeight="1" spans="1:3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</row>
    <row r="714" customHeight="1" spans="1:33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</row>
    <row r="715" customHeight="1" spans="1:33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</row>
    <row r="716" customHeight="1" spans="1:33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</row>
    <row r="717" customHeight="1" spans="1:33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</row>
    <row r="718" customHeight="1" spans="1:33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</row>
    <row r="719" customHeight="1" spans="1:33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</row>
    <row r="720" customHeight="1" spans="1:33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</row>
    <row r="721" customHeight="1" spans="1:33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</row>
    <row r="722" customHeight="1" spans="1:33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</row>
    <row r="723" customHeight="1" spans="1:3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</row>
    <row r="724" customHeight="1" spans="1:33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</row>
    <row r="725" customHeight="1" spans="1:33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</row>
    <row r="726" customHeight="1" spans="1:33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</row>
    <row r="727" customHeight="1" spans="1:33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</row>
    <row r="728" customHeight="1" spans="1:33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</row>
    <row r="729" customHeight="1" spans="1:33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</row>
    <row r="730" customHeight="1" spans="1:33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</row>
    <row r="731" customHeight="1" spans="1:33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</row>
    <row r="732" customHeight="1" spans="1:33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</row>
    <row r="733" customHeight="1" spans="1: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</row>
    <row r="734" customHeight="1" spans="1:33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</row>
    <row r="735" customHeight="1" spans="1:33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</row>
    <row r="736" customHeight="1" spans="1:33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</row>
    <row r="737" customHeight="1" spans="1:33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</row>
    <row r="738" customHeight="1" spans="1:33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</row>
    <row r="739" customHeight="1" spans="1:33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</row>
    <row r="740" customHeight="1" spans="1:33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</row>
    <row r="741" customHeight="1" spans="1:33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</row>
    <row r="742" customHeight="1" spans="1:33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</row>
    <row r="743" customHeight="1" spans="1:3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</row>
    <row r="744" customHeight="1" spans="1:33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</row>
    <row r="745" customHeight="1" spans="1:33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</row>
    <row r="746" customHeight="1" spans="1:33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</row>
    <row r="747" customHeight="1" spans="1:33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</row>
    <row r="748" customHeight="1" spans="1:33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</row>
    <row r="749" customHeight="1" spans="1:33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</row>
    <row r="750" customHeight="1" spans="1:33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</row>
    <row r="751" customHeight="1" spans="1:33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</row>
    <row r="752" customHeight="1" spans="1:33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</row>
    <row r="753" customHeight="1" spans="1:3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</row>
    <row r="754" customHeight="1" spans="1:33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</row>
    <row r="755" customHeight="1" spans="1:33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</row>
    <row r="756" customHeight="1" spans="1:33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</row>
    <row r="757" customHeight="1" spans="1:33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</row>
    <row r="758" customHeight="1" spans="1:33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</row>
    <row r="759" customHeight="1" spans="1:33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</row>
    <row r="760" customHeight="1" spans="1:33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</row>
    <row r="761" customHeight="1" spans="1:33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</row>
    <row r="762" customHeight="1" spans="1:33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</row>
    <row r="763" customHeight="1" spans="1:3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</row>
    <row r="764" customHeight="1" spans="1:33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</row>
    <row r="765" customHeight="1" spans="1:33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</row>
    <row r="766" customHeight="1" spans="1:33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</row>
    <row r="767" customHeight="1" spans="1:33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</row>
    <row r="768" customHeight="1" spans="1:33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</row>
    <row r="769" customHeight="1" spans="1:33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</row>
    <row r="770" customHeight="1" spans="1:33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</row>
    <row r="771" customHeight="1" spans="1:33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</row>
    <row r="772" customHeight="1" spans="1:33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</row>
    <row r="773" customHeight="1" spans="1:3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</row>
    <row r="774" customHeight="1" spans="1:33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</row>
    <row r="775" customHeight="1" spans="1:33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</row>
    <row r="776" customHeight="1" spans="1:33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</row>
    <row r="777" customHeight="1" spans="1:33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</row>
    <row r="778" customHeight="1" spans="1:33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</row>
    <row r="779" customHeight="1" spans="1:33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</row>
    <row r="780" customHeight="1" spans="1:33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</row>
    <row r="781" customHeight="1" spans="1:33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</row>
    <row r="782" customHeight="1" spans="1:33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</row>
    <row r="783" customHeight="1" spans="1:3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</row>
    <row r="784" customHeight="1" spans="1:33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</row>
    <row r="785" customHeight="1" spans="1:33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</row>
    <row r="786" customHeight="1" spans="1:33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</row>
    <row r="787" customHeight="1" spans="1:33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</row>
    <row r="788" customHeight="1" spans="1:33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</row>
    <row r="789" customHeight="1" spans="1:33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</row>
    <row r="790" customHeight="1" spans="1:33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</row>
    <row r="791" customHeight="1" spans="1:33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</row>
    <row r="792" customHeight="1" spans="1:33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</row>
    <row r="793" customHeight="1" spans="1:3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</row>
    <row r="794" customHeight="1" spans="1:33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</row>
    <row r="795" customHeight="1" spans="1:33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</row>
    <row r="796" customHeight="1" spans="1:33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</row>
    <row r="797" customHeight="1" spans="1:33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</row>
    <row r="798" customHeight="1" spans="1:33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</row>
    <row r="799" customHeight="1" spans="1:33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</row>
    <row r="800" customHeight="1" spans="1:33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</row>
    <row r="801" customHeight="1" spans="1:33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</row>
    <row r="802" customHeight="1" spans="1:33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</row>
    <row r="803" customHeight="1" spans="1:3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</row>
    <row r="804" customHeight="1" spans="1:33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</row>
    <row r="805" customHeight="1" spans="1:33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</row>
    <row r="806" customHeight="1" spans="1:33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</row>
    <row r="807" customHeight="1" spans="1:33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</row>
    <row r="808" customHeight="1" spans="1:33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</row>
    <row r="809" customHeight="1" spans="1:33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</row>
    <row r="810" customHeight="1" spans="1:33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</row>
    <row r="811" customHeight="1" spans="1:33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</row>
    <row r="812" customHeight="1" spans="1:33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</row>
    <row r="813" customHeight="1" spans="1:3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</row>
    <row r="814" customHeight="1" spans="1:33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</row>
    <row r="815" customHeight="1" spans="1:33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</row>
    <row r="816" customHeight="1" spans="1:33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</row>
    <row r="817" customHeight="1" spans="1:33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</row>
    <row r="818" customHeight="1" spans="1:33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</row>
    <row r="819" customHeight="1" spans="1:33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</row>
    <row r="820" customHeight="1" spans="1:33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</row>
    <row r="821" customHeight="1" spans="1:33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</row>
    <row r="822" customHeight="1" spans="1:33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</row>
    <row r="823" customHeight="1" spans="1:3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</row>
    <row r="824" customHeight="1" spans="1:33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</row>
    <row r="825" customHeight="1" spans="1:33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</row>
    <row r="826" customHeight="1" spans="1:33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</row>
    <row r="827" customHeight="1" spans="1:33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</row>
    <row r="828" customHeight="1" spans="1:33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</row>
    <row r="829" customHeight="1" spans="1:33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</row>
    <row r="830" customHeight="1" spans="1:33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</row>
    <row r="831" customHeight="1" spans="1:33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</row>
    <row r="832" customHeight="1" spans="1:33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</row>
    <row r="833" customHeight="1" spans="1: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</row>
    <row r="834" customHeight="1" spans="1:33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</row>
    <row r="835" customHeight="1" spans="1:33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</row>
    <row r="836" customHeight="1" spans="1:33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</row>
    <row r="837" customHeight="1" spans="1:33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</row>
    <row r="838" customHeight="1" spans="1:33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</row>
    <row r="839" customHeight="1" spans="1:33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</row>
    <row r="840" customHeight="1" spans="1:33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</row>
    <row r="841" customHeight="1" spans="1:33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</row>
    <row r="842" customHeight="1" spans="1:33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</row>
    <row r="843" customHeight="1" spans="1:3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</row>
    <row r="844" customHeight="1" spans="1:33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</row>
    <row r="845" customHeight="1" spans="1:33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</row>
    <row r="846" customHeight="1" spans="1:33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</row>
    <row r="847" customHeight="1" spans="1:33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</row>
    <row r="848" customHeight="1" spans="1:33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</row>
    <row r="849" customHeight="1" spans="1:33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</row>
    <row r="850" customHeight="1" spans="1:33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</row>
    <row r="851" customHeight="1" spans="1:33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</row>
    <row r="852" customHeight="1" spans="1:33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</row>
    <row r="853" customHeight="1" spans="1:3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</row>
    <row r="854" customHeight="1" spans="1:33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</row>
    <row r="855" customHeight="1" spans="1:33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</row>
    <row r="856" customHeight="1" spans="1:33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</row>
    <row r="857" customHeight="1" spans="1:33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</row>
    <row r="858" customHeight="1" spans="1:33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</row>
    <row r="859" customHeight="1" spans="1:33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</row>
    <row r="860" customHeight="1" spans="1:33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</row>
    <row r="861" customHeight="1" spans="1:33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</row>
    <row r="862" customHeight="1" spans="1:33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</row>
    <row r="863" customHeight="1" spans="1:3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</row>
    <row r="864" customHeight="1" spans="1:33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</row>
    <row r="865" customHeight="1" spans="1:33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</row>
    <row r="866" customHeight="1" spans="1:33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</row>
    <row r="867" customHeight="1" spans="1:33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</row>
    <row r="868" customHeight="1" spans="1:33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</row>
    <row r="869" customHeight="1" spans="1:33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</row>
    <row r="870" customHeight="1" spans="1:33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</row>
    <row r="871" customHeight="1" spans="1:33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</row>
    <row r="872" customHeight="1" spans="1:33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</row>
    <row r="873" customHeight="1" spans="1:3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</row>
    <row r="874" customHeight="1" spans="1:33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</row>
    <row r="875" customHeight="1" spans="1:33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</row>
    <row r="876" customHeight="1" spans="1:33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</row>
    <row r="877" customHeight="1" spans="1:33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</row>
    <row r="878" customHeight="1" spans="1:33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</row>
    <row r="879" customHeight="1" spans="1:33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</row>
    <row r="880" customHeight="1" spans="1:33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</row>
    <row r="881" customHeight="1" spans="1:33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</row>
    <row r="882" customHeight="1" spans="1:33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</row>
    <row r="883" customHeight="1" spans="1:3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</row>
    <row r="884" customHeight="1" spans="1:33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</row>
    <row r="885" customHeight="1" spans="1:33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</row>
    <row r="886" customHeight="1" spans="1:33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</row>
    <row r="887" customHeight="1" spans="1:33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</row>
    <row r="888" customHeight="1" spans="1:33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</row>
    <row r="889" customHeight="1" spans="1:33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</row>
    <row r="890" customHeight="1" spans="1:33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</row>
    <row r="891" customHeight="1" spans="1:33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</row>
    <row r="892" customHeight="1" spans="1:33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</row>
    <row r="893" customHeight="1" spans="1:3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</row>
    <row r="894" customHeight="1" spans="1:33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</row>
    <row r="895" customHeight="1" spans="1:33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</row>
    <row r="896" customHeight="1" spans="1:33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</row>
    <row r="897" customHeight="1" spans="1:33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</row>
    <row r="898" customHeight="1" spans="1:33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</row>
    <row r="899" customHeight="1" spans="1:33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</row>
    <row r="900" customHeight="1" spans="1:33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</row>
    <row r="901" customHeight="1" spans="1:33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</row>
    <row r="902" customHeight="1" spans="1:33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</row>
    <row r="903" customHeight="1" spans="1:3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</row>
    <row r="904" customHeight="1" spans="1:33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</row>
    <row r="905" customHeight="1" spans="1:33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</row>
    <row r="906" customHeight="1" spans="1:33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</row>
    <row r="907" customHeight="1" spans="1:33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</row>
    <row r="908" customHeight="1" spans="1:33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</row>
    <row r="909" customHeight="1" spans="1:33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</row>
    <row r="910" customHeight="1" spans="1:33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</row>
    <row r="911" customHeight="1" spans="1:33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</row>
    <row r="912" customHeight="1" spans="1:33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</row>
    <row r="913" customHeight="1" spans="1:3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</row>
    <row r="914" customHeight="1" spans="1:33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</row>
    <row r="915" customHeight="1" spans="1:33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</row>
    <row r="916" customHeight="1" spans="1:33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</row>
    <row r="917" customHeight="1" spans="1:33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</row>
    <row r="918" customHeight="1" spans="1:33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</row>
    <row r="919" customHeight="1" spans="1:33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</row>
    <row r="920" customHeight="1" spans="1:33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</row>
    <row r="921" customHeight="1" spans="1:33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</row>
    <row r="922" customHeight="1" spans="1:33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</row>
    <row r="923" customHeight="1" spans="1:3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</row>
    <row r="924" customHeight="1" spans="1:33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</row>
    <row r="925" customHeight="1" spans="1:33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</row>
    <row r="926" customHeight="1" spans="1:33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</row>
    <row r="927" customHeight="1" spans="1:33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</row>
    <row r="928" customHeight="1" spans="1:33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</row>
    <row r="929" customHeight="1" spans="1:33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</row>
    <row r="930" customHeight="1" spans="1:33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</row>
    <row r="931" customHeight="1" spans="1:33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</row>
    <row r="932" customHeight="1" spans="1:33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</row>
    <row r="933" customHeight="1" spans="1:3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</row>
    <row r="934" customHeight="1" spans="1:33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</row>
    <row r="935" customHeight="1" spans="1:33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</row>
    <row r="936" customHeight="1" spans="1:33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</row>
    <row r="937" customHeight="1" spans="1:33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</row>
    <row r="938" customHeight="1" spans="1:33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</row>
    <row r="939" customHeight="1" spans="1:33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</row>
    <row r="940" customHeight="1" spans="1:33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</row>
    <row r="941" customHeight="1" spans="1:33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</row>
    <row r="942" customHeight="1" spans="1:33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</row>
    <row r="943" customHeight="1" spans="1:33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</row>
    <row r="944" customHeight="1" spans="1:33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</row>
    <row r="945" customHeight="1" spans="1:33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</row>
    <row r="946" customHeight="1" spans="1:33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</row>
    <row r="947" customHeight="1" spans="1:33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</row>
    <row r="948" customHeight="1" spans="1:33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</row>
    <row r="949" customHeight="1" spans="1:33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</row>
    <row r="950" customHeight="1" spans="1:33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</row>
    <row r="951" customHeight="1" spans="1:33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</row>
    <row r="952" customHeight="1" spans="1:33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</row>
    <row r="953" customHeight="1" spans="1:33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</row>
    <row r="954" customHeight="1" spans="1:33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</row>
    <row r="955" customHeight="1" spans="1:33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</row>
    <row r="956" customHeight="1" spans="1:33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</row>
    <row r="957" customHeight="1" spans="1:33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</row>
    <row r="958" customHeight="1" spans="1:33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</row>
    <row r="959" customHeight="1" spans="1:33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</row>
    <row r="960" customHeight="1" spans="1:33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</row>
    <row r="961" customHeight="1" spans="1:33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</row>
    <row r="962" customHeight="1" spans="1:33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</row>
    <row r="963" customHeight="1" spans="1:33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</row>
    <row r="964" customHeight="1" spans="1:33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</row>
    <row r="965" customHeight="1" spans="1:33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</row>
    <row r="966" customHeight="1" spans="1:33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</row>
    <row r="967" customHeight="1" spans="1:33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</row>
    <row r="968" customHeight="1" spans="1:33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</row>
    <row r="969" customHeight="1" spans="1:33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</row>
    <row r="970" customHeight="1" spans="1:33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</row>
    <row r="971" customHeight="1" spans="1:33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</row>
    <row r="972" customHeight="1" spans="1:33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</row>
    <row r="973" customHeight="1" spans="1:33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</row>
    <row r="974" customHeight="1" spans="1:33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</row>
    <row r="975" customHeight="1" spans="1:33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</row>
    <row r="976" customHeight="1" spans="1:33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</row>
    <row r="977" customHeight="1" spans="1:33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</row>
    <row r="978" customHeight="1" spans="1:33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</row>
    <row r="979" customHeight="1" spans="1:33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</row>
    <row r="980" customHeight="1" spans="1:33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</row>
    <row r="981" customHeight="1" spans="1:33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</row>
    <row r="982" customHeight="1" spans="1:33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</row>
    <row r="983" customHeight="1" spans="1:33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</row>
    <row r="984" customHeight="1" spans="1:33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</row>
    <row r="985" customHeight="1" spans="1:33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  <c r="AD985" s="61"/>
      <c r="AE985" s="61"/>
      <c r="AF985" s="61"/>
      <c r="AG985" s="61"/>
    </row>
    <row r="986" customHeight="1" spans="1:33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</row>
    <row r="987" customHeight="1" spans="1:33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  <c r="AD987" s="61"/>
      <c r="AE987" s="61"/>
      <c r="AF987" s="61"/>
      <c r="AG987" s="61"/>
    </row>
    <row r="988" customHeight="1" spans="1:33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</row>
    <row r="989" customHeight="1" spans="1:33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  <c r="AD989" s="61"/>
      <c r="AE989" s="61"/>
      <c r="AF989" s="61"/>
      <c r="AG989" s="61"/>
    </row>
    <row r="990" customHeight="1" spans="1:33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</row>
    <row r="991" customHeight="1" spans="1:33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1"/>
    </row>
    <row r="992" customHeight="1" spans="1:33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</row>
    <row r="993" customHeight="1" spans="1:33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  <c r="AD993" s="61"/>
      <c r="AE993" s="61"/>
      <c r="AF993" s="61"/>
      <c r="AG993" s="61"/>
    </row>
    <row r="994" customHeight="1" spans="1:33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</row>
    <row r="995" customHeight="1" spans="1:33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  <c r="AG995" s="61"/>
    </row>
    <row r="996" customHeight="1" spans="1:33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</row>
    <row r="997" customHeight="1" spans="1:33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  <c r="AD997" s="61"/>
      <c r="AE997" s="61"/>
      <c r="AF997" s="61"/>
      <c r="AG997" s="61"/>
    </row>
    <row r="998" customHeight="1" spans="1:33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  <c r="AD998" s="61"/>
      <c r="AE998" s="61"/>
      <c r="AF998" s="61"/>
      <c r="AG998" s="61"/>
    </row>
  </sheetData>
  <autoFilter xmlns:etc="http://www.wps.cn/officeDocument/2017/etCustomData" ref="A3:Y52" etc:filterBottomFollowUsedRange="0">
    <filterColumn colId="2">
      <customFilters>
        <customFilter operator="equal" val=""/>
        <customFilter operator="equal" val="CSR"/>
      </customFilters>
    </filterColumn>
    <filterColumn colId="3">
      <customFilters>
        <customFilter operator="equal" val=""/>
        <customFilter operator="equal" val="Production"/>
      </customFilters>
    </filterColumn>
    <filterColumn colId="20">
      <customFilters>
        <customFilter operator="equal" val="45"/>
      </customFilters>
    </filterColumn>
    <sortState ref="A3:Y52">
      <sortCondition ref="B3:B52" descending="1" sortBy="cellColor" dxfId="2"/>
    </sortState>
    <extLst/>
  </autoFilter>
  <mergeCells count="14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</mergeCells>
  <conditionalFormatting sqref="F57:S57">
    <cfRule type="cellIs" dxfId="0" priority="4" operator="lessThan">
      <formula>0</formula>
    </cfRule>
  </conditionalFormatting>
  <conditionalFormatting sqref="A4:A100">
    <cfRule type="expression" dxfId="1" priority="1">
      <formula>COUNTIF(A:A,A49)&gt;1</formula>
    </cfRule>
  </conditionalFormatting>
  <conditionalFormatting sqref="C4:C51 G4:T51">
    <cfRule type="colorScale" priority="5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X4:X41 X43:X51">
    <cfRule type="cellIs" dxfId="0" priority="2" operator="greaterThanOrEqual">
      <formula>1</formula>
    </cfRule>
    <cfRule type="cellIs" dxfId="0" priority="3" operator="lessThanOrEqual">
      <formula>-1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49"/>
  <sheetViews>
    <sheetView workbookViewId="0">
      <selection activeCell="A1" sqref="A1:A2"/>
    </sheetView>
  </sheetViews>
  <sheetFormatPr defaultColWidth="12.6272727272727" defaultRowHeight="15.75" customHeight="1"/>
  <cols>
    <col min="1" max="1" width="8.38181818181818" customWidth="1"/>
    <col min="2" max="2" width="18.7545454545455" customWidth="1"/>
    <col min="3" max="3" width="7.62727272727273" customWidth="1"/>
    <col min="4" max="4" width="9" customWidth="1"/>
    <col min="5" max="5" width="5.62727272727273" customWidth="1"/>
    <col min="6" max="6" width="5.25454545454545" customWidth="1"/>
    <col min="7" max="7" width="9.5" customWidth="1"/>
    <col min="8" max="8" width="5.12727272727273" customWidth="1"/>
    <col min="9" max="9" width="9.5" customWidth="1"/>
    <col min="10" max="10" width="5.12727272727273" customWidth="1"/>
    <col min="11" max="11" width="10.2545454545455" customWidth="1"/>
    <col min="12" max="12" width="5.12727272727273" customWidth="1"/>
    <col min="13" max="13" width="9.5" customWidth="1"/>
    <col min="14" max="14" width="5.12727272727273" customWidth="1"/>
    <col min="15" max="15" width="9.5" customWidth="1"/>
    <col min="16" max="16" width="5.12727272727273" customWidth="1"/>
    <col min="17" max="17" width="9.38181818181818" customWidth="1"/>
    <col min="18" max="18" width="5.12727272727273" customWidth="1"/>
    <col min="19" max="19" width="9.5" customWidth="1"/>
    <col min="20" max="20" width="5.12727272727273" customWidth="1"/>
  </cols>
  <sheetData>
    <row r="1" customHeight="1" spans="1:20">
      <c r="A1" s="175" t="s">
        <v>0</v>
      </c>
      <c r="B1" s="175" t="s">
        <v>1</v>
      </c>
      <c r="C1" s="175" t="s">
        <v>2</v>
      </c>
      <c r="D1" s="175" t="s">
        <v>3</v>
      </c>
      <c r="E1" s="175" t="s">
        <v>4</v>
      </c>
      <c r="F1" s="176" t="s">
        <v>5</v>
      </c>
      <c r="G1" s="177">
        <v>45663</v>
      </c>
      <c r="H1" s="14"/>
      <c r="I1" s="177">
        <v>45664</v>
      </c>
      <c r="J1" s="14"/>
      <c r="K1" s="177">
        <v>45665</v>
      </c>
      <c r="L1" s="14"/>
      <c r="M1" s="177">
        <v>45666</v>
      </c>
      <c r="N1" s="14"/>
      <c r="O1" s="177">
        <v>45667</v>
      </c>
      <c r="P1" s="14"/>
      <c r="Q1" s="177">
        <v>45668</v>
      </c>
      <c r="R1" s="14"/>
      <c r="S1" s="177">
        <v>45669</v>
      </c>
      <c r="T1" s="14"/>
    </row>
    <row r="2" customHeight="1" spans="1:20">
      <c r="A2" s="5"/>
      <c r="B2" s="5"/>
      <c r="C2" s="5"/>
      <c r="D2" s="5"/>
      <c r="E2" s="5"/>
      <c r="F2" s="5"/>
      <c r="G2" s="178" t="s">
        <v>6</v>
      </c>
      <c r="H2" s="14"/>
      <c r="I2" s="178" t="s">
        <v>7</v>
      </c>
      <c r="J2" s="14"/>
      <c r="K2" s="178" t="s">
        <v>8</v>
      </c>
      <c r="L2" s="14"/>
      <c r="M2" s="178" t="s">
        <v>9</v>
      </c>
      <c r="N2" s="14"/>
      <c r="O2" s="178" t="s">
        <v>10</v>
      </c>
      <c r="P2" s="14"/>
      <c r="Q2" s="178" t="s">
        <v>11</v>
      </c>
      <c r="R2" s="14"/>
      <c r="S2" s="178" t="s">
        <v>12</v>
      </c>
      <c r="T2" s="14"/>
    </row>
    <row r="3" customHeight="1" spans="1:20">
      <c r="A3" s="179"/>
      <c r="B3" s="179"/>
      <c r="C3" s="179"/>
      <c r="D3" s="179"/>
      <c r="E3" s="179"/>
      <c r="F3" s="179"/>
      <c r="G3" s="179" t="s">
        <v>13</v>
      </c>
      <c r="H3" s="179" t="s">
        <v>14</v>
      </c>
      <c r="I3" s="179" t="s">
        <v>13</v>
      </c>
      <c r="J3" s="179" t="s">
        <v>14</v>
      </c>
      <c r="K3" s="179" t="s">
        <v>13</v>
      </c>
      <c r="L3" s="179" t="s">
        <v>14</v>
      </c>
      <c r="M3" s="179" t="s">
        <v>13</v>
      </c>
      <c r="N3" s="179" t="s">
        <v>14</v>
      </c>
      <c r="O3" s="179" t="s">
        <v>13</v>
      </c>
      <c r="P3" s="179" t="s">
        <v>14</v>
      </c>
      <c r="Q3" s="179" t="s">
        <v>13</v>
      </c>
      <c r="R3" s="179" t="s">
        <v>14</v>
      </c>
      <c r="S3" s="179" t="s">
        <v>13</v>
      </c>
      <c r="T3" s="179" t="s">
        <v>14</v>
      </c>
    </row>
    <row r="4" customHeight="1" spans="1:20">
      <c r="A4" s="7">
        <v>10320410</v>
      </c>
      <c r="B4" s="8" t="s">
        <v>58</v>
      </c>
      <c r="C4" s="7" t="s">
        <v>20</v>
      </c>
      <c r="D4" s="7" t="s">
        <v>21</v>
      </c>
      <c r="E4" s="8" t="s">
        <v>22</v>
      </c>
      <c r="F4" s="9">
        <v>3</v>
      </c>
      <c r="G4" s="8">
        <v>0.375</v>
      </c>
      <c r="H4" s="8">
        <v>0.75</v>
      </c>
      <c r="I4" s="8">
        <v>0.375</v>
      </c>
      <c r="J4" s="8">
        <v>0.75</v>
      </c>
      <c r="K4" s="8">
        <v>0.375</v>
      </c>
      <c r="L4" s="8">
        <v>0.75</v>
      </c>
      <c r="M4" s="8">
        <v>0.375</v>
      </c>
      <c r="N4" s="8">
        <v>0.75</v>
      </c>
      <c r="O4" s="8">
        <v>0.375</v>
      </c>
      <c r="P4" s="8">
        <v>0.75</v>
      </c>
      <c r="Q4" s="7" t="s">
        <v>23</v>
      </c>
      <c r="R4" s="7" t="s">
        <v>23</v>
      </c>
      <c r="S4" s="7" t="s">
        <v>23</v>
      </c>
      <c r="T4" s="7" t="s">
        <v>23</v>
      </c>
    </row>
    <row r="5" customHeight="1" spans="1:20">
      <c r="A5" s="7">
        <v>10320415</v>
      </c>
      <c r="B5" s="8" t="s">
        <v>63</v>
      </c>
      <c r="C5" s="7" t="s">
        <v>20</v>
      </c>
      <c r="D5" s="7" t="s">
        <v>21</v>
      </c>
      <c r="E5" s="8" t="s">
        <v>22</v>
      </c>
      <c r="F5" s="9">
        <v>3</v>
      </c>
      <c r="G5" s="8">
        <v>0.458333333333333</v>
      </c>
      <c r="H5" s="8">
        <v>0.875</v>
      </c>
      <c r="I5" s="8">
        <v>0.458333333333333</v>
      </c>
      <c r="J5" s="8">
        <v>0.875</v>
      </c>
      <c r="K5" s="8">
        <v>0.458333333333333</v>
      </c>
      <c r="L5" s="8">
        <v>0.875</v>
      </c>
      <c r="M5" s="8">
        <v>0.458333333333333</v>
      </c>
      <c r="N5" s="8">
        <v>0.875</v>
      </c>
      <c r="O5" s="7" t="s">
        <v>23</v>
      </c>
      <c r="P5" s="7" t="s">
        <v>23</v>
      </c>
      <c r="Q5" s="7" t="s">
        <v>23</v>
      </c>
      <c r="R5" s="7" t="s">
        <v>23</v>
      </c>
      <c r="S5" s="8">
        <v>0.458333333333333</v>
      </c>
      <c r="T5" s="8">
        <v>0.666666666666667</v>
      </c>
    </row>
    <row r="6" customHeight="1" spans="1:20">
      <c r="A6" s="7">
        <v>10317522</v>
      </c>
      <c r="B6" s="8" t="s">
        <v>31</v>
      </c>
      <c r="C6" s="7" t="s">
        <v>20</v>
      </c>
      <c r="D6" s="7" t="s">
        <v>21</v>
      </c>
      <c r="E6" s="8" t="s">
        <v>22</v>
      </c>
      <c r="F6" s="9">
        <v>2</v>
      </c>
      <c r="G6" s="7" t="s">
        <v>36</v>
      </c>
      <c r="H6" s="7" t="s">
        <v>36</v>
      </c>
      <c r="I6" s="7" t="s">
        <v>91</v>
      </c>
      <c r="J6" s="7" t="s">
        <v>91</v>
      </c>
      <c r="K6" s="8">
        <v>0.458333333333333</v>
      </c>
      <c r="L6" s="8">
        <v>0.875</v>
      </c>
      <c r="M6" s="8">
        <v>0.458333333333333</v>
      </c>
      <c r="N6" s="8">
        <v>0.875</v>
      </c>
      <c r="O6" s="7" t="s">
        <v>23</v>
      </c>
      <c r="P6" s="7" t="s">
        <v>23</v>
      </c>
      <c r="Q6" s="7" t="s">
        <v>23</v>
      </c>
      <c r="R6" s="7" t="s">
        <v>23</v>
      </c>
      <c r="S6" s="8">
        <v>0.458333333333333</v>
      </c>
      <c r="T6" s="8">
        <v>0.666666666666667</v>
      </c>
    </row>
    <row r="7" customHeight="1" spans="1:20">
      <c r="A7" s="7">
        <v>10316549</v>
      </c>
      <c r="B7" s="8" t="s">
        <v>19</v>
      </c>
      <c r="C7" s="7" t="s">
        <v>20</v>
      </c>
      <c r="D7" s="7" t="s">
        <v>86</v>
      </c>
      <c r="E7" s="8" t="s">
        <v>22</v>
      </c>
      <c r="F7" s="9">
        <v>1</v>
      </c>
      <c r="G7" s="7" t="s">
        <v>36</v>
      </c>
      <c r="H7" s="7" t="s">
        <v>36</v>
      </c>
      <c r="I7" s="8">
        <v>0.375</v>
      </c>
      <c r="J7" s="8">
        <v>0.75</v>
      </c>
      <c r="K7" s="8">
        <v>0.375</v>
      </c>
      <c r="L7" s="8">
        <v>0.75</v>
      </c>
      <c r="M7" s="8">
        <v>0.375</v>
      </c>
      <c r="N7" s="8">
        <v>0.75</v>
      </c>
      <c r="O7" s="8">
        <v>0.375</v>
      </c>
      <c r="P7" s="8">
        <v>0.75</v>
      </c>
      <c r="Q7" s="7" t="s">
        <v>23</v>
      </c>
      <c r="R7" s="7" t="s">
        <v>23</v>
      </c>
      <c r="S7" s="7" t="s">
        <v>23</v>
      </c>
      <c r="T7" s="7" t="s">
        <v>23</v>
      </c>
    </row>
    <row r="8" customHeight="1" spans="1:20">
      <c r="A8" s="7">
        <v>10320413</v>
      </c>
      <c r="B8" s="8" t="s">
        <v>60</v>
      </c>
      <c r="C8" s="7" t="s">
        <v>20</v>
      </c>
      <c r="D8" s="7" t="s">
        <v>21</v>
      </c>
      <c r="E8" s="8" t="s">
        <v>22</v>
      </c>
      <c r="F8" s="9">
        <v>3</v>
      </c>
      <c r="G8" s="8">
        <v>0.458333333333333</v>
      </c>
      <c r="H8" s="8">
        <v>0.875</v>
      </c>
      <c r="I8" s="8">
        <v>0.458333333333333</v>
      </c>
      <c r="J8" s="8">
        <v>0.875</v>
      </c>
      <c r="K8" s="8">
        <v>0.458333333333333</v>
      </c>
      <c r="L8" s="8">
        <v>0.875</v>
      </c>
      <c r="M8" s="8">
        <v>0.458333333333333</v>
      </c>
      <c r="N8" s="8">
        <v>0.875</v>
      </c>
      <c r="O8" s="7" t="s">
        <v>23</v>
      </c>
      <c r="P8" s="7" t="s">
        <v>23</v>
      </c>
      <c r="Q8" s="7" t="s">
        <v>23</v>
      </c>
      <c r="R8" s="7" t="s">
        <v>23</v>
      </c>
      <c r="S8" s="8">
        <v>0.458333333333333</v>
      </c>
      <c r="T8" s="8">
        <v>0.666666666666667</v>
      </c>
    </row>
    <row r="9" customHeight="1" spans="1:20">
      <c r="A9" s="7">
        <v>10320408</v>
      </c>
      <c r="B9" s="8" t="s">
        <v>56</v>
      </c>
      <c r="C9" s="7" t="s">
        <v>20</v>
      </c>
      <c r="D9" s="7" t="s">
        <v>21</v>
      </c>
      <c r="E9" s="8" t="s">
        <v>22</v>
      </c>
      <c r="F9" s="9">
        <v>3</v>
      </c>
      <c r="G9" s="8">
        <v>0.375</v>
      </c>
      <c r="H9" s="8">
        <v>0.75</v>
      </c>
      <c r="I9" s="8">
        <v>0.375</v>
      </c>
      <c r="J9" s="8">
        <v>0.75</v>
      </c>
      <c r="K9" s="8">
        <v>0.375</v>
      </c>
      <c r="L9" s="8">
        <v>0.75</v>
      </c>
      <c r="M9" s="8">
        <v>0.375</v>
      </c>
      <c r="N9" s="8">
        <v>0.75</v>
      </c>
      <c r="O9" s="7" t="s">
        <v>23</v>
      </c>
      <c r="P9" s="7" t="s">
        <v>23</v>
      </c>
      <c r="Q9" s="7" t="s">
        <v>23</v>
      </c>
      <c r="R9" s="7" t="s">
        <v>23</v>
      </c>
      <c r="S9" s="8">
        <v>0.458333333333333</v>
      </c>
      <c r="T9" s="8">
        <v>0.666666666666667</v>
      </c>
    </row>
    <row r="10" customHeight="1" spans="1:20">
      <c r="A10" s="7">
        <v>10317147</v>
      </c>
      <c r="B10" s="8" t="s">
        <v>24</v>
      </c>
      <c r="C10" s="7" t="s">
        <v>20</v>
      </c>
      <c r="D10" s="7" t="s">
        <v>21</v>
      </c>
      <c r="E10" s="8" t="s">
        <v>22</v>
      </c>
      <c r="F10" s="9">
        <v>1</v>
      </c>
      <c r="G10" s="7" t="s">
        <v>23</v>
      </c>
      <c r="H10" s="7" t="s">
        <v>23</v>
      </c>
      <c r="I10" s="8">
        <v>0.458333333333333</v>
      </c>
      <c r="J10" s="8">
        <v>0.875</v>
      </c>
      <c r="K10" s="8">
        <v>0.458333333333333</v>
      </c>
      <c r="L10" s="8">
        <v>0.875</v>
      </c>
      <c r="M10" s="8">
        <v>0.458333333333333</v>
      </c>
      <c r="N10" s="8">
        <v>0.875</v>
      </c>
      <c r="O10" s="8">
        <v>0.458333333333333</v>
      </c>
      <c r="P10" s="8">
        <v>0.875</v>
      </c>
      <c r="Q10" s="8">
        <v>0.458333333333333</v>
      </c>
      <c r="R10" s="8">
        <v>0.666666666666667</v>
      </c>
      <c r="S10" s="7" t="s">
        <v>23</v>
      </c>
      <c r="T10" s="7" t="s">
        <v>23</v>
      </c>
    </row>
    <row r="11" customHeight="1" spans="1:20">
      <c r="A11" s="7">
        <v>10272259</v>
      </c>
      <c r="B11" s="8" t="s">
        <v>32</v>
      </c>
      <c r="C11" s="7" t="s">
        <v>20</v>
      </c>
      <c r="D11" s="7" t="s">
        <v>21</v>
      </c>
      <c r="E11" s="8" t="s">
        <v>22</v>
      </c>
      <c r="F11" s="9">
        <v>2</v>
      </c>
      <c r="G11" s="8">
        <v>0.333333333333333</v>
      </c>
      <c r="H11" s="8">
        <v>0.708333333333333</v>
      </c>
      <c r="I11" s="7" t="s">
        <v>23</v>
      </c>
      <c r="J11" s="7" t="s">
        <v>23</v>
      </c>
      <c r="K11" s="7" t="s">
        <v>23</v>
      </c>
      <c r="L11" s="7" t="s">
        <v>23</v>
      </c>
      <c r="M11" s="7" t="s">
        <v>36</v>
      </c>
      <c r="N11" s="7" t="s">
        <v>36</v>
      </c>
      <c r="O11" s="7" t="s">
        <v>36</v>
      </c>
      <c r="P11" s="7" t="s">
        <v>36</v>
      </c>
      <c r="Q11" s="7" t="s">
        <v>36</v>
      </c>
      <c r="R11" s="7" t="s">
        <v>36</v>
      </c>
      <c r="S11" s="8">
        <v>0.416666666666667</v>
      </c>
      <c r="T11" s="8">
        <v>0.625</v>
      </c>
    </row>
    <row r="12" customHeight="1" spans="1:20">
      <c r="A12" s="7">
        <v>10320412</v>
      </c>
      <c r="B12" s="8" t="s">
        <v>59</v>
      </c>
      <c r="C12" s="7" t="s">
        <v>20</v>
      </c>
      <c r="D12" s="7" t="s">
        <v>21</v>
      </c>
      <c r="E12" s="8" t="s">
        <v>22</v>
      </c>
      <c r="F12" s="9">
        <v>3</v>
      </c>
      <c r="G12" s="8">
        <v>0.5</v>
      </c>
      <c r="H12" s="8">
        <v>0.875</v>
      </c>
      <c r="I12" s="8">
        <v>0.5</v>
      </c>
      <c r="J12" s="8">
        <v>0.875</v>
      </c>
      <c r="K12" s="8">
        <v>0.5</v>
      </c>
      <c r="L12" s="8">
        <v>0.875</v>
      </c>
      <c r="M12" s="8">
        <v>0.5</v>
      </c>
      <c r="N12" s="8">
        <v>0.875</v>
      </c>
      <c r="O12" s="8">
        <v>0.5</v>
      </c>
      <c r="P12" s="8">
        <v>0.875</v>
      </c>
      <c r="Q12" s="7" t="s">
        <v>23</v>
      </c>
      <c r="R12" s="7" t="s">
        <v>23</v>
      </c>
      <c r="S12" s="7" t="s">
        <v>23</v>
      </c>
      <c r="T12" s="7" t="s">
        <v>23</v>
      </c>
    </row>
    <row r="13" customHeight="1" spans="1:20">
      <c r="A13" s="7">
        <v>10320418</v>
      </c>
      <c r="B13" s="8" t="s">
        <v>68</v>
      </c>
      <c r="C13" s="7" t="s">
        <v>20</v>
      </c>
      <c r="D13" s="7" t="s">
        <v>21</v>
      </c>
      <c r="E13" s="8" t="s">
        <v>22</v>
      </c>
      <c r="F13" s="9">
        <v>3</v>
      </c>
      <c r="G13" s="8">
        <v>0.375</v>
      </c>
      <c r="H13" s="8">
        <v>0.75</v>
      </c>
      <c r="I13" s="8">
        <v>0.375</v>
      </c>
      <c r="J13" s="8">
        <v>0.75</v>
      </c>
      <c r="K13" s="8">
        <v>0.375</v>
      </c>
      <c r="L13" s="8">
        <v>0.75</v>
      </c>
      <c r="M13" s="8">
        <v>0.375</v>
      </c>
      <c r="N13" s="8">
        <v>0.75</v>
      </c>
      <c r="O13" s="7" t="s">
        <v>23</v>
      </c>
      <c r="P13" s="7" t="s">
        <v>23</v>
      </c>
      <c r="Q13" s="7" t="s">
        <v>23</v>
      </c>
      <c r="R13" s="7" t="s">
        <v>23</v>
      </c>
      <c r="S13" s="8">
        <v>0.458333333333333</v>
      </c>
      <c r="T13" s="8">
        <v>0.666666666666667</v>
      </c>
    </row>
    <row r="14" customHeight="1" spans="1:20">
      <c r="A14" s="7">
        <v>10316618</v>
      </c>
      <c r="B14" s="8" t="s">
        <v>33</v>
      </c>
      <c r="C14" s="7" t="s">
        <v>20</v>
      </c>
      <c r="D14" s="7" t="s">
        <v>86</v>
      </c>
      <c r="E14" s="8" t="s">
        <v>22</v>
      </c>
      <c r="F14" s="9">
        <v>1</v>
      </c>
      <c r="G14" s="7" t="s">
        <v>36</v>
      </c>
      <c r="H14" s="7" t="s">
        <v>36</v>
      </c>
      <c r="I14" s="7" t="s">
        <v>91</v>
      </c>
      <c r="J14" s="7" t="s">
        <v>91</v>
      </c>
      <c r="K14" s="8">
        <v>0.5</v>
      </c>
      <c r="L14" s="8">
        <v>0.875</v>
      </c>
      <c r="M14" s="8">
        <v>0.5</v>
      </c>
      <c r="N14" s="8">
        <v>0.875</v>
      </c>
      <c r="O14" s="8">
        <v>0.5</v>
      </c>
      <c r="P14" s="8">
        <v>0.875</v>
      </c>
      <c r="Q14" s="7" t="s">
        <v>23</v>
      </c>
      <c r="R14" s="7" t="s">
        <v>23</v>
      </c>
      <c r="S14" s="7" t="s">
        <v>23</v>
      </c>
      <c r="T14" s="7" t="s">
        <v>23</v>
      </c>
    </row>
    <row r="15" customHeight="1" spans="1:20">
      <c r="A15" s="7">
        <v>10250963</v>
      </c>
      <c r="B15" s="8" t="s">
        <v>25</v>
      </c>
      <c r="C15" s="7" t="s">
        <v>20</v>
      </c>
      <c r="D15" s="7" t="s">
        <v>21</v>
      </c>
      <c r="E15" s="8" t="s">
        <v>22</v>
      </c>
      <c r="F15" s="9">
        <v>1</v>
      </c>
      <c r="G15" s="8">
        <v>0.5</v>
      </c>
      <c r="H15" s="8">
        <v>0.875</v>
      </c>
      <c r="I15" s="8">
        <v>0.5</v>
      </c>
      <c r="J15" s="8">
        <v>0.875</v>
      </c>
      <c r="K15" s="8">
        <v>0.5</v>
      </c>
      <c r="L15" s="8">
        <v>0.875</v>
      </c>
      <c r="M15" s="8">
        <v>0.5</v>
      </c>
      <c r="N15" s="8">
        <v>0.875</v>
      </c>
      <c r="O15" s="8">
        <v>0.5</v>
      </c>
      <c r="P15" s="8">
        <v>0.875</v>
      </c>
      <c r="Q15" s="7" t="s">
        <v>23</v>
      </c>
      <c r="R15" s="7" t="s">
        <v>23</v>
      </c>
      <c r="S15" s="7" t="s">
        <v>23</v>
      </c>
      <c r="T15" s="7" t="s">
        <v>23</v>
      </c>
    </row>
    <row r="16" customHeight="1" spans="1:20">
      <c r="A16" s="7">
        <v>10295555</v>
      </c>
      <c r="B16" s="8" t="s">
        <v>34</v>
      </c>
      <c r="C16" s="7" t="s">
        <v>20</v>
      </c>
      <c r="D16" s="7" t="s">
        <v>21</v>
      </c>
      <c r="E16" s="8" t="s">
        <v>35</v>
      </c>
      <c r="F16" s="9">
        <v>2</v>
      </c>
      <c r="G16" s="8">
        <v>0.666666666666667</v>
      </c>
      <c r="H16" s="8">
        <v>0.875</v>
      </c>
      <c r="I16" s="8">
        <v>0.666666666666667</v>
      </c>
      <c r="J16" s="8">
        <v>0.875</v>
      </c>
      <c r="K16" s="7" t="s">
        <v>23</v>
      </c>
      <c r="L16" s="7" t="s">
        <v>23</v>
      </c>
      <c r="M16" s="7" t="s">
        <v>23</v>
      </c>
      <c r="N16" s="7" t="s">
        <v>23</v>
      </c>
      <c r="O16" s="8">
        <v>0.666666666666667</v>
      </c>
      <c r="P16" s="8">
        <v>0.875</v>
      </c>
      <c r="Q16" s="8">
        <v>0.458333333333333</v>
      </c>
      <c r="R16" s="8">
        <v>0.666666666666667</v>
      </c>
      <c r="S16" s="8">
        <v>0.458333333333333</v>
      </c>
      <c r="T16" s="8">
        <v>0.666666666666667</v>
      </c>
    </row>
    <row r="17" customHeight="1" spans="1:20">
      <c r="A17" s="7">
        <v>10317520</v>
      </c>
      <c r="B17" s="8" t="s">
        <v>37</v>
      </c>
      <c r="C17" s="7" t="s">
        <v>20</v>
      </c>
      <c r="D17" s="7" t="s">
        <v>21</v>
      </c>
      <c r="E17" s="8" t="s">
        <v>22</v>
      </c>
      <c r="F17" s="9">
        <v>2</v>
      </c>
      <c r="G17" s="7" t="s">
        <v>23</v>
      </c>
      <c r="H17" s="7" t="s">
        <v>23</v>
      </c>
      <c r="I17" s="8">
        <v>0.333333333333333</v>
      </c>
      <c r="J17" s="8">
        <v>0.75</v>
      </c>
      <c r="K17" s="8">
        <v>0.333333333333333</v>
      </c>
      <c r="L17" s="8">
        <v>0.75</v>
      </c>
      <c r="M17" s="8">
        <v>0.333333333333333</v>
      </c>
      <c r="N17" s="8">
        <v>0.75</v>
      </c>
      <c r="O17" s="8">
        <v>0.333333333333333</v>
      </c>
      <c r="P17" s="8">
        <v>0.75</v>
      </c>
      <c r="Q17" s="8">
        <v>0.416666666666667</v>
      </c>
      <c r="R17" s="8">
        <v>0.625</v>
      </c>
      <c r="S17" s="7" t="s">
        <v>23</v>
      </c>
      <c r="T17" s="7" t="s">
        <v>23</v>
      </c>
    </row>
    <row r="18" customHeight="1" spans="1:20">
      <c r="A18" s="7">
        <v>10320414</v>
      </c>
      <c r="B18" s="8" t="s">
        <v>62</v>
      </c>
      <c r="C18" s="7" t="s">
        <v>20</v>
      </c>
      <c r="D18" s="7" t="s">
        <v>21</v>
      </c>
      <c r="E18" s="8" t="s">
        <v>22</v>
      </c>
      <c r="F18" s="9">
        <v>3</v>
      </c>
      <c r="G18" s="7" t="s">
        <v>23</v>
      </c>
      <c r="H18" s="7" t="s">
        <v>23</v>
      </c>
      <c r="I18" s="8">
        <v>0.375</v>
      </c>
      <c r="J18" s="8">
        <v>0.791666666666667</v>
      </c>
      <c r="K18" s="8">
        <v>0.375</v>
      </c>
      <c r="L18" s="8">
        <v>0.791666666666667</v>
      </c>
      <c r="M18" s="8">
        <v>0.375</v>
      </c>
      <c r="N18" s="8">
        <v>0.791666666666667</v>
      </c>
      <c r="O18" s="8">
        <v>0.375</v>
      </c>
      <c r="P18" s="8">
        <v>0.791666666666667</v>
      </c>
      <c r="Q18" s="8">
        <v>0.458333333333333</v>
      </c>
      <c r="R18" s="8">
        <v>0.666666666666667</v>
      </c>
      <c r="S18" s="7" t="s">
        <v>23</v>
      </c>
      <c r="T18" s="7" t="s">
        <v>23</v>
      </c>
    </row>
    <row r="19" customHeight="1" spans="1:20">
      <c r="A19" s="7">
        <v>10316681</v>
      </c>
      <c r="B19" s="8" t="s">
        <v>38</v>
      </c>
      <c r="C19" s="7" t="s">
        <v>89</v>
      </c>
      <c r="D19" s="7" t="s">
        <v>21</v>
      </c>
      <c r="E19" s="8" t="s">
        <v>22</v>
      </c>
      <c r="F19" s="9">
        <v>1</v>
      </c>
      <c r="G19" s="8">
        <v>0.375</v>
      </c>
      <c r="H19" s="8">
        <v>0.75</v>
      </c>
      <c r="I19" s="8">
        <v>0.375</v>
      </c>
      <c r="J19" s="8">
        <v>0.75</v>
      </c>
      <c r="K19" s="8">
        <v>0.375</v>
      </c>
      <c r="L19" s="8">
        <v>0.75</v>
      </c>
      <c r="M19" s="8">
        <v>0.375</v>
      </c>
      <c r="N19" s="8">
        <v>0.75</v>
      </c>
      <c r="O19" s="8">
        <v>0.375</v>
      </c>
      <c r="P19" s="8">
        <v>0.75</v>
      </c>
      <c r="Q19" s="7" t="s">
        <v>23</v>
      </c>
      <c r="R19" s="7" t="s">
        <v>23</v>
      </c>
      <c r="S19" s="7" t="s">
        <v>23</v>
      </c>
      <c r="T19" s="7" t="s">
        <v>23</v>
      </c>
    </row>
    <row r="20" customHeight="1" spans="1:20">
      <c r="A20" s="7">
        <v>10316650</v>
      </c>
      <c r="B20" s="8" t="s">
        <v>39</v>
      </c>
      <c r="C20" s="7" t="s">
        <v>20</v>
      </c>
      <c r="D20" s="7" t="s">
        <v>21</v>
      </c>
      <c r="E20" s="8" t="s">
        <v>22</v>
      </c>
      <c r="F20" s="9">
        <v>2</v>
      </c>
      <c r="G20" s="8">
        <v>0.375</v>
      </c>
      <c r="H20" s="8">
        <v>0.791666666666667</v>
      </c>
      <c r="I20" s="8">
        <v>0.375</v>
      </c>
      <c r="J20" s="8">
        <v>0.791666666666667</v>
      </c>
      <c r="K20" s="8">
        <v>0.375</v>
      </c>
      <c r="L20" s="8">
        <v>0.791666666666667</v>
      </c>
      <c r="M20" s="8">
        <v>0.375</v>
      </c>
      <c r="N20" s="8">
        <v>0.791666666666667</v>
      </c>
      <c r="O20" s="7" t="s">
        <v>23</v>
      </c>
      <c r="P20" s="7" t="s">
        <v>23</v>
      </c>
      <c r="Q20" s="7" t="s">
        <v>23</v>
      </c>
      <c r="R20" s="7" t="s">
        <v>23</v>
      </c>
      <c r="S20" s="8">
        <v>0.458333333333333</v>
      </c>
      <c r="T20" s="8">
        <v>0.666666666666667</v>
      </c>
    </row>
    <row r="21" customHeight="1" spans="1:20">
      <c r="A21" s="7">
        <v>10320416</v>
      </c>
      <c r="B21" s="8" t="s">
        <v>66</v>
      </c>
      <c r="C21" s="7" t="s">
        <v>20</v>
      </c>
      <c r="D21" s="7" t="s">
        <v>21</v>
      </c>
      <c r="E21" s="8" t="s">
        <v>22</v>
      </c>
      <c r="F21" s="9">
        <v>3</v>
      </c>
      <c r="G21" s="8">
        <v>0.5</v>
      </c>
      <c r="H21" s="8">
        <v>0.875</v>
      </c>
      <c r="I21" s="8">
        <v>0.5</v>
      </c>
      <c r="J21" s="8">
        <v>0.875</v>
      </c>
      <c r="K21" s="8">
        <v>0.5</v>
      </c>
      <c r="L21" s="8">
        <v>0.875</v>
      </c>
      <c r="M21" s="8">
        <v>0.5</v>
      </c>
      <c r="N21" s="8">
        <v>0.875</v>
      </c>
      <c r="O21" s="8">
        <v>0.5</v>
      </c>
      <c r="P21" s="8">
        <v>0.875</v>
      </c>
      <c r="Q21" s="7" t="s">
        <v>23</v>
      </c>
      <c r="R21" s="7" t="s">
        <v>23</v>
      </c>
      <c r="S21" s="7" t="s">
        <v>23</v>
      </c>
      <c r="T21" s="7" t="s">
        <v>23</v>
      </c>
    </row>
    <row r="22" customHeight="1" spans="1:20">
      <c r="A22" s="7">
        <v>10316530</v>
      </c>
      <c r="B22" s="8" t="s">
        <v>26</v>
      </c>
      <c r="C22" s="7" t="s">
        <v>20</v>
      </c>
      <c r="D22" s="7" t="s">
        <v>21</v>
      </c>
      <c r="E22" s="8" t="s">
        <v>22</v>
      </c>
      <c r="F22" s="9">
        <v>1</v>
      </c>
      <c r="G22" s="7" t="s">
        <v>36</v>
      </c>
      <c r="H22" s="7" t="s">
        <v>36</v>
      </c>
      <c r="I22" s="7" t="s">
        <v>91</v>
      </c>
      <c r="J22" s="7" t="s">
        <v>91</v>
      </c>
      <c r="K22" s="7" t="s">
        <v>36</v>
      </c>
      <c r="L22" s="7" t="s">
        <v>36</v>
      </c>
      <c r="M22" s="8">
        <v>0.5</v>
      </c>
      <c r="N22" s="8">
        <v>0.875</v>
      </c>
      <c r="O22" s="8">
        <v>0.5</v>
      </c>
      <c r="P22" s="8">
        <v>0.875</v>
      </c>
      <c r="Q22" s="7" t="s">
        <v>23</v>
      </c>
      <c r="R22" s="7" t="s">
        <v>23</v>
      </c>
      <c r="S22" s="7" t="s">
        <v>23</v>
      </c>
      <c r="T22" s="7" t="s">
        <v>23</v>
      </c>
    </row>
    <row r="23" customHeight="1" spans="1:20">
      <c r="A23" s="7">
        <v>10316680</v>
      </c>
      <c r="B23" s="8" t="s">
        <v>40</v>
      </c>
      <c r="C23" s="7" t="s">
        <v>20</v>
      </c>
      <c r="D23" s="7" t="s">
        <v>21</v>
      </c>
      <c r="E23" s="8" t="s">
        <v>22</v>
      </c>
      <c r="F23" s="9">
        <v>1</v>
      </c>
      <c r="G23" s="8">
        <v>0.5</v>
      </c>
      <c r="H23" s="8">
        <v>0.875</v>
      </c>
      <c r="I23" s="8">
        <v>0.5</v>
      </c>
      <c r="J23" s="8">
        <v>0.875</v>
      </c>
      <c r="K23" s="8">
        <v>0.5</v>
      </c>
      <c r="L23" s="8">
        <v>0.875</v>
      </c>
      <c r="M23" s="8">
        <v>0.5</v>
      </c>
      <c r="N23" s="8">
        <v>0.875</v>
      </c>
      <c r="O23" s="8">
        <v>0.5</v>
      </c>
      <c r="P23" s="8">
        <v>0.875</v>
      </c>
      <c r="Q23" s="7" t="s">
        <v>23</v>
      </c>
      <c r="R23" s="7" t="s">
        <v>23</v>
      </c>
      <c r="S23" s="7" t="s">
        <v>23</v>
      </c>
      <c r="T23" s="7" t="s">
        <v>23</v>
      </c>
    </row>
    <row r="24" customHeight="1" spans="1:20">
      <c r="A24" s="7">
        <v>10317943</v>
      </c>
      <c r="B24" s="8" t="s">
        <v>27</v>
      </c>
      <c r="C24" s="7" t="s">
        <v>20</v>
      </c>
      <c r="D24" s="7" t="s">
        <v>21</v>
      </c>
      <c r="E24" s="8" t="s">
        <v>22</v>
      </c>
      <c r="F24" s="9">
        <v>2</v>
      </c>
      <c r="G24" s="8">
        <v>0.458333333333333</v>
      </c>
      <c r="H24" s="8">
        <v>0.875</v>
      </c>
      <c r="I24" s="8">
        <v>0.458333333333333</v>
      </c>
      <c r="J24" s="8">
        <v>0.875</v>
      </c>
      <c r="K24" s="8">
        <v>0.458333333333333</v>
      </c>
      <c r="L24" s="8">
        <v>0.875</v>
      </c>
      <c r="M24" s="8">
        <v>0.458333333333333</v>
      </c>
      <c r="N24" s="8">
        <v>0.875</v>
      </c>
      <c r="O24" s="7" t="s">
        <v>23</v>
      </c>
      <c r="P24" s="7" t="s">
        <v>23</v>
      </c>
      <c r="Q24" s="7" t="s">
        <v>23</v>
      </c>
      <c r="R24" s="7" t="s">
        <v>23</v>
      </c>
      <c r="S24" s="8">
        <v>0.458333333333333</v>
      </c>
      <c r="T24" s="8">
        <v>0.666666666666667</v>
      </c>
    </row>
    <row r="25" customHeight="1" spans="1:20">
      <c r="A25" s="7">
        <v>10250966</v>
      </c>
      <c r="B25" s="8" t="s">
        <v>61</v>
      </c>
      <c r="C25" s="7" t="s">
        <v>20</v>
      </c>
      <c r="D25" s="7" t="s">
        <v>21</v>
      </c>
      <c r="E25" s="8" t="s">
        <v>22</v>
      </c>
      <c r="F25" s="9">
        <v>3</v>
      </c>
      <c r="G25" s="8">
        <v>0.458333333333333</v>
      </c>
      <c r="H25" s="8">
        <v>0.875</v>
      </c>
      <c r="I25" s="8">
        <v>0.458333333333333</v>
      </c>
      <c r="J25" s="8">
        <v>0.875</v>
      </c>
      <c r="K25" s="8">
        <v>0.458333333333333</v>
      </c>
      <c r="L25" s="8">
        <v>0.875</v>
      </c>
      <c r="M25" s="8">
        <v>0.458333333333333</v>
      </c>
      <c r="N25" s="8">
        <v>0.875</v>
      </c>
      <c r="O25" s="7" t="s">
        <v>23</v>
      </c>
      <c r="P25" s="7" t="s">
        <v>23</v>
      </c>
      <c r="Q25" s="7" t="s">
        <v>23</v>
      </c>
      <c r="R25" s="7" t="s">
        <v>23</v>
      </c>
      <c r="S25" s="8">
        <v>0.458333333333333</v>
      </c>
      <c r="T25" s="8">
        <v>0.666666666666667</v>
      </c>
    </row>
    <row r="26" customHeight="1" spans="1:20">
      <c r="A26" s="7">
        <v>10316543</v>
      </c>
      <c r="B26" s="8" t="s">
        <v>41</v>
      </c>
      <c r="C26" s="7" t="s">
        <v>20</v>
      </c>
      <c r="D26" s="7" t="s">
        <v>21</v>
      </c>
      <c r="E26" s="8" t="s">
        <v>22</v>
      </c>
      <c r="F26" s="9">
        <v>1</v>
      </c>
      <c r="G26" s="8">
        <v>0.458333333333333</v>
      </c>
      <c r="H26" s="8">
        <v>0.875</v>
      </c>
      <c r="I26" s="8">
        <v>0.458333333333333</v>
      </c>
      <c r="J26" s="8">
        <v>0.875</v>
      </c>
      <c r="K26" s="8">
        <v>0.458333333333333</v>
      </c>
      <c r="L26" s="8">
        <v>0.875</v>
      </c>
      <c r="M26" s="8">
        <v>0.458333333333333</v>
      </c>
      <c r="N26" s="8">
        <v>0.875</v>
      </c>
      <c r="O26" s="7" t="s">
        <v>23</v>
      </c>
      <c r="P26" s="7" t="s">
        <v>23</v>
      </c>
      <c r="Q26" s="7" t="s">
        <v>23</v>
      </c>
      <c r="R26" s="7" t="s">
        <v>23</v>
      </c>
      <c r="S26" s="8">
        <v>0.458333333333333</v>
      </c>
      <c r="T26" s="8">
        <v>0.666666666666667</v>
      </c>
    </row>
    <row r="27" customHeight="1" spans="1:20">
      <c r="A27" s="7">
        <v>10317521</v>
      </c>
      <c r="B27" s="8" t="s">
        <v>28</v>
      </c>
      <c r="C27" s="7" t="s">
        <v>20</v>
      </c>
      <c r="D27" s="7" t="s">
        <v>21</v>
      </c>
      <c r="E27" s="8" t="s">
        <v>22</v>
      </c>
      <c r="F27" s="9">
        <v>2</v>
      </c>
      <c r="G27" s="7" t="s">
        <v>23</v>
      </c>
      <c r="H27" s="7" t="s">
        <v>23</v>
      </c>
      <c r="I27" s="8">
        <v>0.333333333333333</v>
      </c>
      <c r="J27" s="8">
        <v>0.75</v>
      </c>
      <c r="K27" s="8">
        <v>0.333333333333333</v>
      </c>
      <c r="L27" s="8">
        <v>0.75</v>
      </c>
      <c r="M27" s="8">
        <v>0.333333333333333</v>
      </c>
      <c r="N27" s="8">
        <v>0.75</v>
      </c>
      <c r="O27" s="8">
        <v>0.333333333333333</v>
      </c>
      <c r="P27" s="8">
        <v>0.75</v>
      </c>
      <c r="Q27" s="8">
        <v>0.416666666666667</v>
      </c>
      <c r="R27" s="8">
        <v>0.625</v>
      </c>
      <c r="S27" s="7" t="s">
        <v>23</v>
      </c>
      <c r="T27" s="7" t="s">
        <v>23</v>
      </c>
    </row>
    <row r="28" customHeight="1" spans="1:20">
      <c r="A28" s="7">
        <v>10317517</v>
      </c>
      <c r="B28" s="8" t="s">
        <v>29</v>
      </c>
      <c r="C28" s="7" t="s">
        <v>20</v>
      </c>
      <c r="D28" s="7" t="s">
        <v>21</v>
      </c>
      <c r="E28" s="8" t="s">
        <v>22</v>
      </c>
      <c r="F28" s="9">
        <v>2</v>
      </c>
      <c r="G28" s="8">
        <v>0.375</v>
      </c>
      <c r="H28" s="8">
        <v>0.75</v>
      </c>
      <c r="I28" s="7" t="s">
        <v>91</v>
      </c>
      <c r="J28" s="7" t="s">
        <v>91</v>
      </c>
      <c r="K28" s="7" t="s">
        <v>36</v>
      </c>
      <c r="L28" s="7" t="s">
        <v>36</v>
      </c>
      <c r="M28" s="8">
        <v>0.375</v>
      </c>
      <c r="N28" s="8">
        <v>0.75</v>
      </c>
      <c r="O28" s="8">
        <v>0.375</v>
      </c>
      <c r="P28" s="8">
        <v>0.75</v>
      </c>
      <c r="Q28" s="7" t="s">
        <v>23</v>
      </c>
      <c r="R28" s="7" t="s">
        <v>23</v>
      </c>
      <c r="S28" s="7" t="s">
        <v>23</v>
      </c>
      <c r="T28" s="7" t="s">
        <v>23</v>
      </c>
    </row>
    <row r="29" customHeight="1" spans="1:20">
      <c r="A29" s="7">
        <v>10252106</v>
      </c>
      <c r="B29" s="8" t="s">
        <v>43</v>
      </c>
      <c r="C29" s="7" t="s">
        <v>20</v>
      </c>
      <c r="D29" s="7" t="s">
        <v>21</v>
      </c>
      <c r="E29" s="8" t="s">
        <v>22</v>
      </c>
      <c r="F29" s="9">
        <v>2</v>
      </c>
      <c r="G29" s="8">
        <v>0.375</v>
      </c>
      <c r="H29" s="8">
        <v>0.75</v>
      </c>
      <c r="I29" s="7" t="s">
        <v>23</v>
      </c>
      <c r="J29" s="7" t="s">
        <v>23</v>
      </c>
      <c r="K29" s="7" t="s">
        <v>23</v>
      </c>
      <c r="L29" s="7" t="s">
        <v>23</v>
      </c>
      <c r="M29" s="8">
        <v>0.375</v>
      </c>
      <c r="N29" s="8">
        <v>0.75</v>
      </c>
      <c r="O29" s="7" t="s">
        <v>36</v>
      </c>
      <c r="P29" s="7" t="s">
        <v>36</v>
      </c>
      <c r="Q29" s="7" t="s">
        <v>36</v>
      </c>
      <c r="R29" s="7" t="s">
        <v>36</v>
      </c>
      <c r="S29" s="8">
        <v>0.458333333333333</v>
      </c>
      <c r="T29" s="8">
        <v>0.666666666666667</v>
      </c>
    </row>
    <row r="30" customHeight="1" spans="1:20">
      <c r="A30" s="7">
        <v>10320407</v>
      </c>
      <c r="B30" s="8" t="s">
        <v>55</v>
      </c>
      <c r="C30" s="7" t="s">
        <v>20</v>
      </c>
      <c r="D30" s="7" t="s">
        <v>21</v>
      </c>
      <c r="E30" s="8" t="s">
        <v>22</v>
      </c>
      <c r="F30" s="9">
        <v>3</v>
      </c>
      <c r="G30" s="7" t="s">
        <v>23</v>
      </c>
      <c r="H30" s="7" t="s">
        <v>23</v>
      </c>
      <c r="I30" s="7" t="s">
        <v>91</v>
      </c>
      <c r="J30" s="7" t="s">
        <v>91</v>
      </c>
      <c r="K30" s="8">
        <v>0.375</v>
      </c>
      <c r="L30" s="8">
        <v>0.791666666666667</v>
      </c>
      <c r="M30" s="8">
        <v>0.375</v>
      </c>
      <c r="N30" s="8">
        <v>0.791666666666667</v>
      </c>
      <c r="O30" s="8">
        <v>0.375</v>
      </c>
      <c r="P30" s="8">
        <v>0.791666666666667</v>
      </c>
      <c r="Q30" s="8">
        <v>0.458333333333333</v>
      </c>
      <c r="R30" s="8">
        <v>0.666666666666667</v>
      </c>
      <c r="S30" s="7" t="s">
        <v>23</v>
      </c>
      <c r="T30" s="7" t="s">
        <v>23</v>
      </c>
    </row>
    <row r="31" customHeight="1" spans="1:20">
      <c r="A31" s="7">
        <v>10320417</v>
      </c>
      <c r="B31" s="8" t="s">
        <v>67</v>
      </c>
      <c r="C31" s="7" t="s">
        <v>20</v>
      </c>
      <c r="D31" s="7" t="s">
        <v>21</v>
      </c>
      <c r="E31" s="8" t="s">
        <v>22</v>
      </c>
      <c r="F31" s="9">
        <v>3</v>
      </c>
      <c r="G31" s="8">
        <v>0.375</v>
      </c>
      <c r="H31" s="8">
        <v>0.791666666666667</v>
      </c>
      <c r="I31" s="7" t="s">
        <v>91</v>
      </c>
      <c r="J31" s="7" t="s">
        <v>91</v>
      </c>
      <c r="K31" s="8">
        <v>0.375</v>
      </c>
      <c r="L31" s="8">
        <v>0.791666666666667</v>
      </c>
      <c r="M31" s="8">
        <v>0.375</v>
      </c>
      <c r="N31" s="8">
        <v>0.791666666666667</v>
      </c>
      <c r="O31" s="7" t="s">
        <v>23</v>
      </c>
      <c r="P31" s="7" t="s">
        <v>23</v>
      </c>
      <c r="Q31" s="7" t="s">
        <v>23</v>
      </c>
      <c r="R31" s="7" t="s">
        <v>23</v>
      </c>
      <c r="S31" s="8">
        <v>0.458333333333333</v>
      </c>
      <c r="T31" s="8">
        <v>0.666666666666667</v>
      </c>
    </row>
    <row r="32" customHeight="1" spans="1:20">
      <c r="A32" s="7">
        <v>10317154</v>
      </c>
      <c r="B32" s="8" t="s">
        <v>70</v>
      </c>
      <c r="C32" s="7" t="s">
        <v>20</v>
      </c>
      <c r="D32" s="7" t="s">
        <v>21</v>
      </c>
      <c r="E32" s="8" t="s">
        <v>22</v>
      </c>
      <c r="F32" s="9">
        <v>3</v>
      </c>
      <c r="G32" s="8">
        <v>0.333333333333333</v>
      </c>
      <c r="H32" s="8">
        <v>0.75</v>
      </c>
      <c r="I32" s="8">
        <v>0.333333333333333</v>
      </c>
      <c r="J32" s="8">
        <v>0.75</v>
      </c>
      <c r="K32" s="8">
        <v>0.333333333333333</v>
      </c>
      <c r="L32" s="8">
        <v>0.75</v>
      </c>
      <c r="M32" s="8">
        <v>0.333333333333333</v>
      </c>
      <c r="N32" s="8">
        <v>0.75</v>
      </c>
      <c r="O32" s="7" t="s">
        <v>23</v>
      </c>
      <c r="P32" s="7" t="s">
        <v>23</v>
      </c>
      <c r="Q32" s="7" t="s">
        <v>23</v>
      </c>
      <c r="R32" s="7" t="s">
        <v>23</v>
      </c>
      <c r="S32" s="8">
        <v>0.416666666666667</v>
      </c>
      <c r="T32" s="8">
        <v>0.625</v>
      </c>
    </row>
    <row r="33" customHeight="1" spans="1:20">
      <c r="A33" s="7">
        <v>10320436</v>
      </c>
      <c r="B33" s="8" t="s">
        <v>90</v>
      </c>
      <c r="C33" s="7" t="s">
        <v>20</v>
      </c>
      <c r="D33" s="7" t="s">
        <v>21</v>
      </c>
      <c r="E33" s="8" t="s">
        <v>22</v>
      </c>
      <c r="F33" s="9">
        <v>3</v>
      </c>
      <c r="G33" s="8">
        <v>0.375</v>
      </c>
      <c r="H33" s="8">
        <v>0.791666666666667</v>
      </c>
      <c r="I33" s="8">
        <v>0.375</v>
      </c>
      <c r="J33" s="8">
        <v>0.791666666666667</v>
      </c>
      <c r="K33" s="8">
        <v>0.375</v>
      </c>
      <c r="L33" s="8">
        <v>0.791666666666667</v>
      </c>
      <c r="M33" s="8">
        <v>0.375</v>
      </c>
      <c r="N33" s="8">
        <v>0.791666666666667</v>
      </c>
      <c r="O33" s="7" t="s">
        <v>23</v>
      </c>
      <c r="P33" s="7" t="s">
        <v>23</v>
      </c>
      <c r="Q33" s="7" t="s">
        <v>23</v>
      </c>
      <c r="R33" s="7" t="s">
        <v>23</v>
      </c>
      <c r="S33" s="8">
        <v>0.458333333333333</v>
      </c>
      <c r="T33" s="8">
        <v>0.666666666666667</v>
      </c>
    </row>
    <row r="34" customHeight="1" spans="1:20">
      <c r="A34" s="7">
        <v>10316538</v>
      </c>
      <c r="B34" s="8" t="s">
        <v>44</v>
      </c>
      <c r="C34" s="7" t="s">
        <v>20</v>
      </c>
      <c r="D34" s="7" t="s">
        <v>21</v>
      </c>
      <c r="E34" s="8" t="s">
        <v>22</v>
      </c>
      <c r="F34" s="9">
        <v>1</v>
      </c>
      <c r="G34" s="8">
        <v>0.5</v>
      </c>
      <c r="H34" s="8">
        <v>0.875</v>
      </c>
      <c r="I34" s="8">
        <v>0.5</v>
      </c>
      <c r="J34" s="8">
        <v>0.875</v>
      </c>
      <c r="K34" s="7" t="s">
        <v>23</v>
      </c>
      <c r="L34" s="7" t="s">
        <v>23</v>
      </c>
      <c r="M34" s="7" t="s">
        <v>23</v>
      </c>
      <c r="N34" s="7" t="s">
        <v>23</v>
      </c>
      <c r="O34" s="8">
        <v>0.5</v>
      </c>
      <c r="P34" s="8">
        <v>0.875</v>
      </c>
      <c r="Q34" s="8">
        <v>0.458333333333333</v>
      </c>
      <c r="R34" s="8">
        <v>0.666666666666667</v>
      </c>
      <c r="S34" s="8">
        <v>0.458333333333333</v>
      </c>
      <c r="T34" s="8">
        <v>0.666666666666667</v>
      </c>
    </row>
    <row r="35" customHeight="1" spans="1:20">
      <c r="A35" s="7">
        <v>10293607</v>
      </c>
      <c r="B35" s="8" t="s">
        <v>65</v>
      </c>
      <c r="C35" s="7" t="s">
        <v>20</v>
      </c>
      <c r="D35" s="7" t="s">
        <v>21</v>
      </c>
      <c r="E35" s="8" t="s">
        <v>22</v>
      </c>
      <c r="F35" s="9">
        <v>3</v>
      </c>
      <c r="G35" s="8">
        <v>0.458333333333333</v>
      </c>
      <c r="H35" s="8">
        <v>0.875</v>
      </c>
      <c r="I35" s="8">
        <v>0.458333333333333</v>
      </c>
      <c r="J35" s="8">
        <v>0.875</v>
      </c>
      <c r="K35" s="8">
        <v>0.458333333333333</v>
      </c>
      <c r="L35" s="8">
        <v>0.875</v>
      </c>
      <c r="M35" s="8">
        <v>0.458333333333333</v>
      </c>
      <c r="N35" s="8">
        <v>0.875</v>
      </c>
      <c r="O35" s="7" t="s">
        <v>23</v>
      </c>
      <c r="P35" s="7" t="s">
        <v>23</v>
      </c>
      <c r="Q35" s="7" t="s">
        <v>23</v>
      </c>
      <c r="R35" s="7" t="s">
        <v>23</v>
      </c>
      <c r="S35" s="8">
        <v>0.458333333333333</v>
      </c>
      <c r="T35" s="8">
        <v>0.666666666666667</v>
      </c>
    </row>
    <row r="36" customHeight="1" spans="1:20">
      <c r="A36" s="7">
        <v>10316545</v>
      </c>
      <c r="B36" s="8" t="s">
        <v>45</v>
      </c>
      <c r="C36" s="7" t="s">
        <v>20</v>
      </c>
      <c r="D36" s="7" t="s">
        <v>21</v>
      </c>
      <c r="E36" s="8" t="s">
        <v>22</v>
      </c>
      <c r="F36" s="9">
        <v>1</v>
      </c>
      <c r="G36" s="8">
        <v>0.375</v>
      </c>
      <c r="H36" s="8">
        <v>0.75</v>
      </c>
      <c r="I36" s="8">
        <v>0.375</v>
      </c>
      <c r="J36" s="8">
        <v>0.75</v>
      </c>
      <c r="K36" s="8">
        <v>0.375</v>
      </c>
      <c r="L36" s="8">
        <v>0.75</v>
      </c>
      <c r="M36" s="8">
        <v>0.375</v>
      </c>
      <c r="N36" s="8">
        <v>0.75</v>
      </c>
      <c r="O36" s="8">
        <v>0.375</v>
      </c>
      <c r="P36" s="8">
        <v>0.75</v>
      </c>
      <c r="Q36" s="7" t="s">
        <v>23</v>
      </c>
      <c r="R36" s="7" t="s">
        <v>23</v>
      </c>
      <c r="S36" s="7" t="s">
        <v>23</v>
      </c>
      <c r="T36" s="7" t="s">
        <v>23</v>
      </c>
    </row>
    <row r="37" customHeight="1" spans="1:20">
      <c r="A37" s="7">
        <v>10316572</v>
      </c>
      <c r="B37" s="8" t="s">
        <v>46</v>
      </c>
      <c r="C37" s="7" t="s">
        <v>20</v>
      </c>
      <c r="D37" s="7" t="s">
        <v>21</v>
      </c>
      <c r="E37" s="8" t="s">
        <v>22</v>
      </c>
      <c r="F37" s="9">
        <v>2</v>
      </c>
      <c r="G37" s="8">
        <v>0.333333333333333</v>
      </c>
      <c r="H37" s="8">
        <v>0.75</v>
      </c>
      <c r="I37" s="8">
        <v>0.375</v>
      </c>
      <c r="J37" s="8">
        <v>0.791666666666667</v>
      </c>
      <c r="K37" s="8">
        <v>0.375</v>
      </c>
      <c r="L37" s="8">
        <v>0.791666666666667</v>
      </c>
      <c r="M37" s="8">
        <v>0.375</v>
      </c>
      <c r="N37" s="8">
        <v>0.791666666666667</v>
      </c>
      <c r="O37" s="7" t="s">
        <v>23</v>
      </c>
      <c r="P37" s="7" t="s">
        <v>23</v>
      </c>
      <c r="Q37" s="7" t="s">
        <v>23</v>
      </c>
      <c r="R37" s="7" t="s">
        <v>23</v>
      </c>
      <c r="S37" s="8">
        <v>0.416666666666667</v>
      </c>
      <c r="T37" s="8">
        <v>0.625</v>
      </c>
    </row>
    <row r="38" customHeight="1" spans="1:20">
      <c r="A38" s="7">
        <v>10316685</v>
      </c>
      <c r="B38" s="8" t="s">
        <v>47</v>
      </c>
      <c r="C38" s="7" t="s">
        <v>89</v>
      </c>
      <c r="D38" s="7" t="s">
        <v>21</v>
      </c>
      <c r="E38" s="8" t="s">
        <v>22</v>
      </c>
      <c r="F38" s="9">
        <v>1</v>
      </c>
      <c r="G38" s="8">
        <v>0.5</v>
      </c>
      <c r="H38" s="8">
        <v>0.875</v>
      </c>
      <c r="I38" s="8">
        <v>0.5</v>
      </c>
      <c r="J38" s="8">
        <v>0.875</v>
      </c>
      <c r="K38" s="8">
        <v>0.5</v>
      </c>
      <c r="L38" s="8">
        <v>0.875</v>
      </c>
      <c r="M38" s="8">
        <v>0.5</v>
      </c>
      <c r="N38" s="8">
        <v>0.875</v>
      </c>
      <c r="O38" s="8">
        <v>0.5</v>
      </c>
      <c r="P38" s="8">
        <v>0.875</v>
      </c>
      <c r="Q38" s="7" t="s">
        <v>23</v>
      </c>
      <c r="R38" s="7" t="s">
        <v>23</v>
      </c>
      <c r="S38" s="7" t="s">
        <v>23</v>
      </c>
      <c r="T38" s="7" t="s">
        <v>23</v>
      </c>
    </row>
    <row r="39" customHeight="1" spans="1:20">
      <c r="A39" s="7">
        <v>10274446</v>
      </c>
      <c r="B39" s="8" t="s">
        <v>88</v>
      </c>
      <c r="C39" s="7" t="s">
        <v>20</v>
      </c>
      <c r="D39" s="7" t="s">
        <v>21</v>
      </c>
      <c r="E39" s="8" t="s">
        <v>22</v>
      </c>
      <c r="F39" s="9">
        <v>2</v>
      </c>
      <c r="G39" s="8">
        <v>0.375</v>
      </c>
      <c r="H39" s="8">
        <v>0.75</v>
      </c>
      <c r="I39" s="8">
        <v>0.375</v>
      </c>
      <c r="J39" s="8">
        <v>0.75</v>
      </c>
      <c r="K39" s="7" t="s">
        <v>23</v>
      </c>
      <c r="L39" s="7" t="s">
        <v>23</v>
      </c>
      <c r="M39" s="7" t="s">
        <v>23</v>
      </c>
      <c r="N39" s="7" t="s">
        <v>23</v>
      </c>
      <c r="O39" s="8">
        <v>0.375</v>
      </c>
      <c r="P39" s="8">
        <v>0.75</v>
      </c>
      <c r="Q39" s="8">
        <v>0.458333333333333</v>
      </c>
      <c r="R39" s="8">
        <v>0.666666666666667</v>
      </c>
      <c r="S39" s="8">
        <v>0.458333333333333</v>
      </c>
      <c r="T39" s="8">
        <v>0.666666666666667</v>
      </c>
    </row>
    <row r="40" customHeight="1" spans="1:20">
      <c r="A40" s="7">
        <v>10276839</v>
      </c>
      <c r="B40" s="8" t="s">
        <v>54</v>
      </c>
      <c r="C40" s="7" t="s">
        <v>20</v>
      </c>
      <c r="D40" s="7" t="s">
        <v>21</v>
      </c>
      <c r="E40" s="8" t="s">
        <v>22</v>
      </c>
      <c r="F40" s="9">
        <v>2</v>
      </c>
      <c r="G40" s="8">
        <v>0.458333333333333</v>
      </c>
      <c r="H40" s="8">
        <v>0.875</v>
      </c>
      <c r="I40" s="8">
        <v>0.458333333333333</v>
      </c>
      <c r="J40" s="8">
        <v>0.875</v>
      </c>
      <c r="K40" s="8">
        <v>0.458333333333333</v>
      </c>
      <c r="L40" s="8">
        <v>0.875</v>
      </c>
      <c r="M40" s="8">
        <v>0.458333333333333</v>
      </c>
      <c r="N40" s="8">
        <v>0.875</v>
      </c>
      <c r="O40" s="7" t="s">
        <v>23</v>
      </c>
      <c r="P40" s="7" t="s">
        <v>23</v>
      </c>
      <c r="Q40" s="7" t="s">
        <v>23</v>
      </c>
      <c r="R40" s="7" t="s">
        <v>23</v>
      </c>
      <c r="S40" s="8">
        <v>0.458333333333333</v>
      </c>
      <c r="T40" s="8">
        <v>0.666666666666667</v>
      </c>
    </row>
    <row r="41" customHeight="1" spans="1:20">
      <c r="A41" s="7">
        <v>10320419</v>
      </c>
      <c r="B41" s="8" t="s">
        <v>69</v>
      </c>
      <c r="C41" s="7" t="s">
        <v>20</v>
      </c>
      <c r="D41" s="7" t="s">
        <v>21</v>
      </c>
      <c r="E41" s="8" t="s">
        <v>22</v>
      </c>
      <c r="F41" s="9">
        <v>3</v>
      </c>
      <c r="G41" s="7" t="s">
        <v>23</v>
      </c>
      <c r="H41" s="7" t="s">
        <v>23</v>
      </c>
      <c r="I41" s="8">
        <v>0.375</v>
      </c>
      <c r="J41" s="8">
        <v>0.791666666666667</v>
      </c>
      <c r="K41" s="8">
        <v>0.375</v>
      </c>
      <c r="L41" s="8">
        <v>0.791666666666667</v>
      </c>
      <c r="M41" s="8">
        <v>0.375</v>
      </c>
      <c r="N41" s="8">
        <v>0.791666666666667</v>
      </c>
      <c r="O41" s="8">
        <v>0.375</v>
      </c>
      <c r="P41" s="8">
        <v>0.791666666666667</v>
      </c>
      <c r="Q41" s="8">
        <v>0.458333333333333</v>
      </c>
      <c r="R41" s="8">
        <v>0.666666666666667</v>
      </c>
      <c r="S41" s="7" t="s">
        <v>23</v>
      </c>
      <c r="T41" s="7" t="s">
        <v>23</v>
      </c>
    </row>
    <row r="42" customHeight="1" spans="1:20">
      <c r="A42" s="7">
        <v>10316551</v>
      </c>
      <c r="B42" s="8" t="s">
        <v>87</v>
      </c>
      <c r="C42" s="7" t="s">
        <v>20</v>
      </c>
      <c r="D42" s="7" t="s">
        <v>21</v>
      </c>
      <c r="E42" s="8" t="s">
        <v>22</v>
      </c>
      <c r="F42" s="9">
        <v>1</v>
      </c>
      <c r="G42" s="8">
        <v>0.458333333333333</v>
      </c>
      <c r="H42" s="8">
        <v>0.875</v>
      </c>
      <c r="I42" s="8">
        <v>0.458333333333333</v>
      </c>
      <c r="J42" s="8">
        <v>0.875</v>
      </c>
      <c r="K42" s="8">
        <v>0.458333333333333</v>
      </c>
      <c r="L42" s="8">
        <v>0.875</v>
      </c>
      <c r="M42" s="8">
        <v>0.458333333333333</v>
      </c>
      <c r="N42" s="8">
        <v>0.875</v>
      </c>
      <c r="O42" s="7" t="s">
        <v>23</v>
      </c>
      <c r="P42" s="7" t="s">
        <v>23</v>
      </c>
      <c r="Q42" s="7" t="s">
        <v>23</v>
      </c>
      <c r="R42" s="7" t="s">
        <v>23</v>
      </c>
      <c r="S42" s="8">
        <v>0.458333333333333</v>
      </c>
      <c r="T42" s="8">
        <v>0.666666666666667</v>
      </c>
    </row>
    <row r="43" customHeight="1" spans="1:20">
      <c r="A43" s="7">
        <v>10320435</v>
      </c>
      <c r="B43" s="8" t="s">
        <v>71</v>
      </c>
      <c r="C43" s="7" t="s">
        <v>20</v>
      </c>
      <c r="D43" s="7" t="s">
        <v>21</v>
      </c>
      <c r="E43" s="8" t="s">
        <v>22</v>
      </c>
      <c r="F43" s="9">
        <v>3</v>
      </c>
      <c r="G43" s="8">
        <v>0.375</v>
      </c>
      <c r="H43" s="8">
        <v>0.75</v>
      </c>
      <c r="I43" s="8">
        <v>0.375</v>
      </c>
      <c r="J43" s="8">
        <v>0.75</v>
      </c>
      <c r="K43" s="8">
        <v>0.375</v>
      </c>
      <c r="L43" s="8">
        <v>0.75</v>
      </c>
      <c r="M43" s="8">
        <v>0.375</v>
      </c>
      <c r="N43" s="8">
        <v>0.75</v>
      </c>
      <c r="O43" s="8">
        <v>0.375</v>
      </c>
      <c r="P43" s="8">
        <v>0.75</v>
      </c>
      <c r="Q43" s="7" t="s">
        <v>23</v>
      </c>
      <c r="R43" s="7" t="s">
        <v>23</v>
      </c>
      <c r="S43" s="7" t="s">
        <v>23</v>
      </c>
      <c r="T43" s="7" t="s">
        <v>23</v>
      </c>
    </row>
    <row r="44" customHeight="1" spans="1:20">
      <c r="A44" s="7">
        <v>10316683</v>
      </c>
      <c r="B44" s="8" t="s">
        <v>51</v>
      </c>
      <c r="C44" s="7" t="s">
        <v>20</v>
      </c>
      <c r="D44" s="7" t="s">
        <v>21</v>
      </c>
      <c r="E44" s="8" t="s">
        <v>22</v>
      </c>
      <c r="F44" s="9">
        <v>1</v>
      </c>
      <c r="G44" s="8">
        <v>0.375</v>
      </c>
      <c r="H44" s="8">
        <v>0.75</v>
      </c>
      <c r="I44" s="8">
        <v>0.375</v>
      </c>
      <c r="J44" s="8">
        <v>0.75</v>
      </c>
      <c r="K44" s="8">
        <v>0.375</v>
      </c>
      <c r="L44" s="8">
        <v>0.75</v>
      </c>
      <c r="M44" s="8">
        <v>0.375</v>
      </c>
      <c r="N44" s="8">
        <v>0.75</v>
      </c>
      <c r="O44" s="8">
        <v>0.375</v>
      </c>
      <c r="P44" s="8">
        <v>0.75</v>
      </c>
      <c r="Q44" s="7" t="s">
        <v>23</v>
      </c>
      <c r="R44" s="7" t="s">
        <v>23</v>
      </c>
      <c r="S44" s="7" t="s">
        <v>23</v>
      </c>
      <c r="T44" s="7" t="s">
        <v>23</v>
      </c>
    </row>
    <row r="45" customHeight="1" spans="1:20">
      <c r="A45" s="7">
        <v>10316540</v>
      </c>
      <c r="B45" s="8" t="s">
        <v>30</v>
      </c>
      <c r="C45" s="7" t="s">
        <v>20</v>
      </c>
      <c r="D45" s="7" t="s">
        <v>86</v>
      </c>
      <c r="E45" s="8" t="s">
        <v>22</v>
      </c>
      <c r="F45" s="9">
        <v>1</v>
      </c>
      <c r="G45" s="7" t="s">
        <v>36</v>
      </c>
      <c r="H45" s="7" t="s">
        <v>36</v>
      </c>
      <c r="I45" s="8">
        <v>0.5</v>
      </c>
      <c r="J45" s="8">
        <v>0.875</v>
      </c>
      <c r="K45" s="8">
        <v>0.5</v>
      </c>
      <c r="L45" s="8">
        <v>0.875</v>
      </c>
      <c r="M45" s="8">
        <v>0.5</v>
      </c>
      <c r="N45" s="8">
        <v>0.875</v>
      </c>
      <c r="O45" s="8">
        <v>0.5</v>
      </c>
      <c r="P45" s="8">
        <v>0.875</v>
      </c>
      <c r="Q45" s="7" t="s">
        <v>23</v>
      </c>
      <c r="R45" s="7" t="s">
        <v>23</v>
      </c>
      <c r="S45" s="7" t="s">
        <v>23</v>
      </c>
      <c r="T45" s="7" t="s">
        <v>23</v>
      </c>
    </row>
    <row r="46" customHeight="1" spans="1:20">
      <c r="A46" s="7">
        <v>10293627</v>
      </c>
      <c r="B46" s="8" t="s">
        <v>92</v>
      </c>
      <c r="C46" s="7" t="s">
        <v>20</v>
      </c>
      <c r="D46" s="7" t="s">
        <v>21</v>
      </c>
      <c r="E46" s="8" t="s">
        <v>22</v>
      </c>
      <c r="F46" s="9">
        <v>3</v>
      </c>
      <c r="G46" s="8">
        <v>0.375</v>
      </c>
      <c r="H46" s="8">
        <v>0.791666666666667</v>
      </c>
      <c r="I46" s="8">
        <v>0.375</v>
      </c>
      <c r="J46" s="8">
        <v>0.791666666666667</v>
      </c>
      <c r="K46" s="8">
        <v>0.375</v>
      </c>
      <c r="L46" s="8">
        <v>0.791666666666667</v>
      </c>
      <c r="M46" s="8">
        <v>0.375</v>
      </c>
      <c r="N46" s="8">
        <v>0.791666666666667</v>
      </c>
      <c r="O46" s="7" t="s">
        <v>23</v>
      </c>
      <c r="P46" s="7" t="s">
        <v>23</v>
      </c>
      <c r="Q46" s="7" t="s">
        <v>23</v>
      </c>
      <c r="R46" s="7" t="s">
        <v>23</v>
      </c>
      <c r="S46" s="8">
        <v>0.458333333333333</v>
      </c>
      <c r="T46" s="8">
        <v>0.666666666666667</v>
      </c>
    </row>
    <row r="47" customHeight="1" spans="1:20">
      <c r="A47" s="7">
        <v>10320409</v>
      </c>
      <c r="B47" s="8" t="s">
        <v>57</v>
      </c>
      <c r="C47" s="7" t="s">
        <v>20</v>
      </c>
      <c r="D47" s="7" t="s">
        <v>21</v>
      </c>
      <c r="E47" s="8" t="s">
        <v>22</v>
      </c>
      <c r="F47" s="9">
        <v>3</v>
      </c>
      <c r="G47" s="8">
        <v>0.5</v>
      </c>
      <c r="H47" s="8">
        <v>0.875</v>
      </c>
      <c r="I47" s="7" t="s">
        <v>23</v>
      </c>
      <c r="J47" s="7" t="s">
        <v>23</v>
      </c>
      <c r="K47" s="7" t="s">
        <v>23</v>
      </c>
      <c r="L47" s="7" t="s">
        <v>23</v>
      </c>
      <c r="M47" s="8">
        <v>0.5</v>
      </c>
      <c r="N47" s="8">
        <v>0.875</v>
      </c>
      <c r="O47" s="8">
        <v>0.5</v>
      </c>
      <c r="P47" s="8">
        <v>0.875</v>
      </c>
      <c r="Q47" s="8">
        <v>0.458333333333333</v>
      </c>
      <c r="R47" s="8">
        <v>0.666666666666667</v>
      </c>
      <c r="S47" s="8">
        <v>0.458333333333333</v>
      </c>
      <c r="T47" s="8">
        <v>0.666666666666667</v>
      </c>
    </row>
    <row r="48" customHeight="1" spans="1:20">
      <c r="A48" s="7">
        <v>10317151</v>
      </c>
      <c r="B48" s="8" t="s">
        <v>52</v>
      </c>
      <c r="C48" s="7" t="s">
        <v>20</v>
      </c>
      <c r="D48" s="7" t="s">
        <v>86</v>
      </c>
      <c r="E48" s="8" t="s">
        <v>22</v>
      </c>
      <c r="F48" s="9">
        <v>1</v>
      </c>
      <c r="G48" s="7" t="s">
        <v>36</v>
      </c>
      <c r="H48" s="7" t="s">
        <v>36</v>
      </c>
      <c r="I48" s="8">
        <v>0.375</v>
      </c>
      <c r="J48" s="8">
        <v>0.75</v>
      </c>
      <c r="K48" s="8">
        <v>0.375</v>
      </c>
      <c r="L48" s="8">
        <v>0.75</v>
      </c>
      <c r="M48" s="8">
        <v>0.375</v>
      </c>
      <c r="N48" s="8">
        <v>0.75</v>
      </c>
      <c r="O48" s="8">
        <v>0.375</v>
      </c>
      <c r="P48" s="8">
        <v>0.75</v>
      </c>
      <c r="Q48" s="7" t="s">
        <v>23</v>
      </c>
      <c r="R48" s="7" t="s">
        <v>23</v>
      </c>
      <c r="S48" s="7" t="s">
        <v>23</v>
      </c>
      <c r="T48" s="7" t="s">
        <v>23</v>
      </c>
    </row>
    <row r="49" customHeight="1" spans="1:20">
      <c r="A49" s="7">
        <v>10317524</v>
      </c>
      <c r="B49" s="8" t="s">
        <v>53</v>
      </c>
      <c r="C49" s="7" t="s">
        <v>20</v>
      </c>
      <c r="D49" s="7" t="s">
        <v>21</v>
      </c>
      <c r="E49" s="8" t="s">
        <v>22</v>
      </c>
      <c r="F49" s="9">
        <v>2</v>
      </c>
      <c r="G49" s="7" t="s">
        <v>23</v>
      </c>
      <c r="H49" s="7" t="s">
        <v>23</v>
      </c>
      <c r="I49" s="8">
        <v>0.458333333333333</v>
      </c>
      <c r="J49" s="8">
        <v>0.875</v>
      </c>
      <c r="K49" s="8">
        <v>0.458333333333333</v>
      </c>
      <c r="L49" s="8">
        <v>0.875</v>
      </c>
      <c r="M49" s="8">
        <v>0.458333333333333</v>
      </c>
      <c r="N49" s="8">
        <v>0.875</v>
      </c>
      <c r="O49" s="8">
        <v>0.458333333333333</v>
      </c>
      <c r="P49" s="8">
        <v>0.875</v>
      </c>
      <c r="Q49" s="8">
        <v>0.458333333333333</v>
      </c>
      <c r="R49" s="8">
        <v>0.666666666666667</v>
      </c>
      <c r="S49" s="7" t="s">
        <v>23</v>
      </c>
      <c r="T49" s="7" t="s">
        <v>23</v>
      </c>
    </row>
  </sheetData>
  <mergeCells count="20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A1:A2"/>
    <mergeCell ref="B1:B2"/>
    <mergeCell ref="C1:C2"/>
    <mergeCell ref="D1:D2"/>
    <mergeCell ref="E1:E2"/>
    <mergeCell ref="F1:F2"/>
  </mergeCells>
  <conditionalFormatting sqref="G4:T49">
    <cfRule type="containsText" dxfId="3" priority="1" operator="between" text="OFF">
      <formula>NOT(ISERROR(SEARCH("OFF",G4)))</formula>
    </cfRule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  <cfRule type="containsText" dxfId="4" priority="3" operator="between" text="AN">
      <formula>NOT(ISERROR(SEARCH("AN",G4)))</formula>
    </cfRule>
    <cfRule type="containsText" dxfId="5" priority="4" operator="between" text="DT">
      <formula>NOT(ISERROR(SEARCH("DT",G4)))</formula>
    </cfRule>
    <cfRule type="containsText" dxfId="6" priority="5" operator="between" text="RS">
      <formula>NOT(ISERROR(SEARCH("RS",G4)))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3:H32"/>
  <sheetViews>
    <sheetView workbookViewId="0">
      <selection activeCell="A1" sqref="A1"/>
    </sheetView>
  </sheetViews>
  <sheetFormatPr defaultColWidth="12.6272727272727" defaultRowHeight="15.75" customHeight="1" outlineLevelCol="7"/>
  <cols>
    <col min="2" max="2" width="23" customWidth="1"/>
  </cols>
  <sheetData>
    <row r="13" customHeight="1" spans="1:8">
      <c r="A13" s="175" t="s">
        <v>0</v>
      </c>
      <c r="B13" s="175" t="s">
        <v>1</v>
      </c>
      <c r="C13" s="175" t="s">
        <v>2</v>
      </c>
      <c r="D13" s="175" t="s">
        <v>3</v>
      </c>
      <c r="E13" s="175" t="s">
        <v>4</v>
      </c>
      <c r="F13" s="176" t="s">
        <v>5</v>
      </c>
      <c r="G13" s="177">
        <v>45663</v>
      </c>
      <c r="H13" s="14"/>
    </row>
    <row r="14" customHeight="1" spans="1:8">
      <c r="A14" s="5"/>
      <c r="B14" s="5"/>
      <c r="C14" s="5"/>
      <c r="D14" s="5"/>
      <c r="E14" s="5"/>
      <c r="F14" s="5"/>
      <c r="G14" s="178" t="s">
        <v>6</v>
      </c>
      <c r="H14" s="14"/>
    </row>
    <row r="15" customHeight="1" spans="1:8">
      <c r="A15" s="179"/>
      <c r="B15" s="179"/>
      <c r="C15" s="179"/>
      <c r="D15" s="179"/>
      <c r="E15" s="179"/>
      <c r="F15" s="179"/>
      <c r="G15" s="179" t="s">
        <v>13</v>
      </c>
      <c r="H15" s="179" t="s">
        <v>14</v>
      </c>
    </row>
    <row r="16" customHeight="1" spans="1:8">
      <c r="A16" s="7">
        <v>10320417</v>
      </c>
      <c r="B16" s="8" t="s">
        <v>67</v>
      </c>
      <c r="C16" s="7" t="s">
        <v>20</v>
      </c>
      <c r="D16" s="7" t="s">
        <v>21</v>
      </c>
      <c r="E16" s="8" t="s">
        <v>22</v>
      </c>
      <c r="F16" s="9">
        <v>3</v>
      </c>
      <c r="G16" s="8">
        <v>0.375</v>
      </c>
      <c r="H16" s="8">
        <v>0.791666666666667</v>
      </c>
    </row>
    <row r="17" customHeight="1" spans="1:8">
      <c r="A17" s="7">
        <v>10317154</v>
      </c>
      <c r="B17" s="8" t="s">
        <v>70</v>
      </c>
      <c r="C17" s="7" t="s">
        <v>20</v>
      </c>
      <c r="D17" s="7" t="s">
        <v>21</v>
      </c>
      <c r="E17" s="8" t="s">
        <v>22</v>
      </c>
      <c r="F17" s="9">
        <v>3</v>
      </c>
      <c r="G17" s="8">
        <v>0.333333333333333</v>
      </c>
      <c r="H17" s="8">
        <v>0.75</v>
      </c>
    </row>
    <row r="20" customHeight="1" spans="1:8">
      <c r="A20" s="175" t="s">
        <v>0</v>
      </c>
      <c r="B20" s="175" t="s">
        <v>1</v>
      </c>
      <c r="C20" s="175" t="s">
        <v>2</v>
      </c>
      <c r="D20" s="175" t="s">
        <v>3</v>
      </c>
      <c r="E20" s="175" t="s">
        <v>4</v>
      </c>
      <c r="F20" s="176" t="s">
        <v>5</v>
      </c>
      <c r="G20" s="177">
        <v>45663</v>
      </c>
      <c r="H20" s="14"/>
    </row>
    <row r="21" customHeight="1" spans="1:8">
      <c r="A21" s="5"/>
      <c r="B21" s="5"/>
      <c r="C21" s="5"/>
      <c r="D21" s="5"/>
      <c r="E21" s="5"/>
      <c r="F21" s="5"/>
      <c r="G21" s="178" t="s">
        <v>6</v>
      </c>
      <c r="H21" s="14"/>
    </row>
    <row r="22" customHeight="1" spans="1:8">
      <c r="A22" s="179"/>
      <c r="B22" s="179"/>
      <c r="C22" s="179"/>
      <c r="D22" s="179"/>
      <c r="E22" s="179"/>
      <c r="F22" s="179"/>
      <c r="G22" s="179" t="s">
        <v>13</v>
      </c>
      <c r="H22" s="179" t="s">
        <v>14</v>
      </c>
    </row>
    <row r="23" customHeight="1" spans="1:8">
      <c r="A23" s="7">
        <v>10320417</v>
      </c>
      <c r="B23" s="8" t="s">
        <v>67</v>
      </c>
      <c r="C23" s="7" t="s">
        <v>20</v>
      </c>
      <c r="D23" s="7" t="s">
        <v>21</v>
      </c>
      <c r="E23" s="8" t="s">
        <v>22</v>
      </c>
      <c r="F23" s="9">
        <v>3</v>
      </c>
      <c r="G23" s="8">
        <v>0.333333333333333</v>
      </c>
      <c r="H23" s="8">
        <v>0.75</v>
      </c>
    </row>
    <row r="24" customHeight="1" spans="1:8">
      <c r="A24" s="7">
        <v>10317154</v>
      </c>
      <c r="B24" s="8" t="s">
        <v>70</v>
      </c>
      <c r="C24" s="7" t="s">
        <v>20</v>
      </c>
      <c r="D24" s="7" t="s">
        <v>21</v>
      </c>
      <c r="E24" s="8" t="s">
        <v>22</v>
      </c>
      <c r="F24" s="9">
        <v>3</v>
      </c>
      <c r="G24" s="8">
        <v>0.375</v>
      </c>
      <c r="H24" s="8">
        <v>0.791666666666667</v>
      </c>
    </row>
    <row r="29" customHeight="1" spans="1:8">
      <c r="A29" s="175" t="s">
        <v>0</v>
      </c>
      <c r="B29" s="175" t="s">
        <v>1</v>
      </c>
      <c r="C29" s="175" t="s">
        <v>2</v>
      </c>
      <c r="D29" s="175" t="s">
        <v>3</v>
      </c>
      <c r="E29" s="175" t="s">
        <v>4</v>
      </c>
      <c r="F29" s="176" t="s">
        <v>5</v>
      </c>
      <c r="G29" s="177">
        <v>45664</v>
      </c>
      <c r="H29" s="180"/>
    </row>
    <row r="30" customHeight="1" spans="1:8">
      <c r="A30" s="5"/>
      <c r="B30" s="5"/>
      <c r="C30" s="5"/>
      <c r="D30" s="5"/>
      <c r="E30" s="5"/>
      <c r="F30" s="5"/>
      <c r="G30" s="178" t="s">
        <v>7</v>
      </c>
      <c r="H30" s="181"/>
    </row>
    <row r="31" customHeight="1" spans="1:7">
      <c r="A31" s="114">
        <v>10320407</v>
      </c>
      <c r="B31" s="115" t="s">
        <v>55</v>
      </c>
      <c r="C31" s="114" t="s">
        <v>20</v>
      </c>
      <c r="D31" s="114" t="s">
        <v>21</v>
      </c>
      <c r="E31" s="115" t="s">
        <v>22</v>
      </c>
      <c r="F31" s="163">
        <v>3</v>
      </c>
      <c r="G31" s="182" t="s">
        <v>91</v>
      </c>
    </row>
    <row r="32" customHeight="1" spans="1:7">
      <c r="A32" s="114">
        <v>10320417</v>
      </c>
      <c r="B32" s="115" t="s">
        <v>67</v>
      </c>
      <c r="C32" s="114" t="s">
        <v>20</v>
      </c>
      <c r="D32" s="114" t="s">
        <v>21</v>
      </c>
      <c r="E32" s="115" t="s">
        <v>22</v>
      </c>
      <c r="F32" s="163">
        <v>3</v>
      </c>
      <c r="G32" s="182" t="s">
        <v>91</v>
      </c>
    </row>
  </sheetData>
  <mergeCells count="22">
    <mergeCell ref="G13:H13"/>
    <mergeCell ref="G14:H14"/>
    <mergeCell ref="G20:H20"/>
    <mergeCell ref="G21:H21"/>
    <mergeCell ref="A13:A14"/>
    <mergeCell ref="A20:A21"/>
    <mergeCell ref="A29:A30"/>
    <mergeCell ref="B13:B14"/>
    <mergeCell ref="B20:B21"/>
    <mergeCell ref="B29:B30"/>
    <mergeCell ref="C13:C14"/>
    <mergeCell ref="C20:C21"/>
    <mergeCell ref="C29:C30"/>
    <mergeCell ref="D13:D14"/>
    <mergeCell ref="D20:D21"/>
    <mergeCell ref="D29:D30"/>
    <mergeCell ref="E13:E14"/>
    <mergeCell ref="E20:E21"/>
    <mergeCell ref="E29:E30"/>
    <mergeCell ref="F13:F14"/>
    <mergeCell ref="F20:F21"/>
    <mergeCell ref="F29:F30"/>
  </mergeCells>
  <conditionalFormatting sqref="G16:H17 G23:H24">
    <cfRule type="containsText" dxfId="3" priority="1" operator="between" text="OFF">
      <formula>NOT(ISERROR(SEARCH("OFF",G16)))</formula>
    </cfRule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  <cfRule type="containsText" dxfId="4" priority="3" operator="between" text="AN">
      <formula>NOT(ISERROR(SEARCH("AN",G16)))</formula>
    </cfRule>
    <cfRule type="containsText" dxfId="5" priority="4" operator="between" text="DT">
      <formula>NOT(ISERROR(SEARCH("DT",G16)))</formula>
    </cfRule>
    <cfRule type="containsText" dxfId="6" priority="5" operator="between" text="RS">
      <formula>NOT(ISERROR(SEARCH("RS",G16)))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51"/>
  <sheetViews>
    <sheetView workbookViewId="0">
      <selection activeCell="A1" sqref="A1"/>
    </sheetView>
  </sheetViews>
  <sheetFormatPr defaultColWidth="12.6272727272727" defaultRowHeight="15.75" customHeight="1"/>
  <cols>
    <col min="1" max="1" width="9.88181818181818" customWidth="1"/>
    <col min="2" max="2" width="18.7545454545455" customWidth="1"/>
    <col min="3" max="3" width="7.12727272727273" customWidth="1"/>
    <col min="4" max="4" width="9" customWidth="1"/>
    <col min="5" max="5" width="4.75454545454545" customWidth="1"/>
    <col min="6" max="17" width="9.75454545454545" customWidth="1"/>
    <col min="18" max="19" width="9.5" customWidth="1"/>
    <col min="20" max="20" width="5.12727272727273" customWidth="1"/>
    <col min="21" max="26" width="9.75454545454545" customWidth="1"/>
  </cols>
  <sheetData>
    <row r="1" customHeight="1" spans="7:20">
      <c r="G1" s="3">
        <v>45656</v>
      </c>
      <c r="H1" s="14"/>
      <c r="I1" s="3">
        <v>45657</v>
      </c>
      <c r="J1" s="14"/>
      <c r="K1" s="3">
        <v>45658</v>
      </c>
      <c r="L1" s="14"/>
      <c r="M1" s="3">
        <v>45659</v>
      </c>
      <c r="N1" s="14"/>
      <c r="O1" s="3">
        <v>45660</v>
      </c>
      <c r="P1" s="14"/>
      <c r="Q1" s="3">
        <v>45661</v>
      </c>
      <c r="R1" s="14"/>
      <c r="S1" s="3">
        <v>45662</v>
      </c>
      <c r="T1" s="14"/>
    </row>
    <row r="2" customHeight="1" spans="1:20">
      <c r="A2" s="47"/>
      <c r="B2" s="47"/>
      <c r="C2" s="47"/>
      <c r="D2" s="47"/>
      <c r="E2" s="47"/>
      <c r="F2" s="120"/>
      <c r="G2" s="16" t="s">
        <v>80</v>
      </c>
      <c r="H2" s="16" t="s">
        <v>81</v>
      </c>
      <c r="I2" s="16" t="s">
        <v>80</v>
      </c>
      <c r="J2" s="16" t="s">
        <v>81</v>
      </c>
      <c r="K2" s="16" t="s">
        <v>80</v>
      </c>
      <c r="L2" s="16" t="s">
        <v>81</v>
      </c>
      <c r="M2" s="16" t="s">
        <v>80</v>
      </c>
      <c r="N2" s="16" t="s">
        <v>81</v>
      </c>
      <c r="O2" s="16" t="s">
        <v>80</v>
      </c>
      <c r="P2" s="16" t="s">
        <v>81</v>
      </c>
      <c r="Q2" s="16" t="s">
        <v>80</v>
      </c>
      <c r="R2" s="16" t="s">
        <v>81</v>
      </c>
      <c r="S2" s="16" t="s">
        <v>80</v>
      </c>
      <c r="T2" s="16" t="s">
        <v>81</v>
      </c>
    </row>
    <row r="3" customHeight="1" spans="1:2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6" t="s">
        <v>6</v>
      </c>
      <c r="H3" s="14"/>
      <c r="I3" s="6" t="s">
        <v>7</v>
      </c>
      <c r="J3" s="14"/>
      <c r="K3" s="6" t="s">
        <v>8</v>
      </c>
      <c r="L3" s="14"/>
      <c r="M3" s="6" t="s">
        <v>9</v>
      </c>
      <c r="N3" s="14"/>
      <c r="O3" s="6" t="s">
        <v>10</v>
      </c>
      <c r="P3" s="14"/>
      <c r="Q3" s="6" t="s">
        <v>11</v>
      </c>
      <c r="R3" s="14"/>
      <c r="S3" s="6" t="s">
        <v>12</v>
      </c>
      <c r="T3" s="14"/>
    </row>
    <row r="4" customHeight="1" spans="1:21">
      <c r="A4" s="7">
        <v>10320410</v>
      </c>
      <c r="B4" s="7" t="s">
        <v>58</v>
      </c>
      <c r="C4" s="7" t="s">
        <v>20</v>
      </c>
      <c r="D4" s="7" t="s">
        <v>21</v>
      </c>
      <c r="E4" s="8" t="s">
        <v>22</v>
      </c>
      <c r="F4" s="9">
        <v>3</v>
      </c>
      <c r="G4" s="8">
        <v>0.5</v>
      </c>
      <c r="H4" s="8">
        <v>0.875</v>
      </c>
      <c r="I4" s="8">
        <v>0.5</v>
      </c>
      <c r="J4" s="8">
        <v>0.875</v>
      </c>
      <c r="K4" s="8">
        <v>0.5</v>
      </c>
      <c r="L4" s="8">
        <v>0.875</v>
      </c>
      <c r="M4" s="8">
        <v>0.5</v>
      </c>
      <c r="N4" s="8">
        <v>0.875</v>
      </c>
      <c r="O4" s="8">
        <v>0.5</v>
      </c>
      <c r="P4" s="8">
        <v>0.875</v>
      </c>
      <c r="Q4" s="156" t="s">
        <v>23</v>
      </c>
      <c r="R4" s="156" t="s">
        <v>23</v>
      </c>
      <c r="S4" s="156" t="s">
        <v>23</v>
      </c>
      <c r="T4" s="156" t="s">
        <v>23</v>
      </c>
      <c r="U4" s="21">
        <f>IFERROR(__xludf.DUMMYFUNCTION("TO_PURE_NUMBER(SUM(FILTER(G4:T4, ISEVEN(COLUMN(G4:T4))))-SUM(FILTER(G4:T4, ISODD(COLUMN(G4:T4)))))*24"),45)</f>
        <v>45</v>
      </c>
    </row>
    <row r="5" customHeight="1" spans="1:21">
      <c r="A5" s="7">
        <v>10320415</v>
      </c>
      <c r="B5" s="7" t="s">
        <v>63</v>
      </c>
      <c r="C5" s="7" t="s">
        <v>20</v>
      </c>
      <c r="D5" s="7" t="s">
        <v>21</v>
      </c>
      <c r="E5" s="8" t="s">
        <v>22</v>
      </c>
      <c r="F5" s="9">
        <v>3</v>
      </c>
      <c r="G5" s="8">
        <v>0.375</v>
      </c>
      <c r="H5" s="8">
        <v>0.791666666667879</v>
      </c>
      <c r="I5" s="8">
        <v>0.375</v>
      </c>
      <c r="J5" s="8">
        <v>0.791666666667879</v>
      </c>
      <c r="K5" s="8">
        <v>0.375</v>
      </c>
      <c r="L5" s="8">
        <v>0.791666666666667</v>
      </c>
      <c r="M5" s="8">
        <v>0.375</v>
      </c>
      <c r="N5" s="8">
        <v>0.791666666666667</v>
      </c>
      <c r="O5" s="156" t="s">
        <v>23</v>
      </c>
      <c r="P5" s="156" t="s">
        <v>23</v>
      </c>
      <c r="Q5" s="156" t="s">
        <v>23</v>
      </c>
      <c r="R5" s="156" t="s">
        <v>23</v>
      </c>
      <c r="S5" s="8">
        <v>0.458333333333333</v>
      </c>
      <c r="T5" s="8">
        <v>0.666666666666667</v>
      </c>
      <c r="U5" s="21">
        <f>IFERROR(__xludf.DUMMYFUNCTION("TO_PURE_NUMBER(SUM(FILTER(G5:T5, ISEVEN(COLUMN(G5:T5))))-SUM(FILTER(G5:T5, ISODD(COLUMN(G5:T5)))))*24"),45.0000000000582)</f>
        <v>45.0000000000582</v>
      </c>
    </row>
    <row r="6" customHeight="1" spans="1:21">
      <c r="A6" s="7">
        <v>10317522</v>
      </c>
      <c r="B6" s="7" t="s">
        <v>31</v>
      </c>
      <c r="C6" s="7" t="s">
        <v>20</v>
      </c>
      <c r="D6" s="7" t="s">
        <v>21</v>
      </c>
      <c r="E6" s="8" t="s">
        <v>22</v>
      </c>
      <c r="F6" s="9">
        <v>2</v>
      </c>
      <c r="G6" s="8">
        <v>0.375</v>
      </c>
      <c r="H6" s="8">
        <v>0.75</v>
      </c>
      <c r="I6" s="8">
        <v>0.375</v>
      </c>
      <c r="J6" s="8">
        <v>0.75</v>
      </c>
      <c r="K6" s="8">
        <v>0.375</v>
      </c>
      <c r="L6" s="8">
        <v>0.75</v>
      </c>
      <c r="M6" s="8">
        <v>0.375</v>
      </c>
      <c r="N6" s="8">
        <v>0.75</v>
      </c>
      <c r="O6" s="8">
        <v>0.375</v>
      </c>
      <c r="P6" s="8">
        <v>0.75</v>
      </c>
      <c r="Q6" s="156" t="s">
        <v>23</v>
      </c>
      <c r="R6" s="156" t="s">
        <v>23</v>
      </c>
      <c r="S6" s="156" t="s">
        <v>23</v>
      </c>
      <c r="T6" s="156" t="s">
        <v>23</v>
      </c>
      <c r="U6" s="21">
        <f>IFERROR(__xludf.DUMMYFUNCTION("TO_PURE_NUMBER(SUM(FILTER(G6:T6, ISEVEN(COLUMN(G6:T6))))-SUM(FILTER(G6:T6, ISODD(COLUMN(G6:T6)))))*24"),45)</f>
        <v>45</v>
      </c>
    </row>
    <row r="7" customHeight="1" spans="1:21">
      <c r="A7" s="7">
        <v>10316549</v>
      </c>
      <c r="B7" s="7" t="s">
        <v>19</v>
      </c>
      <c r="C7" s="7" t="s">
        <v>20</v>
      </c>
      <c r="D7" s="7" t="s">
        <v>86</v>
      </c>
      <c r="E7" s="8" t="s">
        <v>22</v>
      </c>
      <c r="F7" s="9">
        <v>1</v>
      </c>
      <c r="G7" s="8">
        <v>0.375</v>
      </c>
      <c r="H7" s="8">
        <v>0.75</v>
      </c>
      <c r="I7" s="8">
        <v>0.375</v>
      </c>
      <c r="J7" s="8">
        <v>0.75</v>
      </c>
      <c r="K7" s="8">
        <v>0.375</v>
      </c>
      <c r="L7" s="8">
        <v>0.75</v>
      </c>
      <c r="M7" s="8">
        <v>0.375</v>
      </c>
      <c r="N7" s="8">
        <v>0.75</v>
      </c>
      <c r="O7" s="8">
        <v>0.375</v>
      </c>
      <c r="P7" s="8">
        <v>0.75</v>
      </c>
      <c r="Q7" s="156" t="s">
        <v>23</v>
      </c>
      <c r="R7" s="156" t="s">
        <v>23</v>
      </c>
      <c r="S7" s="156" t="s">
        <v>23</v>
      </c>
      <c r="T7" s="156" t="s">
        <v>23</v>
      </c>
      <c r="U7" s="21">
        <f>IFERROR(__xludf.DUMMYFUNCTION("TO_PURE_NUMBER(SUM(FILTER(G7:T7, ISEVEN(COLUMN(G7:T7))))-SUM(FILTER(G7:T7, ISODD(COLUMN(G7:T7)))))*24"),45)</f>
        <v>45</v>
      </c>
    </row>
    <row r="8" customHeight="1" spans="1:21">
      <c r="A8" s="7">
        <v>10320413</v>
      </c>
      <c r="B8" s="7" t="s">
        <v>60</v>
      </c>
      <c r="C8" s="7" t="s">
        <v>20</v>
      </c>
      <c r="D8" s="7" t="s">
        <v>21</v>
      </c>
      <c r="E8" s="8" t="s">
        <v>22</v>
      </c>
      <c r="F8" s="9">
        <v>3</v>
      </c>
      <c r="G8" s="8">
        <v>0.375</v>
      </c>
      <c r="H8" s="8">
        <v>0.75</v>
      </c>
      <c r="I8" s="8">
        <v>0.375</v>
      </c>
      <c r="J8" s="8">
        <v>0.75</v>
      </c>
      <c r="K8" s="8">
        <v>0.375</v>
      </c>
      <c r="L8" s="8">
        <v>0.75</v>
      </c>
      <c r="M8" s="8">
        <v>0.375</v>
      </c>
      <c r="N8" s="8">
        <v>0.75</v>
      </c>
      <c r="O8" s="8">
        <v>0.375</v>
      </c>
      <c r="P8" s="8">
        <v>0.75</v>
      </c>
      <c r="Q8" s="156" t="s">
        <v>23</v>
      </c>
      <c r="R8" s="156" t="s">
        <v>23</v>
      </c>
      <c r="S8" s="156" t="s">
        <v>23</v>
      </c>
      <c r="T8" s="156" t="s">
        <v>23</v>
      </c>
      <c r="U8" s="21">
        <f>IFERROR(__xludf.DUMMYFUNCTION("TO_PURE_NUMBER(SUM(FILTER(G8:T8, ISEVEN(COLUMN(G8:T8))))-SUM(FILTER(G8:T8, ISODD(COLUMN(G8:T8)))))*24"),45)</f>
        <v>45</v>
      </c>
    </row>
    <row r="9" customHeight="1" spans="1:21">
      <c r="A9" s="7">
        <v>10320408</v>
      </c>
      <c r="B9" s="7" t="s">
        <v>56</v>
      </c>
      <c r="C9" s="7" t="s">
        <v>20</v>
      </c>
      <c r="D9" s="7" t="s">
        <v>21</v>
      </c>
      <c r="E9" s="8" t="s">
        <v>22</v>
      </c>
      <c r="F9" s="9">
        <v>3</v>
      </c>
      <c r="G9" s="8">
        <v>0.375</v>
      </c>
      <c r="H9" s="8">
        <v>0.75</v>
      </c>
      <c r="I9" s="8">
        <v>0.375</v>
      </c>
      <c r="J9" s="8">
        <v>0.75</v>
      </c>
      <c r="K9" s="8">
        <v>0.375</v>
      </c>
      <c r="L9" s="8">
        <v>0.75</v>
      </c>
      <c r="M9" s="8">
        <v>0.375</v>
      </c>
      <c r="N9" s="8">
        <v>0.75</v>
      </c>
      <c r="O9" s="7" t="s">
        <v>23</v>
      </c>
      <c r="P9" s="7" t="s">
        <v>23</v>
      </c>
      <c r="Q9" s="7" t="s">
        <v>23</v>
      </c>
      <c r="R9" s="7" t="s">
        <v>23</v>
      </c>
      <c r="S9" s="8">
        <v>0.458333333332121</v>
      </c>
      <c r="T9" s="8">
        <v>0.666666666667879</v>
      </c>
      <c r="U9" s="113">
        <f>IFERROR(__xludf.DUMMYFUNCTION("TO_PURE_NUMBER(SUM(FILTER(G9:T9, ISEVEN(COLUMN(G9:T9))))-SUM(FILTER(G9:T9, ISODD(COLUMN(G9:T9)))))*24"),41.0000000000582)</f>
        <v>41.0000000000582</v>
      </c>
    </row>
    <row r="10" customHeight="1" spans="1:21">
      <c r="A10" s="7">
        <v>10317147</v>
      </c>
      <c r="B10" s="7" t="s">
        <v>24</v>
      </c>
      <c r="C10" s="7" t="s">
        <v>20</v>
      </c>
      <c r="D10" s="7" t="s">
        <v>21</v>
      </c>
      <c r="E10" s="8" t="s">
        <v>22</v>
      </c>
      <c r="F10" s="9">
        <v>1</v>
      </c>
      <c r="G10" s="7" t="s">
        <v>23</v>
      </c>
      <c r="H10" s="7" t="s">
        <v>23</v>
      </c>
      <c r="I10" s="8">
        <v>0.375</v>
      </c>
      <c r="J10" s="8">
        <v>0.791666666667879</v>
      </c>
      <c r="K10" s="8">
        <v>0.375</v>
      </c>
      <c r="L10" s="8">
        <v>0.791666666666667</v>
      </c>
      <c r="M10" s="8">
        <v>0.375</v>
      </c>
      <c r="N10" s="8">
        <v>0.791666666666667</v>
      </c>
      <c r="O10" s="8">
        <v>0.375</v>
      </c>
      <c r="P10" s="8">
        <v>0.791666666666667</v>
      </c>
      <c r="Q10" s="8">
        <v>0.458333333333333</v>
      </c>
      <c r="R10" s="8">
        <v>0.666666666666667</v>
      </c>
      <c r="S10" s="156" t="s">
        <v>23</v>
      </c>
      <c r="T10" s="156" t="s">
        <v>23</v>
      </c>
      <c r="U10" s="21">
        <f>IFERROR(__xludf.DUMMYFUNCTION("TO_PURE_NUMBER(SUM(FILTER(G10:T10, ISEVEN(COLUMN(G10:T10))))-SUM(FILTER(G10:T10, ISODD(COLUMN(G10:T10)))))*24"),45.000000000029)</f>
        <v>45.000000000029</v>
      </c>
    </row>
    <row r="11" customHeight="1" spans="1:21">
      <c r="A11" s="7">
        <v>10272259</v>
      </c>
      <c r="B11" s="7" t="s">
        <v>32</v>
      </c>
      <c r="C11" s="7" t="s">
        <v>20</v>
      </c>
      <c r="D11" s="7" t="s">
        <v>21</v>
      </c>
      <c r="E11" s="8" t="s">
        <v>22</v>
      </c>
      <c r="F11" s="9">
        <v>2</v>
      </c>
      <c r="G11" s="8">
        <v>0.375</v>
      </c>
      <c r="H11" s="8">
        <v>0.75</v>
      </c>
      <c r="I11" s="7" t="s">
        <v>23</v>
      </c>
      <c r="J11" s="7" t="s">
        <v>23</v>
      </c>
      <c r="K11" s="156" t="s">
        <v>23</v>
      </c>
      <c r="L11" s="156" t="s">
        <v>23</v>
      </c>
      <c r="M11" s="8">
        <v>0.375</v>
      </c>
      <c r="N11" s="8">
        <v>0.75</v>
      </c>
      <c r="O11" s="8">
        <v>0.375</v>
      </c>
      <c r="P11" s="8">
        <v>0.75</v>
      </c>
      <c r="Q11" s="8">
        <v>0.458333333333333</v>
      </c>
      <c r="R11" s="8">
        <v>0.666666666666667</v>
      </c>
      <c r="S11" s="8">
        <v>0.416666666666667</v>
      </c>
      <c r="T11" s="8">
        <v>0.625</v>
      </c>
      <c r="U11" s="21">
        <f>IFERROR(__xludf.DUMMYFUNCTION("TO_PURE_NUMBER(SUM(FILTER(G11:T11, ISEVEN(COLUMN(G11:T11))))-SUM(FILTER(G11:T11, ISODD(COLUMN(G11:T11)))))*24"),37)</f>
        <v>37</v>
      </c>
    </row>
    <row r="12" customHeight="1" spans="1:21">
      <c r="A12" s="7">
        <v>10320412</v>
      </c>
      <c r="B12" s="7" t="s">
        <v>59</v>
      </c>
      <c r="C12" s="7" t="s">
        <v>20</v>
      </c>
      <c r="D12" s="7" t="s">
        <v>21</v>
      </c>
      <c r="E12" s="8" t="s">
        <v>22</v>
      </c>
      <c r="F12" s="9">
        <v>3</v>
      </c>
      <c r="G12" s="8">
        <v>0.375</v>
      </c>
      <c r="H12" s="8">
        <v>0.75</v>
      </c>
      <c r="I12" s="8">
        <v>0.375</v>
      </c>
      <c r="J12" s="8">
        <v>0.75</v>
      </c>
      <c r="K12" s="8">
        <v>0.375</v>
      </c>
      <c r="L12" s="8">
        <v>0.75</v>
      </c>
      <c r="M12" s="8">
        <v>0.375</v>
      </c>
      <c r="N12" s="8">
        <v>0.75</v>
      </c>
      <c r="O12" s="8">
        <v>0.375</v>
      </c>
      <c r="P12" s="8">
        <v>0.75</v>
      </c>
      <c r="Q12" s="156" t="s">
        <v>23</v>
      </c>
      <c r="R12" s="156" t="s">
        <v>23</v>
      </c>
      <c r="S12" s="156" t="s">
        <v>23</v>
      </c>
      <c r="T12" s="156" t="s">
        <v>23</v>
      </c>
      <c r="U12" s="21">
        <f>IFERROR(__xludf.DUMMYFUNCTION("TO_PURE_NUMBER(SUM(FILTER(G12:T12, ISEVEN(COLUMN(G12:T12))))-SUM(FILTER(G12:T12, ISODD(COLUMN(G12:T12)))))*24"),45)</f>
        <v>45</v>
      </c>
    </row>
    <row r="13" customHeight="1" spans="1:21">
      <c r="A13" s="7">
        <v>10320418</v>
      </c>
      <c r="B13" s="7" t="s">
        <v>68</v>
      </c>
      <c r="C13" s="7" t="s">
        <v>20</v>
      </c>
      <c r="D13" s="7" t="s">
        <v>21</v>
      </c>
      <c r="E13" s="8" t="s">
        <v>22</v>
      </c>
      <c r="F13" s="9">
        <v>3</v>
      </c>
      <c r="G13" s="8">
        <v>0.5</v>
      </c>
      <c r="H13" s="8">
        <v>0.875</v>
      </c>
      <c r="I13" s="8">
        <v>0.5</v>
      </c>
      <c r="J13" s="8">
        <v>0.875</v>
      </c>
      <c r="K13" s="8">
        <v>0.5</v>
      </c>
      <c r="L13" s="8">
        <v>0.875</v>
      </c>
      <c r="M13" s="8">
        <v>0.5</v>
      </c>
      <c r="N13" s="8">
        <v>0.875</v>
      </c>
      <c r="O13" s="156" t="s">
        <v>23</v>
      </c>
      <c r="P13" s="156" t="s">
        <v>23</v>
      </c>
      <c r="Q13" s="156" t="s">
        <v>23</v>
      </c>
      <c r="R13" s="156" t="s">
        <v>23</v>
      </c>
      <c r="S13" s="8">
        <v>0.458333333333333</v>
      </c>
      <c r="T13" s="8">
        <v>0.666666666666667</v>
      </c>
      <c r="U13" s="21">
        <f>IFERROR(__xludf.DUMMYFUNCTION("TO_PURE_NUMBER(SUM(FILTER(G13:T13, ISEVEN(COLUMN(G13:T13))))-SUM(FILTER(G13:T13, ISODD(COLUMN(G13:T13)))))*24"),41)</f>
        <v>41</v>
      </c>
    </row>
    <row r="14" customHeight="1" spans="1:21">
      <c r="A14" s="7">
        <v>10316618</v>
      </c>
      <c r="B14" s="7" t="s">
        <v>33</v>
      </c>
      <c r="C14" s="7" t="s">
        <v>20</v>
      </c>
      <c r="D14" s="7" t="s">
        <v>86</v>
      </c>
      <c r="E14" s="8" t="s">
        <v>22</v>
      </c>
      <c r="F14" s="9">
        <v>1</v>
      </c>
      <c r="G14" s="8">
        <v>0.375</v>
      </c>
      <c r="H14" s="8">
        <v>0.75</v>
      </c>
      <c r="I14" s="7" t="s">
        <v>36</v>
      </c>
      <c r="J14" s="7" t="s">
        <v>36</v>
      </c>
      <c r="K14" s="8">
        <v>0.375</v>
      </c>
      <c r="L14" s="8">
        <v>0.75</v>
      </c>
      <c r="M14" s="8">
        <v>0.375</v>
      </c>
      <c r="N14" s="8">
        <v>0.75</v>
      </c>
      <c r="O14" s="8">
        <v>0.375</v>
      </c>
      <c r="P14" s="8">
        <v>0.75</v>
      </c>
      <c r="Q14" s="156" t="s">
        <v>23</v>
      </c>
      <c r="R14" s="156" t="s">
        <v>23</v>
      </c>
      <c r="S14" s="156" t="s">
        <v>23</v>
      </c>
      <c r="T14" s="156" t="s">
        <v>23</v>
      </c>
      <c r="U14" s="21">
        <f>IFERROR(__xludf.DUMMYFUNCTION("TO_PURE_NUMBER(SUM(FILTER(G14:T14, ISEVEN(COLUMN(G14:T14))))-SUM(FILTER(G14:T14, ISODD(COLUMN(G14:T14)))))*24"),36)</f>
        <v>36</v>
      </c>
    </row>
    <row r="15" customHeight="1" spans="1:21">
      <c r="A15" s="7">
        <v>10250963</v>
      </c>
      <c r="B15" s="7" t="s">
        <v>25</v>
      </c>
      <c r="C15" s="7" t="s">
        <v>20</v>
      </c>
      <c r="D15" s="7" t="s">
        <v>21</v>
      </c>
      <c r="E15" s="8" t="s">
        <v>22</v>
      </c>
      <c r="F15" s="9">
        <v>1</v>
      </c>
      <c r="G15" s="7" t="s">
        <v>23</v>
      </c>
      <c r="H15" s="7" t="s">
        <v>23</v>
      </c>
      <c r="I15" s="8">
        <v>0.416666666667879</v>
      </c>
      <c r="J15" s="8">
        <v>0.833333333332121</v>
      </c>
      <c r="K15" s="8">
        <v>0.416666666666667</v>
      </c>
      <c r="L15" s="8">
        <v>0.833333333333333</v>
      </c>
      <c r="M15" s="8">
        <v>0.416666666666667</v>
      </c>
      <c r="N15" s="8">
        <v>0.833333333333333</v>
      </c>
      <c r="O15" s="8">
        <v>0.416666666666667</v>
      </c>
      <c r="P15" s="8">
        <v>0.833333333333333</v>
      </c>
      <c r="Q15" s="8">
        <v>0.458333333333333</v>
      </c>
      <c r="R15" s="8">
        <v>0.666666666666667</v>
      </c>
      <c r="S15" s="156" t="s">
        <v>23</v>
      </c>
      <c r="T15" s="156" t="s">
        <v>23</v>
      </c>
      <c r="U15" s="21">
        <f>IFERROR(__xludf.DUMMYFUNCTION("TO_PURE_NUMBER(SUM(FILTER(G15:T15, ISEVEN(COLUMN(G15:T15))))-SUM(FILTER(G15:T15, ISODD(COLUMN(G15:T15)))))*24"),44.9999999999417)</f>
        <v>44.9999999999417</v>
      </c>
    </row>
    <row r="16" customHeight="1" spans="1:21">
      <c r="A16" s="7">
        <v>10295555</v>
      </c>
      <c r="B16" s="7" t="s">
        <v>34</v>
      </c>
      <c r="C16" s="7" t="s">
        <v>20</v>
      </c>
      <c r="D16" s="7" t="s">
        <v>21</v>
      </c>
      <c r="E16" s="8" t="s">
        <v>35</v>
      </c>
      <c r="F16" s="9">
        <v>2</v>
      </c>
      <c r="G16" s="7" t="s">
        <v>36</v>
      </c>
      <c r="H16" s="7" t="s">
        <v>36</v>
      </c>
      <c r="I16" s="7" t="s">
        <v>23</v>
      </c>
      <c r="J16" s="7" t="s">
        <v>23</v>
      </c>
      <c r="K16" s="156" t="s">
        <v>23</v>
      </c>
      <c r="L16" s="156" t="s">
        <v>23</v>
      </c>
      <c r="M16" s="8">
        <v>0.666666666666667</v>
      </c>
      <c r="N16" s="8">
        <v>0.875</v>
      </c>
      <c r="O16" s="8">
        <v>0.666666666666667</v>
      </c>
      <c r="P16" s="8">
        <v>0.875</v>
      </c>
      <c r="Q16" s="8">
        <v>0.458333333333333</v>
      </c>
      <c r="R16" s="8">
        <v>0.666666666666667</v>
      </c>
      <c r="S16" s="8">
        <v>0.458333333333333</v>
      </c>
      <c r="T16" s="8">
        <v>0.666666666666667</v>
      </c>
      <c r="U16" s="21">
        <f>IFERROR(__xludf.DUMMYFUNCTION("TO_PURE_NUMBER(SUM(FILTER(G16:T16, ISEVEN(COLUMN(G16:T16))))-SUM(FILTER(G16:T16, ISODD(COLUMN(G16:T16)))))*24"),19.9999999999999)</f>
        <v>19.9999999999999</v>
      </c>
    </row>
    <row r="17" customHeight="1" spans="1:21">
      <c r="A17" s="7">
        <v>10317520</v>
      </c>
      <c r="B17" s="7" t="s">
        <v>37</v>
      </c>
      <c r="C17" s="7" t="s">
        <v>20</v>
      </c>
      <c r="D17" s="7" t="s">
        <v>21</v>
      </c>
      <c r="E17" s="8" t="s">
        <v>22</v>
      </c>
      <c r="F17" s="9">
        <v>2</v>
      </c>
      <c r="G17" s="7" t="s">
        <v>23</v>
      </c>
      <c r="H17" s="7" t="s">
        <v>23</v>
      </c>
      <c r="I17" s="8">
        <v>0.375</v>
      </c>
      <c r="J17" s="8">
        <v>0.791666666667879</v>
      </c>
      <c r="K17" s="8">
        <v>0.375</v>
      </c>
      <c r="L17" s="8">
        <v>0.791666666666667</v>
      </c>
      <c r="M17" s="8">
        <v>0.333333333333333</v>
      </c>
      <c r="N17" s="8">
        <v>0.75</v>
      </c>
      <c r="O17" s="8">
        <v>0.333333333333333</v>
      </c>
      <c r="P17" s="8">
        <v>0.75</v>
      </c>
      <c r="Q17" s="8">
        <v>0.416666666666667</v>
      </c>
      <c r="R17" s="8">
        <v>0.625</v>
      </c>
      <c r="S17" s="156" t="s">
        <v>23</v>
      </c>
      <c r="T17" s="156" t="s">
        <v>23</v>
      </c>
      <c r="U17" s="21">
        <f>IFERROR(__xludf.DUMMYFUNCTION("TO_PURE_NUMBER(SUM(FILTER(G17:T17, ISEVEN(COLUMN(G17:T17))))-SUM(FILTER(G17:T17, ISODD(COLUMN(G17:T17)))))*24"),45.0000000000291)</f>
        <v>45.0000000000291</v>
      </c>
    </row>
    <row r="18" customHeight="1" spans="1:21">
      <c r="A18" s="7">
        <v>10320414</v>
      </c>
      <c r="B18" s="7" t="s">
        <v>62</v>
      </c>
      <c r="C18" s="7" t="s">
        <v>20</v>
      </c>
      <c r="D18" s="7" t="s">
        <v>21</v>
      </c>
      <c r="E18" s="8" t="s">
        <v>22</v>
      </c>
      <c r="F18" s="9">
        <v>3</v>
      </c>
      <c r="G18" s="7" t="s">
        <v>23</v>
      </c>
      <c r="H18" s="7" t="s">
        <v>23</v>
      </c>
      <c r="I18" s="8">
        <v>0.458333333332121</v>
      </c>
      <c r="J18" s="8">
        <v>0.875</v>
      </c>
      <c r="K18" s="8">
        <v>0.458333333333333</v>
      </c>
      <c r="L18" s="8">
        <v>0.875</v>
      </c>
      <c r="M18" s="8">
        <v>0.458333333333333</v>
      </c>
      <c r="N18" s="8">
        <v>0.875</v>
      </c>
      <c r="O18" s="8">
        <v>0.458333333333333</v>
      </c>
      <c r="P18" s="8">
        <v>0.875</v>
      </c>
      <c r="Q18" s="8">
        <v>0.458333333333333</v>
      </c>
      <c r="R18" s="8">
        <v>0.666666666666667</v>
      </c>
      <c r="S18" s="156" t="s">
        <v>23</v>
      </c>
      <c r="T18" s="156" t="s">
        <v>23</v>
      </c>
      <c r="U18" s="21">
        <f>IFERROR(__xludf.DUMMYFUNCTION("TO_PURE_NUMBER(SUM(FILTER(G18:T18, ISEVEN(COLUMN(G18:T18))))-SUM(FILTER(G18:T18, ISODD(COLUMN(G18:T18)))))*24"),45.0000000000291)</f>
        <v>45.0000000000291</v>
      </c>
    </row>
    <row r="19" customHeight="1" spans="1:21">
      <c r="A19" s="7">
        <v>10316681</v>
      </c>
      <c r="B19" s="7" t="s">
        <v>38</v>
      </c>
      <c r="C19" s="7" t="s">
        <v>89</v>
      </c>
      <c r="D19" s="7" t="s">
        <v>21</v>
      </c>
      <c r="E19" s="8" t="s">
        <v>22</v>
      </c>
      <c r="F19" s="9">
        <v>1</v>
      </c>
      <c r="G19" s="8">
        <v>0.375</v>
      </c>
      <c r="H19" s="8">
        <v>0.75</v>
      </c>
      <c r="I19" s="8">
        <v>0.375</v>
      </c>
      <c r="J19" s="8">
        <v>0.75</v>
      </c>
      <c r="K19" s="8">
        <v>0.375</v>
      </c>
      <c r="L19" s="8">
        <v>0.75</v>
      </c>
      <c r="M19" s="8">
        <v>0.375</v>
      </c>
      <c r="N19" s="8">
        <v>0.75</v>
      </c>
      <c r="O19" s="8">
        <v>0.375</v>
      </c>
      <c r="P19" s="8">
        <v>0.75</v>
      </c>
      <c r="Q19" s="156" t="s">
        <v>23</v>
      </c>
      <c r="R19" s="156" t="s">
        <v>23</v>
      </c>
      <c r="S19" s="156" t="s">
        <v>23</v>
      </c>
      <c r="T19" s="156" t="s">
        <v>23</v>
      </c>
      <c r="U19" s="21">
        <f>IFERROR(__xludf.DUMMYFUNCTION("TO_PURE_NUMBER(SUM(FILTER(G19:T19, ISEVEN(COLUMN(G19:T19))))-SUM(FILTER(G19:T19, ISODD(COLUMN(G19:T19)))))*24"),45)</f>
        <v>45</v>
      </c>
    </row>
    <row r="20" customHeight="1" spans="1:21">
      <c r="A20" s="7">
        <v>10316650</v>
      </c>
      <c r="B20" s="7" t="s">
        <v>39</v>
      </c>
      <c r="C20" s="7" t="s">
        <v>20</v>
      </c>
      <c r="D20" s="7" t="s">
        <v>21</v>
      </c>
      <c r="E20" s="8" t="s">
        <v>22</v>
      </c>
      <c r="F20" s="9">
        <v>2</v>
      </c>
      <c r="G20" s="7" t="s">
        <v>36</v>
      </c>
      <c r="H20" s="7" t="s">
        <v>36</v>
      </c>
      <c r="I20" s="7" t="s">
        <v>36</v>
      </c>
      <c r="J20" s="7" t="s">
        <v>36</v>
      </c>
      <c r="K20" s="8">
        <v>0.5</v>
      </c>
      <c r="L20" s="8">
        <v>0.875</v>
      </c>
      <c r="M20" s="8">
        <v>0.5</v>
      </c>
      <c r="N20" s="8">
        <v>0.875</v>
      </c>
      <c r="O20" s="8">
        <v>0.5</v>
      </c>
      <c r="P20" s="8">
        <v>0.875</v>
      </c>
      <c r="Q20" s="156" t="s">
        <v>23</v>
      </c>
      <c r="R20" s="156" t="s">
        <v>23</v>
      </c>
      <c r="S20" s="156" t="s">
        <v>23</v>
      </c>
      <c r="T20" s="156" t="s">
        <v>23</v>
      </c>
      <c r="U20" s="21">
        <f>IFERROR(__xludf.DUMMYFUNCTION("TO_PURE_NUMBER(SUM(FILTER(G20:T20, ISEVEN(COLUMN(G20:T20))))-SUM(FILTER(G20:T20, ISODD(COLUMN(G20:T20)))))*24"),27)</f>
        <v>27</v>
      </c>
    </row>
    <row r="21" customHeight="1" spans="1:21">
      <c r="A21" s="7">
        <v>10320416</v>
      </c>
      <c r="B21" s="7" t="s">
        <v>66</v>
      </c>
      <c r="C21" s="7" t="s">
        <v>20</v>
      </c>
      <c r="D21" s="7" t="s">
        <v>21</v>
      </c>
      <c r="E21" s="8" t="s">
        <v>22</v>
      </c>
      <c r="F21" s="9">
        <v>3</v>
      </c>
      <c r="G21" s="8">
        <v>0.375</v>
      </c>
      <c r="H21" s="8">
        <v>0.75</v>
      </c>
      <c r="I21" s="8">
        <v>0.375</v>
      </c>
      <c r="J21" s="8">
        <v>0.75</v>
      </c>
      <c r="K21" s="8">
        <v>0.375</v>
      </c>
      <c r="L21" s="8">
        <v>0.75</v>
      </c>
      <c r="M21" s="8">
        <v>0.375</v>
      </c>
      <c r="N21" s="8">
        <v>0.75</v>
      </c>
      <c r="O21" s="8">
        <v>0.375</v>
      </c>
      <c r="P21" s="8">
        <v>0.75</v>
      </c>
      <c r="Q21" s="156" t="s">
        <v>23</v>
      </c>
      <c r="R21" s="156" t="s">
        <v>23</v>
      </c>
      <c r="S21" s="156" t="s">
        <v>23</v>
      </c>
      <c r="T21" s="156" t="s">
        <v>23</v>
      </c>
      <c r="U21" s="21">
        <f>IFERROR(__xludf.DUMMYFUNCTION("TO_PURE_NUMBER(SUM(FILTER(G21:T21, ISEVEN(COLUMN(G21:T21))))-SUM(FILTER(G21:T21, ISODD(COLUMN(G21:T21)))))*24"),45)</f>
        <v>45</v>
      </c>
    </row>
    <row r="22" customHeight="1" spans="1:21">
      <c r="A22" s="7">
        <v>10316530</v>
      </c>
      <c r="B22" s="7" t="s">
        <v>26</v>
      </c>
      <c r="C22" s="7" t="s">
        <v>20</v>
      </c>
      <c r="D22" s="7" t="s">
        <v>21</v>
      </c>
      <c r="E22" s="8" t="s">
        <v>22</v>
      </c>
      <c r="F22" s="9">
        <v>1</v>
      </c>
      <c r="G22" s="7" t="s">
        <v>23</v>
      </c>
      <c r="H22" s="7" t="s">
        <v>23</v>
      </c>
      <c r="I22" s="8">
        <v>0.375</v>
      </c>
      <c r="J22" s="8">
        <v>0.791666666667879</v>
      </c>
      <c r="K22" s="8">
        <v>0.375</v>
      </c>
      <c r="L22" s="8">
        <v>0.791666666666667</v>
      </c>
      <c r="M22" s="8">
        <v>0.375</v>
      </c>
      <c r="N22" s="8">
        <v>0.791666666666667</v>
      </c>
      <c r="O22" s="8">
        <v>0.375</v>
      </c>
      <c r="P22" s="8">
        <v>0.791666666666667</v>
      </c>
      <c r="Q22" s="8">
        <v>0.458333333333333</v>
      </c>
      <c r="R22" s="8">
        <v>0.666666666666667</v>
      </c>
      <c r="S22" s="156" t="s">
        <v>23</v>
      </c>
      <c r="T22" s="156" t="s">
        <v>23</v>
      </c>
      <c r="U22" s="21">
        <f>IFERROR(__xludf.DUMMYFUNCTION("TO_PURE_NUMBER(SUM(FILTER(G22:T22, ISEVEN(COLUMN(G22:T22))))-SUM(FILTER(G22:T22, ISODD(COLUMN(G22:T22)))))*24"),45.000000000029)</f>
        <v>45.000000000029</v>
      </c>
    </row>
    <row r="23" customHeight="1" spans="1:21">
      <c r="A23" s="7">
        <v>10316680</v>
      </c>
      <c r="B23" s="7" t="s">
        <v>40</v>
      </c>
      <c r="C23" s="7" t="s">
        <v>20</v>
      </c>
      <c r="D23" s="7" t="s">
        <v>21</v>
      </c>
      <c r="E23" s="8" t="s">
        <v>22</v>
      </c>
      <c r="F23" s="9">
        <v>1</v>
      </c>
      <c r="G23" s="8">
        <v>0.375</v>
      </c>
      <c r="H23" s="8">
        <v>0.75</v>
      </c>
      <c r="I23" s="8">
        <v>0.375</v>
      </c>
      <c r="J23" s="8">
        <v>0.75</v>
      </c>
      <c r="K23" s="8">
        <v>0.375</v>
      </c>
      <c r="L23" s="8">
        <v>0.75</v>
      </c>
      <c r="M23" s="8">
        <v>0.375</v>
      </c>
      <c r="N23" s="8">
        <v>0.75</v>
      </c>
      <c r="O23" s="8">
        <v>0.375</v>
      </c>
      <c r="P23" s="8">
        <v>0.75</v>
      </c>
      <c r="Q23" s="156" t="s">
        <v>23</v>
      </c>
      <c r="R23" s="156" t="s">
        <v>23</v>
      </c>
      <c r="S23" s="156" t="s">
        <v>23</v>
      </c>
      <c r="T23" s="156" t="s">
        <v>23</v>
      </c>
      <c r="U23" s="21">
        <f>IFERROR(__xludf.DUMMYFUNCTION("TO_PURE_NUMBER(SUM(FILTER(G23:T23, ISEVEN(COLUMN(G23:T23))))-SUM(FILTER(G23:T23, ISODD(COLUMN(G23:T23)))))*24"),45)</f>
        <v>45</v>
      </c>
    </row>
    <row r="24" customHeight="1" spans="1:21">
      <c r="A24" s="7">
        <v>10317943</v>
      </c>
      <c r="B24" s="7" t="s">
        <v>27</v>
      </c>
      <c r="C24" s="7" t="s">
        <v>20</v>
      </c>
      <c r="D24" s="7" t="s">
        <v>21</v>
      </c>
      <c r="E24" s="8" t="s">
        <v>22</v>
      </c>
      <c r="F24" s="9">
        <v>2</v>
      </c>
      <c r="G24" s="7" t="s">
        <v>36</v>
      </c>
      <c r="H24" s="7" t="s">
        <v>36</v>
      </c>
      <c r="I24" s="7" t="s">
        <v>36</v>
      </c>
      <c r="J24" s="7" t="s">
        <v>36</v>
      </c>
      <c r="K24" s="7" t="s">
        <v>36</v>
      </c>
      <c r="L24" s="7" t="s">
        <v>36</v>
      </c>
      <c r="M24" s="8">
        <v>0.416666666666667</v>
      </c>
      <c r="N24" s="8">
        <v>0.833333333333333</v>
      </c>
      <c r="O24" s="156" t="s">
        <v>23</v>
      </c>
      <c r="P24" s="156" t="s">
        <v>23</v>
      </c>
      <c r="Q24" s="156" t="s">
        <v>23</v>
      </c>
      <c r="R24" s="156" t="s">
        <v>23</v>
      </c>
      <c r="S24" s="8">
        <v>0.458333333333333</v>
      </c>
      <c r="T24" s="8">
        <v>0.666666666666667</v>
      </c>
      <c r="U24" s="21">
        <f>IFERROR(__xludf.DUMMYFUNCTION("TO_PURE_NUMBER(SUM(FILTER(G24:T24, ISEVEN(COLUMN(G24:T24))))-SUM(FILTER(G24:T24, ISODD(COLUMN(G24:T24)))))*24"),15)</f>
        <v>15</v>
      </c>
    </row>
    <row r="25" customHeight="1" spans="1:21">
      <c r="A25" s="7">
        <v>10250966</v>
      </c>
      <c r="B25" s="7" t="s">
        <v>61</v>
      </c>
      <c r="C25" s="7" t="s">
        <v>20</v>
      </c>
      <c r="D25" s="7" t="s">
        <v>21</v>
      </c>
      <c r="E25" s="8" t="s">
        <v>22</v>
      </c>
      <c r="F25" s="9">
        <v>3</v>
      </c>
      <c r="G25" s="8">
        <v>0.375</v>
      </c>
      <c r="H25" s="8">
        <v>0.791666666667879</v>
      </c>
      <c r="I25" s="8">
        <v>0.375</v>
      </c>
      <c r="J25" s="8">
        <v>0.791666666667879</v>
      </c>
      <c r="K25" s="7" t="s">
        <v>36</v>
      </c>
      <c r="L25" s="7" t="s">
        <v>36</v>
      </c>
      <c r="M25" s="8">
        <v>0.375</v>
      </c>
      <c r="N25" s="8">
        <v>0.791666666666667</v>
      </c>
      <c r="O25" s="156" t="s">
        <v>23</v>
      </c>
      <c r="P25" s="156" t="s">
        <v>23</v>
      </c>
      <c r="Q25" s="156" t="s">
        <v>23</v>
      </c>
      <c r="R25" s="156" t="s">
        <v>23</v>
      </c>
      <c r="S25" s="8">
        <v>0.458333333333333</v>
      </c>
      <c r="T25" s="8">
        <v>0.666666666666667</v>
      </c>
      <c r="U25" s="21">
        <f>IFERROR(__xludf.DUMMYFUNCTION("TO_PURE_NUMBER(SUM(FILTER(G25:T25, ISEVEN(COLUMN(G25:T25))))-SUM(FILTER(G25:T25, ISODD(COLUMN(G25:T25)))))*24"),35.0000000000582)</f>
        <v>35.0000000000582</v>
      </c>
    </row>
    <row r="26" customHeight="1" spans="1:21">
      <c r="A26" s="7">
        <v>10316543</v>
      </c>
      <c r="B26" s="7" t="s">
        <v>41</v>
      </c>
      <c r="C26" s="7" t="s">
        <v>20</v>
      </c>
      <c r="D26" s="7" t="s">
        <v>21</v>
      </c>
      <c r="E26" s="8" t="s">
        <v>22</v>
      </c>
      <c r="F26" s="9">
        <v>1</v>
      </c>
      <c r="G26" s="8">
        <v>0.375</v>
      </c>
      <c r="H26" s="8">
        <v>0.791666666667879</v>
      </c>
      <c r="I26" s="8">
        <v>0.375</v>
      </c>
      <c r="J26" s="8">
        <v>0.791666666667879</v>
      </c>
      <c r="K26" s="8">
        <v>0.375</v>
      </c>
      <c r="L26" s="8">
        <v>0.791666666667879</v>
      </c>
      <c r="M26" s="8">
        <v>0.375</v>
      </c>
      <c r="N26" s="8">
        <v>0.791666666667879</v>
      </c>
      <c r="O26" s="7" t="s">
        <v>23</v>
      </c>
      <c r="P26" s="7" t="s">
        <v>23</v>
      </c>
      <c r="Q26" s="7" t="s">
        <v>23</v>
      </c>
      <c r="R26" s="7" t="s">
        <v>23</v>
      </c>
      <c r="S26" s="8">
        <v>0.458333333332121</v>
      </c>
      <c r="T26" s="8">
        <v>0.666666666667879</v>
      </c>
      <c r="U26" s="113">
        <f>IFERROR(__xludf.DUMMYFUNCTION("TO_PURE_NUMBER(SUM(FILTER(G26:T26, ISEVEN(COLUMN(G26:T26))))-SUM(FILTER(G26:T26, ISODD(COLUMN(G26:T26)))))*24"),45.0000000001746)</f>
        <v>45.0000000001746</v>
      </c>
    </row>
    <row r="27" customHeight="1" spans="1:21">
      <c r="A27" s="7">
        <v>10317153</v>
      </c>
      <c r="B27" s="7" t="s">
        <v>42</v>
      </c>
      <c r="C27" s="7" t="s">
        <v>20</v>
      </c>
      <c r="D27" s="7" t="s">
        <v>21</v>
      </c>
      <c r="E27" s="8" t="s">
        <v>22</v>
      </c>
      <c r="F27" s="9">
        <v>1</v>
      </c>
      <c r="G27" s="7" t="s">
        <v>23</v>
      </c>
      <c r="H27" s="7" t="s">
        <v>23</v>
      </c>
      <c r="I27" s="8">
        <v>0.458333333332121</v>
      </c>
      <c r="J27" s="8">
        <v>0.875</v>
      </c>
      <c r="K27" s="8">
        <v>0.458333333333333</v>
      </c>
      <c r="L27" s="8">
        <v>0.875</v>
      </c>
      <c r="M27" s="8">
        <v>0.458333333333333</v>
      </c>
      <c r="N27" s="8">
        <v>0.875</v>
      </c>
      <c r="O27" s="8">
        <v>0.458333333333333</v>
      </c>
      <c r="P27" s="8">
        <v>0.875</v>
      </c>
      <c r="Q27" s="8">
        <v>0.458333333333333</v>
      </c>
      <c r="R27" s="8">
        <v>0.666666666666667</v>
      </c>
      <c r="S27" s="156" t="s">
        <v>23</v>
      </c>
      <c r="T27" s="156" t="s">
        <v>23</v>
      </c>
      <c r="U27" s="21">
        <f>IFERROR(__xludf.DUMMYFUNCTION("TO_PURE_NUMBER(SUM(FILTER(G27:T27, ISEVEN(COLUMN(G27:T27))))-SUM(FILTER(G27:T27, ISODD(COLUMN(G27:T27)))))*24"),45.0000000000291)</f>
        <v>45.0000000000291</v>
      </c>
    </row>
    <row r="28" customHeight="1" spans="1:21">
      <c r="A28" s="7">
        <v>10317521</v>
      </c>
      <c r="B28" s="7" t="s">
        <v>28</v>
      </c>
      <c r="C28" s="7" t="s">
        <v>20</v>
      </c>
      <c r="D28" s="7" t="s">
        <v>21</v>
      </c>
      <c r="E28" s="8" t="s">
        <v>22</v>
      </c>
      <c r="F28" s="9">
        <v>2</v>
      </c>
      <c r="G28" s="7" t="s">
        <v>23</v>
      </c>
      <c r="H28" s="7" t="s">
        <v>23</v>
      </c>
      <c r="I28" s="8">
        <v>0.375</v>
      </c>
      <c r="J28" s="8">
        <v>0.791666666667879</v>
      </c>
      <c r="K28" s="8">
        <v>0.375</v>
      </c>
      <c r="L28" s="8">
        <v>0.791666666666667</v>
      </c>
      <c r="M28" s="8">
        <v>0.333333333333333</v>
      </c>
      <c r="N28" s="8">
        <v>0.75</v>
      </c>
      <c r="O28" s="8">
        <v>0.333333333333333</v>
      </c>
      <c r="P28" s="8">
        <v>0.75</v>
      </c>
      <c r="Q28" s="8">
        <v>0.416666666666667</v>
      </c>
      <c r="R28" s="8">
        <v>0.625</v>
      </c>
      <c r="S28" s="156" t="s">
        <v>23</v>
      </c>
      <c r="T28" s="156" t="s">
        <v>23</v>
      </c>
      <c r="U28" s="21">
        <f>IFERROR(__xludf.DUMMYFUNCTION("TO_PURE_NUMBER(SUM(FILTER(G28:T28, ISEVEN(COLUMN(G28:T28))))-SUM(FILTER(G28:T28, ISODD(COLUMN(G28:T28)))))*24"),45.0000000000291)</f>
        <v>45.0000000000291</v>
      </c>
    </row>
    <row r="29" customHeight="1" spans="1:21">
      <c r="A29" s="7">
        <v>10317517</v>
      </c>
      <c r="B29" s="7" t="s">
        <v>29</v>
      </c>
      <c r="C29" s="7" t="s">
        <v>20</v>
      </c>
      <c r="D29" s="7" t="s">
        <v>21</v>
      </c>
      <c r="E29" s="8" t="s">
        <v>22</v>
      </c>
      <c r="F29" s="9">
        <v>2</v>
      </c>
      <c r="G29" s="7" t="s">
        <v>23</v>
      </c>
      <c r="H29" s="7" t="s">
        <v>23</v>
      </c>
      <c r="I29" s="7" t="s">
        <v>36</v>
      </c>
      <c r="J29" s="7" t="s">
        <v>36</v>
      </c>
      <c r="K29" s="8">
        <v>0.458333333333333</v>
      </c>
      <c r="L29" s="8">
        <v>0.875</v>
      </c>
      <c r="M29" s="8">
        <v>0.458333333333333</v>
      </c>
      <c r="N29" s="8">
        <v>0.875</v>
      </c>
      <c r="O29" s="8">
        <v>0.458333333333333</v>
      </c>
      <c r="P29" s="8">
        <v>0.875</v>
      </c>
      <c r="Q29" s="8">
        <v>0.458333333333333</v>
      </c>
      <c r="R29" s="8">
        <v>0.666666666666667</v>
      </c>
      <c r="S29" s="156" t="s">
        <v>23</v>
      </c>
      <c r="T29" s="156" t="s">
        <v>23</v>
      </c>
      <c r="U29" s="21">
        <f>IFERROR(__xludf.DUMMYFUNCTION("TO_PURE_NUMBER(SUM(FILTER(G29:T29, ISEVEN(COLUMN(G29:T29))))-SUM(FILTER(G29:T29, ISODD(COLUMN(G29:T29)))))*24"),35)</f>
        <v>35</v>
      </c>
    </row>
    <row r="30" customHeight="1" spans="1:21">
      <c r="A30" s="7">
        <v>10252106</v>
      </c>
      <c r="B30" s="7" t="s">
        <v>43</v>
      </c>
      <c r="C30" s="7" t="s">
        <v>20</v>
      </c>
      <c r="D30" s="7" t="s">
        <v>21</v>
      </c>
      <c r="E30" s="8" t="s">
        <v>22</v>
      </c>
      <c r="F30" s="9">
        <v>2</v>
      </c>
      <c r="G30" s="7" t="s">
        <v>36</v>
      </c>
      <c r="H30" s="7" t="s">
        <v>36</v>
      </c>
      <c r="I30" s="7" t="s">
        <v>23</v>
      </c>
      <c r="J30" s="7" t="s">
        <v>23</v>
      </c>
      <c r="K30" s="156" t="s">
        <v>23</v>
      </c>
      <c r="L30" s="156" t="s">
        <v>23</v>
      </c>
      <c r="M30" s="8">
        <v>0.5</v>
      </c>
      <c r="N30" s="8">
        <v>0.875</v>
      </c>
      <c r="O30" s="7" t="s">
        <v>36</v>
      </c>
      <c r="P30" s="7" t="s">
        <v>36</v>
      </c>
      <c r="Q30" s="7" t="s">
        <v>36</v>
      </c>
      <c r="R30" s="7" t="s">
        <v>36</v>
      </c>
      <c r="S30" s="8">
        <v>0.458333333333333</v>
      </c>
      <c r="T30" s="8">
        <v>0.666666666666667</v>
      </c>
      <c r="U30" s="21">
        <f>IFERROR(__xludf.DUMMYFUNCTION("TO_PURE_NUMBER(SUM(FILTER(G30:T30, ISEVEN(COLUMN(G30:T30))))-SUM(FILTER(G30:T30, ISODD(COLUMN(G30:T30)))))*24"),13.9999999999999)</f>
        <v>13.9999999999999</v>
      </c>
    </row>
    <row r="31" customHeight="1" spans="1:21">
      <c r="A31" s="7">
        <v>10320407</v>
      </c>
      <c r="B31" s="7" t="s">
        <v>55</v>
      </c>
      <c r="C31" s="7" t="s">
        <v>20</v>
      </c>
      <c r="D31" s="7" t="s">
        <v>21</v>
      </c>
      <c r="E31" s="8" t="s">
        <v>22</v>
      </c>
      <c r="F31" s="9">
        <v>3</v>
      </c>
      <c r="G31" s="7" t="s">
        <v>23</v>
      </c>
      <c r="H31" s="7" t="s">
        <v>23</v>
      </c>
      <c r="I31" s="8">
        <v>0.458333333332121</v>
      </c>
      <c r="J31" s="8">
        <v>0.875</v>
      </c>
      <c r="K31" s="8">
        <v>0.458333333333333</v>
      </c>
      <c r="L31" s="8">
        <v>0.875</v>
      </c>
      <c r="M31" s="8">
        <v>0.458333333333333</v>
      </c>
      <c r="N31" s="8">
        <v>0.875</v>
      </c>
      <c r="O31" s="8">
        <v>0.458333333333333</v>
      </c>
      <c r="P31" s="8">
        <v>0.875</v>
      </c>
      <c r="Q31" s="8">
        <v>0.458333333333333</v>
      </c>
      <c r="R31" s="8">
        <v>0.666666666666667</v>
      </c>
      <c r="S31" s="156" t="s">
        <v>23</v>
      </c>
      <c r="T31" s="156" t="s">
        <v>23</v>
      </c>
      <c r="U31" s="21">
        <f>IFERROR(__xludf.DUMMYFUNCTION("TO_PURE_NUMBER(SUM(FILTER(G31:T31, ISEVEN(COLUMN(G31:T31))))-SUM(FILTER(G31:T31, ISODD(COLUMN(G31:T31)))))*24"),45.0000000000291)</f>
        <v>45.0000000000291</v>
      </c>
    </row>
    <row r="32" customHeight="1" spans="1:21">
      <c r="A32" s="7">
        <v>10320417</v>
      </c>
      <c r="B32" s="7" t="s">
        <v>67</v>
      </c>
      <c r="C32" s="7" t="s">
        <v>20</v>
      </c>
      <c r="D32" s="7" t="s">
        <v>21</v>
      </c>
      <c r="E32" s="8" t="s">
        <v>22</v>
      </c>
      <c r="F32" s="9">
        <v>3</v>
      </c>
      <c r="G32" s="8">
        <v>0.458333333332121</v>
      </c>
      <c r="H32" s="8">
        <v>0.875</v>
      </c>
      <c r="I32" s="8">
        <v>0.458333333332121</v>
      </c>
      <c r="J32" s="8">
        <v>0.875</v>
      </c>
      <c r="K32" s="8">
        <v>0.458333333333333</v>
      </c>
      <c r="L32" s="8">
        <v>0.875</v>
      </c>
      <c r="M32" s="8">
        <v>0.458333333333333</v>
      </c>
      <c r="N32" s="8">
        <v>0.875</v>
      </c>
      <c r="O32" s="156" t="s">
        <v>23</v>
      </c>
      <c r="P32" s="156" t="s">
        <v>23</v>
      </c>
      <c r="Q32" s="156" t="s">
        <v>23</v>
      </c>
      <c r="R32" s="156" t="s">
        <v>23</v>
      </c>
      <c r="S32" s="8">
        <v>0.458333333333333</v>
      </c>
      <c r="T32" s="8">
        <v>0.666666666666667</v>
      </c>
      <c r="U32" s="21">
        <f>IFERROR(__xludf.DUMMYFUNCTION("TO_PURE_NUMBER(SUM(FILTER(G32:T32, ISEVEN(COLUMN(G32:T32))))-SUM(FILTER(G32:T32, ISODD(COLUMN(G32:T32)))))*24"),45.0000000000582)</f>
        <v>45.0000000000582</v>
      </c>
    </row>
    <row r="33" customHeight="1" spans="1:21">
      <c r="A33" s="7">
        <v>10317154</v>
      </c>
      <c r="B33" s="7" t="s">
        <v>70</v>
      </c>
      <c r="C33" s="7" t="s">
        <v>20</v>
      </c>
      <c r="D33" s="7" t="s">
        <v>21</v>
      </c>
      <c r="E33" s="8" t="s">
        <v>22</v>
      </c>
      <c r="F33" s="9">
        <v>3</v>
      </c>
      <c r="G33" s="8">
        <v>0.416666666667879</v>
      </c>
      <c r="H33" s="8">
        <v>0.833333333332121</v>
      </c>
      <c r="I33" s="8">
        <v>0.416666666667879</v>
      </c>
      <c r="J33" s="8">
        <v>0.833333333332121</v>
      </c>
      <c r="K33" s="8">
        <v>0.416666666666667</v>
      </c>
      <c r="L33" s="8">
        <v>0.833333333333333</v>
      </c>
      <c r="M33" s="8">
        <v>0.416666666666667</v>
      </c>
      <c r="N33" s="8">
        <v>0.833333333333333</v>
      </c>
      <c r="O33" s="156" t="s">
        <v>23</v>
      </c>
      <c r="P33" s="156" t="s">
        <v>23</v>
      </c>
      <c r="Q33" s="156" t="s">
        <v>23</v>
      </c>
      <c r="R33" s="156" t="s">
        <v>23</v>
      </c>
      <c r="S33" s="8">
        <v>0.416666666666667</v>
      </c>
      <c r="T33" s="8">
        <v>0.625</v>
      </c>
      <c r="U33" s="21">
        <f>IFERROR(__xludf.DUMMYFUNCTION("TO_PURE_NUMBER(SUM(FILTER(G33:T33, ISEVEN(COLUMN(G33:T33))))-SUM(FILTER(G33:T33, ISODD(COLUMN(G33:T33)))))*24"),44.9999999998835)</f>
        <v>44.9999999998835</v>
      </c>
    </row>
    <row r="34" customHeight="1" spans="1:21">
      <c r="A34" s="7">
        <v>10320436</v>
      </c>
      <c r="B34" s="7" t="s">
        <v>90</v>
      </c>
      <c r="C34" s="7" t="s">
        <v>20</v>
      </c>
      <c r="D34" s="7" t="s">
        <v>21</v>
      </c>
      <c r="E34" s="8" t="s">
        <v>22</v>
      </c>
      <c r="F34" s="9">
        <v>3</v>
      </c>
      <c r="G34" s="8">
        <v>0.458333333332121</v>
      </c>
      <c r="H34" s="8">
        <v>0.875</v>
      </c>
      <c r="I34" s="8">
        <v>0.458333333332121</v>
      </c>
      <c r="J34" s="8">
        <v>0.875</v>
      </c>
      <c r="K34" s="8">
        <v>0.458333333333333</v>
      </c>
      <c r="L34" s="8">
        <v>0.875</v>
      </c>
      <c r="M34" s="8">
        <v>0.458333333333333</v>
      </c>
      <c r="N34" s="8">
        <v>0.875</v>
      </c>
      <c r="O34" s="156" t="s">
        <v>23</v>
      </c>
      <c r="P34" s="156" t="s">
        <v>23</v>
      </c>
      <c r="Q34" s="156" t="s">
        <v>23</v>
      </c>
      <c r="R34" s="156" t="s">
        <v>23</v>
      </c>
      <c r="S34" s="8">
        <v>0.458333333333333</v>
      </c>
      <c r="T34" s="8">
        <v>0.666666666666667</v>
      </c>
      <c r="U34" s="21">
        <f>IFERROR(__xludf.DUMMYFUNCTION("TO_PURE_NUMBER(SUM(FILTER(G34:T34, ISEVEN(COLUMN(G34:T34))))-SUM(FILTER(G34:T34, ISODD(COLUMN(G34:T34)))))*24"),45.0000000000582)</f>
        <v>45.0000000000582</v>
      </c>
    </row>
    <row r="35" customHeight="1" spans="1:21">
      <c r="A35" s="7">
        <v>10316538</v>
      </c>
      <c r="B35" s="7" t="s">
        <v>44</v>
      </c>
      <c r="C35" s="7" t="s">
        <v>20</v>
      </c>
      <c r="D35" s="7" t="s">
        <v>21</v>
      </c>
      <c r="E35" s="8" t="s">
        <v>22</v>
      </c>
      <c r="F35" s="9">
        <v>1</v>
      </c>
      <c r="G35" s="8">
        <v>0.375</v>
      </c>
      <c r="H35" s="8">
        <v>0.75</v>
      </c>
      <c r="I35" s="7" t="s">
        <v>23</v>
      </c>
      <c r="J35" s="7" t="s">
        <v>23</v>
      </c>
      <c r="K35" s="156" t="s">
        <v>23</v>
      </c>
      <c r="L35" s="156" t="s">
        <v>23</v>
      </c>
      <c r="M35" s="8">
        <v>0.375</v>
      </c>
      <c r="N35" s="8">
        <v>0.75</v>
      </c>
      <c r="O35" s="8">
        <v>0.375</v>
      </c>
      <c r="P35" s="8">
        <v>0.75</v>
      </c>
      <c r="Q35" s="8">
        <v>0.458333333333333</v>
      </c>
      <c r="R35" s="8">
        <v>0.666666666666667</v>
      </c>
      <c r="S35" s="8">
        <v>0.458333333333333</v>
      </c>
      <c r="T35" s="8">
        <v>0.666666666666667</v>
      </c>
      <c r="U35" s="21">
        <f>IFERROR(__xludf.DUMMYFUNCTION("TO_PURE_NUMBER(SUM(FILTER(G35:T35, ISEVEN(COLUMN(G35:T35))))-SUM(FILTER(G35:T35, ISODD(COLUMN(G35:T35)))))*24"),37)</f>
        <v>37</v>
      </c>
    </row>
    <row r="36" customHeight="1" spans="1:21">
      <c r="A36" s="7">
        <v>10293607</v>
      </c>
      <c r="B36" s="7" t="s">
        <v>65</v>
      </c>
      <c r="C36" s="7" t="s">
        <v>20</v>
      </c>
      <c r="D36" s="7" t="s">
        <v>21</v>
      </c>
      <c r="E36" s="8" t="s">
        <v>22</v>
      </c>
      <c r="F36" s="9">
        <v>3</v>
      </c>
      <c r="G36" s="7" t="s">
        <v>36</v>
      </c>
      <c r="H36" s="7" t="s">
        <v>36</v>
      </c>
      <c r="I36" s="8">
        <v>0.375</v>
      </c>
      <c r="J36" s="8">
        <v>0.791666666667879</v>
      </c>
      <c r="K36" s="7" t="s">
        <v>36</v>
      </c>
      <c r="L36" s="7" t="s">
        <v>36</v>
      </c>
      <c r="M36" s="8">
        <v>0.375</v>
      </c>
      <c r="N36" s="8">
        <v>0.791666666666667</v>
      </c>
      <c r="O36" s="156" t="s">
        <v>23</v>
      </c>
      <c r="P36" s="156" t="s">
        <v>23</v>
      </c>
      <c r="Q36" s="156" t="s">
        <v>23</v>
      </c>
      <c r="R36" s="156" t="s">
        <v>23</v>
      </c>
      <c r="S36" s="8">
        <v>0.458333333333333</v>
      </c>
      <c r="T36" s="8">
        <v>0.666666666666667</v>
      </c>
      <c r="U36" s="21">
        <f>IFERROR(__xludf.DUMMYFUNCTION("TO_PURE_NUMBER(SUM(FILTER(G36:T36, ISEVEN(COLUMN(G36:T36))))-SUM(FILTER(G36:T36, ISODD(COLUMN(G36:T36)))))*24"),25.000000000029)</f>
        <v>25.000000000029</v>
      </c>
    </row>
    <row r="37" customHeight="1" spans="1:21">
      <c r="A37" s="7">
        <v>10316545</v>
      </c>
      <c r="B37" s="7" t="s">
        <v>45</v>
      </c>
      <c r="C37" s="7" t="s">
        <v>20</v>
      </c>
      <c r="D37" s="7" t="s">
        <v>21</v>
      </c>
      <c r="E37" s="8" t="s">
        <v>22</v>
      </c>
      <c r="F37" s="9">
        <v>1</v>
      </c>
      <c r="G37" s="8">
        <v>0.5</v>
      </c>
      <c r="H37" s="8">
        <v>0.875</v>
      </c>
      <c r="I37" s="8">
        <v>0.5</v>
      </c>
      <c r="J37" s="8">
        <v>0.875</v>
      </c>
      <c r="K37" s="8">
        <v>0.5</v>
      </c>
      <c r="L37" s="8">
        <v>0.875</v>
      </c>
      <c r="M37" s="8">
        <v>0.5</v>
      </c>
      <c r="N37" s="8">
        <v>0.875</v>
      </c>
      <c r="O37" s="8">
        <v>0.5</v>
      </c>
      <c r="P37" s="8">
        <v>0.875</v>
      </c>
      <c r="Q37" s="156" t="s">
        <v>23</v>
      </c>
      <c r="R37" s="156" t="s">
        <v>23</v>
      </c>
      <c r="S37" s="156" t="s">
        <v>23</v>
      </c>
      <c r="T37" s="156" t="s">
        <v>23</v>
      </c>
      <c r="U37" s="21">
        <f>IFERROR(__xludf.DUMMYFUNCTION("TO_PURE_NUMBER(SUM(FILTER(G37:T37, ISEVEN(COLUMN(G37:T37))))-SUM(FILTER(G37:T37, ISODD(COLUMN(G37:T37)))))*24"),45)</f>
        <v>45</v>
      </c>
    </row>
    <row r="38" customHeight="1" spans="1:21">
      <c r="A38" s="7">
        <v>10316572</v>
      </c>
      <c r="B38" s="7" t="s">
        <v>46</v>
      </c>
      <c r="C38" s="7" t="s">
        <v>20</v>
      </c>
      <c r="D38" s="7" t="s">
        <v>21</v>
      </c>
      <c r="E38" s="8" t="s">
        <v>22</v>
      </c>
      <c r="F38" s="9">
        <v>2</v>
      </c>
      <c r="G38" s="8">
        <v>0.333333333332121</v>
      </c>
      <c r="H38" s="8">
        <v>0.75</v>
      </c>
      <c r="I38" s="8">
        <v>0.375</v>
      </c>
      <c r="J38" s="8">
        <v>0.791666666667879</v>
      </c>
      <c r="K38" s="8">
        <v>0.375</v>
      </c>
      <c r="L38" s="8">
        <v>0.791666666666667</v>
      </c>
      <c r="M38" s="8">
        <v>0.375</v>
      </c>
      <c r="N38" s="8">
        <v>0.791666666666667</v>
      </c>
      <c r="O38" s="156" t="s">
        <v>23</v>
      </c>
      <c r="P38" s="156" t="s">
        <v>23</v>
      </c>
      <c r="Q38" s="156" t="s">
        <v>23</v>
      </c>
      <c r="R38" s="156" t="s">
        <v>23</v>
      </c>
      <c r="S38" s="8">
        <v>0.416666666666667</v>
      </c>
      <c r="T38" s="8">
        <v>0.625</v>
      </c>
      <c r="U38" s="21">
        <f>IFERROR(__xludf.DUMMYFUNCTION("TO_PURE_NUMBER(SUM(FILTER(G38:T38, ISEVEN(COLUMN(G38:T38))))-SUM(FILTER(G38:T38, ISODD(COLUMN(G38:T38)))))*24"),45.0000000000582)</f>
        <v>45.0000000000582</v>
      </c>
    </row>
    <row r="39" customHeight="1" spans="1:21">
      <c r="A39" s="7">
        <v>10316685</v>
      </c>
      <c r="B39" s="7" t="s">
        <v>47</v>
      </c>
      <c r="C39" s="7" t="s">
        <v>89</v>
      </c>
      <c r="D39" s="7" t="s">
        <v>21</v>
      </c>
      <c r="E39" s="8" t="s">
        <v>22</v>
      </c>
      <c r="F39" s="9">
        <v>1</v>
      </c>
      <c r="G39" s="8">
        <v>0.375</v>
      </c>
      <c r="H39" s="8">
        <v>0.75</v>
      </c>
      <c r="I39" s="8">
        <v>0.375</v>
      </c>
      <c r="J39" s="8">
        <v>0.75</v>
      </c>
      <c r="K39" s="8">
        <v>0.375</v>
      </c>
      <c r="L39" s="8">
        <v>0.75</v>
      </c>
      <c r="M39" s="8">
        <v>0.375</v>
      </c>
      <c r="N39" s="8">
        <v>0.75</v>
      </c>
      <c r="O39" s="8">
        <v>0.375</v>
      </c>
      <c r="P39" s="8">
        <v>0.75</v>
      </c>
      <c r="Q39" s="156" t="s">
        <v>23</v>
      </c>
      <c r="R39" s="156" t="s">
        <v>23</v>
      </c>
      <c r="S39" s="156" t="s">
        <v>23</v>
      </c>
      <c r="T39" s="156" t="s">
        <v>23</v>
      </c>
      <c r="U39" s="21">
        <f>IFERROR(__xludf.DUMMYFUNCTION("TO_PURE_NUMBER(SUM(FILTER(G39:T39, ISEVEN(COLUMN(G39:T39))))-SUM(FILTER(G39:T39, ISODD(COLUMN(G39:T39)))))*24"),45)</f>
        <v>45</v>
      </c>
    </row>
    <row r="40" customHeight="1" spans="1:21">
      <c r="A40" s="7">
        <v>10274446</v>
      </c>
      <c r="B40" s="7" t="s">
        <v>88</v>
      </c>
      <c r="C40" s="7" t="s">
        <v>20</v>
      </c>
      <c r="D40" s="7" t="s">
        <v>21</v>
      </c>
      <c r="E40" s="8" t="s">
        <v>22</v>
      </c>
      <c r="F40" s="9">
        <v>2</v>
      </c>
      <c r="G40" s="8">
        <v>0.5</v>
      </c>
      <c r="H40" s="8">
        <v>0.875</v>
      </c>
      <c r="I40" s="7" t="s">
        <v>23</v>
      </c>
      <c r="J40" s="7" t="s">
        <v>23</v>
      </c>
      <c r="K40" s="156" t="s">
        <v>23</v>
      </c>
      <c r="L40" s="156" t="s">
        <v>23</v>
      </c>
      <c r="M40" s="8">
        <v>0.5</v>
      </c>
      <c r="N40" s="8">
        <v>0.875</v>
      </c>
      <c r="O40" s="8">
        <v>0.5</v>
      </c>
      <c r="P40" s="8">
        <v>0.875</v>
      </c>
      <c r="Q40" s="8">
        <v>0.458333333333333</v>
      </c>
      <c r="R40" s="8">
        <v>0.666666666666667</v>
      </c>
      <c r="S40" s="8">
        <v>0.458333333333333</v>
      </c>
      <c r="T40" s="8">
        <v>0.666666666666667</v>
      </c>
      <c r="U40" s="21">
        <f>IFERROR(__xludf.DUMMYFUNCTION("TO_PURE_NUMBER(SUM(FILTER(G40:T40, ISEVEN(COLUMN(G40:T40))))-SUM(FILTER(G40:T40, ISODD(COLUMN(G40:T40)))))*24"),37)</f>
        <v>37</v>
      </c>
    </row>
    <row r="41" customHeight="1" spans="1:21">
      <c r="A41" s="7">
        <v>10276839</v>
      </c>
      <c r="B41" s="7" t="s">
        <v>54</v>
      </c>
      <c r="C41" s="7" t="s">
        <v>20</v>
      </c>
      <c r="D41" s="7" t="s">
        <v>21</v>
      </c>
      <c r="E41" s="8" t="s">
        <v>22</v>
      </c>
      <c r="F41" s="9">
        <v>2</v>
      </c>
      <c r="G41" s="8">
        <v>0.458333333332121</v>
      </c>
      <c r="H41" s="8">
        <v>0.875</v>
      </c>
      <c r="I41" s="8">
        <v>0.458333333332121</v>
      </c>
      <c r="J41" s="8">
        <v>0.875</v>
      </c>
      <c r="K41" s="8">
        <v>0.458333333333333</v>
      </c>
      <c r="L41" s="8">
        <v>0.875</v>
      </c>
      <c r="M41" s="8">
        <v>0.458333333333333</v>
      </c>
      <c r="N41" s="8">
        <v>0.875</v>
      </c>
      <c r="O41" s="156" t="s">
        <v>23</v>
      </c>
      <c r="P41" s="156" t="s">
        <v>23</v>
      </c>
      <c r="Q41" s="156" t="s">
        <v>23</v>
      </c>
      <c r="R41" s="156" t="s">
        <v>23</v>
      </c>
      <c r="S41" s="8">
        <v>0.458333333333333</v>
      </c>
      <c r="T41" s="8">
        <v>0.666666666666667</v>
      </c>
      <c r="U41" s="21">
        <f>IFERROR(__xludf.DUMMYFUNCTION("TO_PURE_NUMBER(SUM(FILTER(G41:T41, ISEVEN(COLUMN(G41:T41))))-SUM(FILTER(G41:T41, ISODD(COLUMN(G41:T41)))))*24"),45.0000000000582)</f>
        <v>45.0000000000582</v>
      </c>
    </row>
    <row r="42" customHeight="1" spans="1:21">
      <c r="A42" s="7">
        <v>10320419</v>
      </c>
      <c r="B42" s="7" t="s">
        <v>69</v>
      </c>
      <c r="C42" s="7" t="s">
        <v>20</v>
      </c>
      <c r="D42" s="7" t="s">
        <v>21</v>
      </c>
      <c r="E42" s="8" t="s">
        <v>22</v>
      </c>
      <c r="F42" s="9">
        <v>3</v>
      </c>
      <c r="G42" s="7" t="s">
        <v>23</v>
      </c>
      <c r="H42" s="7" t="s">
        <v>23</v>
      </c>
      <c r="I42" s="8">
        <v>0.458333333332121</v>
      </c>
      <c r="J42" s="8">
        <v>0.875</v>
      </c>
      <c r="K42" s="8">
        <v>0.458333333333333</v>
      </c>
      <c r="L42" s="8">
        <v>0.875</v>
      </c>
      <c r="M42" s="8">
        <v>0.458333333333333</v>
      </c>
      <c r="N42" s="8">
        <v>0.875</v>
      </c>
      <c r="O42" s="8">
        <v>0.458333333333333</v>
      </c>
      <c r="P42" s="8">
        <v>0.875</v>
      </c>
      <c r="Q42" s="8">
        <v>0.458333333333333</v>
      </c>
      <c r="R42" s="8">
        <v>0.666666666666667</v>
      </c>
      <c r="S42" s="156" t="s">
        <v>23</v>
      </c>
      <c r="T42" s="156" t="s">
        <v>23</v>
      </c>
      <c r="U42" s="21">
        <f>IFERROR(__xludf.DUMMYFUNCTION("TO_PURE_NUMBER(SUM(FILTER(G42:T42, ISEVEN(COLUMN(G42:T42))))-SUM(FILTER(G42:T42, ISODD(COLUMN(G42:T42)))))*24"),45.0000000000291)</f>
        <v>45.0000000000291</v>
      </c>
    </row>
    <row r="43" customHeight="1" spans="1:21">
      <c r="A43" s="7">
        <v>10316546</v>
      </c>
      <c r="B43" s="7" t="s">
        <v>49</v>
      </c>
      <c r="C43" s="7" t="s">
        <v>20</v>
      </c>
      <c r="D43" s="7" t="s">
        <v>21</v>
      </c>
      <c r="E43" s="8" t="s">
        <v>22</v>
      </c>
      <c r="F43" s="9">
        <v>1</v>
      </c>
      <c r="G43" s="8">
        <v>0.375</v>
      </c>
      <c r="H43" s="8">
        <v>0.75</v>
      </c>
      <c r="I43" s="7" t="s">
        <v>23</v>
      </c>
      <c r="J43" s="7" t="s">
        <v>23</v>
      </c>
      <c r="K43" s="156" t="s">
        <v>23</v>
      </c>
      <c r="L43" s="156" t="s">
        <v>23</v>
      </c>
      <c r="M43" s="8">
        <v>0.375</v>
      </c>
      <c r="N43" s="8">
        <v>0.75</v>
      </c>
      <c r="O43" s="8">
        <v>0.375</v>
      </c>
      <c r="P43" s="8">
        <v>0.75</v>
      </c>
      <c r="Q43" s="8">
        <v>0.458333333333333</v>
      </c>
      <c r="R43" s="8">
        <v>0.666666666666667</v>
      </c>
      <c r="S43" s="8">
        <v>0.458333333333333</v>
      </c>
      <c r="T43" s="8">
        <v>0.666666666666667</v>
      </c>
      <c r="U43" s="21">
        <f>IFERROR(__xludf.DUMMYFUNCTION("TO_PURE_NUMBER(SUM(FILTER(G43:T43, ISEVEN(COLUMN(G43:T43))))-SUM(FILTER(G43:T43, ISODD(COLUMN(G43:T43)))))*24"),37)</f>
        <v>37</v>
      </c>
    </row>
    <row r="44" customHeight="1" spans="1:21">
      <c r="A44" s="7">
        <v>10316551</v>
      </c>
      <c r="B44" s="7" t="s">
        <v>87</v>
      </c>
      <c r="C44" s="7" t="s">
        <v>20</v>
      </c>
      <c r="D44" s="7" t="s">
        <v>21</v>
      </c>
      <c r="E44" s="8" t="s">
        <v>22</v>
      </c>
      <c r="F44" s="9">
        <v>1</v>
      </c>
      <c r="G44" s="8">
        <v>0.375</v>
      </c>
      <c r="H44" s="8">
        <v>0.791666666667879</v>
      </c>
      <c r="I44" s="8">
        <v>0.375</v>
      </c>
      <c r="J44" s="8">
        <v>0.791666666667879</v>
      </c>
      <c r="K44" s="8">
        <v>0.375</v>
      </c>
      <c r="L44" s="8">
        <v>0.791666666666667</v>
      </c>
      <c r="M44" s="8">
        <v>0.375</v>
      </c>
      <c r="N44" s="8">
        <v>0.791666666666667</v>
      </c>
      <c r="O44" s="156" t="s">
        <v>23</v>
      </c>
      <c r="P44" s="156" t="s">
        <v>23</v>
      </c>
      <c r="Q44" s="156" t="s">
        <v>23</v>
      </c>
      <c r="R44" s="156" t="s">
        <v>23</v>
      </c>
      <c r="S44" s="8">
        <v>0.458333333333333</v>
      </c>
      <c r="T44" s="8">
        <v>0.666666666666667</v>
      </c>
      <c r="U44" s="21">
        <f>IFERROR(__xludf.DUMMYFUNCTION("TO_PURE_NUMBER(SUM(FILTER(G44:T44, ISEVEN(COLUMN(G44:T44))))-SUM(FILTER(G44:T44, ISODD(COLUMN(G44:T44)))))*24"),45.0000000000582)</f>
        <v>45.0000000000582</v>
      </c>
    </row>
    <row r="45" customHeight="1" spans="1:21">
      <c r="A45" s="7">
        <v>10320435</v>
      </c>
      <c r="B45" s="7" t="s">
        <v>71</v>
      </c>
      <c r="C45" s="7" t="s">
        <v>20</v>
      </c>
      <c r="D45" s="7" t="s">
        <v>21</v>
      </c>
      <c r="E45" s="8" t="s">
        <v>22</v>
      </c>
      <c r="F45" s="9">
        <v>3</v>
      </c>
      <c r="G45" s="8">
        <v>0.5</v>
      </c>
      <c r="H45" s="8">
        <v>0.875</v>
      </c>
      <c r="I45" s="8">
        <v>0.5</v>
      </c>
      <c r="J45" s="8">
        <v>0.875</v>
      </c>
      <c r="K45" s="8">
        <v>0.5</v>
      </c>
      <c r="L45" s="8">
        <v>0.875</v>
      </c>
      <c r="M45" s="8">
        <v>0.5</v>
      </c>
      <c r="N45" s="8">
        <v>0.875</v>
      </c>
      <c r="O45" s="8">
        <v>0.5</v>
      </c>
      <c r="P45" s="8">
        <v>0.875</v>
      </c>
      <c r="Q45" s="156" t="s">
        <v>23</v>
      </c>
      <c r="R45" s="156" t="s">
        <v>23</v>
      </c>
      <c r="S45" s="156" t="s">
        <v>23</v>
      </c>
      <c r="T45" s="156" t="s">
        <v>23</v>
      </c>
      <c r="U45" s="21">
        <f>IFERROR(__xludf.DUMMYFUNCTION("TO_PURE_NUMBER(SUM(FILTER(G45:T45, ISEVEN(COLUMN(G45:T45))))-SUM(FILTER(G45:T45, ISODD(COLUMN(G45:T45)))))*24"),45)</f>
        <v>45</v>
      </c>
    </row>
    <row r="46" customHeight="1" spans="1:21">
      <c r="A46" s="7">
        <v>10316683</v>
      </c>
      <c r="B46" s="7" t="s">
        <v>51</v>
      </c>
      <c r="C46" s="7" t="s">
        <v>20</v>
      </c>
      <c r="D46" s="7" t="s">
        <v>21</v>
      </c>
      <c r="E46" s="8" t="s">
        <v>22</v>
      </c>
      <c r="F46" s="9">
        <v>1</v>
      </c>
      <c r="G46" s="8">
        <v>0.5</v>
      </c>
      <c r="H46" s="8">
        <v>0.875</v>
      </c>
      <c r="I46" s="8">
        <v>0.5</v>
      </c>
      <c r="J46" s="8">
        <v>0.875</v>
      </c>
      <c r="K46" s="8">
        <v>0.5</v>
      </c>
      <c r="L46" s="8">
        <v>0.875</v>
      </c>
      <c r="M46" s="8">
        <v>0.5</v>
      </c>
      <c r="N46" s="8">
        <v>0.875</v>
      </c>
      <c r="O46" s="8">
        <v>0.5</v>
      </c>
      <c r="P46" s="8">
        <v>0.875</v>
      </c>
      <c r="Q46" s="156" t="s">
        <v>23</v>
      </c>
      <c r="R46" s="156" t="s">
        <v>23</v>
      </c>
      <c r="S46" s="156" t="s">
        <v>23</v>
      </c>
      <c r="T46" s="156" t="s">
        <v>23</v>
      </c>
      <c r="U46" s="21">
        <f>IFERROR(__xludf.DUMMYFUNCTION("TO_PURE_NUMBER(SUM(FILTER(G46:T46, ISEVEN(COLUMN(G46:T46))))-SUM(FILTER(G46:T46, ISODD(COLUMN(G46:T46)))))*24"),45)</f>
        <v>45</v>
      </c>
    </row>
    <row r="47" customHeight="1" spans="1:21">
      <c r="A47" s="7">
        <v>10316540</v>
      </c>
      <c r="B47" s="7" t="s">
        <v>30</v>
      </c>
      <c r="C47" s="7" t="s">
        <v>20</v>
      </c>
      <c r="D47" s="7" t="s">
        <v>86</v>
      </c>
      <c r="E47" s="8" t="s">
        <v>22</v>
      </c>
      <c r="F47" s="9">
        <v>1</v>
      </c>
      <c r="G47" s="8">
        <v>0.375</v>
      </c>
      <c r="H47" s="8">
        <v>0.75</v>
      </c>
      <c r="I47" s="8">
        <v>0.375</v>
      </c>
      <c r="J47" s="8">
        <v>0.75</v>
      </c>
      <c r="K47" s="8">
        <v>0.375</v>
      </c>
      <c r="L47" s="8">
        <v>0.75</v>
      </c>
      <c r="M47" s="8">
        <v>0.375</v>
      </c>
      <c r="N47" s="8">
        <v>0.75</v>
      </c>
      <c r="O47" s="8">
        <v>0.375</v>
      </c>
      <c r="P47" s="8">
        <v>0.75</v>
      </c>
      <c r="Q47" s="156" t="s">
        <v>23</v>
      </c>
      <c r="R47" s="156" t="s">
        <v>23</v>
      </c>
      <c r="S47" s="156" t="s">
        <v>23</v>
      </c>
      <c r="T47" s="156" t="s">
        <v>23</v>
      </c>
      <c r="U47" s="21">
        <f>IFERROR(__xludf.DUMMYFUNCTION("TO_PURE_NUMBER(SUM(FILTER(G47:T47, ISEVEN(COLUMN(G47:T47))))-SUM(FILTER(G47:T47, ISODD(COLUMN(G47:T47)))))*24"),45)</f>
        <v>45</v>
      </c>
    </row>
    <row r="48" customHeight="1" spans="1:21">
      <c r="A48" s="7">
        <v>10293627</v>
      </c>
      <c r="B48" s="7" t="s">
        <v>92</v>
      </c>
      <c r="C48" s="7" t="s">
        <v>20</v>
      </c>
      <c r="D48" s="7" t="s">
        <v>21</v>
      </c>
      <c r="E48" s="8" t="s">
        <v>22</v>
      </c>
      <c r="F48" s="9">
        <v>3</v>
      </c>
      <c r="G48" s="8">
        <v>0.458333333332121</v>
      </c>
      <c r="H48" s="8">
        <v>0.875</v>
      </c>
      <c r="I48" s="8">
        <v>0.458333333332121</v>
      </c>
      <c r="J48" s="8">
        <v>0.875</v>
      </c>
      <c r="K48" s="8">
        <v>0.458333333333333</v>
      </c>
      <c r="L48" s="8">
        <v>0.875</v>
      </c>
      <c r="M48" s="8">
        <v>0.458333333333333</v>
      </c>
      <c r="N48" s="8">
        <v>0.875</v>
      </c>
      <c r="O48" s="156" t="s">
        <v>23</v>
      </c>
      <c r="P48" s="156" t="s">
        <v>23</v>
      </c>
      <c r="Q48" s="156" t="s">
        <v>23</v>
      </c>
      <c r="R48" s="156" t="s">
        <v>23</v>
      </c>
      <c r="S48" s="8">
        <v>0.458333333333333</v>
      </c>
      <c r="T48" s="8">
        <v>0.666666666666667</v>
      </c>
      <c r="U48" s="21">
        <f>IFERROR(__xludf.DUMMYFUNCTION("TO_PURE_NUMBER(SUM(FILTER(G48:T48, ISEVEN(COLUMN(G48:T48))))-SUM(FILTER(G48:T48, ISODD(COLUMN(G48:T48)))))*24"),45.0000000000582)</f>
        <v>45.0000000000582</v>
      </c>
    </row>
    <row r="49" customHeight="1" spans="1:21">
      <c r="A49" s="7">
        <v>10320409</v>
      </c>
      <c r="B49" s="7" t="s">
        <v>57</v>
      </c>
      <c r="C49" s="7" t="s">
        <v>20</v>
      </c>
      <c r="D49" s="7" t="s">
        <v>21</v>
      </c>
      <c r="E49" s="8" t="s">
        <v>22</v>
      </c>
      <c r="F49" s="9">
        <v>3</v>
      </c>
      <c r="G49" s="8">
        <v>0.5</v>
      </c>
      <c r="H49" s="8">
        <v>0.875</v>
      </c>
      <c r="I49" s="7" t="s">
        <v>23</v>
      </c>
      <c r="J49" s="7" t="s">
        <v>23</v>
      </c>
      <c r="K49" s="156" t="s">
        <v>23</v>
      </c>
      <c r="L49" s="156" t="s">
        <v>23</v>
      </c>
      <c r="M49" s="8">
        <v>0.375</v>
      </c>
      <c r="N49" s="8">
        <v>0.75</v>
      </c>
      <c r="O49" s="8">
        <v>0.375</v>
      </c>
      <c r="P49" s="8">
        <v>0.75</v>
      </c>
      <c r="Q49" s="8">
        <v>0.458333333333333</v>
      </c>
      <c r="R49" s="8">
        <v>0.666666666666667</v>
      </c>
      <c r="S49" s="8">
        <v>0.458333333333333</v>
      </c>
      <c r="T49" s="8">
        <v>0.666666666666667</v>
      </c>
      <c r="U49" s="21">
        <f>IFERROR(__xludf.DUMMYFUNCTION("TO_PURE_NUMBER(SUM(FILTER(G49:T49, ISEVEN(COLUMN(G49:T49))))-SUM(FILTER(G49:T49, ISODD(COLUMN(G49:T49)))))*24"),37)</f>
        <v>37</v>
      </c>
    </row>
    <row r="50" customHeight="1" spans="1:21">
      <c r="A50" s="7">
        <v>10317151</v>
      </c>
      <c r="B50" s="7" t="s">
        <v>52</v>
      </c>
      <c r="C50" s="7" t="s">
        <v>20</v>
      </c>
      <c r="D50" s="7" t="s">
        <v>86</v>
      </c>
      <c r="E50" s="8" t="s">
        <v>22</v>
      </c>
      <c r="F50" s="9">
        <v>1</v>
      </c>
      <c r="G50" s="8">
        <v>0.375</v>
      </c>
      <c r="H50" s="8">
        <v>0.75</v>
      </c>
      <c r="I50" s="8">
        <v>0.375</v>
      </c>
      <c r="J50" s="8">
        <v>0.75</v>
      </c>
      <c r="K50" s="8">
        <v>0.375</v>
      </c>
      <c r="L50" s="8">
        <v>0.75</v>
      </c>
      <c r="M50" s="8">
        <v>0.375</v>
      </c>
      <c r="N50" s="8">
        <v>0.75</v>
      </c>
      <c r="O50" s="8">
        <v>0.375</v>
      </c>
      <c r="P50" s="8">
        <v>0.75</v>
      </c>
      <c r="Q50" s="156" t="s">
        <v>23</v>
      </c>
      <c r="R50" s="156" t="s">
        <v>23</v>
      </c>
      <c r="S50" s="156" t="s">
        <v>23</v>
      </c>
      <c r="T50" s="156" t="s">
        <v>23</v>
      </c>
      <c r="U50" s="21">
        <f>IFERROR(__xludf.DUMMYFUNCTION("TO_PURE_NUMBER(SUM(FILTER(G50:T50, ISEVEN(COLUMN(G50:T50))))-SUM(FILTER(G50:T50, ISODD(COLUMN(G50:T50)))))*24"),45)</f>
        <v>45</v>
      </c>
    </row>
    <row r="51" customHeight="1" spans="1:21">
      <c r="A51" s="7">
        <v>10317524</v>
      </c>
      <c r="B51" s="7" t="s">
        <v>53</v>
      </c>
      <c r="C51" s="7" t="s">
        <v>20</v>
      </c>
      <c r="D51" s="7" t="s">
        <v>21</v>
      </c>
      <c r="E51" s="8" t="s">
        <v>22</v>
      </c>
      <c r="F51" s="9">
        <v>2</v>
      </c>
      <c r="G51" s="7" t="s">
        <v>23</v>
      </c>
      <c r="H51" s="7" t="s">
        <v>23</v>
      </c>
      <c r="I51" s="8">
        <v>0.375</v>
      </c>
      <c r="J51" s="8">
        <v>0.791666666667879</v>
      </c>
      <c r="K51" s="8">
        <v>0.375</v>
      </c>
      <c r="L51" s="8">
        <v>0.791666666666667</v>
      </c>
      <c r="M51" s="8">
        <v>0.375</v>
      </c>
      <c r="N51" s="8">
        <v>0.791666666666667</v>
      </c>
      <c r="O51" s="8">
        <v>0.375</v>
      </c>
      <c r="P51" s="8">
        <v>0.791666666666667</v>
      </c>
      <c r="Q51" s="8">
        <v>0.458333333333333</v>
      </c>
      <c r="R51" s="8">
        <v>0.666666666666667</v>
      </c>
      <c r="S51" s="156" t="s">
        <v>23</v>
      </c>
      <c r="T51" s="156" t="s">
        <v>23</v>
      </c>
      <c r="U51" s="21">
        <f>IFERROR(__xludf.DUMMYFUNCTION("TO_PURE_NUMBER(SUM(FILTER(G51:T51, ISEVEN(COLUMN(G51:T51))))-SUM(FILTER(G51:T51, ISODD(COLUMN(G51:T51)))))*24"),45.000000000029)</f>
        <v>45.000000000029</v>
      </c>
    </row>
  </sheetData>
  <mergeCells count="14">
    <mergeCell ref="G1:H1"/>
    <mergeCell ref="I1:J1"/>
    <mergeCell ref="K1:L1"/>
    <mergeCell ref="M1:N1"/>
    <mergeCell ref="O1:P1"/>
    <mergeCell ref="Q1:R1"/>
    <mergeCell ref="S1:T1"/>
    <mergeCell ref="G3:H3"/>
    <mergeCell ref="I3:J3"/>
    <mergeCell ref="K3:L3"/>
    <mergeCell ref="M3:N3"/>
    <mergeCell ref="O3:P3"/>
    <mergeCell ref="Q3:R3"/>
    <mergeCell ref="S3:T3"/>
  </mergeCells>
  <conditionalFormatting sqref="G4:T51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  <cfRule type="containsText" dxfId="3" priority="2" operator="between" text="OFF">
      <formula>NOT(ISERROR(SEARCH("OFF",G4)))</formula>
    </cfRule>
    <cfRule type="containsText" dxfId="7" priority="3" operator="between" text="AN">
      <formula>NOT(ISERROR(SEARCH("AN",G4)))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51"/>
  <sheetViews>
    <sheetView workbookViewId="0">
      <selection activeCell="A1" sqref="A1:A2"/>
    </sheetView>
  </sheetViews>
  <sheetFormatPr defaultColWidth="12.6272727272727" defaultRowHeight="15.75" customHeight="1"/>
  <cols>
    <col min="2" max="2" width="18.7545454545455" customWidth="1"/>
  </cols>
  <sheetData>
    <row r="1" customHeight="1" spans="1:20">
      <c r="A1" s="175" t="s">
        <v>0</v>
      </c>
      <c r="B1" s="175" t="s">
        <v>1</v>
      </c>
      <c r="C1" s="175" t="s">
        <v>2</v>
      </c>
      <c r="D1" s="175" t="s">
        <v>3</v>
      </c>
      <c r="E1" s="175" t="s">
        <v>4</v>
      </c>
      <c r="F1" s="176" t="s">
        <v>5</v>
      </c>
      <c r="G1" s="177">
        <v>45663</v>
      </c>
      <c r="H1" s="14"/>
      <c r="I1" s="177">
        <v>45664</v>
      </c>
      <c r="J1" s="14"/>
      <c r="K1" s="177">
        <v>45665</v>
      </c>
      <c r="L1" s="14"/>
      <c r="M1" s="177">
        <v>45666</v>
      </c>
      <c r="N1" s="14"/>
      <c r="O1" s="177">
        <v>45667</v>
      </c>
      <c r="P1" s="14"/>
      <c r="Q1" s="177">
        <v>45668</v>
      </c>
      <c r="R1" s="14"/>
      <c r="S1" s="177">
        <v>45669</v>
      </c>
      <c r="T1" s="14"/>
    </row>
    <row r="2" customHeight="1" spans="1:20">
      <c r="A2" s="5"/>
      <c r="B2" s="5"/>
      <c r="C2" s="5"/>
      <c r="D2" s="5"/>
      <c r="E2" s="5"/>
      <c r="F2" s="5"/>
      <c r="G2" s="178" t="s">
        <v>6</v>
      </c>
      <c r="H2" s="14"/>
      <c r="I2" s="178" t="s">
        <v>7</v>
      </c>
      <c r="J2" s="14"/>
      <c r="K2" s="178" t="s">
        <v>8</v>
      </c>
      <c r="L2" s="14"/>
      <c r="M2" s="178" t="s">
        <v>9</v>
      </c>
      <c r="N2" s="14"/>
      <c r="O2" s="178" t="s">
        <v>10</v>
      </c>
      <c r="P2" s="14"/>
      <c r="Q2" s="178" t="s">
        <v>11</v>
      </c>
      <c r="R2" s="14"/>
      <c r="S2" s="178" t="s">
        <v>12</v>
      </c>
      <c r="T2" s="14"/>
    </row>
    <row r="3" customHeight="1" spans="1:20">
      <c r="A3" s="179"/>
      <c r="B3" s="179"/>
      <c r="C3" s="179"/>
      <c r="D3" s="179"/>
      <c r="E3" s="179"/>
      <c r="F3" s="179"/>
      <c r="G3" s="179" t="s">
        <v>13</v>
      </c>
      <c r="H3" s="179" t="s">
        <v>14</v>
      </c>
      <c r="I3" s="179" t="s">
        <v>13</v>
      </c>
      <c r="J3" s="179" t="s">
        <v>14</v>
      </c>
      <c r="K3" s="179" t="s">
        <v>13</v>
      </c>
      <c r="L3" s="179" t="s">
        <v>14</v>
      </c>
      <c r="M3" s="179" t="s">
        <v>13</v>
      </c>
      <c r="N3" s="179" t="s">
        <v>14</v>
      </c>
      <c r="O3" s="179" t="s">
        <v>13</v>
      </c>
      <c r="P3" s="179" t="s">
        <v>14</v>
      </c>
      <c r="Q3" s="179" t="s">
        <v>13</v>
      </c>
      <c r="R3" s="179" t="s">
        <v>14</v>
      </c>
      <c r="S3" s="179" t="s">
        <v>13</v>
      </c>
      <c r="T3" s="179" t="s">
        <v>14</v>
      </c>
    </row>
    <row r="4" customHeight="1" spans="1:21">
      <c r="A4" s="7">
        <v>10320410</v>
      </c>
      <c r="B4" s="8" t="s">
        <v>58</v>
      </c>
      <c r="C4" s="7" t="s">
        <v>20</v>
      </c>
      <c r="D4" s="7" t="s">
        <v>21</v>
      </c>
      <c r="E4" s="8" t="s">
        <v>22</v>
      </c>
      <c r="F4" s="9">
        <v>3</v>
      </c>
      <c r="G4" s="8">
        <v>0.375</v>
      </c>
      <c r="H4" s="8">
        <v>0.75</v>
      </c>
      <c r="I4" s="8">
        <v>0.375</v>
      </c>
      <c r="J4" s="8">
        <v>0.75</v>
      </c>
      <c r="K4" s="8">
        <v>0.375</v>
      </c>
      <c r="L4" s="8">
        <v>0.75</v>
      </c>
      <c r="M4" s="8">
        <v>0.375</v>
      </c>
      <c r="N4" s="8">
        <v>0.75</v>
      </c>
      <c r="O4" s="8">
        <v>0.375</v>
      </c>
      <c r="P4" s="8">
        <v>0.75</v>
      </c>
      <c r="Q4" s="7" t="s">
        <v>23</v>
      </c>
      <c r="R4" s="7" t="s">
        <v>23</v>
      </c>
      <c r="S4" s="7" t="s">
        <v>23</v>
      </c>
      <c r="T4" s="7" t="s">
        <v>23</v>
      </c>
      <c r="U4" s="21">
        <f>IFERROR(__xludf.DUMMYFUNCTION("TO_PURE_NUMBER(SUM(FILTER(G4:T4, ISEVEN(COLUMN(G4:T4))))-SUM(FILTER(G4:T4, ISODD(COLUMN(G4:T4)))))*24"),45)</f>
        <v>45</v>
      </c>
    </row>
    <row r="5" customHeight="1" spans="1:21">
      <c r="A5" s="7">
        <v>10320415</v>
      </c>
      <c r="B5" s="8" t="s">
        <v>63</v>
      </c>
      <c r="C5" s="7" t="s">
        <v>20</v>
      </c>
      <c r="D5" s="7" t="s">
        <v>21</v>
      </c>
      <c r="E5" s="8" t="s">
        <v>22</v>
      </c>
      <c r="F5" s="9">
        <v>3</v>
      </c>
      <c r="G5" s="8">
        <v>0.458333333333333</v>
      </c>
      <c r="H5" s="8">
        <v>0.875</v>
      </c>
      <c r="I5" s="8">
        <v>0.458333333333333</v>
      </c>
      <c r="J5" s="8">
        <v>0.875</v>
      </c>
      <c r="K5" s="8">
        <v>0.458333333333333</v>
      </c>
      <c r="L5" s="8">
        <v>0.875</v>
      </c>
      <c r="M5" s="8">
        <v>0.458333333333333</v>
      </c>
      <c r="N5" s="8">
        <v>0.875</v>
      </c>
      <c r="O5" s="7" t="s">
        <v>23</v>
      </c>
      <c r="P5" s="7" t="s">
        <v>23</v>
      </c>
      <c r="Q5" s="7" t="s">
        <v>23</v>
      </c>
      <c r="R5" s="7" t="s">
        <v>23</v>
      </c>
      <c r="S5" s="8">
        <v>0.458333333333333</v>
      </c>
      <c r="T5" s="8">
        <v>0.666666666666667</v>
      </c>
      <c r="U5" s="21">
        <f>IFERROR(__xludf.DUMMYFUNCTION("TO_PURE_NUMBER(SUM(FILTER(G5:T5, ISEVEN(COLUMN(G5:T5))))-SUM(FILTER(G5:T5, ISODD(COLUMN(G5:T5)))))*24"),45)</f>
        <v>45</v>
      </c>
    </row>
    <row r="6" customHeight="1" spans="1:21">
      <c r="A6" s="7">
        <v>10317522</v>
      </c>
      <c r="B6" s="8" t="s">
        <v>31</v>
      </c>
      <c r="C6" s="7" t="s">
        <v>20</v>
      </c>
      <c r="D6" s="7" t="s">
        <v>21</v>
      </c>
      <c r="E6" s="8" t="s">
        <v>22</v>
      </c>
      <c r="F6" s="9">
        <v>2</v>
      </c>
      <c r="G6" s="7" t="s">
        <v>36</v>
      </c>
      <c r="H6" s="7" t="s">
        <v>36</v>
      </c>
      <c r="I6" s="7" t="s">
        <v>36</v>
      </c>
      <c r="J6" s="7" t="s">
        <v>36</v>
      </c>
      <c r="K6" s="8">
        <v>0.458333333333333</v>
      </c>
      <c r="L6" s="8">
        <v>0.875</v>
      </c>
      <c r="M6" s="8">
        <v>0.458333333333333</v>
      </c>
      <c r="N6" s="8">
        <v>0.875</v>
      </c>
      <c r="O6" s="7" t="s">
        <v>23</v>
      </c>
      <c r="P6" s="7" t="s">
        <v>23</v>
      </c>
      <c r="Q6" s="7" t="s">
        <v>23</v>
      </c>
      <c r="R6" s="7" t="s">
        <v>23</v>
      </c>
      <c r="S6" s="8">
        <v>0.458333333333333</v>
      </c>
      <c r="T6" s="8">
        <v>0.666666666666667</v>
      </c>
      <c r="U6" s="21">
        <f>IFERROR(__xludf.DUMMYFUNCTION("TO_PURE_NUMBER(SUM(FILTER(G6:T6, ISEVEN(COLUMN(G6:T6))))-SUM(FILTER(G6:T6, ISODD(COLUMN(G6:T6)))))*24"),24.9999999999999)</f>
        <v>24.9999999999999</v>
      </c>
    </row>
    <row r="7" customHeight="1" spans="1:21">
      <c r="A7" s="7">
        <v>10316549</v>
      </c>
      <c r="B7" s="8" t="s">
        <v>19</v>
      </c>
      <c r="C7" s="7" t="s">
        <v>20</v>
      </c>
      <c r="D7" s="7" t="s">
        <v>86</v>
      </c>
      <c r="E7" s="8" t="s">
        <v>22</v>
      </c>
      <c r="F7" s="9">
        <v>1</v>
      </c>
      <c r="G7" s="7" t="s">
        <v>36</v>
      </c>
      <c r="H7" s="7" t="s">
        <v>36</v>
      </c>
      <c r="I7" s="8">
        <v>0.375</v>
      </c>
      <c r="J7" s="8">
        <v>0.75</v>
      </c>
      <c r="K7" s="8">
        <v>0.375</v>
      </c>
      <c r="L7" s="8">
        <v>0.75</v>
      </c>
      <c r="M7" s="8">
        <v>0.375</v>
      </c>
      <c r="N7" s="8">
        <v>0.75</v>
      </c>
      <c r="O7" s="8">
        <v>0.375</v>
      </c>
      <c r="P7" s="8">
        <v>0.75</v>
      </c>
      <c r="Q7" s="7" t="s">
        <v>23</v>
      </c>
      <c r="R7" s="7" t="s">
        <v>23</v>
      </c>
      <c r="S7" s="7" t="s">
        <v>23</v>
      </c>
      <c r="T7" s="7" t="s">
        <v>23</v>
      </c>
      <c r="U7" s="21">
        <f>IFERROR(__xludf.DUMMYFUNCTION("TO_PURE_NUMBER(SUM(FILTER(G7:T7, ISEVEN(COLUMN(G7:T7))))-SUM(FILTER(G7:T7, ISODD(COLUMN(G7:T7)))))*24"),36)</f>
        <v>36</v>
      </c>
    </row>
    <row r="8" customHeight="1" spans="1:21">
      <c r="A8" s="7">
        <v>10320413</v>
      </c>
      <c r="B8" s="8" t="s">
        <v>60</v>
      </c>
      <c r="C8" s="7" t="s">
        <v>20</v>
      </c>
      <c r="D8" s="7" t="s">
        <v>21</v>
      </c>
      <c r="E8" s="8" t="s">
        <v>22</v>
      </c>
      <c r="F8" s="9">
        <v>3</v>
      </c>
      <c r="G8" s="8">
        <v>0.458333333333333</v>
      </c>
      <c r="H8" s="8">
        <v>0.875</v>
      </c>
      <c r="I8" s="8">
        <v>0.458333333333333</v>
      </c>
      <c r="J8" s="8">
        <v>0.875</v>
      </c>
      <c r="K8" s="8">
        <v>0.458333333333333</v>
      </c>
      <c r="L8" s="8">
        <v>0.875</v>
      </c>
      <c r="M8" s="8">
        <v>0.458333333333333</v>
      </c>
      <c r="N8" s="8">
        <v>0.875</v>
      </c>
      <c r="O8" s="7" t="s">
        <v>23</v>
      </c>
      <c r="P8" s="7" t="s">
        <v>23</v>
      </c>
      <c r="Q8" s="7" t="s">
        <v>23</v>
      </c>
      <c r="R8" s="7" t="s">
        <v>23</v>
      </c>
      <c r="S8" s="8">
        <v>0.458333333333333</v>
      </c>
      <c r="T8" s="8">
        <v>0.666666666666667</v>
      </c>
      <c r="U8" s="21">
        <f>IFERROR(__xludf.DUMMYFUNCTION("TO_PURE_NUMBER(SUM(FILTER(G8:T8, ISEVEN(COLUMN(G8:T8))))-SUM(FILTER(G8:T8, ISODD(COLUMN(G8:T8)))))*24"),45)</f>
        <v>45</v>
      </c>
    </row>
    <row r="9" customHeight="1" spans="1:21">
      <c r="A9" s="7">
        <v>10320408</v>
      </c>
      <c r="B9" s="8" t="s">
        <v>56</v>
      </c>
      <c r="C9" s="7" t="s">
        <v>20</v>
      </c>
      <c r="D9" s="7" t="s">
        <v>21</v>
      </c>
      <c r="E9" s="8" t="s">
        <v>22</v>
      </c>
      <c r="F9" s="9">
        <v>3</v>
      </c>
      <c r="G9" s="8">
        <v>0.375</v>
      </c>
      <c r="H9" s="8">
        <v>0.75</v>
      </c>
      <c r="I9" s="8">
        <v>0.375</v>
      </c>
      <c r="J9" s="8">
        <v>0.75</v>
      </c>
      <c r="K9" s="8">
        <v>0.375</v>
      </c>
      <c r="L9" s="8">
        <v>0.75</v>
      </c>
      <c r="M9" s="8">
        <v>0.375</v>
      </c>
      <c r="N9" s="8">
        <v>0.75</v>
      </c>
      <c r="O9" s="7" t="s">
        <v>23</v>
      </c>
      <c r="P9" s="7" t="s">
        <v>23</v>
      </c>
      <c r="Q9" s="7" t="s">
        <v>23</v>
      </c>
      <c r="R9" s="7" t="s">
        <v>23</v>
      </c>
      <c r="S9" s="8">
        <v>0.458333333333333</v>
      </c>
      <c r="T9" s="8">
        <v>0.666666666666667</v>
      </c>
      <c r="U9" s="21">
        <f>IFERROR(__xludf.DUMMYFUNCTION("TO_PURE_NUMBER(SUM(FILTER(G9:T9, ISEVEN(COLUMN(G9:T9))))-SUM(FILTER(G9:T9, ISODD(COLUMN(G9:T9)))))*24"),41)</f>
        <v>41</v>
      </c>
    </row>
    <row r="10" customHeight="1" spans="1:21">
      <c r="A10" s="7">
        <v>10317147</v>
      </c>
      <c r="B10" s="8" t="s">
        <v>24</v>
      </c>
      <c r="C10" s="7" t="s">
        <v>20</v>
      </c>
      <c r="D10" s="7" t="s">
        <v>21</v>
      </c>
      <c r="E10" s="8" t="s">
        <v>22</v>
      </c>
      <c r="F10" s="9">
        <v>1</v>
      </c>
      <c r="G10" s="7" t="s">
        <v>23</v>
      </c>
      <c r="H10" s="7" t="s">
        <v>23</v>
      </c>
      <c r="I10" s="8">
        <v>0.458333333333333</v>
      </c>
      <c r="J10" s="8">
        <v>0.875</v>
      </c>
      <c r="K10" s="8">
        <v>0.458333333333333</v>
      </c>
      <c r="L10" s="8">
        <v>0.875</v>
      </c>
      <c r="M10" s="8">
        <v>0.458333333333333</v>
      </c>
      <c r="N10" s="8">
        <v>0.875</v>
      </c>
      <c r="O10" s="8">
        <v>0.458333333333333</v>
      </c>
      <c r="P10" s="8">
        <v>0.875</v>
      </c>
      <c r="Q10" s="8">
        <v>0.458333333333333</v>
      </c>
      <c r="R10" s="8">
        <v>0.666666666666667</v>
      </c>
      <c r="S10" s="7" t="s">
        <v>23</v>
      </c>
      <c r="T10" s="7" t="s">
        <v>23</v>
      </c>
      <c r="U10" s="21">
        <f>IFERROR(__xludf.DUMMYFUNCTION("TO_PURE_NUMBER(SUM(FILTER(G10:T10, ISEVEN(COLUMN(G10:T10))))-SUM(FILTER(G10:T10, ISODD(COLUMN(G10:T10)))))*24"),45)</f>
        <v>45</v>
      </c>
    </row>
    <row r="11" customHeight="1" spans="1:21">
      <c r="A11" s="7">
        <v>10272259</v>
      </c>
      <c r="B11" s="8" t="s">
        <v>32</v>
      </c>
      <c r="C11" s="7" t="s">
        <v>20</v>
      </c>
      <c r="D11" s="7" t="s">
        <v>21</v>
      </c>
      <c r="E11" s="8" t="s">
        <v>22</v>
      </c>
      <c r="F11" s="9">
        <v>2</v>
      </c>
      <c r="G11" s="8">
        <v>0.333333333333333</v>
      </c>
      <c r="H11" s="8">
        <v>0.708333333333333</v>
      </c>
      <c r="I11" s="7" t="s">
        <v>23</v>
      </c>
      <c r="J11" s="7" t="s">
        <v>23</v>
      </c>
      <c r="K11" s="7" t="s">
        <v>23</v>
      </c>
      <c r="L11" s="7" t="s">
        <v>23</v>
      </c>
      <c r="M11" s="7" t="s">
        <v>36</v>
      </c>
      <c r="N11" s="7" t="s">
        <v>36</v>
      </c>
      <c r="O11" s="7" t="s">
        <v>36</v>
      </c>
      <c r="P11" s="7" t="s">
        <v>36</v>
      </c>
      <c r="Q11" s="7" t="s">
        <v>36</v>
      </c>
      <c r="R11" s="7" t="s">
        <v>36</v>
      </c>
      <c r="S11" s="8">
        <v>0.416666666666667</v>
      </c>
      <c r="T11" s="8">
        <v>0.625</v>
      </c>
      <c r="U11" s="21">
        <f>IFERROR(__xludf.DUMMYFUNCTION("TO_PURE_NUMBER(SUM(FILTER(G11:T11, ISEVEN(COLUMN(G11:T11))))-SUM(FILTER(G11:T11, ISODD(COLUMN(G11:T11)))))*24"),14)</f>
        <v>14</v>
      </c>
    </row>
    <row r="12" customHeight="1" spans="1:21">
      <c r="A12" s="7">
        <v>10320412</v>
      </c>
      <c r="B12" s="8" t="s">
        <v>59</v>
      </c>
      <c r="C12" s="7" t="s">
        <v>20</v>
      </c>
      <c r="D12" s="7" t="s">
        <v>21</v>
      </c>
      <c r="E12" s="8" t="s">
        <v>22</v>
      </c>
      <c r="F12" s="9">
        <v>3</v>
      </c>
      <c r="G12" s="8">
        <v>0.5</v>
      </c>
      <c r="H12" s="8">
        <v>0.875</v>
      </c>
      <c r="I12" s="8">
        <v>0.5</v>
      </c>
      <c r="J12" s="8">
        <v>0.875</v>
      </c>
      <c r="K12" s="8">
        <v>0.5</v>
      </c>
      <c r="L12" s="8">
        <v>0.875</v>
      </c>
      <c r="M12" s="8">
        <v>0.5</v>
      </c>
      <c r="N12" s="8">
        <v>0.875</v>
      </c>
      <c r="O12" s="8">
        <v>0.5</v>
      </c>
      <c r="P12" s="8">
        <v>0.875</v>
      </c>
      <c r="Q12" s="7" t="s">
        <v>23</v>
      </c>
      <c r="R12" s="7" t="s">
        <v>23</v>
      </c>
      <c r="S12" s="7" t="s">
        <v>23</v>
      </c>
      <c r="T12" s="7" t="s">
        <v>23</v>
      </c>
      <c r="U12" s="21">
        <f>IFERROR(__xludf.DUMMYFUNCTION("TO_PURE_NUMBER(SUM(FILTER(G12:T12, ISEVEN(COLUMN(G12:T12))))-SUM(FILTER(G12:T12, ISODD(COLUMN(G12:T12)))))*24"),45)</f>
        <v>45</v>
      </c>
    </row>
    <row r="13" customHeight="1" spans="1:21">
      <c r="A13" s="7">
        <v>10320418</v>
      </c>
      <c r="B13" s="8" t="s">
        <v>68</v>
      </c>
      <c r="C13" s="7" t="s">
        <v>20</v>
      </c>
      <c r="D13" s="7" t="s">
        <v>21</v>
      </c>
      <c r="E13" s="8" t="s">
        <v>22</v>
      </c>
      <c r="F13" s="9">
        <v>3</v>
      </c>
      <c r="G13" s="8">
        <v>0.375</v>
      </c>
      <c r="H13" s="8">
        <v>0.75</v>
      </c>
      <c r="I13" s="8">
        <v>0.375</v>
      </c>
      <c r="J13" s="8">
        <v>0.75</v>
      </c>
      <c r="K13" s="8">
        <v>0.375</v>
      </c>
      <c r="L13" s="8">
        <v>0.75</v>
      </c>
      <c r="M13" s="8">
        <v>0.375</v>
      </c>
      <c r="N13" s="8">
        <v>0.75</v>
      </c>
      <c r="O13" s="7" t="s">
        <v>23</v>
      </c>
      <c r="P13" s="7" t="s">
        <v>23</v>
      </c>
      <c r="Q13" s="7" t="s">
        <v>23</v>
      </c>
      <c r="R13" s="7" t="s">
        <v>23</v>
      </c>
      <c r="S13" s="8">
        <v>0.458333333333333</v>
      </c>
      <c r="T13" s="8">
        <v>0.666666666666667</v>
      </c>
      <c r="U13" s="21">
        <f>IFERROR(__xludf.DUMMYFUNCTION("TO_PURE_NUMBER(SUM(FILTER(G13:T13, ISEVEN(COLUMN(G13:T13))))-SUM(FILTER(G13:T13, ISODD(COLUMN(G13:T13)))))*24"),41)</f>
        <v>41</v>
      </c>
    </row>
    <row r="14" customHeight="1" spans="1:21">
      <c r="A14" s="7">
        <v>10316618</v>
      </c>
      <c r="B14" s="8" t="s">
        <v>33</v>
      </c>
      <c r="C14" s="7" t="s">
        <v>20</v>
      </c>
      <c r="D14" s="7" t="s">
        <v>86</v>
      </c>
      <c r="E14" s="8" t="s">
        <v>22</v>
      </c>
      <c r="F14" s="9">
        <v>1</v>
      </c>
      <c r="G14" s="7" t="s">
        <v>36</v>
      </c>
      <c r="H14" s="7" t="s">
        <v>36</v>
      </c>
      <c r="I14" s="7" t="s">
        <v>36</v>
      </c>
      <c r="J14" s="7" t="s">
        <v>36</v>
      </c>
      <c r="K14" s="8">
        <v>0.5</v>
      </c>
      <c r="L14" s="8">
        <v>0.875</v>
      </c>
      <c r="M14" s="8">
        <v>0.5</v>
      </c>
      <c r="N14" s="8">
        <v>0.875</v>
      </c>
      <c r="O14" s="8">
        <v>0.5</v>
      </c>
      <c r="P14" s="8">
        <v>0.875</v>
      </c>
      <c r="Q14" s="7" t="s">
        <v>23</v>
      </c>
      <c r="R14" s="7" t="s">
        <v>23</v>
      </c>
      <c r="S14" s="7" t="s">
        <v>23</v>
      </c>
      <c r="T14" s="7" t="s">
        <v>23</v>
      </c>
      <c r="U14" s="21">
        <f>IFERROR(__xludf.DUMMYFUNCTION("TO_PURE_NUMBER(SUM(FILTER(G14:T14, ISEVEN(COLUMN(G14:T14))))-SUM(FILTER(G14:T14, ISODD(COLUMN(G14:T14)))))*24"),27)</f>
        <v>27</v>
      </c>
    </row>
    <row r="15" customHeight="1" spans="1:21">
      <c r="A15" s="7">
        <v>10250963</v>
      </c>
      <c r="B15" s="8" t="s">
        <v>25</v>
      </c>
      <c r="C15" s="7" t="s">
        <v>20</v>
      </c>
      <c r="D15" s="7" t="s">
        <v>21</v>
      </c>
      <c r="E15" s="8" t="s">
        <v>22</v>
      </c>
      <c r="F15" s="9">
        <v>1</v>
      </c>
      <c r="G15" s="8">
        <v>0.5</v>
      </c>
      <c r="H15" s="8">
        <v>0.875</v>
      </c>
      <c r="I15" s="8">
        <v>0.5</v>
      </c>
      <c r="J15" s="8">
        <v>0.875</v>
      </c>
      <c r="K15" s="8">
        <v>0.5</v>
      </c>
      <c r="L15" s="8">
        <v>0.875</v>
      </c>
      <c r="M15" s="8">
        <v>0.5</v>
      </c>
      <c r="N15" s="8">
        <v>0.875</v>
      </c>
      <c r="O15" s="8">
        <v>0.5</v>
      </c>
      <c r="P15" s="8">
        <v>0.875</v>
      </c>
      <c r="Q15" s="7" t="s">
        <v>23</v>
      </c>
      <c r="R15" s="7" t="s">
        <v>23</v>
      </c>
      <c r="S15" s="7" t="s">
        <v>23</v>
      </c>
      <c r="T15" s="7" t="s">
        <v>23</v>
      </c>
      <c r="U15" s="21">
        <f>IFERROR(__xludf.DUMMYFUNCTION("TO_PURE_NUMBER(SUM(FILTER(G15:T15, ISEVEN(COLUMN(G15:T15))))-SUM(FILTER(G15:T15, ISODD(COLUMN(G15:T15)))))*24"),45)</f>
        <v>45</v>
      </c>
    </row>
    <row r="16" customHeight="1" spans="1:21">
      <c r="A16" s="7">
        <v>10295555</v>
      </c>
      <c r="B16" s="8" t="s">
        <v>34</v>
      </c>
      <c r="C16" s="7" t="s">
        <v>20</v>
      </c>
      <c r="D16" s="7" t="s">
        <v>21</v>
      </c>
      <c r="E16" s="8" t="s">
        <v>35</v>
      </c>
      <c r="F16" s="9">
        <v>2</v>
      </c>
      <c r="G16" s="8">
        <v>0.666666666666667</v>
      </c>
      <c r="H16" s="8">
        <v>0.875</v>
      </c>
      <c r="I16" s="8">
        <v>0.666666666666667</v>
      </c>
      <c r="J16" s="8">
        <v>0.875</v>
      </c>
      <c r="K16" s="7" t="s">
        <v>23</v>
      </c>
      <c r="L16" s="7" t="s">
        <v>23</v>
      </c>
      <c r="M16" s="7" t="s">
        <v>23</v>
      </c>
      <c r="N16" s="7" t="s">
        <v>23</v>
      </c>
      <c r="O16" s="8">
        <v>0.666666666666667</v>
      </c>
      <c r="P16" s="8">
        <v>0.875</v>
      </c>
      <c r="Q16" s="8">
        <v>0.458333333333333</v>
      </c>
      <c r="R16" s="8">
        <v>0.666666666666667</v>
      </c>
      <c r="S16" s="8">
        <v>0.458333333333333</v>
      </c>
      <c r="T16" s="8">
        <v>0.666666666666667</v>
      </c>
      <c r="U16" s="21">
        <f>IFERROR(__xludf.DUMMYFUNCTION("TO_PURE_NUMBER(SUM(FILTER(G16:T16, ISEVEN(COLUMN(G16:T16))))-SUM(FILTER(G16:T16, ISODD(COLUMN(G16:T16)))))*24"),24.9999999999999)</f>
        <v>24.9999999999999</v>
      </c>
    </row>
    <row r="17" customHeight="1" spans="1:21">
      <c r="A17" s="7">
        <v>10317520</v>
      </c>
      <c r="B17" s="8" t="s">
        <v>37</v>
      </c>
      <c r="C17" s="7" t="s">
        <v>20</v>
      </c>
      <c r="D17" s="7" t="s">
        <v>21</v>
      </c>
      <c r="E17" s="8" t="s">
        <v>22</v>
      </c>
      <c r="F17" s="9">
        <v>2</v>
      </c>
      <c r="G17" s="7" t="s">
        <v>23</v>
      </c>
      <c r="H17" s="7" t="s">
        <v>23</v>
      </c>
      <c r="I17" s="8">
        <v>0.333333333333333</v>
      </c>
      <c r="J17" s="8">
        <v>0.75</v>
      </c>
      <c r="K17" s="8">
        <v>0.333333333333333</v>
      </c>
      <c r="L17" s="8">
        <v>0.75</v>
      </c>
      <c r="M17" s="8">
        <v>0.333333333333333</v>
      </c>
      <c r="N17" s="8">
        <v>0.75</v>
      </c>
      <c r="O17" s="8">
        <v>0.333333333333333</v>
      </c>
      <c r="P17" s="8">
        <v>0.75</v>
      </c>
      <c r="Q17" s="8">
        <v>0.416666666666667</v>
      </c>
      <c r="R17" s="8">
        <v>0.625</v>
      </c>
      <c r="S17" s="7" t="s">
        <v>23</v>
      </c>
      <c r="T17" s="7" t="s">
        <v>23</v>
      </c>
      <c r="U17" s="21">
        <f>IFERROR(__xludf.DUMMYFUNCTION("TO_PURE_NUMBER(SUM(FILTER(G17:T17, ISEVEN(COLUMN(G17:T17))))-SUM(FILTER(G17:T17, ISODD(COLUMN(G17:T17)))))*24"),45)</f>
        <v>45</v>
      </c>
    </row>
    <row r="18" customHeight="1" spans="1:21">
      <c r="A18" s="7">
        <v>10320414</v>
      </c>
      <c r="B18" s="8" t="s">
        <v>62</v>
      </c>
      <c r="C18" s="7" t="s">
        <v>20</v>
      </c>
      <c r="D18" s="7" t="s">
        <v>21</v>
      </c>
      <c r="E18" s="8" t="s">
        <v>22</v>
      </c>
      <c r="F18" s="9">
        <v>3</v>
      </c>
      <c r="G18" s="7" t="s">
        <v>23</v>
      </c>
      <c r="H18" s="7" t="s">
        <v>23</v>
      </c>
      <c r="I18" s="8">
        <v>0.375</v>
      </c>
      <c r="J18" s="8">
        <v>0.791666666666667</v>
      </c>
      <c r="K18" s="8">
        <v>0.375</v>
      </c>
      <c r="L18" s="8">
        <v>0.791666666666667</v>
      </c>
      <c r="M18" s="8">
        <v>0.375</v>
      </c>
      <c r="N18" s="8">
        <v>0.791666666666667</v>
      </c>
      <c r="O18" s="8">
        <v>0.375</v>
      </c>
      <c r="P18" s="8">
        <v>0.791666666666667</v>
      </c>
      <c r="Q18" s="8">
        <v>0.458333333333333</v>
      </c>
      <c r="R18" s="8">
        <v>0.666666666666667</v>
      </c>
      <c r="S18" s="7" t="s">
        <v>23</v>
      </c>
      <c r="T18" s="7" t="s">
        <v>23</v>
      </c>
      <c r="U18" s="21">
        <f>IFERROR(__xludf.DUMMYFUNCTION("TO_PURE_NUMBER(SUM(FILTER(G18:T18, ISEVEN(COLUMN(G18:T18))))-SUM(FILTER(G18:T18, ISODD(COLUMN(G18:T18)))))*24"),44.9999999999999)</f>
        <v>44.9999999999999</v>
      </c>
    </row>
    <row r="19" customHeight="1" spans="1:21">
      <c r="A19" s="7">
        <v>10316681</v>
      </c>
      <c r="B19" s="8" t="s">
        <v>38</v>
      </c>
      <c r="C19" s="7" t="s">
        <v>89</v>
      </c>
      <c r="D19" s="7" t="s">
        <v>21</v>
      </c>
      <c r="E19" s="8" t="s">
        <v>22</v>
      </c>
      <c r="F19" s="9">
        <v>1</v>
      </c>
      <c r="G19" s="8">
        <v>0.375</v>
      </c>
      <c r="H19" s="8">
        <v>0.75</v>
      </c>
      <c r="I19" s="8">
        <v>0.375</v>
      </c>
      <c r="J19" s="8">
        <v>0.75</v>
      </c>
      <c r="K19" s="8">
        <v>0.375</v>
      </c>
      <c r="L19" s="8">
        <v>0.75</v>
      </c>
      <c r="M19" s="8">
        <v>0.375</v>
      </c>
      <c r="N19" s="8">
        <v>0.75</v>
      </c>
      <c r="O19" s="8">
        <v>0.375</v>
      </c>
      <c r="P19" s="8">
        <v>0.75</v>
      </c>
      <c r="Q19" s="7" t="s">
        <v>23</v>
      </c>
      <c r="R19" s="7" t="s">
        <v>23</v>
      </c>
      <c r="S19" s="7" t="s">
        <v>23</v>
      </c>
      <c r="T19" s="7" t="s">
        <v>23</v>
      </c>
      <c r="U19" s="21">
        <f>IFERROR(__xludf.DUMMYFUNCTION("TO_PURE_NUMBER(SUM(FILTER(G19:T19, ISEVEN(COLUMN(G19:T19))))-SUM(FILTER(G19:T19, ISODD(COLUMN(G19:T19)))))*24"),45)</f>
        <v>45</v>
      </c>
    </row>
    <row r="20" customHeight="1" spans="1:21">
      <c r="A20" s="7">
        <v>10316650</v>
      </c>
      <c r="B20" s="8" t="s">
        <v>39</v>
      </c>
      <c r="C20" s="7" t="s">
        <v>20</v>
      </c>
      <c r="D20" s="7" t="s">
        <v>21</v>
      </c>
      <c r="E20" s="8" t="s">
        <v>22</v>
      </c>
      <c r="F20" s="9">
        <v>2</v>
      </c>
      <c r="G20" s="8">
        <v>0.375</v>
      </c>
      <c r="H20" s="8">
        <v>0.791666666666667</v>
      </c>
      <c r="I20" s="8">
        <v>0.375</v>
      </c>
      <c r="J20" s="8">
        <v>0.791666666666667</v>
      </c>
      <c r="K20" s="8">
        <v>0.375</v>
      </c>
      <c r="L20" s="8">
        <v>0.791666666666667</v>
      </c>
      <c r="M20" s="8">
        <v>0.375</v>
      </c>
      <c r="N20" s="8">
        <v>0.791666666666667</v>
      </c>
      <c r="O20" s="7" t="s">
        <v>23</v>
      </c>
      <c r="P20" s="7" t="s">
        <v>23</v>
      </c>
      <c r="Q20" s="7" t="s">
        <v>23</v>
      </c>
      <c r="R20" s="7" t="s">
        <v>23</v>
      </c>
      <c r="S20" s="8">
        <v>0.458333333333333</v>
      </c>
      <c r="T20" s="8">
        <v>0.666666666666667</v>
      </c>
      <c r="U20" s="21">
        <f>IFERROR(__xludf.DUMMYFUNCTION("TO_PURE_NUMBER(SUM(FILTER(G20:T20, ISEVEN(COLUMN(G20:T20))))-SUM(FILTER(G20:T20, ISODD(COLUMN(G20:T20)))))*24"),44.9999999999999)</f>
        <v>44.9999999999999</v>
      </c>
    </row>
    <row r="21" customHeight="1" spans="1:21">
      <c r="A21" s="7">
        <v>10320416</v>
      </c>
      <c r="B21" s="8" t="s">
        <v>66</v>
      </c>
      <c r="C21" s="7" t="s">
        <v>20</v>
      </c>
      <c r="D21" s="7" t="s">
        <v>21</v>
      </c>
      <c r="E21" s="8" t="s">
        <v>22</v>
      </c>
      <c r="F21" s="9">
        <v>3</v>
      </c>
      <c r="G21" s="8">
        <v>0.5</v>
      </c>
      <c r="H21" s="8">
        <v>0.875</v>
      </c>
      <c r="I21" s="8">
        <v>0.5</v>
      </c>
      <c r="J21" s="8">
        <v>0.875</v>
      </c>
      <c r="K21" s="8">
        <v>0.5</v>
      </c>
      <c r="L21" s="8">
        <v>0.875</v>
      </c>
      <c r="M21" s="8">
        <v>0.5</v>
      </c>
      <c r="N21" s="8">
        <v>0.875</v>
      </c>
      <c r="O21" s="8">
        <v>0.5</v>
      </c>
      <c r="P21" s="8">
        <v>0.875</v>
      </c>
      <c r="Q21" s="7" t="s">
        <v>23</v>
      </c>
      <c r="R21" s="7" t="s">
        <v>23</v>
      </c>
      <c r="S21" s="7" t="s">
        <v>23</v>
      </c>
      <c r="T21" s="7" t="s">
        <v>23</v>
      </c>
      <c r="U21" s="21">
        <f>IFERROR(__xludf.DUMMYFUNCTION("TO_PURE_NUMBER(SUM(FILTER(G21:T21, ISEVEN(COLUMN(G21:T21))))-SUM(FILTER(G21:T21, ISODD(COLUMN(G21:T21)))))*24"),45)</f>
        <v>45</v>
      </c>
    </row>
    <row r="22" customHeight="1" spans="1:21">
      <c r="A22" s="7">
        <v>10316530</v>
      </c>
      <c r="B22" s="8" t="s">
        <v>26</v>
      </c>
      <c r="C22" s="7" t="s">
        <v>20</v>
      </c>
      <c r="D22" s="7" t="s">
        <v>21</v>
      </c>
      <c r="E22" s="8" t="s">
        <v>22</v>
      </c>
      <c r="F22" s="9">
        <v>1</v>
      </c>
      <c r="G22" s="7" t="s">
        <v>36</v>
      </c>
      <c r="H22" s="7" t="s">
        <v>36</v>
      </c>
      <c r="I22" s="7" t="s">
        <v>36</v>
      </c>
      <c r="J22" s="7" t="s">
        <v>36</v>
      </c>
      <c r="K22" s="7" t="s">
        <v>36</v>
      </c>
      <c r="L22" s="7" t="s">
        <v>36</v>
      </c>
      <c r="M22" s="8">
        <v>0.5</v>
      </c>
      <c r="N22" s="8">
        <v>0.875</v>
      </c>
      <c r="O22" s="8">
        <v>0.5</v>
      </c>
      <c r="P22" s="8">
        <v>0.875</v>
      </c>
      <c r="Q22" s="7" t="s">
        <v>23</v>
      </c>
      <c r="R22" s="7" t="s">
        <v>23</v>
      </c>
      <c r="S22" s="7" t="s">
        <v>23</v>
      </c>
      <c r="T22" s="7" t="s">
        <v>23</v>
      </c>
      <c r="U22" s="21">
        <f>IFERROR(__xludf.DUMMYFUNCTION("TO_PURE_NUMBER(SUM(FILTER(G22:T22, ISEVEN(COLUMN(G22:T22))))-SUM(FILTER(G22:T22, ISODD(COLUMN(G22:T22)))))*24"),18)</f>
        <v>18</v>
      </c>
    </row>
    <row r="23" customHeight="1" spans="1:21">
      <c r="A23" s="7">
        <v>10316680</v>
      </c>
      <c r="B23" s="8" t="s">
        <v>40</v>
      </c>
      <c r="C23" s="7" t="s">
        <v>20</v>
      </c>
      <c r="D23" s="7" t="s">
        <v>21</v>
      </c>
      <c r="E23" s="8" t="s">
        <v>22</v>
      </c>
      <c r="F23" s="9">
        <v>1</v>
      </c>
      <c r="G23" s="8">
        <v>0.5</v>
      </c>
      <c r="H23" s="8">
        <v>0.875</v>
      </c>
      <c r="I23" s="8">
        <v>0.5</v>
      </c>
      <c r="J23" s="8">
        <v>0.875</v>
      </c>
      <c r="K23" s="8">
        <v>0.5</v>
      </c>
      <c r="L23" s="8">
        <v>0.875</v>
      </c>
      <c r="M23" s="8">
        <v>0.5</v>
      </c>
      <c r="N23" s="8">
        <v>0.875</v>
      </c>
      <c r="O23" s="8">
        <v>0.5</v>
      </c>
      <c r="P23" s="8">
        <v>0.875</v>
      </c>
      <c r="Q23" s="7" t="s">
        <v>23</v>
      </c>
      <c r="R23" s="7" t="s">
        <v>23</v>
      </c>
      <c r="S23" s="7" t="s">
        <v>23</v>
      </c>
      <c r="T23" s="7" t="s">
        <v>23</v>
      </c>
      <c r="U23" s="21">
        <f>IFERROR(__xludf.DUMMYFUNCTION("TO_PURE_NUMBER(SUM(FILTER(G23:T23, ISEVEN(COLUMN(G23:T23))))-SUM(FILTER(G23:T23, ISODD(COLUMN(G23:T23)))))*24"),45)</f>
        <v>45</v>
      </c>
    </row>
    <row r="24" customHeight="1" spans="1:21">
      <c r="A24" s="7">
        <v>10317943</v>
      </c>
      <c r="B24" s="8" t="s">
        <v>27</v>
      </c>
      <c r="C24" s="7" t="s">
        <v>20</v>
      </c>
      <c r="D24" s="7" t="s">
        <v>21</v>
      </c>
      <c r="E24" s="8" t="s">
        <v>22</v>
      </c>
      <c r="F24" s="9">
        <v>2</v>
      </c>
      <c r="G24" s="8">
        <v>0.458333333333333</v>
      </c>
      <c r="H24" s="8">
        <v>0.875</v>
      </c>
      <c r="I24" s="8">
        <v>0.458333333333333</v>
      </c>
      <c r="J24" s="8">
        <v>0.875</v>
      </c>
      <c r="K24" s="8">
        <v>0.458333333333333</v>
      </c>
      <c r="L24" s="8">
        <v>0.875</v>
      </c>
      <c r="M24" s="8">
        <v>0.458333333333333</v>
      </c>
      <c r="N24" s="8">
        <v>0.875</v>
      </c>
      <c r="O24" s="7" t="s">
        <v>23</v>
      </c>
      <c r="P24" s="7" t="s">
        <v>23</v>
      </c>
      <c r="Q24" s="7" t="s">
        <v>23</v>
      </c>
      <c r="R24" s="7" t="s">
        <v>23</v>
      </c>
      <c r="S24" s="8">
        <v>0.458333333333333</v>
      </c>
      <c r="T24" s="8">
        <v>0.666666666666667</v>
      </c>
      <c r="U24" s="21">
        <f>IFERROR(__xludf.DUMMYFUNCTION("TO_PURE_NUMBER(SUM(FILTER(G24:T24, ISEVEN(COLUMN(G24:T24))))-SUM(FILTER(G24:T24, ISODD(COLUMN(G24:T24)))))*24"),45)</f>
        <v>45</v>
      </c>
    </row>
    <row r="25" customHeight="1" spans="1:21">
      <c r="A25" s="7">
        <v>10250966</v>
      </c>
      <c r="B25" s="8" t="s">
        <v>61</v>
      </c>
      <c r="C25" s="7" t="s">
        <v>20</v>
      </c>
      <c r="D25" s="7" t="s">
        <v>21</v>
      </c>
      <c r="E25" s="8" t="s">
        <v>22</v>
      </c>
      <c r="F25" s="9">
        <v>3</v>
      </c>
      <c r="G25" s="8">
        <v>0.458333333333333</v>
      </c>
      <c r="H25" s="8">
        <v>0.875</v>
      </c>
      <c r="I25" s="8">
        <v>0.458333333333333</v>
      </c>
      <c r="J25" s="8">
        <v>0.875</v>
      </c>
      <c r="K25" s="8">
        <v>0.458333333333333</v>
      </c>
      <c r="L25" s="8">
        <v>0.875</v>
      </c>
      <c r="M25" s="8">
        <v>0.458333333333333</v>
      </c>
      <c r="N25" s="8">
        <v>0.875</v>
      </c>
      <c r="O25" s="7" t="s">
        <v>23</v>
      </c>
      <c r="P25" s="7" t="s">
        <v>23</v>
      </c>
      <c r="Q25" s="7" t="s">
        <v>23</v>
      </c>
      <c r="R25" s="7" t="s">
        <v>23</v>
      </c>
      <c r="S25" s="8">
        <v>0.458333333333333</v>
      </c>
      <c r="T25" s="8">
        <v>0.666666666666667</v>
      </c>
      <c r="U25" s="21">
        <f>IFERROR(__xludf.DUMMYFUNCTION("TO_PURE_NUMBER(SUM(FILTER(G25:T25, ISEVEN(COLUMN(G25:T25))))-SUM(FILTER(G25:T25, ISODD(COLUMN(G25:T25)))))*24"),45)</f>
        <v>45</v>
      </c>
    </row>
    <row r="26" customHeight="1" spans="1:21">
      <c r="A26" s="7">
        <v>10316543</v>
      </c>
      <c r="B26" s="8" t="s">
        <v>41</v>
      </c>
      <c r="C26" s="7" t="s">
        <v>20</v>
      </c>
      <c r="D26" s="7" t="s">
        <v>21</v>
      </c>
      <c r="E26" s="8" t="s">
        <v>22</v>
      </c>
      <c r="F26" s="9">
        <v>1</v>
      </c>
      <c r="G26" s="8">
        <v>0.458333333333333</v>
      </c>
      <c r="H26" s="8">
        <v>0.875</v>
      </c>
      <c r="I26" s="8">
        <v>0.458333333333333</v>
      </c>
      <c r="J26" s="8">
        <v>0.875</v>
      </c>
      <c r="K26" s="8">
        <v>0.458333333333333</v>
      </c>
      <c r="L26" s="8">
        <v>0.875</v>
      </c>
      <c r="M26" s="8">
        <v>0.458333333333333</v>
      </c>
      <c r="N26" s="8">
        <v>0.875</v>
      </c>
      <c r="O26" s="7" t="s">
        <v>23</v>
      </c>
      <c r="P26" s="7" t="s">
        <v>23</v>
      </c>
      <c r="Q26" s="7" t="s">
        <v>23</v>
      </c>
      <c r="R26" s="7" t="s">
        <v>23</v>
      </c>
      <c r="S26" s="8">
        <v>0.458333333333333</v>
      </c>
      <c r="T26" s="8">
        <v>0.666666666666667</v>
      </c>
      <c r="U26" s="21">
        <f>IFERROR(__xludf.DUMMYFUNCTION("TO_PURE_NUMBER(SUM(FILTER(G26:T26, ISEVEN(COLUMN(G26:T26))))-SUM(FILTER(G26:T26, ISODD(COLUMN(G26:T26)))))*24"),45)</f>
        <v>45</v>
      </c>
    </row>
    <row r="27" customHeight="1" spans="1:21">
      <c r="A27" s="7">
        <v>10317153</v>
      </c>
      <c r="B27" s="8" t="s">
        <v>42</v>
      </c>
      <c r="C27" s="7" t="s">
        <v>20</v>
      </c>
      <c r="D27" s="7" t="s">
        <v>21</v>
      </c>
      <c r="E27" s="8" t="s">
        <v>22</v>
      </c>
      <c r="F27" s="9">
        <v>1</v>
      </c>
      <c r="G27" s="7" t="s">
        <v>93</v>
      </c>
      <c r="H27" s="7" t="s">
        <v>93</v>
      </c>
      <c r="I27" s="7" t="s">
        <v>93</v>
      </c>
      <c r="J27" s="7" t="s">
        <v>93</v>
      </c>
      <c r="K27" s="7" t="s">
        <v>93</v>
      </c>
      <c r="L27" s="7" t="s">
        <v>93</v>
      </c>
      <c r="M27" s="7" t="s">
        <v>93</v>
      </c>
      <c r="N27" s="7" t="s">
        <v>93</v>
      </c>
      <c r="O27" s="7" t="s">
        <v>93</v>
      </c>
      <c r="P27" s="7" t="s">
        <v>93</v>
      </c>
      <c r="Q27" s="7" t="s">
        <v>93</v>
      </c>
      <c r="R27" s="7" t="s">
        <v>93</v>
      </c>
      <c r="S27" s="7" t="s">
        <v>93</v>
      </c>
      <c r="T27" s="7" t="s">
        <v>93</v>
      </c>
      <c r="U27" s="21">
        <f>IFERROR(__xludf.DUMMYFUNCTION("TO_PURE_NUMBER(SUM(FILTER(G27:T27, ISEVEN(COLUMN(G27:T27))))-SUM(FILTER(G27:T27, ISODD(COLUMN(G27:T27)))))*24"),0)</f>
        <v>0</v>
      </c>
    </row>
    <row r="28" customHeight="1" spans="1:21">
      <c r="A28" s="7">
        <v>10317521</v>
      </c>
      <c r="B28" s="8" t="s">
        <v>28</v>
      </c>
      <c r="C28" s="7" t="s">
        <v>20</v>
      </c>
      <c r="D28" s="7" t="s">
        <v>21</v>
      </c>
      <c r="E28" s="8" t="s">
        <v>22</v>
      </c>
      <c r="F28" s="9">
        <v>2</v>
      </c>
      <c r="G28" s="7" t="s">
        <v>23</v>
      </c>
      <c r="H28" s="7" t="s">
        <v>23</v>
      </c>
      <c r="I28" s="8">
        <v>0.333333333333333</v>
      </c>
      <c r="J28" s="8">
        <v>0.75</v>
      </c>
      <c r="K28" s="8">
        <v>0.333333333333333</v>
      </c>
      <c r="L28" s="8">
        <v>0.75</v>
      </c>
      <c r="M28" s="8">
        <v>0.333333333333333</v>
      </c>
      <c r="N28" s="8">
        <v>0.75</v>
      </c>
      <c r="O28" s="8">
        <v>0.333333333333333</v>
      </c>
      <c r="P28" s="8">
        <v>0.75</v>
      </c>
      <c r="Q28" s="8">
        <v>0.416666666666667</v>
      </c>
      <c r="R28" s="8">
        <v>0.625</v>
      </c>
      <c r="S28" s="7" t="s">
        <v>23</v>
      </c>
      <c r="T28" s="7" t="s">
        <v>23</v>
      </c>
      <c r="U28" s="21">
        <f>IFERROR(__xludf.DUMMYFUNCTION("TO_PURE_NUMBER(SUM(FILTER(G28:T28, ISEVEN(COLUMN(G28:T28))))-SUM(FILTER(G28:T28, ISODD(COLUMN(G28:T28)))))*24"),45)</f>
        <v>45</v>
      </c>
    </row>
    <row r="29" customHeight="1" spans="1:21">
      <c r="A29" s="7">
        <v>10317517</v>
      </c>
      <c r="B29" s="8" t="s">
        <v>29</v>
      </c>
      <c r="C29" s="7" t="s">
        <v>20</v>
      </c>
      <c r="D29" s="7" t="s">
        <v>21</v>
      </c>
      <c r="E29" s="8" t="s">
        <v>22</v>
      </c>
      <c r="F29" s="9">
        <v>2</v>
      </c>
      <c r="G29" s="8">
        <v>0.375</v>
      </c>
      <c r="H29" s="8">
        <v>0.75</v>
      </c>
      <c r="I29" s="7" t="s">
        <v>36</v>
      </c>
      <c r="J29" s="7" t="s">
        <v>36</v>
      </c>
      <c r="K29" s="7" t="s">
        <v>36</v>
      </c>
      <c r="L29" s="7" t="s">
        <v>36</v>
      </c>
      <c r="M29" s="8">
        <v>0.375</v>
      </c>
      <c r="N29" s="8">
        <v>0.75</v>
      </c>
      <c r="O29" s="8">
        <v>0.375</v>
      </c>
      <c r="P29" s="8">
        <v>0.75</v>
      </c>
      <c r="Q29" s="7" t="s">
        <v>23</v>
      </c>
      <c r="R29" s="7" t="s">
        <v>23</v>
      </c>
      <c r="S29" s="7" t="s">
        <v>23</v>
      </c>
      <c r="T29" s="7" t="s">
        <v>23</v>
      </c>
      <c r="U29" s="21">
        <f>IFERROR(__xludf.DUMMYFUNCTION("TO_PURE_NUMBER(SUM(FILTER(G29:T29, ISEVEN(COLUMN(G29:T29))))-SUM(FILTER(G29:T29, ISODD(COLUMN(G29:T29)))))*24"),27)</f>
        <v>27</v>
      </c>
    </row>
    <row r="30" customHeight="1" spans="1:21">
      <c r="A30" s="7">
        <v>10252106</v>
      </c>
      <c r="B30" s="8" t="s">
        <v>43</v>
      </c>
      <c r="C30" s="7" t="s">
        <v>20</v>
      </c>
      <c r="D30" s="7" t="s">
        <v>21</v>
      </c>
      <c r="E30" s="8" t="s">
        <v>22</v>
      </c>
      <c r="F30" s="9">
        <v>2</v>
      </c>
      <c r="G30" s="8">
        <v>0.375</v>
      </c>
      <c r="H30" s="8">
        <v>0.75</v>
      </c>
      <c r="I30" s="7" t="s">
        <v>23</v>
      </c>
      <c r="J30" s="7" t="s">
        <v>23</v>
      </c>
      <c r="K30" s="7" t="s">
        <v>23</v>
      </c>
      <c r="L30" s="7" t="s">
        <v>23</v>
      </c>
      <c r="M30" s="8">
        <v>0.375</v>
      </c>
      <c r="N30" s="8">
        <v>0.75</v>
      </c>
      <c r="O30" s="7" t="s">
        <v>36</v>
      </c>
      <c r="P30" s="7" t="s">
        <v>36</v>
      </c>
      <c r="Q30" s="7" t="s">
        <v>36</v>
      </c>
      <c r="R30" s="7" t="s">
        <v>36</v>
      </c>
      <c r="S30" s="8">
        <v>0.458333333333333</v>
      </c>
      <c r="T30" s="8">
        <v>0.666666666666667</v>
      </c>
      <c r="U30" s="21">
        <f>IFERROR(__xludf.DUMMYFUNCTION("TO_PURE_NUMBER(SUM(FILTER(G30:T30, ISEVEN(COLUMN(G30:T30))))-SUM(FILTER(G30:T30, ISODD(COLUMN(G30:T30)))))*24"),23)</f>
        <v>23</v>
      </c>
    </row>
    <row r="31" customHeight="1" spans="1:21">
      <c r="A31" s="7">
        <v>10320407</v>
      </c>
      <c r="B31" s="8" t="s">
        <v>55</v>
      </c>
      <c r="C31" s="7" t="s">
        <v>20</v>
      </c>
      <c r="D31" s="7" t="s">
        <v>21</v>
      </c>
      <c r="E31" s="8" t="s">
        <v>22</v>
      </c>
      <c r="F31" s="9">
        <v>3</v>
      </c>
      <c r="G31" s="7" t="s">
        <v>23</v>
      </c>
      <c r="H31" s="7" t="s">
        <v>23</v>
      </c>
      <c r="I31" s="7" t="s">
        <v>36</v>
      </c>
      <c r="J31" s="7" t="s">
        <v>36</v>
      </c>
      <c r="K31" s="8">
        <v>0.375</v>
      </c>
      <c r="L31" s="8">
        <v>0.791666666666667</v>
      </c>
      <c r="M31" s="8">
        <v>0.375</v>
      </c>
      <c r="N31" s="8">
        <v>0.791666666666667</v>
      </c>
      <c r="O31" s="8">
        <v>0.375</v>
      </c>
      <c r="P31" s="8">
        <v>0.791666666666667</v>
      </c>
      <c r="Q31" s="8">
        <v>0.458333333333333</v>
      </c>
      <c r="R31" s="8">
        <v>0.666666666666667</v>
      </c>
      <c r="S31" s="7" t="s">
        <v>23</v>
      </c>
      <c r="T31" s="7" t="s">
        <v>23</v>
      </c>
      <c r="U31" s="21">
        <f>IFERROR(__xludf.DUMMYFUNCTION("TO_PURE_NUMBER(SUM(FILTER(G31:T31, ISEVEN(COLUMN(G31:T31))))-SUM(FILTER(G31:T31, ISODD(COLUMN(G31:T31)))))*24"),35)</f>
        <v>35</v>
      </c>
    </row>
    <row r="32" customHeight="1" spans="1:21">
      <c r="A32" s="7">
        <v>10320417</v>
      </c>
      <c r="B32" s="8" t="s">
        <v>67</v>
      </c>
      <c r="C32" s="7" t="s">
        <v>20</v>
      </c>
      <c r="D32" s="7" t="s">
        <v>21</v>
      </c>
      <c r="E32" s="8" t="s">
        <v>22</v>
      </c>
      <c r="F32" s="9">
        <v>3</v>
      </c>
      <c r="G32" s="8">
        <v>0.375</v>
      </c>
      <c r="H32" s="8">
        <v>0.791666666666667</v>
      </c>
      <c r="I32" s="8">
        <v>0.375</v>
      </c>
      <c r="J32" s="8">
        <v>0.791666666666667</v>
      </c>
      <c r="K32" s="8">
        <v>0.375</v>
      </c>
      <c r="L32" s="8">
        <v>0.791666666666667</v>
      </c>
      <c r="M32" s="8">
        <v>0.375</v>
      </c>
      <c r="N32" s="8">
        <v>0.791666666666667</v>
      </c>
      <c r="O32" s="7" t="s">
        <v>23</v>
      </c>
      <c r="P32" s="7" t="s">
        <v>23</v>
      </c>
      <c r="Q32" s="7" t="s">
        <v>23</v>
      </c>
      <c r="R32" s="7" t="s">
        <v>23</v>
      </c>
      <c r="S32" s="8">
        <v>0.458333333333333</v>
      </c>
      <c r="T32" s="8">
        <v>0.666666666666667</v>
      </c>
      <c r="U32" s="21">
        <f>IFERROR(__xludf.DUMMYFUNCTION("TO_PURE_NUMBER(SUM(FILTER(G32:T32, ISEVEN(COLUMN(G32:T32))))-SUM(FILTER(G32:T32, ISODD(COLUMN(G32:T32)))))*24"),44.9999999999999)</f>
        <v>44.9999999999999</v>
      </c>
    </row>
    <row r="33" customHeight="1" spans="1:21">
      <c r="A33" s="7">
        <v>10317154</v>
      </c>
      <c r="B33" s="8" t="s">
        <v>70</v>
      </c>
      <c r="C33" s="7" t="s">
        <v>20</v>
      </c>
      <c r="D33" s="7" t="s">
        <v>21</v>
      </c>
      <c r="E33" s="8" t="s">
        <v>22</v>
      </c>
      <c r="F33" s="9">
        <v>3</v>
      </c>
      <c r="G33" s="8">
        <v>0.333333333333333</v>
      </c>
      <c r="H33" s="8">
        <v>0.75</v>
      </c>
      <c r="I33" s="8">
        <v>0.333333333333333</v>
      </c>
      <c r="J33" s="8">
        <v>0.75</v>
      </c>
      <c r="K33" s="8">
        <v>0.333333333333333</v>
      </c>
      <c r="L33" s="8">
        <v>0.75</v>
      </c>
      <c r="M33" s="8">
        <v>0.333333333333333</v>
      </c>
      <c r="N33" s="8">
        <v>0.75</v>
      </c>
      <c r="O33" s="7" t="s">
        <v>23</v>
      </c>
      <c r="P33" s="7" t="s">
        <v>23</v>
      </c>
      <c r="Q33" s="7" t="s">
        <v>23</v>
      </c>
      <c r="R33" s="7" t="s">
        <v>23</v>
      </c>
      <c r="S33" s="8">
        <v>0.416666666666667</v>
      </c>
      <c r="T33" s="8">
        <v>0.625</v>
      </c>
      <c r="U33" s="21">
        <f>IFERROR(__xludf.DUMMYFUNCTION("TO_PURE_NUMBER(SUM(FILTER(G33:T33, ISEVEN(COLUMN(G33:T33))))-SUM(FILTER(G33:T33, ISODD(COLUMN(G33:T33)))))*24"),45)</f>
        <v>45</v>
      </c>
    </row>
    <row r="34" customHeight="1" spans="1:21">
      <c r="A34" s="7">
        <v>10320436</v>
      </c>
      <c r="B34" s="8" t="s">
        <v>90</v>
      </c>
      <c r="C34" s="7" t="s">
        <v>20</v>
      </c>
      <c r="D34" s="7" t="s">
        <v>21</v>
      </c>
      <c r="E34" s="8" t="s">
        <v>22</v>
      </c>
      <c r="F34" s="9">
        <v>3</v>
      </c>
      <c r="G34" s="8">
        <v>0.375</v>
      </c>
      <c r="H34" s="8">
        <v>0.791666666666667</v>
      </c>
      <c r="I34" s="8">
        <v>0.375</v>
      </c>
      <c r="J34" s="8">
        <v>0.791666666666667</v>
      </c>
      <c r="K34" s="8">
        <v>0.375</v>
      </c>
      <c r="L34" s="8">
        <v>0.791666666666667</v>
      </c>
      <c r="M34" s="8">
        <v>0.375</v>
      </c>
      <c r="N34" s="8">
        <v>0.791666666666667</v>
      </c>
      <c r="O34" s="7" t="s">
        <v>23</v>
      </c>
      <c r="P34" s="7" t="s">
        <v>23</v>
      </c>
      <c r="Q34" s="7" t="s">
        <v>23</v>
      </c>
      <c r="R34" s="7" t="s">
        <v>23</v>
      </c>
      <c r="S34" s="8">
        <v>0.458333333333333</v>
      </c>
      <c r="T34" s="8">
        <v>0.666666666666667</v>
      </c>
      <c r="U34" s="21">
        <f>IFERROR(__xludf.DUMMYFUNCTION("TO_PURE_NUMBER(SUM(FILTER(G34:T34, ISEVEN(COLUMN(G34:T34))))-SUM(FILTER(G34:T34, ISODD(COLUMN(G34:T34)))))*24"),44.9999999999999)</f>
        <v>44.9999999999999</v>
      </c>
    </row>
    <row r="35" customHeight="1" spans="1:21">
      <c r="A35" s="7">
        <v>10316538</v>
      </c>
      <c r="B35" s="8" t="s">
        <v>44</v>
      </c>
      <c r="C35" s="7" t="s">
        <v>20</v>
      </c>
      <c r="D35" s="7" t="s">
        <v>21</v>
      </c>
      <c r="E35" s="8" t="s">
        <v>22</v>
      </c>
      <c r="F35" s="9">
        <v>1</v>
      </c>
      <c r="G35" s="8">
        <v>0.5</v>
      </c>
      <c r="H35" s="8">
        <v>0.875</v>
      </c>
      <c r="I35" s="8">
        <v>0.5</v>
      </c>
      <c r="J35" s="8">
        <v>0.875</v>
      </c>
      <c r="K35" s="7" t="s">
        <v>23</v>
      </c>
      <c r="L35" s="7" t="s">
        <v>23</v>
      </c>
      <c r="M35" s="7" t="s">
        <v>23</v>
      </c>
      <c r="N35" s="7" t="s">
        <v>23</v>
      </c>
      <c r="O35" s="8">
        <v>0.5</v>
      </c>
      <c r="P35" s="8">
        <v>0.875</v>
      </c>
      <c r="Q35" s="8">
        <v>0.458333333333333</v>
      </c>
      <c r="R35" s="8">
        <v>0.666666666666667</v>
      </c>
      <c r="S35" s="8">
        <v>0.458333333333333</v>
      </c>
      <c r="T35" s="8">
        <v>0.666666666666667</v>
      </c>
      <c r="U35" s="21">
        <f>IFERROR(__xludf.DUMMYFUNCTION("TO_PURE_NUMBER(SUM(FILTER(G35:T35, ISEVEN(COLUMN(G35:T35))))-SUM(FILTER(G35:T35, ISODD(COLUMN(G35:T35)))))*24"),37)</f>
        <v>37</v>
      </c>
    </row>
    <row r="36" customHeight="1" spans="1:21">
      <c r="A36" s="7">
        <v>10293607</v>
      </c>
      <c r="B36" s="8" t="s">
        <v>65</v>
      </c>
      <c r="C36" s="7" t="s">
        <v>20</v>
      </c>
      <c r="D36" s="7" t="s">
        <v>21</v>
      </c>
      <c r="E36" s="8" t="s">
        <v>22</v>
      </c>
      <c r="F36" s="9">
        <v>3</v>
      </c>
      <c r="G36" s="8">
        <v>0.458333333333333</v>
      </c>
      <c r="H36" s="8">
        <v>0.875</v>
      </c>
      <c r="I36" s="8">
        <v>0.458333333333333</v>
      </c>
      <c r="J36" s="8">
        <v>0.875</v>
      </c>
      <c r="K36" s="8">
        <v>0.458333333333333</v>
      </c>
      <c r="L36" s="8">
        <v>0.875</v>
      </c>
      <c r="M36" s="8">
        <v>0.458333333333333</v>
      </c>
      <c r="N36" s="8">
        <v>0.875</v>
      </c>
      <c r="O36" s="7" t="s">
        <v>23</v>
      </c>
      <c r="P36" s="7" t="s">
        <v>23</v>
      </c>
      <c r="Q36" s="7" t="s">
        <v>23</v>
      </c>
      <c r="R36" s="7" t="s">
        <v>23</v>
      </c>
      <c r="S36" s="8">
        <v>0.458333333333333</v>
      </c>
      <c r="T36" s="8">
        <v>0.666666666666667</v>
      </c>
      <c r="U36" s="21">
        <f>IFERROR(__xludf.DUMMYFUNCTION("TO_PURE_NUMBER(SUM(FILTER(G36:T36, ISEVEN(COLUMN(G36:T36))))-SUM(FILTER(G36:T36, ISODD(COLUMN(G36:T36)))))*24"),45)</f>
        <v>45</v>
      </c>
    </row>
    <row r="37" customHeight="1" spans="1:21">
      <c r="A37" s="7">
        <v>10316545</v>
      </c>
      <c r="B37" s="8" t="s">
        <v>45</v>
      </c>
      <c r="C37" s="7" t="s">
        <v>20</v>
      </c>
      <c r="D37" s="7" t="s">
        <v>21</v>
      </c>
      <c r="E37" s="8" t="s">
        <v>22</v>
      </c>
      <c r="F37" s="9">
        <v>1</v>
      </c>
      <c r="G37" s="8">
        <v>0.375</v>
      </c>
      <c r="H37" s="8">
        <v>0.75</v>
      </c>
      <c r="I37" s="8">
        <v>0.375</v>
      </c>
      <c r="J37" s="8">
        <v>0.75</v>
      </c>
      <c r="K37" s="8">
        <v>0.375</v>
      </c>
      <c r="L37" s="8">
        <v>0.75</v>
      </c>
      <c r="M37" s="8">
        <v>0.375</v>
      </c>
      <c r="N37" s="8">
        <v>0.75</v>
      </c>
      <c r="O37" s="8">
        <v>0.375</v>
      </c>
      <c r="P37" s="8">
        <v>0.75</v>
      </c>
      <c r="Q37" s="7" t="s">
        <v>23</v>
      </c>
      <c r="R37" s="7" t="s">
        <v>23</v>
      </c>
      <c r="S37" s="7" t="s">
        <v>23</v>
      </c>
      <c r="T37" s="7" t="s">
        <v>23</v>
      </c>
      <c r="U37" s="21">
        <f>IFERROR(__xludf.DUMMYFUNCTION("TO_PURE_NUMBER(SUM(FILTER(G37:T37, ISEVEN(COLUMN(G37:T37))))-SUM(FILTER(G37:T37, ISODD(COLUMN(G37:T37)))))*24"),45)</f>
        <v>45</v>
      </c>
    </row>
    <row r="38" customHeight="1" spans="1:21">
      <c r="A38" s="7">
        <v>10316572</v>
      </c>
      <c r="B38" s="8" t="s">
        <v>46</v>
      </c>
      <c r="C38" s="7" t="s">
        <v>20</v>
      </c>
      <c r="D38" s="7" t="s">
        <v>21</v>
      </c>
      <c r="E38" s="8" t="s">
        <v>22</v>
      </c>
      <c r="F38" s="9">
        <v>2</v>
      </c>
      <c r="G38" s="8">
        <v>0.333333333333333</v>
      </c>
      <c r="H38" s="8">
        <v>0.75</v>
      </c>
      <c r="I38" s="8">
        <v>0.375</v>
      </c>
      <c r="J38" s="8">
        <v>0.791666666666667</v>
      </c>
      <c r="K38" s="8">
        <v>0.375</v>
      </c>
      <c r="L38" s="8">
        <v>0.791666666666667</v>
      </c>
      <c r="M38" s="8">
        <v>0.375</v>
      </c>
      <c r="N38" s="8">
        <v>0.791666666666667</v>
      </c>
      <c r="O38" s="7" t="s">
        <v>23</v>
      </c>
      <c r="P38" s="7" t="s">
        <v>23</v>
      </c>
      <c r="Q38" s="7" t="s">
        <v>23</v>
      </c>
      <c r="R38" s="7" t="s">
        <v>23</v>
      </c>
      <c r="S38" s="8">
        <v>0.416666666666667</v>
      </c>
      <c r="T38" s="8">
        <v>0.625</v>
      </c>
      <c r="U38" s="21">
        <f>IFERROR(__xludf.DUMMYFUNCTION("TO_PURE_NUMBER(SUM(FILTER(G38:T38, ISEVEN(COLUMN(G38:T38))))-SUM(FILTER(G38:T38, ISODD(COLUMN(G38:T38)))))*24"),44.9999999999999)</f>
        <v>44.9999999999999</v>
      </c>
    </row>
    <row r="39" customHeight="1" spans="1:21">
      <c r="A39" s="7">
        <v>10316685</v>
      </c>
      <c r="B39" s="8" t="s">
        <v>47</v>
      </c>
      <c r="C39" s="7" t="s">
        <v>89</v>
      </c>
      <c r="D39" s="7" t="s">
        <v>21</v>
      </c>
      <c r="E39" s="8" t="s">
        <v>22</v>
      </c>
      <c r="F39" s="9">
        <v>1</v>
      </c>
      <c r="G39" s="8">
        <v>0.5</v>
      </c>
      <c r="H39" s="8">
        <v>0.875</v>
      </c>
      <c r="I39" s="8">
        <v>0.5</v>
      </c>
      <c r="J39" s="8">
        <v>0.875</v>
      </c>
      <c r="K39" s="8">
        <v>0.5</v>
      </c>
      <c r="L39" s="8">
        <v>0.875</v>
      </c>
      <c r="M39" s="8">
        <v>0.5</v>
      </c>
      <c r="N39" s="8">
        <v>0.875</v>
      </c>
      <c r="O39" s="8">
        <v>0.5</v>
      </c>
      <c r="P39" s="8">
        <v>0.875</v>
      </c>
      <c r="Q39" s="7" t="s">
        <v>23</v>
      </c>
      <c r="R39" s="7" t="s">
        <v>23</v>
      </c>
      <c r="S39" s="7" t="s">
        <v>23</v>
      </c>
      <c r="T39" s="7" t="s">
        <v>23</v>
      </c>
      <c r="U39" s="21">
        <f>IFERROR(__xludf.DUMMYFUNCTION("TO_PURE_NUMBER(SUM(FILTER(G39:T39, ISEVEN(COLUMN(G39:T39))))-SUM(FILTER(G39:T39, ISODD(COLUMN(G39:T39)))))*24"),45)</f>
        <v>45</v>
      </c>
    </row>
    <row r="40" customHeight="1" spans="1:21">
      <c r="A40" s="7">
        <v>10274446</v>
      </c>
      <c r="B40" s="8" t="s">
        <v>88</v>
      </c>
      <c r="C40" s="7" t="s">
        <v>20</v>
      </c>
      <c r="D40" s="7" t="s">
        <v>21</v>
      </c>
      <c r="E40" s="8" t="s">
        <v>22</v>
      </c>
      <c r="F40" s="9">
        <v>2</v>
      </c>
      <c r="G40" s="8">
        <v>0.375</v>
      </c>
      <c r="H40" s="8">
        <v>0.75</v>
      </c>
      <c r="I40" s="8">
        <v>0.375</v>
      </c>
      <c r="J40" s="8">
        <v>0.75</v>
      </c>
      <c r="K40" s="7" t="s">
        <v>23</v>
      </c>
      <c r="L40" s="7" t="s">
        <v>23</v>
      </c>
      <c r="M40" s="7" t="s">
        <v>23</v>
      </c>
      <c r="N40" s="7" t="s">
        <v>23</v>
      </c>
      <c r="O40" s="8">
        <v>0.375</v>
      </c>
      <c r="P40" s="8">
        <v>0.75</v>
      </c>
      <c r="Q40" s="8">
        <v>0.458333333333333</v>
      </c>
      <c r="R40" s="8">
        <v>0.666666666666667</v>
      </c>
      <c r="S40" s="8">
        <v>0.458333333333333</v>
      </c>
      <c r="T40" s="8">
        <v>0.666666666666667</v>
      </c>
      <c r="U40" s="21">
        <f>IFERROR(__xludf.DUMMYFUNCTION("TO_PURE_NUMBER(SUM(FILTER(G40:T40, ISEVEN(COLUMN(G40:T40))))-SUM(FILTER(G40:T40, ISODD(COLUMN(G40:T40)))))*24"),37)</f>
        <v>37</v>
      </c>
    </row>
    <row r="41" customHeight="1" spans="1:21">
      <c r="A41" s="7">
        <v>10276839</v>
      </c>
      <c r="B41" s="8" t="s">
        <v>54</v>
      </c>
      <c r="C41" s="7" t="s">
        <v>20</v>
      </c>
      <c r="D41" s="7" t="s">
        <v>21</v>
      </c>
      <c r="E41" s="8" t="s">
        <v>22</v>
      </c>
      <c r="F41" s="9">
        <v>2</v>
      </c>
      <c r="G41" s="8">
        <v>0.458333333333333</v>
      </c>
      <c r="H41" s="8">
        <v>0.875</v>
      </c>
      <c r="I41" s="8">
        <v>0.458333333333333</v>
      </c>
      <c r="J41" s="8">
        <v>0.875</v>
      </c>
      <c r="K41" s="8">
        <v>0.458333333333333</v>
      </c>
      <c r="L41" s="8">
        <v>0.875</v>
      </c>
      <c r="M41" s="8">
        <v>0.458333333333333</v>
      </c>
      <c r="N41" s="8">
        <v>0.875</v>
      </c>
      <c r="O41" s="7" t="s">
        <v>23</v>
      </c>
      <c r="P41" s="7" t="s">
        <v>23</v>
      </c>
      <c r="Q41" s="7" t="s">
        <v>23</v>
      </c>
      <c r="R41" s="7" t="s">
        <v>23</v>
      </c>
      <c r="S41" s="8">
        <v>0.458333333333333</v>
      </c>
      <c r="T41" s="8">
        <v>0.666666666666667</v>
      </c>
      <c r="U41" s="21">
        <f>IFERROR(__xludf.DUMMYFUNCTION("TO_PURE_NUMBER(SUM(FILTER(G41:T41, ISEVEN(COLUMN(G41:T41))))-SUM(FILTER(G41:T41, ISODD(COLUMN(G41:T41)))))*24"),45)</f>
        <v>45</v>
      </c>
    </row>
    <row r="42" customHeight="1" spans="1:21">
      <c r="A42" s="7">
        <v>10320419</v>
      </c>
      <c r="B42" s="8" t="s">
        <v>69</v>
      </c>
      <c r="C42" s="7" t="s">
        <v>20</v>
      </c>
      <c r="D42" s="7" t="s">
        <v>21</v>
      </c>
      <c r="E42" s="8" t="s">
        <v>22</v>
      </c>
      <c r="F42" s="9">
        <v>3</v>
      </c>
      <c r="G42" s="7" t="s">
        <v>23</v>
      </c>
      <c r="H42" s="7" t="s">
        <v>23</v>
      </c>
      <c r="I42" s="8">
        <v>0.375</v>
      </c>
      <c r="J42" s="8">
        <v>0.791666666666667</v>
      </c>
      <c r="K42" s="8">
        <v>0.375</v>
      </c>
      <c r="L42" s="8">
        <v>0.791666666666667</v>
      </c>
      <c r="M42" s="8">
        <v>0.375</v>
      </c>
      <c r="N42" s="8">
        <v>0.791666666666667</v>
      </c>
      <c r="O42" s="8">
        <v>0.375</v>
      </c>
      <c r="P42" s="8">
        <v>0.791666666666667</v>
      </c>
      <c r="Q42" s="8">
        <v>0.458333333333333</v>
      </c>
      <c r="R42" s="8">
        <v>0.666666666666667</v>
      </c>
      <c r="S42" s="7" t="s">
        <v>23</v>
      </c>
      <c r="T42" s="7" t="s">
        <v>23</v>
      </c>
      <c r="U42" s="21">
        <f>IFERROR(__xludf.DUMMYFUNCTION("TO_PURE_NUMBER(SUM(FILTER(G42:T42, ISEVEN(COLUMN(G42:T42))))-SUM(FILTER(G42:T42, ISODD(COLUMN(G42:T42)))))*24"),44.9999999999999)</f>
        <v>44.9999999999999</v>
      </c>
    </row>
    <row r="43" customHeight="1" spans="1:21">
      <c r="A43" s="7">
        <v>10316546</v>
      </c>
      <c r="B43" s="8" t="s">
        <v>49</v>
      </c>
      <c r="C43" s="7" t="s">
        <v>20</v>
      </c>
      <c r="D43" s="7" t="s">
        <v>21</v>
      </c>
      <c r="E43" s="8" t="s">
        <v>22</v>
      </c>
      <c r="F43" s="9">
        <v>1</v>
      </c>
      <c r="G43" s="7" t="s">
        <v>94</v>
      </c>
      <c r="H43" s="7" t="s">
        <v>94</v>
      </c>
      <c r="I43" s="7" t="s">
        <v>94</v>
      </c>
      <c r="J43" s="7" t="s">
        <v>94</v>
      </c>
      <c r="K43" s="7" t="s">
        <v>94</v>
      </c>
      <c r="L43" s="7" t="s">
        <v>94</v>
      </c>
      <c r="M43" s="7" t="s">
        <v>94</v>
      </c>
      <c r="N43" s="7" t="s">
        <v>94</v>
      </c>
      <c r="O43" s="7" t="s">
        <v>94</v>
      </c>
      <c r="P43" s="7" t="s">
        <v>94</v>
      </c>
      <c r="Q43" s="7" t="s">
        <v>94</v>
      </c>
      <c r="R43" s="7" t="s">
        <v>94</v>
      </c>
      <c r="S43" s="7" t="s">
        <v>94</v>
      </c>
      <c r="T43" s="7" t="s">
        <v>94</v>
      </c>
      <c r="U43" s="21">
        <f>IFERROR(__xludf.DUMMYFUNCTION("TO_PURE_NUMBER(SUM(FILTER(G43:T43, ISEVEN(COLUMN(G43:T43))))-SUM(FILTER(G43:T43, ISODD(COLUMN(G43:T43)))))*24"),0)</f>
        <v>0</v>
      </c>
    </row>
    <row r="44" customHeight="1" spans="1:21">
      <c r="A44" s="7">
        <v>10316551</v>
      </c>
      <c r="B44" s="8" t="s">
        <v>87</v>
      </c>
      <c r="C44" s="7" t="s">
        <v>20</v>
      </c>
      <c r="D44" s="7" t="s">
        <v>21</v>
      </c>
      <c r="E44" s="8" t="s">
        <v>22</v>
      </c>
      <c r="F44" s="9">
        <v>1</v>
      </c>
      <c r="G44" s="8">
        <v>0.458333333333333</v>
      </c>
      <c r="H44" s="8">
        <v>0.875</v>
      </c>
      <c r="I44" s="8">
        <v>0.458333333333333</v>
      </c>
      <c r="J44" s="8">
        <v>0.875</v>
      </c>
      <c r="K44" s="8">
        <v>0.458333333333333</v>
      </c>
      <c r="L44" s="8">
        <v>0.875</v>
      </c>
      <c r="M44" s="8">
        <v>0.458333333333333</v>
      </c>
      <c r="N44" s="8">
        <v>0.875</v>
      </c>
      <c r="O44" s="7" t="s">
        <v>23</v>
      </c>
      <c r="P44" s="7" t="s">
        <v>23</v>
      </c>
      <c r="Q44" s="7" t="s">
        <v>23</v>
      </c>
      <c r="R44" s="7" t="s">
        <v>23</v>
      </c>
      <c r="S44" s="8">
        <v>0.458333333333333</v>
      </c>
      <c r="T44" s="8">
        <v>0.666666666666667</v>
      </c>
      <c r="U44" s="21">
        <f>IFERROR(__xludf.DUMMYFUNCTION("TO_PURE_NUMBER(SUM(FILTER(G44:T44, ISEVEN(COLUMN(G44:T44))))-SUM(FILTER(G44:T44, ISODD(COLUMN(G44:T44)))))*24"),45)</f>
        <v>45</v>
      </c>
    </row>
    <row r="45" customHeight="1" spans="1:21">
      <c r="A45" s="7">
        <v>10320435</v>
      </c>
      <c r="B45" s="8" t="s">
        <v>71</v>
      </c>
      <c r="C45" s="7" t="s">
        <v>20</v>
      </c>
      <c r="D45" s="7" t="s">
        <v>21</v>
      </c>
      <c r="E45" s="8" t="s">
        <v>22</v>
      </c>
      <c r="F45" s="9">
        <v>3</v>
      </c>
      <c r="G45" s="8">
        <v>0.375</v>
      </c>
      <c r="H45" s="8">
        <v>0.75</v>
      </c>
      <c r="I45" s="8">
        <v>0.375</v>
      </c>
      <c r="J45" s="8">
        <v>0.75</v>
      </c>
      <c r="K45" s="8">
        <v>0.375</v>
      </c>
      <c r="L45" s="8">
        <v>0.75</v>
      </c>
      <c r="M45" s="8">
        <v>0.375</v>
      </c>
      <c r="N45" s="8">
        <v>0.75</v>
      </c>
      <c r="O45" s="8">
        <v>0.375</v>
      </c>
      <c r="P45" s="8">
        <v>0.75</v>
      </c>
      <c r="Q45" s="7" t="s">
        <v>23</v>
      </c>
      <c r="R45" s="7" t="s">
        <v>23</v>
      </c>
      <c r="S45" s="7" t="s">
        <v>23</v>
      </c>
      <c r="T45" s="7" t="s">
        <v>23</v>
      </c>
      <c r="U45" s="21">
        <f>IFERROR(__xludf.DUMMYFUNCTION("TO_PURE_NUMBER(SUM(FILTER(G45:T45, ISEVEN(COLUMN(G45:T45))))-SUM(FILTER(G45:T45, ISODD(COLUMN(G45:T45)))))*24"),45)</f>
        <v>45</v>
      </c>
    </row>
    <row r="46" customHeight="1" spans="1:21">
      <c r="A46" s="7">
        <v>10316683</v>
      </c>
      <c r="B46" s="8" t="s">
        <v>51</v>
      </c>
      <c r="C46" s="7" t="s">
        <v>20</v>
      </c>
      <c r="D46" s="7" t="s">
        <v>21</v>
      </c>
      <c r="E46" s="8" t="s">
        <v>22</v>
      </c>
      <c r="F46" s="9">
        <v>1</v>
      </c>
      <c r="G46" s="8">
        <v>0.375</v>
      </c>
      <c r="H46" s="8">
        <v>0.75</v>
      </c>
      <c r="I46" s="8">
        <v>0.375</v>
      </c>
      <c r="J46" s="8">
        <v>0.75</v>
      </c>
      <c r="K46" s="8">
        <v>0.375</v>
      </c>
      <c r="L46" s="8">
        <v>0.75</v>
      </c>
      <c r="M46" s="8">
        <v>0.375</v>
      </c>
      <c r="N46" s="8">
        <v>0.75</v>
      </c>
      <c r="O46" s="8">
        <v>0.375</v>
      </c>
      <c r="P46" s="8">
        <v>0.75</v>
      </c>
      <c r="Q46" s="7" t="s">
        <v>23</v>
      </c>
      <c r="R46" s="7" t="s">
        <v>23</v>
      </c>
      <c r="S46" s="7" t="s">
        <v>23</v>
      </c>
      <c r="T46" s="7" t="s">
        <v>23</v>
      </c>
      <c r="U46" s="21">
        <f>IFERROR(__xludf.DUMMYFUNCTION("TO_PURE_NUMBER(SUM(FILTER(G46:T46, ISEVEN(COLUMN(G46:T46))))-SUM(FILTER(G46:T46, ISODD(COLUMN(G46:T46)))))*24"),45)</f>
        <v>45</v>
      </c>
    </row>
    <row r="47" customHeight="1" spans="1:21">
      <c r="A47" s="7">
        <v>10316540</v>
      </c>
      <c r="B47" s="8" t="s">
        <v>30</v>
      </c>
      <c r="C47" s="7" t="s">
        <v>20</v>
      </c>
      <c r="D47" s="7" t="s">
        <v>86</v>
      </c>
      <c r="E47" s="8" t="s">
        <v>22</v>
      </c>
      <c r="F47" s="9">
        <v>1</v>
      </c>
      <c r="G47" s="7" t="s">
        <v>36</v>
      </c>
      <c r="H47" s="7" t="s">
        <v>36</v>
      </c>
      <c r="I47" s="8">
        <v>0.5</v>
      </c>
      <c r="J47" s="8">
        <v>0.875</v>
      </c>
      <c r="K47" s="8">
        <v>0.5</v>
      </c>
      <c r="L47" s="8">
        <v>0.875</v>
      </c>
      <c r="M47" s="8">
        <v>0.5</v>
      </c>
      <c r="N47" s="8">
        <v>0.875</v>
      </c>
      <c r="O47" s="8">
        <v>0.5</v>
      </c>
      <c r="P47" s="8">
        <v>0.875</v>
      </c>
      <c r="Q47" s="7" t="s">
        <v>23</v>
      </c>
      <c r="R47" s="7" t="s">
        <v>23</v>
      </c>
      <c r="S47" s="7" t="s">
        <v>23</v>
      </c>
      <c r="T47" s="7" t="s">
        <v>23</v>
      </c>
      <c r="U47" s="21">
        <f>IFERROR(__xludf.DUMMYFUNCTION("TO_PURE_NUMBER(SUM(FILTER(G47:T47, ISEVEN(COLUMN(G47:T47))))-SUM(FILTER(G47:T47, ISODD(COLUMN(G47:T47)))))*24"),36)</f>
        <v>36</v>
      </c>
    </row>
    <row r="48" customHeight="1" spans="1:21">
      <c r="A48" s="7">
        <v>10293627</v>
      </c>
      <c r="B48" s="8" t="s">
        <v>92</v>
      </c>
      <c r="C48" s="7" t="s">
        <v>20</v>
      </c>
      <c r="D48" s="7" t="s">
        <v>21</v>
      </c>
      <c r="E48" s="8" t="s">
        <v>22</v>
      </c>
      <c r="F48" s="9">
        <v>3</v>
      </c>
      <c r="G48" s="8">
        <v>0.375</v>
      </c>
      <c r="H48" s="8">
        <v>0.791666666666667</v>
      </c>
      <c r="I48" s="8">
        <v>0.375</v>
      </c>
      <c r="J48" s="8">
        <v>0.791666666666667</v>
      </c>
      <c r="K48" s="8">
        <v>0.375</v>
      </c>
      <c r="L48" s="8">
        <v>0.791666666666667</v>
      </c>
      <c r="M48" s="8">
        <v>0.375</v>
      </c>
      <c r="N48" s="8">
        <v>0.791666666666667</v>
      </c>
      <c r="O48" s="7" t="s">
        <v>23</v>
      </c>
      <c r="P48" s="7" t="s">
        <v>23</v>
      </c>
      <c r="Q48" s="7" t="s">
        <v>23</v>
      </c>
      <c r="R48" s="7" t="s">
        <v>23</v>
      </c>
      <c r="S48" s="8">
        <v>0.458333333333333</v>
      </c>
      <c r="T48" s="8">
        <v>0.666666666666667</v>
      </c>
      <c r="U48" s="21">
        <f>IFERROR(__xludf.DUMMYFUNCTION("TO_PURE_NUMBER(SUM(FILTER(G48:T48, ISEVEN(COLUMN(G48:T48))))-SUM(FILTER(G48:T48, ISODD(COLUMN(G48:T48)))))*24"),44.9999999999999)</f>
        <v>44.9999999999999</v>
      </c>
    </row>
    <row r="49" customHeight="1" spans="1:21">
      <c r="A49" s="7">
        <v>10320409</v>
      </c>
      <c r="B49" s="8" t="s">
        <v>57</v>
      </c>
      <c r="C49" s="7" t="s">
        <v>20</v>
      </c>
      <c r="D49" s="7" t="s">
        <v>21</v>
      </c>
      <c r="E49" s="8" t="s">
        <v>22</v>
      </c>
      <c r="F49" s="9">
        <v>3</v>
      </c>
      <c r="G49" s="8">
        <v>0.5</v>
      </c>
      <c r="H49" s="8">
        <v>0.875</v>
      </c>
      <c r="I49" s="7" t="s">
        <v>23</v>
      </c>
      <c r="J49" s="7" t="s">
        <v>23</v>
      </c>
      <c r="K49" s="7" t="s">
        <v>23</v>
      </c>
      <c r="L49" s="7" t="s">
        <v>23</v>
      </c>
      <c r="M49" s="8">
        <v>0.5</v>
      </c>
      <c r="N49" s="8">
        <v>0.875</v>
      </c>
      <c r="O49" s="8">
        <v>0.5</v>
      </c>
      <c r="P49" s="8">
        <v>0.875</v>
      </c>
      <c r="Q49" s="8">
        <v>0.458333333333333</v>
      </c>
      <c r="R49" s="8">
        <v>0.666666666666667</v>
      </c>
      <c r="S49" s="8">
        <v>0.458333333333333</v>
      </c>
      <c r="T49" s="8">
        <v>0.666666666666667</v>
      </c>
      <c r="U49" s="21">
        <f>IFERROR(__xludf.DUMMYFUNCTION("TO_PURE_NUMBER(SUM(FILTER(G49:T49, ISEVEN(COLUMN(G49:T49))))-SUM(FILTER(G49:T49, ISODD(COLUMN(G49:T49)))))*24"),37)</f>
        <v>37</v>
      </c>
    </row>
    <row r="50" customHeight="1" spans="1:21">
      <c r="A50" s="7">
        <v>10317151</v>
      </c>
      <c r="B50" s="8" t="s">
        <v>52</v>
      </c>
      <c r="C50" s="7" t="s">
        <v>20</v>
      </c>
      <c r="D50" s="7" t="s">
        <v>86</v>
      </c>
      <c r="E50" s="8" t="s">
        <v>22</v>
      </c>
      <c r="F50" s="9">
        <v>1</v>
      </c>
      <c r="G50" s="7" t="s">
        <v>36</v>
      </c>
      <c r="H50" s="7" t="s">
        <v>36</v>
      </c>
      <c r="I50" s="8">
        <v>0.375</v>
      </c>
      <c r="J50" s="8">
        <v>0.75</v>
      </c>
      <c r="K50" s="8">
        <v>0.375</v>
      </c>
      <c r="L50" s="8">
        <v>0.75</v>
      </c>
      <c r="M50" s="8">
        <v>0.375</v>
      </c>
      <c r="N50" s="8">
        <v>0.75</v>
      </c>
      <c r="O50" s="8">
        <v>0.375</v>
      </c>
      <c r="P50" s="8">
        <v>0.75</v>
      </c>
      <c r="Q50" s="7" t="s">
        <v>23</v>
      </c>
      <c r="R50" s="7" t="s">
        <v>23</v>
      </c>
      <c r="S50" s="7" t="s">
        <v>23</v>
      </c>
      <c r="T50" s="7" t="s">
        <v>23</v>
      </c>
      <c r="U50" s="21">
        <f>IFERROR(__xludf.DUMMYFUNCTION("TO_PURE_NUMBER(SUM(FILTER(G50:T50, ISEVEN(COLUMN(G50:T50))))-SUM(FILTER(G50:T50, ISODD(COLUMN(G50:T50)))))*24"),36)</f>
        <v>36</v>
      </c>
    </row>
    <row r="51" customHeight="1" spans="1:21">
      <c r="A51" s="7">
        <v>10317524</v>
      </c>
      <c r="B51" s="8" t="s">
        <v>53</v>
      </c>
      <c r="C51" s="7" t="s">
        <v>20</v>
      </c>
      <c r="D51" s="7" t="s">
        <v>21</v>
      </c>
      <c r="E51" s="8" t="s">
        <v>22</v>
      </c>
      <c r="F51" s="9">
        <v>2</v>
      </c>
      <c r="G51" s="7" t="s">
        <v>23</v>
      </c>
      <c r="H51" s="7" t="s">
        <v>23</v>
      </c>
      <c r="I51" s="8">
        <v>0.458333333333333</v>
      </c>
      <c r="J51" s="8">
        <v>0.875</v>
      </c>
      <c r="K51" s="8">
        <v>0.458333333333333</v>
      </c>
      <c r="L51" s="8">
        <v>0.875</v>
      </c>
      <c r="M51" s="8">
        <v>0.458333333333333</v>
      </c>
      <c r="N51" s="8">
        <v>0.875</v>
      </c>
      <c r="O51" s="8">
        <v>0.458333333333333</v>
      </c>
      <c r="P51" s="8">
        <v>0.875</v>
      </c>
      <c r="Q51" s="8">
        <v>0.458333333333333</v>
      </c>
      <c r="R51" s="8">
        <v>0.666666666666667</v>
      </c>
      <c r="S51" s="7" t="s">
        <v>23</v>
      </c>
      <c r="T51" s="7" t="s">
        <v>23</v>
      </c>
      <c r="U51" s="21">
        <f>IFERROR(__xludf.DUMMYFUNCTION("TO_PURE_NUMBER(SUM(FILTER(G51:T51, ISEVEN(COLUMN(G51:T51))))-SUM(FILTER(G51:T51, ISODD(COLUMN(G51:T51)))))*24"),45)</f>
        <v>45</v>
      </c>
    </row>
  </sheetData>
  <autoFilter xmlns:etc="http://www.wps.cn/officeDocument/2017/etCustomData" ref="D3:D51" etc:filterBottomFollowUsedRange="0">
    <extLst/>
  </autoFilter>
  <mergeCells count="20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A1:A2"/>
    <mergeCell ref="B1:B2"/>
    <mergeCell ref="C1:C2"/>
    <mergeCell ref="D1:D2"/>
    <mergeCell ref="E1:E2"/>
    <mergeCell ref="F1:F2"/>
  </mergeCells>
  <conditionalFormatting sqref="G4:T51">
    <cfRule type="containsText" dxfId="3" priority="1" operator="between" text="OFF">
      <formula>NOT(ISERROR(SEARCH("OFF",G4)))</formula>
    </cfRule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  <cfRule type="containsText" dxfId="4" priority="3" operator="between" text="AN">
      <formula>NOT(ISERROR(SEARCH("AN",G4)))</formula>
    </cfRule>
    <cfRule type="containsText" dxfId="5" priority="4" operator="between" text="DT">
      <formula>NOT(ISERROR(SEARCH("DT",G4)))</formula>
    </cfRule>
    <cfRule type="containsText" dxfId="6" priority="5" operator="between" text="RS">
      <formula>NOT(ISERROR(SEARCH("RS",G4)))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74"/>
  <sheetViews>
    <sheetView workbookViewId="0">
      <selection activeCell="A1" sqref="A1:A3"/>
    </sheetView>
  </sheetViews>
  <sheetFormatPr defaultColWidth="12.6272727272727" defaultRowHeight="15.75" customHeight="1"/>
  <cols>
    <col min="1" max="1" width="11.6272727272727" customWidth="1"/>
    <col min="2" max="2" width="18.7545454545455" customWidth="1"/>
    <col min="3" max="3" width="7.12727272727273" customWidth="1"/>
    <col min="4" max="4" width="9" customWidth="1"/>
    <col min="5" max="6" width="4.75454545454545" customWidth="1"/>
    <col min="7" max="7" width="9.5" customWidth="1"/>
    <col min="8" max="20" width="10.3818181818182" customWidth="1"/>
  </cols>
  <sheetData>
    <row r="1" customHeigh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>
        <v>45649</v>
      </c>
      <c r="H1" s="14"/>
      <c r="I1" s="3">
        <v>45650</v>
      </c>
      <c r="J1" s="14"/>
      <c r="K1" s="3">
        <v>45651</v>
      </c>
      <c r="L1" s="14"/>
      <c r="M1" s="3">
        <v>45652</v>
      </c>
      <c r="N1" s="14"/>
      <c r="O1" s="3">
        <v>45653</v>
      </c>
      <c r="P1" s="14"/>
      <c r="Q1" s="3">
        <v>45654</v>
      </c>
      <c r="R1" s="14"/>
      <c r="S1" s="3">
        <v>45655</v>
      </c>
      <c r="T1" s="14"/>
      <c r="U1" s="90"/>
    </row>
    <row r="2" customHeight="1" spans="1:21">
      <c r="A2" s="15"/>
      <c r="B2" s="15"/>
      <c r="C2" s="15"/>
      <c r="D2" s="15"/>
      <c r="E2" s="15"/>
      <c r="F2" s="15"/>
      <c r="G2" s="24" t="s">
        <v>6</v>
      </c>
      <c r="H2" s="14"/>
      <c r="I2" s="24" t="s">
        <v>7</v>
      </c>
      <c r="J2" s="14"/>
      <c r="K2" s="24" t="s">
        <v>8</v>
      </c>
      <c r="L2" s="14"/>
      <c r="M2" s="24" t="s">
        <v>9</v>
      </c>
      <c r="N2" s="14"/>
      <c r="O2" s="24" t="s">
        <v>10</v>
      </c>
      <c r="P2" s="14"/>
      <c r="Q2" s="24" t="s">
        <v>11</v>
      </c>
      <c r="R2" s="14"/>
      <c r="S2" s="24" t="s">
        <v>12</v>
      </c>
      <c r="T2" s="14"/>
      <c r="U2" s="90"/>
    </row>
    <row r="3" customHeight="1" spans="1:21">
      <c r="A3" s="5"/>
      <c r="B3" s="5"/>
      <c r="C3" s="5"/>
      <c r="D3" s="5"/>
      <c r="E3" s="5"/>
      <c r="F3" s="5"/>
      <c r="G3" s="16" t="s">
        <v>80</v>
      </c>
      <c r="H3" s="16" t="s">
        <v>81</v>
      </c>
      <c r="I3" s="16" t="s">
        <v>80</v>
      </c>
      <c r="J3" s="16" t="s">
        <v>81</v>
      </c>
      <c r="K3" s="16" t="s">
        <v>80</v>
      </c>
      <c r="L3" s="16" t="s">
        <v>81</v>
      </c>
      <c r="M3" s="16" t="s">
        <v>80</v>
      </c>
      <c r="N3" s="16" t="s">
        <v>81</v>
      </c>
      <c r="O3" s="16" t="s">
        <v>80</v>
      </c>
      <c r="P3" s="16" t="s">
        <v>81</v>
      </c>
      <c r="Q3" s="16" t="s">
        <v>80</v>
      </c>
      <c r="R3" s="16" t="s">
        <v>81</v>
      </c>
      <c r="S3" s="16" t="s">
        <v>80</v>
      </c>
      <c r="T3" s="16" t="s">
        <v>81</v>
      </c>
      <c r="U3" s="90"/>
    </row>
    <row r="4" customHeight="1" spans="1:21">
      <c r="A4" s="7">
        <v>10320410</v>
      </c>
      <c r="B4" s="7" t="s">
        <v>58</v>
      </c>
      <c r="C4" s="7" t="s">
        <v>20</v>
      </c>
      <c r="D4" s="7" t="s">
        <v>21</v>
      </c>
      <c r="E4" s="8" t="s">
        <v>22</v>
      </c>
      <c r="F4" s="9">
        <v>3</v>
      </c>
      <c r="G4" s="8">
        <v>0.375</v>
      </c>
      <c r="H4" s="8">
        <v>0.75</v>
      </c>
      <c r="I4" s="8">
        <v>0.375</v>
      </c>
      <c r="J4" s="8">
        <v>0.75</v>
      </c>
      <c r="K4" s="8">
        <v>0.375</v>
      </c>
      <c r="L4" s="8">
        <v>0.75</v>
      </c>
      <c r="M4" s="8">
        <v>0.375</v>
      </c>
      <c r="N4" s="8">
        <v>0.75</v>
      </c>
      <c r="O4" s="8">
        <v>0.375</v>
      </c>
      <c r="P4" s="8">
        <v>0.75</v>
      </c>
      <c r="Q4" s="7" t="s">
        <v>23</v>
      </c>
      <c r="R4" s="7" t="s">
        <v>23</v>
      </c>
      <c r="S4" s="7" t="s">
        <v>23</v>
      </c>
      <c r="T4" s="7" t="s">
        <v>23</v>
      </c>
      <c r="U4" s="90"/>
    </row>
    <row r="5" customHeight="1" spans="1:21">
      <c r="A5" s="7">
        <v>10320415</v>
      </c>
      <c r="B5" s="7" t="s">
        <v>63</v>
      </c>
      <c r="C5" s="7" t="s">
        <v>20</v>
      </c>
      <c r="D5" s="7" t="s">
        <v>21</v>
      </c>
      <c r="E5" s="8" t="s">
        <v>22</v>
      </c>
      <c r="F5" s="9">
        <v>3</v>
      </c>
      <c r="G5" s="8">
        <v>0.5</v>
      </c>
      <c r="H5" s="8">
        <v>0.875</v>
      </c>
      <c r="I5" s="8">
        <v>0.5</v>
      </c>
      <c r="J5" s="8">
        <v>0.875</v>
      </c>
      <c r="K5" s="8">
        <v>0.5</v>
      </c>
      <c r="L5" s="8">
        <v>0.875</v>
      </c>
      <c r="M5" s="8">
        <v>0.5</v>
      </c>
      <c r="N5" s="8">
        <v>0.875</v>
      </c>
      <c r="O5" s="8">
        <v>0.5</v>
      </c>
      <c r="P5" s="8">
        <v>0.875</v>
      </c>
      <c r="Q5" s="7" t="s">
        <v>23</v>
      </c>
      <c r="R5" s="7" t="s">
        <v>23</v>
      </c>
      <c r="S5" s="7" t="s">
        <v>23</v>
      </c>
      <c r="T5" s="7" t="s">
        <v>23</v>
      </c>
      <c r="U5" s="90"/>
    </row>
    <row r="6" customHeight="1" spans="1:21">
      <c r="A6" s="7">
        <v>10317522</v>
      </c>
      <c r="B6" s="7" t="s">
        <v>31</v>
      </c>
      <c r="C6" s="7" t="s">
        <v>20</v>
      </c>
      <c r="D6" s="7" t="s">
        <v>21</v>
      </c>
      <c r="E6" s="8" t="s">
        <v>22</v>
      </c>
      <c r="F6" s="9">
        <v>2</v>
      </c>
      <c r="G6" s="8">
        <v>0.5</v>
      </c>
      <c r="H6" s="8">
        <v>0.875</v>
      </c>
      <c r="I6" s="8">
        <v>0.5</v>
      </c>
      <c r="J6" s="8">
        <v>0.875</v>
      </c>
      <c r="K6" s="8">
        <v>0.5</v>
      </c>
      <c r="L6" s="8">
        <v>0.875</v>
      </c>
      <c r="M6" s="8">
        <v>0.5</v>
      </c>
      <c r="N6" s="8">
        <v>0.875</v>
      </c>
      <c r="O6" s="8">
        <v>0.5</v>
      </c>
      <c r="P6" s="8">
        <v>0.875</v>
      </c>
      <c r="Q6" s="7" t="s">
        <v>23</v>
      </c>
      <c r="R6" s="7" t="s">
        <v>23</v>
      </c>
      <c r="S6" s="7" t="s">
        <v>23</v>
      </c>
      <c r="T6" s="7" t="s">
        <v>23</v>
      </c>
      <c r="U6" s="90"/>
    </row>
    <row r="7" customHeight="1" spans="1:21">
      <c r="A7" s="7">
        <v>10316549</v>
      </c>
      <c r="B7" s="7" t="s">
        <v>19</v>
      </c>
      <c r="C7" s="7" t="s">
        <v>20</v>
      </c>
      <c r="D7" s="7" t="s">
        <v>86</v>
      </c>
      <c r="E7" s="8" t="s">
        <v>22</v>
      </c>
      <c r="F7" s="9">
        <v>1</v>
      </c>
      <c r="G7" s="8">
        <v>0.375</v>
      </c>
      <c r="H7" s="8">
        <v>0.75</v>
      </c>
      <c r="I7" s="8">
        <v>0.375</v>
      </c>
      <c r="J7" s="8">
        <v>0.75</v>
      </c>
      <c r="K7" s="8">
        <v>0.375</v>
      </c>
      <c r="L7" s="8">
        <v>0.75</v>
      </c>
      <c r="M7" s="8">
        <v>0.375</v>
      </c>
      <c r="N7" s="8">
        <v>0.75</v>
      </c>
      <c r="O7" s="8">
        <v>0.375</v>
      </c>
      <c r="P7" s="8">
        <v>0.75</v>
      </c>
      <c r="Q7" s="7" t="s">
        <v>23</v>
      </c>
      <c r="R7" s="7" t="s">
        <v>23</v>
      </c>
      <c r="S7" s="7" t="s">
        <v>23</v>
      </c>
      <c r="T7" s="7" t="s">
        <v>23</v>
      </c>
      <c r="U7" s="90"/>
    </row>
    <row r="8" customHeight="1" spans="1:21">
      <c r="A8" s="7">
        <v>10320413</v>
      </c>
      <c r="B8" s="7" t="s">
        <v>60</v>
      </c>
      <c r="C8" s="7" t="s">
        <v>20</v>
      </c>
      <c r="D8" s="7" t="s">
        <v>21</v>
      </c>
      <c r="E8" s="8" t="s">
        <v>22</v>
      </c>
      <c r="F8" s="9">
        <v>3</v>
      </c>
      <c r="G8" s="8">
        <v>0.458333333332121</v>
      </c>
      <c r="H8" s="8">
        <v>0.875</v>
      </c>
      <c r="I8" s="8">
        <v>0.458333333332121</v>
      </c>
      <c r="J8" s="8">
        <v>0.875</v>
      </c>
      <c r="K8" s="8">
        <v>0.458333333332121</v>
      </c>
      <c r="L8" s="8">
        <v>0.875</v>
      </c>
      <c r="M8" s="8">
        <v>0.458333333332121</v>
      </c>
      <c r="N8" s="8">
        <v>0.875</v>
      </c>
      <c r="O8" s="7" t="s">
        <v>23</v>
      </c>
      <c r="P8" s="7" t="s">
        <v>23</v>
      </c>
      <c r="Q8" s="7" t="s">
        <v>23</v>
      </c>
      <c r="R8" s="7" t="s">
        <v>23</v>
      </c>
      <c r="S8" s="8">
        <v>0.458333333332121</v>
      </c>
      <c r="T8" s="8">
        <v>0.666666666667879</v>
      </c>
      <c r="U8" s="90"/>
    </row>
    <row r="9" customHeight="1" spans="1:21">
      <c r="A9" s="7">
        <v>10320408</v>
      </c>
      <c r="B9" s="7" t="s">
        <v>56</v>
      </c>
      <c r="C9" s="7" t="s">
        <v>20</v>
      </c>
      <c r="D9" s="7" t="s">
        <v>21</v>
      </c>
      <c r="E9" s="8" t="s">
        <v>22</v>
      </c>
      <c r="F9" s="9">
        <v>3</v>
      </c>
      <c r="G9" s="8">
        <v>0.5</v>
      </c>
      <c r="H9" s="8">
        <v>0.875</v>
      </c>
      <c r="I9" s="8">
        <v>0.5</v>
      </c>
      <c r="J9" s="8">
        <v>0.875</v>
      </c>
      <c r="K9" s="8">
        <v>0.5</v>
      </c>
      <c r="L9" s="8">
        <v>0.875</v>
      </c>
      <c r="M9" s="8">
        <v>0.5</v>
      </c>
      <c r="N9" s="8">
        <v>0.875</v>
      </c>
      <c r="O9" s="7" t="s">
        <v>23</v>
      </c>
      <c r="P9" s="7" t="s">
        <v>23</v>
      </c>
      <c r="Q9" s="7" t="s">
        <v>23</v>
      </c>
      <c r="R9" s="7" t="s">
        <v>23</v>
      </c>
      <c r="S9" s="8">
        <v>0.458333333332121</v>
      </c>
      <c r="T9" s="8">
        <v>0.666666666667879</v>
      </c>
      <c r="U9" s="90"/>
    </row>
    <row r="10" customHeight="1" spans="1:21">
      <c r="A10" s="7">
        <v>10317147</v>
      </c>
      <c r="B10" s="7" t="s">
        <v>24</v>
      </c>
      <c r="C10" s="7" t="s">
        <v>20</v>
      </c>
      <c r="D10" s="7" t="s">
        <v>21</v>
      </c>
      <c r="E10" s="8" t="s">
        <v>22</v>
      </c>
      <c r="F10" s="9">
        <v>1</v>
      </c>
      <c r="G10" s="7" t="s">
        <v>23</v>
      </c>
      <c r="H10" s="7" t="s">
        <v>23</v>
      </c>
      <c r="I10" s="8">
        <v>0.458333333332121</v>
      </c>
      <c r="J10" s="8">
        <v>0.875</v>
      </c>
      <c r="K10" s="8">
        <v>0.458333333332121</v>
      </c>
      <c r="L10" s="8">
        <v>0.875</v>
      </c>
      <c r="M10" s="8">
        <v>0.458333333332121</v>
      </c>
      <c r="N10" s="8">
        <v>0.875</v>
      </c>
      <c r="O10" s="8">
        <v>0.458333333332121</v>
      </c>
      <c r="P10" s="8">
        <v>0.875</v>
      </c>
      <c r="Q10" s="8">
        <v>0.458333333332121</v>
      </c>
      <c r="R10" s="8">
        <v>0.666666666667879</v>
      </c>
      <c r="S10" s="7" t="s">
        <v>23</v>
      </c>
      <c r="T10" s="7" t="s">
        <v>23</v>
      </c>
      <c r="U10" s="90"/>
    </row>
    <row r="11" customHeight="1" spans="1:21">
      <c r="A11" s="7">
        <v>10272259</v>
      </c>
      <c r="B11" s="7" t="s">
        <v>32</v>
      </c>
      <c r="C11" s="7" t="s">
        <v>20</v>
      </c>
      <c r="D11" s="7" t="s">
        <v>21</v>
      </c>
      <c r="E11" s="8" t="s">
        <v>22</v>
      </c>
      <c r="F11" s="9">
        <v>2</v>
      </c>
      <c r="G11" s="8">
        <v>0.5</v>
      </c>
      <c r="H11" s="8">
        <v>0.875</v>
      </c>
      <c r="I11" s="7" t="s">
        <v>23</v>
      </c>
      <c r="J11" s="7" t="s">
        <v>23</v>
      </c>
      <c r="K11" s="7" t="s">
        <v>23</v>
      </c>
      <c r="L11" s="7" t="s">
        <v>23</v>
      </c>
      <c r="M11" s="8">
        <v>0.5</v>
      </c>
      <c r="N11" s="8">
        <v>0.875</v>
      </c>
      <c r="O11" s="8">
        <v>0.5</v>
      </c>
      <c r="P11" s="8">
        <v>0.875</v>
      </c>
      <c r="Q11" s="8">
        <v>0.458333333332121</v>
      </c>
      <c r="R11" s="8">
        <v>0.666666666667879</v>
      </c>
      <c r="S11" s="8">
        <v>0.458333333332121</v>
      </c>
      <c r="T11" s="8">
        <v>0.666666666667879</v>
      </c>
      <c r="U11" s="90"/>
    </row>
    <row r="12" customHeight="1" spans="1:21">
      <c r="A12" s="7">
        <v>10320412</v>
      </c>
      <c r="B12" s="7" t="s">
        <v>59</v>
      </c>
      <c r="C12" s="7" t="s">
        <v>20</v>
      </c>
      <c r="D12" s="7" t="s">
        <v>21</v>
      </c>
      <c r="E12" s="8" t="s">
        <v>22</v>
      </c>
      <c r="F12" s="9">
        <v>3</v>
      </c>
      <c r="G12" s="8">
        <v>0.5</v>
      </c>
      <c r="H12" s="8">
        <v>0.875</v>
      </c>
      <c r="I12" s="8">
        <v>0.5</v>
      </c>
      <c r="J12" s="8">
        <v>0.875</v>
      </c>
      <c r="K12" s="8">
        <v>0.5</v>
      </c>
      <c r="L12" s="8">
        <v>0.875</v>
      </c>
      <c r="M12" s="8">
        <v>0.5</v>
      </c>
      <c r="N12" s="8">
        <v>0.875</v>
      </c>
      <c r="O12" s="8">
        <v>0.5</v>
      </c>
      <c r="P12" s="8">
        <v>0.875</v>
      </c>
      <c r="Q12" s="7" t="s">
        <v>23</v>
      </c>
      <c r="R12" s="7" t="s">
        <v>23</v>
      </c>
      <c r="S12" s="7" t="s">
        <v>23</v>
      </c>
      <c r="T12" s="7" t="s">
        <v>23</v>
      </c>
      <c r="U12" s="90"/>
    </row>
    <row r="13" customHeight="1" spans="1:21">
      <c r="A13" s="7">
        <v>10320418</v>
      </c>
      <c r="B13" s="7" t="s">
        <v>68</v>
      </c>
      <c r="C13" s="7" t="s">
        <v>20</v>
      </c>
      <c r="D13" s="7" t="s">
        <v>21</v>
      </c>
      <c r="E13" s="8" t="s">
        <v>22</v>
      </c>
      <c r="F13" s="9">
        <v>3</v>
      </c>
      <c r="G13" s="8">
        <v>0.375</v>
      </c>
      <c r="H13" s="8">
        <v>0.75</v>
      </c>
      <c r="I13" s="8">
        <v>0.375</v>
      </c>
      <c r="J13" s="8">
        <v>0.75</v>
      </c>
      <c r="K13" s="8">
        <v>0.375</v>
      </c>
      <c r="L13" s="8">
        <v>0.75</v>
      </c>
      <c r="M13" s="8">
        <v>0.375</v>
      </c>
      <c r="N13" s="8">
        <v>0.75</v>
      </c>
      <c r="O13" s="7" t="s">
        <v>23</v>
      </c>
      <c r="P13" s="7" t="s">
        <v>23</v>
      </c>
      <c r="Q13" s="7" t="s">
        <v>23</v>
      </c>
      <c r="R13" s="7" t="s">
        <v>23</v>
      </c>
      <c r="S13" s="8">
        <v>0.458333333332121</v>
      </c>
      <c r="T13" s="8">
        <v>0.666666666667879</v>
      </c>
      <c r="U13" s="90"/>
    </row>
    <row r="14" customHeight="1" spans="1:21">
      <c r="A14" s="7">
        <v>10316618</v>
      </c>
      <c r="B14" s="7" t="s">
        <v>33</v>
      </c>
      <c r="C14" s="7" t="s">
        <v>20</v>
      </c>
      <c r="D14" s="7" t="s">
        <v>86</v>
      </c>
      <c r="E14" s="8" t="s">
        <v>22</v>
      </c>
      <c r="F14" s="9">
        <v>1</v>
      </c>
      <c r="G14" s="8">
        <v>0.375</v>
      </c>
      <c r="H14" s="8">
        <v>0.75</v>
      </c>
      <c r="I14" s="8">
        <v>0.375</v>
      </c>
      <c r="J14" s="8">
        <v>0.75</v>
      </c>
      <c r="K14" s="8">
        <v>0.375</v>
      </c>
      <c r="L14" s="8">
        <v>0.75</v>
      </c>
      <c r="M14" s="8">
        <v>0.375</v>
      </c>
      <c r="N14" s="8">
        <v>0.75</v>
      </c>
      <c r="O14" s="8">
        <v>0.375</v>
      </c>
      <c r="P14" s="8">
        <v>0.75</v>
      </c>
      <c r="Q14" s="7" t="s">
        <v>23</v>
      </c>
      <c r="R14" s="7" t="s">
        <v>23</v>
      </c>
      <c r="S14" s="7" t="s">
        <v>23</v>
      </c>
      <c r="T14" s="7" t="s">
        <v>23</v>
      </c>
      <c r="U14" s="90"/>
    </row>
    <row r="15" customHeight="1" spans="1:21">
      <c r="A15" s="7">
        <v>10250963</v>
      </c>
      <c r="B15" s="7" t="s">
        <v>25</v>
      </c>
      <c r="C15" s="7" t="s">
        <v>20</v>
      </c>
      <c r="D15" s="7" t="s">
        <v>21</v>
      </c>
      <c r="E15" s="8" t="s">
        <v>22</v>
      </c>
      <c r="F15" s="9">
        <v>1</v>
      </c>
      <c r="G15" s="7" t="s">
        <v>23</v>
      </c>
      <c r="H15" s="7" t="s">
        <v>23</v>
      </c>
      <c r="I15" s="8">
        <v>0.458333333332121</v>
      </c>
      <c r="J15" s="8">
        <v>0.875</v>
      </c>
      <c r="K15" s="8">
        <v>0.458333333332121</v>
      </c>
      <c r="L15" s="8">
        <v>0.875</v>
      </c>
      <c r="M15" s="8">
        <v>0.458333333332121</v>
      </c>
      <c r="N15" s="8">
        <v>0.875</v>
      </c>
      <c r="O15" s="8">
        <v>0.458333333332121</v>
      </c>
      <c r="P15" s="8">
        <v>0.875</v>
      </c>
      <c r="Q15" s="8">
        <v>0.458333333332121</v>
      </c>
      <c r="R15" s="8">
        <v>0.666666666667879</v>
      </c>
      <c r="S15" s="7" t="s">
        <v>23</v>
      </c>
      <c r="T15" s="7" t="s">
        <v>23</v>
      </c>
      <c r="U15" s="90"/>
    </row>
    <row r="16" customHeight="1" spans="1:21">
      <c r="A16" s="7">
        <v>10295555</v>
      </c>
      <c r="B16" s="7" t="s">
        <v>34</v>
      </c>
      <c r="C16" s="7" t="s">
        <v>20</v>
      </c>
      <c r="D16" s="7" t="s">
        <v>21</v>
      </c>
      <c r="E16" s="8" t="s">
        <v>35</v>
      </c>
      <c r="F16" s="9">
        <v>2</v>
      </c>
      <c r="G16" s="8">
        <v>0.375</v>
      </c>
      <c r="H16" s="8">
        <v>0.583333333332121</v>
      </c>
      <c r="I16" s="8">
        <v>0.375</v>
      </c>
      <c r="J16" s="8">
        <v>0.583333333332121</v>
      </c>
      <c r="K16" s="7" t="s">
        <v>23</v>
      </c>
      <c r="L16" s="7" t="s">
        <v>23</v>
      </c>
      <c r="M16" s="7" t="s">
        <v>23</v>
      </c>
      <c r="N16" s="7" t="s">
        <v>23</v>
      </c>
      <c r="O16" s="8">
        <v>0.375</v>
      </c>
      <c r="P16" s="8">
        <v>0.583333333332121</v>
      </c>
      <c r="Q16" s="8">
        <v>0.458333333332121</v>
      </c>
      <c r="R16" s="8">
        <v>0.666666666667879</v>
      </c>
      <c r="S16" s="8">
        <v>0.458333333332121</v>
      </c>
      <c r="T16" s="8">
        <v>0.666666666667879</v>
      </c>
      <c r="U16" s="90"/>
    </row>
    <row r="17" customHeight="1" spans="1:21">
      <c r="A17" s="7">
        <v>10317520</v>
      </c>
      <c r="B17" s="7" t="s">
        <v>37</v>
      </c>
      <c r="C17" s="7" t="s">
        <v>20</v>
      </c>
      <c r="D17" s="7" t="s">
        <v>21</v>
      </c>
      <c r="E17" s="8" t="s">
        <v>22</v>
      </c>
      <c r="F17" s="9">
        <v>2</v>
      </c>
      <c r="G17" s="7" t="s">
        <v>23</v>
      </c>
      <c r="H17" s="7" t="s">
        <v>23</v>
      </c>
      <c r="I17" s="173" t="s">
        <v>36</v>
      </c>
      <c r="J17" s="173" t="s">
        <v>36</v>
      </c>
      <c r="K17" s="173" t="s">
        <v>36</v>
      </c>
      <c r="L17" s="173" t="s">
        <v>36</v>
      </c>
      <c r="M17" s="173" t="s">
        <v>36</v>
      </c>
      <c r="N17" s="173" t="s">
        <v>36</v>
      </c>
      <c r="O17" s="8">
        <v>0.333333333332121</v>
      </c>
      <c r="P17" s="8">
        <v>0.75</v>
      </c>
      <c r="Q17" s="8">
        <v>0.416666666667879</v>
      </c>
      <c r="R17" s="8">
        <v>0.625</v>
      </c>
      <c r="S17" s="7" t="s">
        <v>23</v>
      </c>
      <c r="T17" s="7" t="s">
        <v>23</v>
      </c>
      <c r="U17" s="90"/>
    </row>
    <row r="18" customHeight="1" spans="1:21">
      <c r="A18" s="7">
        <v>10320414</v>
      </c>
      <c r="B18" s="7" t="s">
        <v>62</v>
      </c>
      <c r="C18" s="7" t="s">
        <v>20</v>
      </c>
      <c r="D18" s="7" t="s">
        <v>21</v>
      </c>
      <c r="E18" s="8" t="s">
        <v>22</v>
      </c>
      <c r="F18" s="9">
        <v>3</v>
      </c>
      <c r="G18" s="7" t="s">
        <v>23</v>
      </c>
      <c r="H18" s="7" t="s">
        <v>23</v>
      </c>
      <c r="I18" s="8">
        <v>0.375</v>
      </c>
      <c r="J18" s="8">
        <v>0.791666666667879</v>
      </c>
      <c r="K18" s="8">
        <v>0.375</v>
      </c>
      <c r="L18" s="8">
        <v>0.791666666667879</v>
      </c>
      <c r="M18" s="8">
        <v>0.375</v>
      </c>
      <c r="N18" s="8">
        <v>0.791666666667879</v>
      </c>
      <c r="O18" s="8">
        <v>0.375</v>
      </c>
      <c r="P18" s="8">
        <v>0.791666666667879</v>
      </c>
      <c r="Q18" s="8">
        <v>0.458333333332121</v>
      </c>
      <c r="R18" s="8">
        <v>0.666666666667879</v>
      </c>
      <c r="S18" s="7" t="s">
        <v>23</v>
      </c>
      <c r="T18" s="7" t="s">
        <v>23</v>
      </c>
      <c r="U18" s="90"/>
    </row>
    <row r="19" customHeight="1" spans="1:21">
      <c r="A19" s="7">
        <v>10316681</v>
      </c>
      <c r="B19" s="7" t="s">
        <v>38</v>
      </c>
      <c r="C19" s="7" t="s">
        <v>89</v>
      </c>
      <c r="D19" s="7" t="s">
        <v>21</v>
      </c>
      <c r="E19" s="8" t="s">
        <v>22</v>
      </c>
      <c r="F19" s="9">
        <v>1</v>
      </c>
      <c r="G19" s="8">
        <v>0.375</v>
      </c>
      <c r="H19" s="8">
        <v>0.75</v>
      </c>
      <c r="I19" s="8">
        <v>0.375</v>
      </c>
      <c r="J19" s="8">
        <v>0.75</v>
      </c>
      <c r="K19" s="8">
        <v>0.375</v>
      </c>
      <c r="L19" s="8">
        <v>0.75</v>
      </c>
      <c r="M19" s="8">
        <v>0.375</v>
      </c>
      <c r="N19" s="8">
        <v>0.75</v>
      </c>
      <c r="O19" s="8">
        <v>0.375</v>
      </c>
      <c r="P19" s="8">
        <v>0.75</v>
      </c>
      <c r="Q19" s="7" t="s">
        <v>23</v>
      </c>
      <c r="R19" s="7" t="s">
        <v>23</v>
      </c>
      <c r="S19" s="7" t="s">
        <v>23</v>
      </c>
      <c r="T19" s="7" t="s">
        <v>23</v>
      </c>
      <c r="U19" s="90"/>
    </row>
    <row r="20" customHeight="1" spans="1:21">
      <c r="A20" s="7">
        <v>10316650</v>
      </c>
      <c r="B20" s="7" t="s">
        <v>39</v>
      </c>
      <c r="C20" s="7" t="s">
        <v>20</v>
      </c>
      <c r="D20" s="7" t="s">
        <v>21</v>
      </c>
      <c r="E20" s="8" t="s">
        <v>22</v>
      </c>
      <c r="F20" s="9">
        <v>2</v>
      </c>
      <c r="G20" s="8">
        <v>0.375</v>
      </c>
      <c r="H20" s="8">
        <v>0.791666666667879</v>
      </c>
      <c r="I20" s="8">
        <v>0.375</v>
      </c>
      <c r="J20" s="8">
        <v>0.791666666667879</v>
      </c>
      <c r="K20" s="8">
        <v>0.375</v>
      </c>
      <c r="L20" s="8">
        <v>0.791666666667879</v>
      </c>
      <c r="M20" s="8">
        <v>0.375</v>
      </c>
      <c r="N20" s="8">
        <v>0.791666666667879</v>
      </c>
      <c r="O20" s="7" t="s">
        <v>23</v>
      </c>
      <c r="P20" s="7" t="s">
        <v>23</v>
      </c>
      <c r="Q20" s="7" t="s">
        <v>23</v>
      </c>
      <c r="R20" s="7" t="s">
        <v>23</v>
      </c>
      <c r="S20" s="8">
        <v>0.458333333332121</v>
      </c>
      <c r="T20" s="8">
        <v>0.666666666667879</v>
      </c>
      <c r="U20" s="90"/>
    </row>
    <row r="21" customHeight="1" spans="1:21">
      <c r="A21" s="7">
        <v>10320416</v>
      </c>
      <c r="B21" s="7" t="s">
        <v>66</v>
      </c>
      <c r="C21" s="7" t="s">
        <v>20</v>
      </c>
      <c r="D21" s="7" t="s">
        <v>21</v>
      </c>
      <c r="E21" s="8" t="s">
        <v>22</v>
      </c>
      <c r="F21" s="9">
        <v>3</v>
      </c>
      <c r="G21" s="8">
        <v>0.5</v>
      </c>
      <c r="H21" s="8">
        <v>0.875</v>
      </c>
      <c r="I21" s="8">
        <v>0.5</v>
      </c>
      <c r="J21" s="8">
        <v>0.875</v>
      </c>
      <c r="K21" s="8">
        <v>0.5</v>
      </c>
      <c r="L21" s="8">
        <v>0.875</v>
      </c>
      <c r="M21" s="8">
        <v>0.5</v>
      </c>
      <c r="N21" s="8">
        <v>0.875</v>
      </c>
      <c r="O21" s="8">
        <v>0.5</v>
      </c>
      <c r="P21" s="8">
        <v>0.875</v>
      </c>
      <c r="Q21" s="7" t="s">
        <v>23</v>
      </c>
      <c r="R21" s="7" t="s">
        <v>23</v>
      </c>
      <c r="S21" s="7" t="s">
        <v>23</v>
      </c>
      <c r="T21" s="7" t="s">
        <v>23</v>
      </c>
      <c r="U21" s="90"/>
    </row>
    <row r="22" customHeight="1" spans="1:21">
      <c r="A22" s="7">
        <v>10316530</v>
      </c>
      <c r="B22" s="7" t="s">
        <v>26</v>
      </c>
      <c r="C22" s="7" t="s">
        <v>20</v>
      </c>
      <c r="D22" s="7" t="s">
        <v>21</v>
      </c>
      <c r="E22" s="8" t="s">
        <v>22</v>
      </c>
      <c r="F22" s="9">
        <v>1</v>
      </c>
      <c r="G22" s="7" t="s">
        <v>23</v>
      </c>
      <c r="H22" s="7" t="s">
        <v>23</v>
      </c>
      <c r="I22" s="8">
        <v>0.458333333332121</v>
      </c>
      <c r="J22" s="8">
        <v>0.875</v>
      </c>
      <c r="K22" s="8">
        <v>0.458333333332121</v>
      </c>
      <c r="L22" s="8">
        <v>0.875</v>
      </c>
      <c r="M22" s="8">
        <v>0.458333333332121</v>
      </c>
      <c r="N22" s="8">
        <v>0.875</v>
      </c>
      <c r="O22" s="8">
        <v>0.458333333332121</v>
      </c>
      <c r="P22" s="8">
        <v>0.875</v>
      </c>
      <c r="Q22" s="8">
        <v>0.458333333332121</v>
      </c>
      <c r="R22" s="8">
        <v>0.666666666667879</v>
      </c>
      <c r="S22" s="7" t="s">
        <v>23</v>
      </c>
      <c r="T22" s="7" t="s">
        <v>23</v>
      </c>
      <c r="U22" s="90"/>
    </row>
    <row r="23" customHeight="1" spans="1:21">
      <c r="A23" s="7">
        <v>10316680</v>
      </c>
      <c r="B23" s="7" t="s">
        <v>40</v>
      </c>
      <c r="C23" s="7" t="s">
        <v>20</v>
      </c>
      <c r="D23" s="7" t="s">
        <v>21</v>
      </c>
      <c r="E23" s="8" t="s">
        <v>22</v>
      </c>
      <c r="F23" s="9">
        <v>1</v>
      </c>
      <c r="G23" s="8">
        <v>0.5</v>
      </c>
      <c r="H23" s="8">
        <v>0.875</v>
      </c>
      <c r="I23" s="8">
        <v>0.5</v>
      </c>
      <c r="J23" s="8">
        <v>0.875</v>
      </c>
      <c r="K23" s="8">
        <v>0.5</v>
      </c>
      <c r="L23" s="8">
        <v>0.875</v>
      </c>
      <c r="M23" s="8">
        <v>0.5</v>
      </c>
      <c r="N23" s="8">
        <v>0.875</v>
      </c>
      <c r="O23" s="8">
        <v>0.5</v>
      </c>
      <c r="P23" s="8">
        <v>0.875</v>
      </c>
      <c r="Q23" s="7" t="s">
        <v>23</v>
      </c>
      <c r="R23" s="7" t="s">
        <v>23</v>
      </c>
      <c r="S23" s="7" t="s">
        <v>23</v>
      </c>
      <c r="T23" s="7" t="s">
        <v>23</v>
      </c>
      <c r="U23" s="90"/>
    </row>
    <row r="24" customHeight="1" spans="1:21">
      <c r="A24" s="7">
        <v>10317943</v>
      </c>
      <c r="B24" s="7" t="s">
        <v>27</v>
      </c>
      <c r="C24" s="7" t="s">
        <v>20</v>
      </c>
      <c r="D24" s="7" t="s">
        <v>21</v>
      </c>
      <c r="E24" s="8" t="s">
        <v>22</v>
      </c>
      <c r="F24" s="9">
        <v>2</v>
      </c>
      <c r="G24" s="8">
        <v>0.5</v>
      </c>
      <c r="H24" s="8">
        <v>0.875</v>
      </c>
      <c r="I24" s="8">
        <v>0.5</v>
      </c>
      <c r="J24" s="8">
        <v>0.875</v>
      </c>
      <c r="K24" s="8">
        <v>0.5</v>
      </c>
      <c r="L24" s="8">
        <v>0.875</v>
      </c>
      <c r="M24" s="8">
        <v>0.5</v>
      </c>
      <c r="N24" s="8">
        <v>0.875</v>
      </c>
      <c r="O24" s="8">
        <v>0.5</v>
      </c>
      <c r="P24" s="8">
        <v>0.875</v>
      </c>
      <c r="Q24" s="7" t="s">
        <v>23</v>
      </c>
      <c r="R24" s="7" t="s">
        <v>23</v>
      </c>
      <c r="S24" s="7" t="s">
        <v>23</v>
      </c>
      <c r="T24" s="7" t="s">
        <v>23</v>
      </c>
      <c r="U24" s="90"/>
    </row>
    <row r="25" customHeight="1" spans="1:21">
      <c r="A25" s="7">
        <v>10250966</v>
      </c>
      <c r="B25" s="7" t="s">
        <v>61</v>
      </c>
      <c r="C25" s="7" t="s">
        <v>20</v>
      </c>
      <c r="D25" s="7" t="s">
        <v>21</v>
      </c>
      <c r="E25" s="8" t="s">
        <v>22</v>
      </c>
      <c r="F25" s="9">
        <v>3</v>
      </c>
      <c r="G25" s="8">
        <v>0.5</v>
      </c>
      <c r="H25" s="8">
        <v>0.875</v>
      </c>
      <c r="I25" s="8">
        <v>0.5</v>
      </c>
      <c r="J25" s="8">
        <v>0.875</v>
      </c>
      <c r="K25" s="8">
        <v>0.5</v>
      </c>
      <c r="L25" s="8">
        <v>0.875</v>
      </c>
      <c r="M25" s="8">
        <v>0.5</v>
      </c>
      <c r="N25" s="8">
        <v>0.875</v>
      </c>
      <c r="O25" s="8">
        <v>0.5</v>
      </c>
      <c r="P25" s="8">
        <v>0.875</v>
      </c>
      <c r="Q25" s="7" t="s">
        <v>23</v>
      </c>
      <c r="R25" s="7" t="s">
        <v>23</v>
      </c>
      <c r="S25" s="7" t="s">
        <v>23</v>
      </c>
      <c r="T25" s="7" t="s">
        <v>23</v>
      </c>
      <c r="U25" s="90"/>
    </row>
    <row r="26" customHeight="1" spans="1:21">
      <c r="A26" s="7">
        <v>10316543</v>
      </c>
      <c r="B26" s="7" t="s">
        <v>41</v>
      </c>
      <c r="C26" s="7" t="s">
        <v>20</v>
      </c>
      <c r="D26" s="7" t="s">
        <v>21</v>
      </c>
      <c r="E26" s="8" t="s">
        <v>22</v>
      </c>
      <c r="F26" s="9">
        <v>1</v>
      </c>
      <c r="G26" s="8">
        <v>0.458333333332121</v>
      </c>
      <c r="H26" s="8">
        <v>0.875</v>
      </c>
      <c r="I26" s="8">
        <v>0.458333333332121</v>
      </c>
      <c r="J26" s="8">
        <v>0.875</v>
      </c>
      <c r="K26" s="8">
        <v>0.458333333332121</v>
      </c>
      <c r="L26" s="8">
        <v>0.875</v>
      </c>
      <c r="M26" s="8">
        <v>0.458333333332121</v>
      </c>
      <c r="N26" s="8">
        <v>0.875</v>
      </c>
      <c r="O26" s="7" t="s">
        <v>23</v>
      </c>
      <c r="P26" s="7" t="s">
        <v>23</v>
      </c>
      <c r="Q26" s="7" t="s">
        <v>23</v>
      </c>
      <c r="R26" s="7" t="s">
        <v>23</v>
      </c>
      <c r="S26" s="8">
        <v>0.458333333332121</v>
      </c>
      <c r="T26" s="8">
        <v>0.666666666667879</v>
      </c>
      <c r="U26" s="21">
        <f>IFERROR(__xludf.DUMMYFUNCTION("TO_PURE_NUMBER(SUM(FILTER(G26:T26, ISEVEN(COLUMN(G26:T26))))-SUM(FILTER(G26:T26, ISODD(COLUMN(G26:T26)))))*24"),45.0000000001746)</f>
        <v>45.0000000001746</v>
      </c>
    </row>
    <row r="27" customHeight="1" spans="1:21">
      <c r="A27" s="7">
        <v>10317153</v>
      </c>
      <c r="B27" s="7" t="s">
        <v>42</v>
      </c>
      <c r="C27" s="7" t="s">
        <v>20</v>
      </c>
      <c r="D27" s="7" t="s">
        <v>21</v>
      </c>
      <c r="E27" s="8" t="s">
        <v>22</v>
      </c>
      <c r="F27" s="9">
        <v>1</v>
      </c>
      <c r="G27" s="7" t="s">
        <v>23</v>
      </c>
      <c r="H27" s="7" t="s">
        <v>23</v>
      </c>
      <c r="I27" s="8">
        <v>0.375</v>
      </c>
      <c r="J27" s="8">
        <v>0.791666666667879</v>
      </c>
      <c r="K27" s="8">
        <v>0.375</v>
      </c>
      <c r="L27" s="8">
        <v>0.791666666667879</v>
      </c>
      <c r="M27" s="8">
        <v>0.375</v>
      </c>
      <c r="N27" s="8">
        <v>0.791666666667879</v>
      </c>
      <c r="O27" s="8">
        <v>0.375</v>
      </c>
      <c r="P27" s="8">
        <v>0.791666666667879</v>
      </c>
      <c r="Q27" s="8">
        <v>0.458333333332121</v>
      </c>
      <c r="R27" s="8">
        <v>0.666666666667879</v>
      </c>
      <c r="S27" s="7" t="s">
        <v>23</v>
      </c>
      <c r="T27" s="7" t="s">
        <v>23</v>
      </c>
      <c r="U27" s="90"/>
    </row>
    <row r="28" customHeight="1" spans="1:21">
      <c r="A28" s="7">
        <v>10317521</v>
      </c>
      <c r="B28" s="7" t="s">
        <v>28</v>
      </c>
      <c r="C28" s="7" t="s">
        <v>20</v>
      </c>
      <c r="D28" s="7" t="s">
        <v>21</v>
      </c>
      <c r="E28" s="8" t="s">
        <v>22</v>
      </c>
      <c r="F28" s="9">
        <v>2</v>
      </c>
      <c r="G28" s="7" t="s">
        <v>23</v>
      </c>
      <c r="H28" s="7" t="s">
        <v>23</v>
      </c>
      <c r="I28" s="173" t="s">
        <v>36</v>
      </c>
      <c r="J28" s="173" t="s">
        <v>36</v>
      </c>
      <c r="K28" s="173" t="s">
        <v>36</v>
      </c>
      <c r="L28" s="173" t="s">
        <v>36</v>
      </c>
      <c r="M28" s="173" t="s">
        <v>36</v>
      </c>
      <c r="N28" s="173" t="s">
        <v>36</v>
      </c>
      <c r="O28" s="8">
        <v>0.333333333332121</v>
      </c>
      <c r="P28" s="8">
        <v>0.75</v>
      </c>
      <c r="Q28" s="8">
        <v>0.416666666667879</v>
      </c>
      <c r="R28" s="8">
        <v>0.625</v>
      </c>
      <c r="S28" s="7" t="s">
        <v>23</v>
      </c>
      <c r="T28" s="7" t="s">
        <v>23</v>
      </c>
      <c r="U28" s="90"/>
    </row>
    <row r="29" customHeight="1" spans="1:21">
      <c r="A29" s="7">
        <v>10317517</v>
      </c>
      <c r="B29" s="7" t="s">
        <v>29</v>
      </c>
      <c r="C29" s="7" t="s">
        <v>20</v>
      </c>
      <c r="D29" s="7" t="s">
        <v>21</v>
      </c>
      <c r="E29" s="8" t="s">
        <v>22</v>
      </c>
      <c r="F29" s="9">
        <v>2</v>
      </c>
      <c r="G29" s="7" t="s">
        <v>23</v>
      </c>
      <c r="H29" s="7" t="s">
        <v>23</v>
      </c>
      <c r="I29" s="8">
        <v>0.375</v>
      </c>
      <c r="J29" s="8">
        <v>0.791666666667879</v>
      </c>
      <c r="K29" s="8">
        <v>0.375</v>
      </c>
      <c r="L29" s="8">
        <v>0.791666666667879</v>
      </c>
      <c r="M29" s="8">
        <v>0.375</v>
      </c>
      <c r="N29" s="8">
        <v>0.791666666667879</v>
      </c>
      <c r="O29" s="8">
        <v>0.375</v>
      </c>
      <c r="P29" s="8">
        <v>0.791666666667879</v>
      </c>
      <c r="Q29" s="8">
        <v>0.458333333332121</v>
      </c>
      <c r="R29" s="8">
        <v>0.666666666667879</v>
      </c>
      <c r="S29" s="7" t="s">
        <v>23</v>
      </c>
      <c r="T29" s="7" t="s">
        <v>23</v>
      </c>
      <c r="U29" s="90"/>
    </row>
    <row r="30" customHeight="1" spans="1:21">
      <c r="A30" s="7">
        <v>10252106</v>
      </c>
      <c r="B30" s="7" t="s">
        <v>43</v>
      </c>
      <c r="C30" s="7" t="s">
        <v>20</v>
      </c>
      <c r="D30" s="7" t="s">
        <v>21</v>
      </c>
      <c r="E30" s="8" t="s">
        <v>22</v>
      </c>
      <c r="F30" s="9">
        <v>2</v>
      </c>
      <c r="G30" s="173" t="s">
        <v>36</v>
      </c>
      <c r="H30" s="173" t="s">
        <v>36</v>
      </c>
      <c r="I30" s="7" t="s">
        <v>23</v>
      </c>
      <c r="J30" s="7" t="s">
        <v>23</v>
      </c>
      <c r="K30" s="7" t="s">
        <v>23</v>
      </c>
      <c r="L30" s="7" t="s">
        <v>23</v>
      </c>
      <c r="M30" s="8">
        <v>0.375</v>
      </c>
      <c r="N30" s="8">
        <v>0.75</v>
      </c>
      <c r="O30" s="173" t="s">
        <v>36</v>
      </c>
      <c r="P30" s="173" t="s">
        <v>36</v>
      </c>
      <c r="Q30" s="173" t="s">
        <v>36</v>
      </c>
      <c r="R30" s="173" t="s">
        <v>36</v>
      </c>
      <c r="S30" s="8">
        <v>0.458333333332121</v>
      </c>
      <c r="T30" s="8">
        <v>0.666666666667879</v>
      </c>
      <c r="U30" s="90"/>
    </row>
    <row r="31" customHeight="1" spans="1:21">
      <c r="A31" s="7">
        <v>10320407</v>
      </c>
      <c r="B31" s="7" t="s">
        <v>55</v>
      </c>
      <c r="C31" s="7" t="s">
        <v>20</v>
      </c>
      <c r="D31" s="7" t="s">
        <v>21</v>
      </c>
      <c r="E31" s="8" t="s">
        <v>22</v>
      </c>
      <c r="F31" s="9">
        <v>3</v>
      </c>
      <c r="G31" s="7" t="s">
        <v>23</v>
      </c>
      <c r="H31" s="7" t="s">
        <v>23</v>
      </c>
      <c r="I31" s="8">
        <v>0.375</v>
      </c>
      <c r="J31" s="8">
        <v>0.791666666667879</v>
      </c>
      <c r="K31" s="8">
        <v>0.375</v>
      </c>
      <c r="L31" s="8">
        <v>0.791666666667879</v>
      </c>
      <c r="M31" s="8">
        <v>0.375</v>
      </c>
      <c r="N31" s="8">
        <v>0.791666666667879</v>
      </c>
      <c r="O31" s="8">
        <v>0.375</v>
      </c>
      <c r="P31" s="8">
        <v>0.791666666667879</v>
      </c>
      <c r="Q31" s="8">
        <v>0.458333333332121</v>
      </c>
      <c r="R31" s="8">
        <v>0.666666666667879</v>
      </c>
      <c r="S31" s="7" t="s">
        <v>23</v>
      </c>
      <c r="T31" s="7" t="s">
        <v>23</v>
      </c>
      <c r="U31" s="90"/>
    </row>
    <row r="32" customHeight="1" spans="1:21">
      <c r="A32" s="7">
        <v>10320417</v>
      </c>
      <c r="B32" s="7" t="s">
        <v>67</v>
      </c>
      <c r="C32" s="7" t="s">
        <v>20</v>
      </c>
      <c r="D32" s="7" t="s">
        <v>21</v>
      </c>
      <c r="E32" s="8" t="s">
        <v>22</v>
      </c>
      <c r="F32" s="9">
        <v>3</v>
      </c>
      <c r="G32" s="8">
        <v>0.375</v>
      </c>
      <c r="H32" s="8">
        <v>0.791666666667879</v>
      </c>
      <c r="I32" s="8">
        <v>0.375</v>
      </c>
      <c r="J32" s="8">
        <v>0.791666666667879</v>
      </c>
      <c r="K32" s="8">
        <v>0.375</v>
      </c>
      <c r="L32" s="8">
        <v>0.791666666667879</v>
      </c>
      <c r="M32" s="8">
        <v>0.375</v>
      </c>
      <c r="N32" s="8">
        <v>0.791666666667879</v>
      </c>
      <c r="O32" s="7" t="s">
        <v>23</v>
      </c>
      <c r="P32" s="7" t="s">
        <v>23</v>
      </c>
      <c r="Q32" s="7" t="s">
        <v>23</v>
      </c>
      <c r="R32" s="7" t="s">
        <v>23</v>
      </c>
      <c r="S32" s="8">
        <v>0.458333333332121</v>
      </c>
      <c r="T32" s="8">
        <v>0.666666666667879</v>
      </c>
      <c r="U32" s="90"/>
    </row>
    <row r="33" customHeight="1" spans="1:21">
      <c r="A33" s="7">
        <v>10317154</v>
      </c>
      <c r="B33" s="7" t="s">
        <v>70</v>
      </c>
      <c r="C33" s="7" t="s">
        <v>20</v>
      </c>
      <c r="D33" s="7" t="s">
        <v>21</v>
      </c>
      <c r="E33" s="8" t="s">
        <v>22</v>
      </c>
      <c r="F33" s="9">
        <v>3</v>
      </c>
      <c r="G33" s="8">
        <v>0.333333333332121</v>
      </c>
      <c r="H33" s="8">
        <v>0.75</v>
      </c>
      <c r="I33" s="8">
        <v>0.333333333332121</v>
      </c>
      <c r="J33" s="8">
        <v>0.75</v>
      </c>
      <c r="K33" s="8">
        <v>0.333333333332121</v>
      </c>
      <c r="L33" s="8">
        <v>0.75</v>
      </c>
      <c r="M33" s="8">
        <v>0.333333333332121</v>
      </c>
      <c r="N33" s="8">
        <v>0.75</v>
      </c>
      <c r="O33" s="7" t="s">
        <v>23</v>
      </c>
      <c r="P33" s="7" t="s">
        <v>23</v>
      </c>
      <c r="Q33" s="7" t="s">
        <v>23</v>
      </c>
      <c r="R33" s="7" t="s">
        <v>23</v>
      </c>
      <c r="S33" s="8">
        <v>0.416666666667879</v>
      </c>
      <c r="T33" s="8">
        <v>0.625</v>
      </c>
      <c r="U33" s="90"/>
    </row>
    <row r="34" customHeight="1" spans="1:21">
      <c r="A34" s="7">
        <v>10320436</v>
      </c>
      <c r="B34" s="7" t="s">
        <v>90</v>
      </c>
      <c r="C34" s="7" t="s">
        <v>20</v>
      </c>
      <c r="D34" s="7" t="s">
        <v>21</v>
      </c>
      <c r="E34" s="8" t="s">
        <v>22</v>
      </c>
      <c r="F34" s="9">
        <v>3</v>
      </c>
      <c r="G34" s="8">
        <v>0.375</v>
      </c>
      <c r="H34" s="8">
        <v>0.75</v>
      </c>
      <c r="I34" s="8">
        <v>0.375</v>
      </c>
      <c r="J34" s="8">
        <v>0.75</v>
      </c>
      <c r="K34" s="8">
        <v>0.375</v>
      </c>
      <c r="L34" s="8">
        <v>0.75</v>
      </c>
      <c r="M34" s="8">
        <v>0.375</v>
      </c>
      <c r="N34" s="8">
        <v>0.75</v>
      </c>
      <c r="O34" s="8">
        <v>0.375</v>
      </c>
      <c r="P34" s="8">
        <v>0.75</v>
      </c>
      <c r="Q34" s="7" t="s">
        <v>23</v>
      </c>
      <c r="R34" s="7" t="s">
        <v>23</v>
      </c>
      <c r="S34" s="7" t="s">
        <v>23</v>
      </c>
      <c r="T34" s="7" t="s">
        <v>23</v>
      </c>
      <c r="U34" s="90"/>
    </row>
    <row r="35" customHeight="1" spans="1:21">
      <c r="A35" s="7">
        <v>10316538</v>
      </c>
      <c r="B35" s="7" t="s">
        <v>44</v>
      </c>
      <c r="C35" s="7" t="s">
        <v>20</v>
      </c>
      <c r="D35" s="7" t="s">
        <v>21</v>
      </c>
      <c r="E35" s="8" t="s">
        <v>22</v>
      </c>
      <c r="F35" s="9">
        <v>1</v>
      </c>
      <c r="G35" s="8">
        <v>0.5</v>
      </c>
      <c r="H35" s="8">
        <v>0.875</v>
      </c>
      <c r="I35" s="8">
        <v>0.5</v>
      </c>
      <c r="J35" s="8">
        <v>0.875</v>
      </c>
      <c r="K35" s="7" t="s">
        <v>23</v>
      </c>
      <c r="L35" s="7" t="s">
        <v>23</v>
      </c>
      <c r="M35" s="7" t="s">
        <v>23</v>
      </c>
      <c r="N35" s="7" t="s">
        <v>23</v>
      </c>
      <c r="O35" s="8">
        <v>0.5</v>
      </c>
      <c r="P35" s="8">
        <v>0.875</v>
      </c>
      <c r="Q35" s="8">
        <v>0.458333333332121</v>
      </c>
      <c r="R35" s="8">
        <v>0.666666666667879</v>
      </c>
      <c r="S35" s="8">
        <v>0.458333333332121</v>
      </c>
      <c r="T35" s="8">
        <v>0.666666666667879</v>
      </c>
      <c r="U35" s="90"/>
    </row>
    <row r="36" customHeight="1" spans="1:21">
      <c r="A36" s="7">
        <v>10293607</v>
      </c>
      <c r="B36" s="7" t="s">
        <v>65</v>
      </c>
      <c r="C36" s="7" t="s">
        <v>20</v>
      </c>
      <c r="D36" s="7" t="s">
        <v>21</v>
      </c>
      <c r="E36" s="8" t="s">
        <v>22</v>
      </c>
      <c r="F36" s="9">
        <v>3</v>
      </c>
      <c r="G36" s="8">
        <v>0.458333333332121</v>
      </c>
      <c r="H36" s="8">
        <v>0.875</v>
      </c>
      <c r="I36" s="8">
        <v>0.458333333332121</v>
      </c>
      <c r="J36" s="8">
        <v>0.875</v>
      </c>
      <c r="K36" s="8">
        <v>0.458333333332121</v>
      </c>
      <c r="L36" s="8">
        <v>0.875</v>
      </c>
      <c r="M36" s="8">
        <v>0.458333333332121</v>
      </c>
      <c r="N36" s="8">
        <v>0.875</v>
      </c>
      <c r="O36" s="7" t="s">
        <v>23</v>
      </c>
      <c r="P36" s="7" t="s">
        <v>23</v>
      </c>
      <c r="Q36" s="7" t="s">
        <v>23</v>
      </c>
      <c r="R36" s="7" t="s">
        <v>23</v>
      </c>
      <c r="S36" s="8">
        <v>0.458333333332121</v>
      </c>
      <c r="T36" s="8">
        <v>0.666666666667879</v>
      </c>
      <c r="U36" s="90"/>
    </row>
    <row r="37" customHeight="1" spans="1:21">
      <c r="A37" s="7">
        <v>10316545</v>
      </c>
      <c r="B37" s="7" t="s">
        <v>45</v>
      </c>
      <c r="C37" s="7" t="s">
        <v>20</v>
      </c>
      <c r="D37" s="7" t="s">
        <v>21</v>
      </c>
      <c r="E37" s="8" t="s">
        <v>22</v>
      </c>
      <c r="F37" s="9">
        <v>1</v>
      </c>
      <c r="G37" s="8">
        <v>0.375</v>
      </c>
      <c r="H37" s="8">
        <v>0.75</v>
      </c>
      <c r="I37" s="8">
        <v>0.375</v>
      </c>
      <c r="J37" s="8">
        <v>0.75</v>
      </c>
      <c r="K37" s="8">
        <v>0.375</v>
      </c>
      <c r="L37" s="8">
        <v>0.75</v>
      </c>
      <c r="M37" s="8">
        <v>0.375</v>
      </c>
      <c r="N37" s="8">
        <v>0.75</v>
      </c>
      <c r="O37" s="8">
        <v>0.375</v>
      </c>
      <c r="P37" s="8">
        <v>0.75</v>
      </c>
      <c r="Q37" s="7" t="s">
        <v>23</v>
      </c>
      <c r="R37" s="7" t="s">
        <v>23</v>
      </c>
      <c r="S37" s="7" t="s">
        <v>23</v>
      </c>
      <c r="T37" s="7" t="s">
        <v>23</v>
      </c>
      <c r="U37" s="90"/>
    </row>
    <row r="38" customHeight="1" spans="1:21">
      <c r="A38" s="7">
        <v>10316572</v>
      </c>
      <c r="B38" s="7" t="s">
        <v>46</v>
      </c>
      <c r="C38" s="7" t="s">
        <v>20</v>
      </c>
      <c r="D38" s="7" t="s">
        <v>21</v>
      </c>
      <c r="E38" s="8" t="s">
        <v>22</v>
      </c>
      <c r="F38" s="9">
        <v>2</v>
      </c>
      <c r="G38" s="8">
        <v>0.333333333332121</v>
      </c>
      <c r="H38" s="8">
        <v>0.75</v>
      </c>
      <c r="I38" s="8">
        <v>0.375</v>
      </c>
      <c r="J38" s="8">
        <v>0.791666666667879</v>
      </c>
      <c r="K38" s="8">
        <v>0.375</v>
      </c>
      <c r="L38" s="8">
        <v>0.791666666667879</v>
      </c>
      <c r="M38" s="8">
        <v>0.375</v>
      </c>
      <c r="N38" s="8">
        <v>0.791666666667879</v>
      </c>
      <c r="O38" s="7" t="s">
        <v>23</v>
      </c>
      <c r="P38" s="7" t="s">
        <v>23</v>
      </c>
      <c r="Q38" s="7" t="s">
        <v>23</v>
      </c>
      <c r="R38" s="7" t="s">
        <v>23</v>
      </c>
      <c r="S38" s="8">
        <v>0.416666666667879</v>
      </c>
      <c r="T38" s="8">
        <v>0.625</v>
      </c>
      <c r="U38" s="90"/>
    </row>
    <row r="39" customHeight="1" spans="1:21">
      <c r="A39" s="7">
        <v>10316685</v>
      </c>
      <c r="B39" s="7" t="s">
        <v>47</v>
      </c>
      <c r="C39" s="7" t="s">
        <v>89</v>
      </c>
      <c r="D39" s="7" t="s">
        <v>21</v>
      </c>
      <c r="E39" s="8" t="s">
        <v>22</v>
      </c>
      <c r="F39" s="9">
        <v>1</v>
      </c>
      <c r="G39" s="8">
        <v>0.375</v>
      </c>
      <c r="H39" s="8">
        <v>0.75</v>
      </c>
      <c r="I39" s="8">
        <v>0.375</v>
      </c>
      <c r="J39" s="8">
        <v>0.75</v>
      </c>
      <c r="K39" s="8">
        <v>0.375</v>
      </c>
      <c r="L39" s="8">
        <v>0.75</v>
      </c>
      <c r="M39" s="8">
        <v>0.375</v>
      </c>
      <c r="N39" s="8">
        <v>0.75</v>
      </c>
      <c r="O39" s="8">
        <v>0.375</v>
      </c>
      <c r="P39" s="8">
        <v>0.75</v>
      </c>
      <c r="Q39" s="7" t="s">
        <v>23</v>
      </c>
      <c r="R39" s="7" t="s">
        <v>23</v>
      </c>
      <c r="S39" s="7" t="s">
        <v>23</v>
      </c>
      <c r="T39" s="7" t="s">
        <v>23</v>
      </c>
      <c r="U39" s="90"/>
    </row>
    <row r="40" customHeight="1" spans="1:21">
      <c r="A40" s="7">
        <v>10274446</v>
      </c>
      <c r="B40" s="7" t="s">
        <v>88</v>
      </c>
      <c r="C40" s="7" t="s">
        <v>20</v>
      </c>
      <c r="D40" s="7" t="s">
        <v>21</v>
      </c>
      <c r="E40" s="8" t="s">
        <v>22</v>
      </c>
      <c r="F40" s="9">
        <v>2</v>
      </c>
      <c r="G40" s="173" t="s">
        <v>36</v>
      </c>
      <c r="H40" s="173" t="s">
        <v>36</v>
      </c>
      <c r="I40" s="173" t="s">
        <v>36</v>
      </c>
      <c r="J40" s="173" t="s">
        <v>36</v>
      </c>
      <c r="K40" s="7" t="s">
        <v>23</v>
      </c>
      <c r="L40" s="7" t="s">
        <v>23</v>
      </c>
      <c r="M40" s="7" t="s">
        <v>23</v>
      </c>
      <c r="N40" s="7" t="s">
        <v>23</v>
      </c>
      <c r="O40" s="8">
        <v>0.375</v>
      </c>
      <c r="P40" s="8">
        <v>0.75</v>
      </c>
      <c r="Q40" s="8">
        <v>0.458333333332121</v>
      </c>
      <c r="R40" s="8">
        <v>0.666666666667879</v>
      </c>
      <c r="S40" s="8">
        <v>0.458333333332121</v>
      </c>
      <c r="T40" s="8">
        <v>0.666666666667879</v>
      </c>
      <c r="U40" s="90"/>
    </row>
    <row r="41" customHeight="1" spans="1:21">
      <c r="A41" s="7">
        <v>10276839</v>
      </c>
      <c r="B41" s="7" t="s">
        <v>54</v>
      </c>
      <c r="C41" s="7" t="s">
        <v>20</v>
      </c>
      <c r="D41" s="7" t="s">
        <v>21</v>
      </c>
      <c r="E41" s="8" t="s">
        <v>22</v>
      </c>
      <c r="F41" s="9">
        <v>2</v>
      </c>
      <c r="G41" s="8">
        <v>0.375</v>
      </c>
      <c r="H41" s="8">
        <v>0.791666666667879</v>
      </c>
      <c r="I41" s="8">
        <v>0.375</v>
      </c>
      <c r="J41" s="8">
        <v>0.791666666667879</v>
      </c>
      <c r="K41" s="8">
        <v>0.375</v>
      </c>
      <c r="L41" s="8">
        <v>0.791666666667879</v>
      </c>
      <c r="M41" s="8">
        <v>0.375</v>
      </c>
      <c r="N41" s="8">
        <v>0.791666666667879</v>
      </c>
      <c r="O41" s="7" t="s">
        <v>23</v>
      </c>
      <c r="P41" s="7" t="s">
        <v>23</v>
      </c>
      <c r="Q41" s="7" t="s">
        <v>23</v>
      </c>
      <c r="R41" s="7" t="s">
        <v>23</v>
      </c>
      <c r="S41" s="8">
        <v>0.458333333332121</v>
      </c>
      <c r="T41" s="8">
        <v>0.666666666667879</v>
      </c>
      <c r="U41" s="90"/>
    </row>
    <row r="42" customHeight="1" spans="1:21">
      <c r="A42" s="7">
        <v>10320419</v>
      </c>
      <c r="B42" s="7" t="s">
        <v>69</v>
      </c>
      <c r="C42" s="7" t="s">
        <v>20</v>
      </c>
      <c r="D42" s="7" t="s">
        <v>21</v>
      </c>
      <c r="E42" s="8" t="s">
        <v>22</v>
      </c>
      <c r="F42" s="9">
        <v>3</v>
      </c>
      <c r="G42" s="7" t="s">
        <v>23</v>
      </c>
      <c r="H42" s="7" t="s">
        <v>23</v>
      </c>
      <c r="I42" s="8">
        <v>0.375</v>
      </c>
      <c r="J42" s="8">
        <v>0.791666666667879</v>
      </c>
      <c r="K42" s="8">
        <v>0.375</v>
      </c>
      <c r="L42" s="8">
        <v>0.791666666667879</v>
      </c>
      <c r="M42" s="8">
        <v>0.375</v>
      </c>
      <c r="N42" s="8">
        <v>0.791666666667879</v>
      </c>
      <c r="O42" s="8">
        <v>0.375</v>
      </c>
      <c r="P42" s="8">
        <v>0.791666666667879</v>
      </c>
      <c r="Q42" s="8">
        <v>0.458333333332121</v>
      </c>
      <c r="R42" s="8">
        <v>0.666666666667879</v>
      </c>
      <c r="S42" s="7" t="s">
        <v>23</v>
      </c>
      <c r="T42" s="7" t="s">
        <v>23</v>
      </c>
      <c r="U42" s="90"/>
    </row>
    <row r="43" customHeight="1" spans="1:21">
      <c r="A43" s="7">
        <v>10316546</v>
      </c>
      <c r="B43" s="7" t="s">
        <v>49</v>
      </c>
      <c r="C43" s="7" t="s">
        <v>20</v>
      </c>
      <c r="D43" s="7" t="s">
        <v>21</v>
      </c>
      <c r="E43" s="8" t="s">
        <v>22</v>
      </c>
      <c r="F43" s="9">
        <v>1</v>
      </c>
      <c r="G43" s="8">
        <v>0.5</v>
      </c>
      <c r="H43" s="8">
        <v>0.875</v>
      </c>
      <c r="I43" s="8">
        <v>0.5</v>
      </c>
      <c r="J43" s="8">
        <v>0.875</v>
      </c>
      <c r="K43" s="7" t="s">
        <v>23</v>
      </c>
      <c r="L43" s="7" t="s">
        <v>23</v>
      </c>
      <c r="M43" s="7" t="s">
        <v>23</v>
      </c>
      <c r="N43" s="7" t="s">
        <v>23</v>
      </c>
      <c r="O43" s="8">
        <v>0.5</v>
      </c>
      <c r="P43" s="8">
        <v>0.875</v>
      </c>
      <c r="Q43" s="8">
        <v>0.458333333332121</v>
      </c>
      <c r="R43" s="8">
        <v>0.666666666667879</v>
      </c>
      <c r="S43" s="8">
        <v>0.458333333332121</v>
      </c>
      <c r="T43" s="8">
        <v>0.666666666667879</v>
      </c>
      <c r="U43" s="90"/>
    </row>
    <row r="44" customHeight="1" spans="1:21">
      <c r="A44" s="7">
        <v>10316551</v>
      </c>
      <c r="B44" s="7" t="s">
        <v>87</v>
      </c>
      <c r="C44" s="7" t="s">
        <v>20</v>
      </c>
      <c r="D44" s="7" t="s">
        <v>21</v>
      </c>
      <c r="E44" s="8" t="s">
        <v>22</v>
      </c>
      <c r="F44" s="9">
        <v>1</v>
      </c>
      <c r="G44" s="8">
        <v>0.458333333332121</v>
      </c>
      <c r="H44" s="8">
        <v>0.875</v>
      </c>
      <c r="I44" s="8">
        <v>0.458333333332121</v>
      </c>
      <c r="J44" s="8">
        <v>0.875</v>
      </c>
      <c r="K44" s="8">
        <v>0.458333333332121</v>
      </c>
      <c r="L44" s="8">
        <v>0.875</v>
      </c>
      <c r="M44" s="8">
        <v>0.458333333332121</v>
      </c>
      <c r="N44" s="8">
        <v>0.875</v>
      </c>
      <c r="O44" s="7" t="s">
        <v>23</v>
      </c>
      <c r="P44" s="7" t="s">
        <v>23</v>
      </c>
      <c r="Q44" s="7" t="s">
        <v>23</v>
      </c>
      <c r="R44" s="7" t="s">
        <v>23</v>
      </c>
      <c r="S44" s="8">
        <v>0.458333333332121</v>
      </c>
      <c r="T44" s="8">
        <v>0.666666666667879</v>
      </c>
      <c r="U44" s="90"/>
    </row>
    <row r="45" customHeight="1" spans="1:21">
      <c r="A45" s="7">
        <v>10320435</v>
      </c>
      <c r="B45" s="7" t="s">
        <v>71</v>
      </c>
      <c r="C45" s="7" t="s">
        <v>20</v>
      </c>
      <c r="D45" s="7" t="s">
        <v>21</v>
      </c>
      <c r="E45" s="8" t="s">
        <v>22</v>
      </c>
      <c r="F45" s="9">
        <v>3</v>
      </c>
      <c r="G45" s="8">
        <v>0.5</v>
      </c>
      <c r="H45" s="8">
        <v>0.875</v>
      </c>
      <c r="I45" s="8">
        <v>0.5</v>
      </c>
      <c r="J45" s="8">
        <v>0.875</v>
      </c>
      <c r="K45" s="8">
        <v>0.5</v>
      </c>
      <c r="L45" s="8">
        <v>0.875</v>
      </c>
      <c r="M45" s="8">
        <v>0.5</v>
      </c>
      <c r="N45" s="8">
        <v>0.875</v>
      </c>
      <c r="O45" s="8">
        <v>0.5</v>
      </c>
      <c r="P45" s="8">
        <v>0.875</v>
      </c>
      <c r="Q45" s="7" t="s">
        <v>23</v>
      </c>
      <c r="R45" s="7" t="s">
        <v>23</v>
      </c>
      <c r="S45" s="7" t="s">
        <v>23</v>
      </c>
      <c r="T45" s="7" t="s">
        <v>23</v>
      </c>
      <c r="U45" s="90"/>
    </row>
    <row r="46" customHeight="1" spans="1:21">
      <c r="A46" s="7">
        <v>10316683</v>
      </c>
      <c r="B46" s="7" t="s">
        <v>51</v>
      </c>
      <c r="C46" s="7" t="s">
        <v>20</v>
      </c>
      <c r="D46" s="7" t="s">
        <v>21</v>
      </c>
      <c r="E46" s="8" t="s">
        <v>22</v>
      </c>
      <c r="F46" s="9">
        <v>1</v>
      </c>
      <c r="G46" s="8">
        <v>0.375</v>
      </c>
      <c r="H46" s="8">
        <v>0.75</v>
      </c>
      <c r="I46" s="8">
        <v>0.375</v>
      </c>
      <c r="J46" s="8">
        <v>0.75</v>
      </c>
      <c r="K46" s="8">
        <v>0.375</v>
      </c>
      <c r="L46" s="8">
        <v>0.75</v>
      </c>
      <c r="M46" s="8">
        <v>0.375</v>
      </c>
      <c r="N46" s="8">
        <v>0.75</v>
      </c>
      <c r="O46" s="8">
        <v>0.375</v>
      </c>
      <c r="P46" s="8">
        <v>0.75</v>
      </c>
      <c r="Q46" s="7" t="s">
        <v>23</v>
      </c>
      <c r="R46" s="7" t="s">
        <v>23</v>
      </c>
      <c r="S46" s="7" t="s">
        <v>23</v>
      </c>
      <c r="T46" s="7" t="s">
        <v>23</v>
      </c>
      <c r="U46" s="90"/>
    </row>
    <row r="47" customHeight="1" spans="1:21">
      <c r="A47" s="7">
        <v>10316540</v>
      </c>
      <c r="B47" s="7" t="s">
        <v>30</v>
      </c>
      <c r="C47" s="7" t="s">
        <v>20</v>
      </c>
      <c r="D47" s="7" t="s">
        <v>86</v>
      </c>
      <c r="E47" s="8" t="s">
        <v>22</v>
      </c>
      <c r="F47" s="9">
        <v>1</v>
      </c>
      <c r="G47" s="8">
        <v>0.375</v>
      </c>
      <c r="H47" s="8">
        <v>0.75</v>
      </c>
      <c r="I47" s="8">
        <v>0.375</v>
      </c>
      <c r="J47" s="8">
        <v>0.75</v>
      </c>
      <c r="K47" s="8">
        <v>0.375</v>
      </c>
      <c r="L47" s="8">
        <v>0.75</v>
      </c>
      <c r="M47" s="8">
        <v>0.375</v>
      </c>
      <c r="N47" s="8">
        <v>0.75</v>
      </c>
      <c r="O47" s="8">
        <v>0.375</v>
      </c>
      <c r="P47" s="8">
        <v>0.75</v>
      </c>
      <c r="Q47" s="7" t="s">
        <v>23</v>
      </c>
      <c r="R47" s="7" t="s">
        <v>23</v>
      </c>
      <c r="S47" s="7" t="s">
        <v>23</v>
      </c>
      <c r="T47" s="7" t="s">
        <v>23</v>
      </c>
      <c r="U47" s="90"/>
    </row>
    <row r="48" customHeight="1" spans="1:21">
      <c r="A48" s="7">
        <v>10293627</v>
      </c>
      <c r="B48" s="7" t="s">
        <v>92</v>
      </c>
      <c r="C48" s="7" t="s">
        <v>20</v>
      </c>
      <c r="D48" s="7" t="s">
        <v>21</v>
      </c>
      <c r="E48" s="8" t="s">
        <v>22</v>
      </c>
      <c r="F48" s="9">
        <v>3</v>
      </c>
      <c r="G48" s="8">
        <v>0.375</v>
      </c>
      <c r="H48" s="8">
        <v>0.791666666667879</v>
      </c>
      <c r="I48" s="8">
        <v>0.375</v>
      </c>
      <c r="J48" s="8">
        <v>0.791666666667879</v>
      </c>
      <c r="K48" s="8">
        <v>0.375</v>
      </c>
      <c r="L48" s="8">
        <v>0.791666666667879</v>
      </c>
      <c r="M48" s="8">
        <v>0.375</v>
      </c>
      <c r="N48" s="8">
        <v>0.791666666667879</v>
      </c>
      <c r="O48" s="7" t="s">
        <v>23</v>
      </c>
      <c r="P48" s="7" t="s">
        <v>23</v>
      </c>
      <c r="Q48" s="7" t="s">
        <v>23</v>
      </c>
      <c r="R48" s="7" t="s">
        <v>23</v>
      </c>
      <c r="S48" s="8">
        <v>0.458333333332121</v>
      </c>
      <c r="T48" s="8">
        <v>0.666666666667879</v>
      </c>
      <c r="U48" s="90"/>
    </row>
    <row r="49" customHeight="1" spans="1:21">
      <c r="A49" s="7">
        <v>10320409</v>
      </c>
      <c r="B49" s="7" t="s">
        <v>57</v>
      </c>
      <c r="C49" s="7" t="s">
        <v>20</v>
      </c>
      <c r="D49" s="7" t="s">
        <v>21</v>
      </c>
      <c r="E49" s="8" t="s">
        <v>22</v>
      </c>
      <c r="F49" s="9">
        <v>3</v>
      </c>
      <c r="G49" s="8">
        <v>0.375</v>
      </c>
      <c r="H49" s="8">
        <v>0.75</v>
      </c>
      <c r="I49" s="8">
        <v>0.375</v>
      </c>
      <c r="J49" s="8">
        <v>0.75</v>
      </c>
      <c r="K49" s="7" t="s">
        <v>23</v>
      </c>
      <c r="L49" s="7" t="s">
        <v>23</v>
      </c>
      <c r="M49" s="7" t="s">
        <v>23</v>
      </c>
      <c r="N49" s="7" t="s">
        <v>23</v>
      </c>
      <c r="O49" s="8">
        <v>0.375</v>
      </c>
      <c r="P49" s="8">
        <v>0.75</v>
      </c>
      <c r="Q49" s="8">
        <v>0.458333333332121</v>
      </c>
      <c r="R49" s="8">
        <v>0.666666666667879</v>
      </c>
      <c r="S49" s="8">
        <v>0.458333333332121</v>
      </c>
      <c r="T49" s="8">
        <v>0.666666666667879</v>
      </c>
      <c r="U49" s="90"/>
    </row>
    <row r="50" customHeight="1" spans="1:21">
      <c r="A50" s="7">
        <v>10317151</v>
      </c>
      <c r="B50" s="7" t="s">
        <v>52</v>
      </c>
      <c r="C50" s="7" t="s">
        <v>20</v>
      </c>
      <c r="D50" s="7" t="s">
        <v>86</v>
      </c>
      <c r="E50" s="8" t="s">
        <v>22</v>
      </c>
      <c r="F50" s="9">
        <v>1</v>
      </c>
      <c r="G50" s="8">
        <v>0.375</v>
      </c>
      <c r="H50" s="8">
        <v>0.75</v>
      </c>
      <c r="I50" s="8">
        <v>0.375</v>
      </c>
      <c r="J50" s="8">
        <v>0.75</v>
      </c>
      <c r="K50" s="8">
        <v>0.375</v>
      </c>
      <c r="L50" s="8">
        <v>0.75</v>
      </c>
      <c r="M50" s="8">
        <v>0.375</v>
      </c>
      <c r="N50" s="8">
        <v>0.75</v>
      </c>
      <c r="O50" s="8">
        <v>0.375</v>
      </c>
      <c r="P50" s="8">
        <v>0.75</v>
      </c>
      <c r="Q50" s="7" t="s">
        <v>23</v>
      </c>
      <c r="R50" s="7" t="s">
        <v>23</v>
      </c>
      <c r="S50" s="7" t="s">
        <v>23</v>
      </c>
      <c r="T50" s="7" t="s">
        <v>23</v>
      </c>
      <c r="U50" s="90"/>
    </row>
    <row r="51" customHeight="1" spans="1:21">
      <c r="A51" s="7">
        <v>10317524</v>
      </c>
      <c r="B51" s="7" t="s">
        <v>53</v>
      </c>
      <c r="C51" s="7" t="s">
        <v>20</v>
      </c>
      <c r="D51" s="7" t="s">
        <v>21</v>
      </c>
      <c r="E51" s="8" t="s">
        <v>22</v>
      </c>
      <c r="F51" s="9">
        <v>2</v>
      </c>
      <c r="G51" s="7" t="s">
        <v>23</v>
      </c>
      <c r="H51" s="7" t="s">
        <v>23</v>
      </c>
      <c r="I51" s="8">
        <v>0.458333333332121</v>
      </c>
      <c r="J51" s="8">
        <v>0.875</v>
      </c>
      <c r="K51" s="8">
        <v>0.458333333332121</v>
      </c>
      <c r="L51" s="8">
        <v>0.875</v>
      </c>
      <c r="M51" s="8">
        <v>0.458333333332121</v>
      </c>
      <c r="N51" s="8">
        <v>0.875</v>
      </c>
      <c r="O51" s="8">
        <v>0.458333333332121</v>
      </c>
      <c r="P51" s="8">
        <v>0.875</v>
      </c>
      <c r="Q51" s="8">
        <v>0.458333333332121</v>
      </c>
      <c r="R51" s="8">
        <v>0.666666666667879</v>
      </c>
      <c r="S51" s="7" t="s">
        <v>23</v>
      </c>
      <c r="T51" s="7" t="s">
        <v>23</v>
      </c>
      <c r="U51" s="90"/>
    </row>
    <row r="61" customHeight="1" spans="1:20">
      <c r="A61" s="22" t="s">
        <v>0</v>
      </c>
      <c r="B61" s="22" t="s">
        <v>1</v>
      </c>
      <c r="C61" s="22" t="s">
        <v>2</v>
      </c>
      <c r="D61" s="22" t="s">
        <v>3</v>
      </c>
      <c r="E61" s="22" t="s">
        <v>4</v>
      </c>
      <c r="F61" s="159" t="s">
        <v>5</v>
      </c>
      <c r="G61" s="160">
        <v>45649</v>
      </c>
      <c r="H61" s="14"/>
      <c r="I61" s="160">
        <v>45650</v>
      </c>
      <c r="J61" s="14"/>
      <c r="K61" s="160">
        <v>45651</v>
      </c>
      <c r="L61" s="14"/>
      <c r="M61" s="160">
        <v>45652</v>
      </c>
      <c r="N61" s="14"/>
      <c r="O61" s="160">
        <v>45653</v>
      </c>
      <c r="P61" s="14"/>
      <c r="Q61" s="160">
        <v>45654</v>
      </c>
      <c r="R61" s="14"/>
      <c r="S61" s="160">
        <v>45655</v>
      </c>
      <c r="T61" s="14"/>
    </row>
    <row r="62" customHeight="1" spans="1:20">
      <c r="A62" s="15"/>
      <c r="B62" s="15"/>
      <c r="C62" s="15"/>
      <c r="D62" s="15"/>
      <c r="E62" s="15"/>
      <c r="F62" s="15"/>
      <c r="G62" s="24" t="s">
        <v>6</v>
      </c>
      <c r="H62" s="14"/>
      <c r="I62" s="24" t="s">
        <v>7</v>
      </c>
      <c r="J62" s="14"/>
      <c r="K62" s="24" t="s">
        <v>8</v>
      </c>
      <c r="L62" s="14"/>
      <c r="M62" s="24" t="s">
        <v>9</v>
      </c>
      <c r="N62" s="14"/>
      <c r="O62" s="24" t="s">
        <v>10</v>
      </c>
      <c r="P62" s="14"/>
      <c r="Q62" s="24" t="s">
        <v>11</v>
      </c>
      <c r="R62" s="14"/>
      <c r="S62" s="24" t="s">
        <v>12</v>
      </c>
      <c r="T62" s="14"/>
    </row>
    <row r="63" customHeight="1" spans="1:20">
      <c r="A63" s="5"/>
      <c r="B63" s="5"/>
      <c r="C63" s="5"/>
      <c r="D63" s="5"/>
      <c r="E63" s="5"/>
      <c r="F63" s="5"/>
      <c r="G63" s="161" t="s">
        <v>80</v>
      </c>
      <c r="H63" s="161" t="s">
        <v>81</v>
      </c>
      <c r="I63" s="161" t="s">
        <v>80</v>
      </c>
      <c r="J63" s="161" t="s">
        <v>81</v>
      </c>
      <c r="K63" s="161" t="s">
        <v>80</v>
      </c>
      <c r="L63" s="161" t="s">
        <v>81</v>
      </c>
      <c r="M63" s="161" t="s">
        <v>80</v>
      </c>
      <c r="N63" s="161" t="s">
        <v>81</v>
      </c>
      <c r="O63" s="161" t="s">
        <v>80</v>
      </c>
      <c r="P63" s="161" t="s">
        <v>81</v>
      </c>
      <c r="Q63" s="161" t="s">
        <v>80</v>
      </c>
      <c r="R63" s="161" t="s">
        <v>81</v>
      </c>
      <c r="S63" s="161" t="s">
        <v>80</v>
      </c>
      <c r="T63" s="161" t="s">
        <v>81</v>
      </c>
    </row>
    <row r="64" customHeight="1" spans="1:20">
      <c r="A64" s="114">
        <v>10317943</v>
      </c>
      <c r="B64" s="114" t="s">
        <v>27</v>
      </c>
      <c r="C64" s="114" t="s">
        <v>20</v>
      </c>
      <c r="D64" s="114" t="s">
        <v>21</v>
      </c>
      <c r="E64" s="115" t="s">
        <v>22</v>
      </c>
      <c r="F64" s="163">
        <v>2</v>
      </c>
      <c r="G64" s="174">
        <v>0.5</v>
      </c>
      <c r="H64" s="165">
        <v>0.875</v>
      </c>
      <c r="I64" s="174">
        <v>0.5</v>
      </c>
      <c r="J64" s="165">
        <v>0.875</v>
      </c>
      <c r="K64" s="174">
        <v>0.5</v>
      </c>
      <c r="L64" s="165">
        <v>0.875</v>
      </c>
      <c r="M64" s="174">
        <v>0.5</v>
      </c>
      <c r="N64" s="165">
        <v>0.875</v>
      </c>
      <c r="O64" s="174">
        <v>0.5</v>
      </c>
      <c r="P64" s="165">
        <v>0.875</v>
      </c>
      <c r="Q64" s="114" t="s">
        <v>23</v>
      </c>
      <c r="R64" s="114" t="s">
        <v>23</v>
      </c>
      <c r="S64" s="114" t="s">
        <v>23</v>
      </c>
      <c r="T64" s="114" t="s">
        <v>23</v>
      </c>
    </row>
    <row r="71" customHeight="1" spans="1:20">
      <c r="A71" s="22" t="s">
        <v>0</v>
      </c>
      <c r="B71" s="22" t="s">
        <v>1</v>
      </c>
      <c r="C71" s="22" t="s">
        <v>2</v>
      </c>
      <c r="D71" s="22" t="s">
        <v>3</v>
      </c>
      <c r="E71" s="22" t="s">
        <v>4</v>
      </c>
      <c r="F71" s="159" t="s">
        <v>5</v>
      </c>
      <c r="G71" s="160">
        <v>45649</v>
      </c>
      <c r="H71" s="14"/>
      <c r="I71" s="160">
        <v>45650</v>
      </c>
      <c r="J71" s="14"/>
      <c r="K71" s="160">
        <v>45651</v>
      </c>
      <c r="L71" s="14"/>
      <c r="M71" s="160">
        <v>45652</v>
      </c>
      <c r="N71" s="14"/>
      <c r="O71" s="160">
        <v>45653</v>
      </c>
      <c r="P71" s="14"/>
      <c r="Q71" s="160">
        <v>45654</v>
      </c>
      <c r="R71" s="14"/>
      <c r="S71" s="160">
        <v>45655</v>
      </c>
      <c r="T71" s="14"/>
    </row>
    <row r="72" customHeight="1" spans="1:20">
      <c r="A72" s="15"/>
      <c r="B72" s="15"/>
      <c r="C72" s="15"/>
      <c r="D72" s="15"/>
      <c r="E72" s="15"/>
      <c r="F72" s="15"/>
      <c r="G72" s="24" t="s">
        <v>6</v>
      </c>
      <c r="H72" s="14"/>
      <c r="I72" s="24" t="s">
        <v>7</v>
      </c>
      <c r="J72" s="14"/>
      <c r="K72" s="24" t="s">
        <v>8</v>
      </c>
      <c r="L72" s="14"/>
      <c r="M72" s="24" t="s">
        <v>9</v>
      </c>
      <c r="N72" s="14"/>
      <c r="O72" s="24" t="s">
        <v>10</v>
      </c>
      <c r="P72" s="14"/>
      <c r="Q72" s="24" t="s">
        <v>11</v>
      </c>
      <c r="R72" s="14"/>
      <c r="S72" s="24" t="s">
        <v>12</v>
      </c>
      <c r="T72" s="14"/>
    </row>
    <row r="73" customHeight="1" spans="1:20">
      <c r="A73" s="5"/>
      <c r="B73" s="5"/>
      <c r="C73" s="5"/>
      <c r="D73" s="5"/>
      <c r="E73" s="5"/>
      <c r="F73" s="5"/>
      <c r="G73" s="161" t="s">
        <v>80</v>
      </c>
      <c r="H73" s="161" t="s">
        <v>81</v>
      </c>
      <c r="I73" s="161" t="s">
        <v>80</v>
      </c>
      <c r="J73" s="161" t="s">
        <v>81</v>
      </c>
      <c r="K73" s="161" t="s">
        <v>80</v>
      </c>
      <c r="L73" s="161" t="s">
        <v>81</v>
      </c>
      <c r="M73" s="161" t="s">
        <v>80</v>
      </c>
      <c r="N73" s="161" t="s">
        <v>81</v>
      </c>
      <c r="O73" s="161" t="s">
        <v>80</v>
      </c>
      <c r="P73" s="161" t="s">
        <v>81</v>
      </c>
      <c r="Q73" s="161" t="s">
        <v>80</v>
      </c>
      <c r="R73" s="161" t="s">
        <v>81</v>
      </c>
      <c r="S73" s="161" t="s">
        <v>80</v>
      </c>
      <c r="T73" s="161" t="s">
        <v>81</v>
      </c>
    </row>
    <row r="74" customHeight="1" spans="1:20">
      <c r="A74" s="114">
        <v>10317943</v>
      </c>
      <c r="B74" s="114" t="s">
        <v>27</v>
      </c>
      <c r="C74" s="114" t="s">
        <v>20</v>
      </c>
      <c r="D74" s="114" t="s">
        <v>21</v>
      </c>
      <c r="E74" s="115" t="s">
        <v>22</v>
      </c>
      <c r="F74" s="163">
        <v>2</v>
      </c>
      <c r="G74" s="8">
        <v>0.375</v>
      </c>
      <c r="H74" s="8">
        <v>0.75</v>
      </c>
      <c r="I74" s="8">
        <v>0.375</v>
      </c>
      <c r="J74" s="8">
        <v>0.75</v>
      </c>
      <c r="K74" s="8">
        <v>0.375</v>
      </c>
      <c r="L74" s="8">
        <v>0.75</v>
      </c>
      <c r="M74" s="8">
        <v>0.375</v>
      </c>
      <c r="N74" s="8">
        <v>0.75</v>
      </c>
      <c r="O74" s="8">
        <v>0.375</v>
      </c>
      <c r="P74" s="8">
        <v>0.75</v>
      </c>
      <c r="Q74" s="114" t="s">
        <v>23</v>
      </c>
      <c r="R74" s="114" t="s">
        <v>23</v>
      </c>
      <c r="S74" s="114" t="s">
        <v>23</v>
      </c>
      <c r="T74" s="114" t="s">
        <v>23</v>
      </c>
    </row>
  </sheetData>
  <mergeCells count="60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G61:H61"/>
    <mergeCell ref="I61:J61"/>
    <mergeCell ref="K61:L61"/>
    <mergeCell ref="M61:N61"/>
    <mergeCell ref="O61:P61"/>
    <mergeCell ref="Q61:R61"/>
    <mergeCell ref="S61:T61"/>
    <mergeCell ref="G62:H62"/>
    <mergeCell ref="I62:J62"/>
    <mergeCell ref="K62:L62"/>
    <mergeCell ref="M62:N62"/>
    <mergeCell ref="O62:P62"/>
    <mergeCell ref="Q62:R62"/>
    <mergeCell ref="S62:T62"/>
    <mergeCell ref="G71:H71"/>
    <mergeCell ref="I71:J71"/>
    <mergeCell ref="K71:L71"/>
    <mergeCell ref="M71:N71"/>
    <mergeCell ref="O71:P71"/>
    <mergeCell ref="Q71:R71"/>
    <mergeCell ref="S71:T71"/>
    <mergeCell ref="G72:H72"/>
    <mergeCell ref="I72:J72"/>
    <mergeCell ref="K72:L72"/>
    <mergeCell ref="M72:N72"/>
    <mergeCell ref="O72:P72"/>
    <mergeCell ref="Q72:R72"/>
    <mergeCell ref="S72:T72"/>
    <mergeCell ref="A1:A3"/>
    <mergeCell ref="A61:A63"/>
    <mergeCell ref="A71:A73"/>
    <mergeCell ref="B1:B3"/>
    <mergeCell ref="B61:B63"/>
    <mergeCell ref="B71:B73"/>
    <mergeCell ref="C1:C3"/>
    <mergeCell ref="C61:C63"/>
    <mergeCell ref="C71:C73"/>
    <mergeCell ref="D1:D3"/>
    <mergeCell ref="D61:D63"/>
    <mergeCell ref="D71:D73"/>
    <mergeCell ref="E1:E3"/>
    <mergeCell ref="E61:E63"/>
    <mergeCell ref="E71:E73"/>
    <mergeCell ref="F1:F3"/>
    <mergeCell ref="F61:F63"/>
    <mergeCell ref="F71:F73"/>
  </mergeCells>
  <conditionalFormatting sqref="G4:T51 G74:P74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U67"/>
  <sheetViews>
    <sheetView workbookViewId="0">
      <selection activeCell="A1" sqref="A1"/>
    </sheetView>
  </sheetViews>
  <sheetFormatPr defaultColWidth="12.6272727272727" defaultRowHeight="15.75" customHeight="1"/>
  <cols>
    <col min="1" max="1" width="8.38181818181818" customWidth="1"/>
    <col min="2" max="2" width="18.7545454545455" customWidth="1"/>
    <col min="3" max="3" width="7.12727272727273" customWidth="1"/>
    <col min="4" max="4" width="9" customWidth="1"/>
    <col min="5" max="6" width="4.75454545454545" customWidth="1"/>
    <col min="7" max="7" width="9.5" customWidth="1"/>
    <col min="8" max="8" width="5.12727272727273" customWidth="1"/>
    <col min="9" max="9" width="9.5" customWidth="1"/>
    <col min="10" max="10" width="5.12727272727273" customWidth="1"/>
    <col min="11" max="11" width="9.5" customWidth="1"/>
    <col min="12" max="12" width="5.12727272727273" customWidth="1"/>
    <col min="13" max="13" width="9.5" customWidth="1"/>
    <col min="14" max="14" width="5.12727272727273" customWidth="1"/>
    <col min="15" max="15" width="9.5" customWidth="1"/>
    <col min="16" max="16" width="5.12727272727273" customWidth="1"/>
    <col min="17" max="17" width="9.5" customWidth="1"/>
    <col min="18" max="18" width="5.12727272727273" customWidth="1"/>
    <col min="19" max="19" width="9.5" customWidth="1"/>
    <col min="20" max="20" width="5.12727272727273" customWidth="1"/>
  </cols>
  <sheetData>
    <row r="1" customHeight="1" spans="7:20">
      <c r="G1" s="3">
        <v>45642</v>
      </c>
      <c r="H1" s="14"/>
      <c r="I1" s="3">
        <v>45643</v>
      </c>
      <c r="J1" s="14"/>
      <c r="K1" s="3">
        <v>45644</v>
      </c>
      <c r="L1" s="14"/>
      <c r="M1" s="3">
        <v>45645</v>
      </c>
      <c r="N1" s="14"/>
      <c r="O1" s="3">
        <v>45646</v>
      </c>
      <c r="P1" s="14"/>
      <c r="Q1" s="3">
        <v>45647</v>
      </c>
      <c r="R1" s="14"/>
      <c r="S1" s="3">
        <v>45648</v>
      </c>
      <c r="T1" s="14"/>
    </row>
    <row r="2" customHeight="1" spans="1:20">
      <c r="A2" s="47"/>
      <c r="B2" s="47"/>
      <c r="C2" s="47"/>
      <c r="D2" s="47"/>
      <c r="E2" s="47"/>
      <c r="F2" s="120"/>
      <c r="G2" s="24" t="s">
        <v>6</v>
      </c>
      <c r="H2" s="14"/>
      <c r="I2" s="24" t="s">
        <v>7</v>
      </c>
      <c r="J2" s="14"/>
      <c r="K2" s="24" t="s">
        <v>8</v>
      </c>
      <c r="L2" s="14"/>
      <c r="M2" s="24" t="s">
        <v>9</v>
      </c>
      <c r="N2" s="14"/>
      <c r="O2" s="24" t="s">
        <v>10</v>
      </c>
      <c r="P2" s="14"/>
      <c r="Q2" s="24" t="s">
        <v>11</v>
      </c>
      <c r="R2" s="14"/>
      <c r="S2" s="24" t="s">
        <v>12</v>
      </c>
      <c r="T2" s="14"/>
    </row>
    <row r="3" customHeight="1" spans="1:2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16" t="s">
        <v>80</v>
      </c>
      <c r="H3" s="16" t="s">
        <v>81</v>
      </c>
      <c r="I3" s="16" t="s">
        <v>80</v>
      </c>
      <c r="J3" s="16" t="s">
        <v>81</v>
      </c>
      <c r="K3" s="16" t="s">
        <v>80</v>
      </c>
      <c r="L3" s="16" t="s">
        <v>81</v>
      </c>
      <c r="M3" s="16" t="s">
        <v>80</v>
      </c>
      <c r="N3" s="16" t="s">
        <v>81</v>
      </c>
      <c r="O3" s="16" t="s">
        <v>80</v>
      </c>
      <c r="P3" s="16" t="s">
        <v>81</v>
      </c>
      <c r="Q3" s="16" t="s">
        <v>80</v>
      </c>
      <c r="R3" s="16" t="s">
        <v>81</v>
      </c>
      <c r="S3" s="16" t="s">
        <v>80</v>
      </c>
      <c r="T3" s="16" t="s">
        <v>81</v>
      </c>
    </row>
    <row r="4" customHeight="1" spans="1:21">
      <c r="A4" s="7">
        <v>10320410</v>
      </c>
      <c r="B4" s="7" t="s">
        <v>58</v>
      </c>
      <c r="C4" s="7" t="str">
        <f t="array" ref="C4">_xlfn.XLOOKUP($A4,'WK 48'!$A:$A,'WK 48'!C:C,"")</f>
        <v>CSR</v>
      </c>
      <c r="D4" s="7" t="str">
        <f t="array" ref="D4">_xlfn.XLOOKUP($A4,'WK 48'!$A:$A,'WK 48'!D:D,"")</f>
        <v>Production</v>
      </c>
      <c r="E4" s="8" t="str">
        <f t="array" ref="E4">_xlfn.XLOOKUP($A4,'WK 48'!$A:$A,'WK 48'!E:E,"")</f>
        <v>FT</v>
      </c>
      <c r="F4" s="9">
        <f t="array" ref="F4">_xlfn.XLOOKUP($A4,'WK 48'!$A:$A,'WK 48'!F:F,"")</f>
        <v>3</v>
      </c>
      <c r="G4" s="8">
        <v>0.5</v>
      </c>
      <c r="H4" s="8">
        <v>0.875</v>
      </c>
      <c r="I4" s="8">
        <v>0.5</v>
      </c>
      <c r="J4" s="8">
        <v>0.875</v>
      </c>
      <c r="K4" s="8">
        <v>0.5</v>
      </c>
      <c r="L4" s="8">
        <v>0.875</v>
      </c>
      <c r="M4" s="8">
        <v>0.5</v>
      </c>
      <c r="N4" s="8">
        <v>0.875</v>
      </c>
      <c r="O4" s="8">
        <v>0.5</v>
      </c>
      <c r="P4" s="8">
        <v>0.875</v>
      </c>
      <c r="Q4" s="7" t="s">
        <v>23</v>
      </c>
      <c r="R4" s="7" t="s">
        <v>23</v>
      </c>
      <c r="S4" s="7" t="s">
        <v>23</v>
      </c>
      <c r="T4" s="7" t="s">
        <v>23</v>
      </c>
      <c r="U4" s="21">
        <f>IFERROR(__xludf.DUMMYFUNCTION("TO_PURE_NUMBER(SUM(FILTER(G4:T4, ISEVEN(COLUMN(G4:T4))))-SUM(FILTER(G4:T4, ISODD(COLUMN(G4:T4)))))*24"),45)</f>
        <v>45</v>
      </c>
    </row>
    <row r="5" customHeight="1" spans="1:21">
      <c r="A5" s="7">
        <v>10320415</v>
      </c>
      <c r="B5" s="7" t="s">
        <v>63</v>
      </c>
      <c r="C5" s="7" t="str">
        <f t="array" ref="C5">_xlfn.XLOOKUP($A5,'WK 48'!A:A,'WK 48'!C:C,"")</f>
        <v>CSR</v>
      </c>
      <c r="D5" s="7" t="str">
        <f t="array" ref="D5">_xlfn.XLOOKUP($A5,'WK 48'!$A:$A,'WK 48'!D:D,"")</f>
        <v>Production</v>
      </c>
      <c r="E5" s="8" t="str">
        <f t="array" ref="E5">_xlfn.XLOOKUP($A5,'WK 48'!$A:$A,'WK 48'!E:E,"")</f>
        <v>FT</v>
      </c>
      <c r="F5" s="9">
        <f t="array" ref="F5">_xlfn.XLOOKUP($A5,'WK 48'!$A:$A,'WK 48'!F:F,"")</f>
        <v>3</v>
      </c>
      <c r="G5" s="8">
        <v>0.375</v>
      </c>
      <c r="H5" s="8">
        <v>0.791666666667879</v>
      </c>
      <c r="I5" s="8">
        <v>0.375</v>
      </c>
      <c r="J5" s="8">
        <v>0.791666666667879</v>
      </c>
      <c r="K5" s="8">
        <v>0.375</v>
      </c>
      <c r="L5" s="8">
        <v>0.791666666667879</v>
      </c>
      <c r="M5" s="8">
        <v>0.375</v>
      </c>
      <c r="N5" s="8">
        <v>0.791666666667879</v>
      </c>
      <c r="O5" s="7" t="s">
        <v>23</v>
      </c>
      <c r="P5" s="7" t="s">
        <v>23</v>
      </c>
      <c r="Q5" s="7" t="s">
        <v>23</v>
      </c>
      <c r="R5" s="7" t="s">
        <v>23</v>
      </c>
      <c r="S5" s="8">
        <v>0.458333333332121</v>
      </c>
      <c r="T5" s="8">
        <v>0.666666666667879</v>
      </c>
      <c r="U5" s="21">
        <f>IFERROR(__xludf.DUMMYFUNCTION("TO_PURE_NUMBER(SUM(FILTER(G5:T5, ISEVEN(COLUMN(G5:T5))))-SUM(FILTER(G5:T5, ISODD(COLUMN(G5:T5)))))*24"),45.0000000001746)</f>
        <v>45.0000000001746</v>
      </c>
    </row>
    <row r="6" customHeight="1" spans="1:21">
      <c r="A6" s="7">
        <v>10317522</v>
      </c>
      <c r="B6" s="7" t="s">
        <v>31</v>
      </c>
      <c r="C6" s="7" t="str">
        <f t="array" ref="C6">_xlfn.XLOOKUP($A6,'WK 48'!A:A,'WK 48'!C:C,"")</f>
        <v>CSR</v>
      </c>
      <c r="D6" s="7" t="str">
        <f t="array" ref="D6">_xlfn.XLOOKUP($A6,'WK 48'!$A:$A,'WK 48'!D:D,"")</f>
        <v>Production</v>
      </c>
      <c r="E6" s="8" t="str">
        <f t="array" ref="E6">_xlfn.XLOOKUP($A6,'WK 48'!$A:$A,'WK 48'!E:E,"")</f>
        <v>FT</v>
      </c>
      <c r="F6" s="9">
        <f t="array" ref="F6">_xlfn.XLOOKUP($A6,'WK 48'!$A:$A,'WK 48'!F:F,"")</f>
        <v>2</v>
      </c>
      <c r="G6" s="8">
        <v>0.416666666667879</v>
      </c>
      <c r="H6" s="8">
        <v>0.833333333332121</v>
      </c>
      <c r="I6" s="8">
        <v>0.416666666667879</v>
      </c>
      <c r="J6" s="8">
        <v>0.833333333332121</v>
      </c>
      <c r="K6" s="8">
        <v>0.416666666667879</v>
      </c>
      <c r="L6" s="8">
        <v>0.833333333332121</v>
      </c>
      <c r="M6" s="8">
        <v>0.416666666667879</v>
      </c>
      <c r="N6" s="8">
        <v>0.833333333332121</v>
      </c>
      <c r="O6" s="7" t="s">
        <v>23</v>
      </c>
      <c r="P6" s="7" t="s">
        <v>23</v>
      </c>
      <c r="Q6" s="7" t="s">
        <v>23</v>
      </c>
      <c r="R6" s="7" t="s">
        <v>23</v>
      </c>
      <c r="S6" s="8">
        <v>0.458333333332121</v>
      </c>
      <c r="T6" s="8">
        <v>0.666666666667879</v>
      </c>
      <c r="U6" s="21">
        <f>IFERROR(__xludf.DUMMYFUNCTION("TO_PURE_NUMBER(SUM(FILTER(G6:T6, ISEVEN(COLUMN(G6:T6))))-SUM(FILTER(G6:T6, ISODD(COLUMN(G6:T6)))))*24"),44.9999999998253)</f>
        <v>44.9999999998253</v>
      </c>
    </row>
    <row r="7" hidden="1" customHeight="1" spans="1:21">
      <c r="A7" s="7">
        <v>10316549</v>
      </c>
      <c r="B7" s="7" t="s">
        <v>19</v>
      </c>
      <c r="C7" s="7" t="str">
        <f t="array" ref="C7">_xlfn.XLOOKUP($A7,'WK 48'!A:A,'WK 48'!C:C,"")</f>
        <v>CSR</v>
      </c>
      <c r="D7" s="7" t="str">
        <f t="array" ref="D7">_xlfn.XLOOKUP($A7,'WK 48'!$A:$A,'WK 48'!D:D,"")</f>
        <v>B2B</v>
      </c>
      <c r="E7" s="8" t="str">
        <f t="array" ref="E7">_xlfn.XLOOKUP($A7,'WK 48'!$A:$A,'WK 48'!E:E,"")</f>
        <v>FT</v>
      </c>
      <c r="F7" s="9">
        <f t="array" ref="F7">_xlfn.XLOOKUP($A7,'WK 48'!$A:$A,'WK 48'!F:F,"")</f>
        <v>1</v>
      </c>
      <c r="G7" s="8">
        <v>0.375</v>
      </c>
      <c r="H7" s="8">
        <v>0.75</v>
      </c>
      <c r="I7" s="8">
        <v>0.375</v>
      </c>
      <c r="J7" s="8">
        <v>0.75</v>
      </c>
      <c r="K7" s="8">
        <v>0.375</v>
      </c>
      <c r="L7" s="8">
        <v>0.75</v>
      </c>
      <c r="M7" s="8">
        <v>0.375</v>
      </c>
      <c r="N7" s="8">
        <v>0.75</v>
      </c>
      <c r="O7" s="8">
        <v>0.375</v>
      </c>
      <c r="P7" s="8">
        <v>0.75</v>
      </c>
      <c r="Q7" s="7" t="s">
        <v>23</v>
      </c>
      <c r="R7" s="7" t="s">
        <v>23</v>
      </c>
      <c r="S7" s="7" t="s">
        <v>23</v>
      </c>
      <c r="T7" s="7" t="s">
        <v>23</v>
      </c>
      <c r="U7" s="21">
        <f>IFERROR(__xludf.DUMMYFUNCTION("TO_PURE_NUMBER(SUM(FILTER(G7:T7, ISEVEN(COLUMN(G7:T7))))-SUM(FILTER(G7:T7, ISODD(COLUMN(G7:T7)))))*24"),45)</f>
        <v>45</v>
      </c>
    </row>
    <row r="8" customHeight="1" spans="1:21">
      <c r="A8" s="7">
        <v>10320413</v>
      </c>
      <c r="B8" s="7" t="s">
        <v>60</v>
      </c>
      <c r="C8" s="7" t="str">
        <f t="array" ref="C8">_xlfn.XLOOKUP($A8,'WK 48'!A:A,'WK 48'!C:C,"")</f>
        <v>CSR</v>
      </c>
      <c r="D8" s="7" t="str">
        <f t="array" ref="D8">_xlfn.XLOOKUP($A8,'WK 48'!$A:$A,'WK 48'!D:D,"")</f>
        <v>Production</v>
      </c>
      <c r="E8" s="8" t="str">
        <f t="array" ref="E8">_xlfn.XLOOKUP($A8,'WK 48'!$A:$A,'WK 48'!E:E,"")</f>
        <v>FT</v>
      </c>
      <c r="F8" s="9">
        <f t="array" ref="F8">_xlfn.XLOOKUP($A8,'WK 48'!$A:$A,'WK 48'!F:F,"")</f>
        <v>3</v>
      </c>
      <c r="G8" s="8">
        <v>0.375</v>
      </c>
      <c r="H8" s="8">
        <v>0.791666666667879</v>
      </c>
      <c r="I8" s="8">
        <v>0.375</v>
      </c>
      <c r="J8" s="8">
        <v>0.791666666667879</v>
      </c>
      <c r="K8" s="8">
        <v>0.375</v>
      </c>
      <c r="L8" s="8">
        <v>0.791666666667879</v>
      </c>
      <c r="M8" s="8">
        <v>0.375</v>
      </c>
      <c r="N8" s="8">
        <v>0.791666666667879</v>
      </c>
      <c r="O8" s="7" t="s">
        <v>23</v>
      </c>
      <c r="P8" s="7" t="s">
        <v>23</v>
      </c>
      <c r="Q8" s="7" t="s">
        <v>23</v>
      </c>
      <c r="R8" s="7" t="s">
        <v>23</v>
      </c>
      <c r="S8" s="8">
        <v>0.458333333332121</v>
      </c>
      <c r="T8" s="8">
        <v>0.666666666667879</v>
      </c>
      <c r="U8" s="21">
        <f>IFERROR(__xludf.DUMMYFUNCTION("TO_PURE_NUMBER(SUM(FILTER(G8:T8, ISEVEN(COLUMN(G8:T8))))-SUM(FILTER(G8:T8, ISODD(COLUMN(G8:T8)))))*24"),45.0000000001746)</f>
        <v>45.0000000001746</v>
      </c>
    </row>
    <row r="9" customHeight="1" spans="1:21">
      <c r="A9" s="7">
        <v>10320408</v>
      </c>
      <c r="B9" s="7" t="s">
        <v>56</v>
      </c>
      <c r="C9" s="7" t="str">
        <f t="array" ref="C9">_xlfn.XLOOKUP($A9,'WK 48'!A:A,'WK 48'!C:C,"")</f>
        <v>CSR</v>
      </c>
      <c r="D9" s="7" t="str">
        <f t="array" ref="D9">_xlfn.XLOOKUP($A9,'WK 48'!$A:$A,'WK 48'!D:D,"")</f>
        <v>Production</v>
      </c>
      <c r="E9" s="8" t="str">
        <f t="array" ref="E9">_xlfn.XLOOKUP($A9,'WK 48'!$A:$A,'WK 48'!E:E,"")</f>
        <v>FT</v>
      </c>
      <c r="F9" s="9">
        <f t="array" ref="F9">_xlfn.XLOOKUP($A9,'WK 48'!$A:$A,'WK 48'!F:F,"")</f>
        <v>3</v>
      </c>
      <c r="G9" s="8">
        <v>0.375</v>
      </c>
      <c r="H9" s="8">
        <v>0.75</v>
      </c>
      <c r="I9" s="8">
        <v>0.375</v>
      </c>
      <c r="J9" s="8">
        <v>0.75</v>
      </c>
      <c r="K9" s="8">
        <v>0.375</v>
      </c>
      <c r="L9" s="8">
        <v>0.75</v>
      </c>
      <c r="M9" s="8">
        <v>0.375</v>
      </c>
      <c r="N9" s="8">
        <v>0.75</v>
      </c>
      <c r="O9" s="7" t="s">
        <v>23</v>
      </c>
      <c r="P9" s="7" t="s">
        <v>23</v>
      </c>
      <c r="Q9" s="7" t="s">
        <v>23</v>
      </c>
      <c r="R9" s="7" t="s">
        <v>23</v>
      </c>
      <c r="S9" s="8">
        <v>0.458333333332121</v>
      </c>
      <c r="T9" s="8">
        <v>0.666666666667879</v>
      </c>
      <c r="U9" s="21">
        <f>IFERROR(__xludf.DUMMYFUNCTION("TO_PURE_NUMBER(SUM(FILTER(G9:T9, ISEVEN(COLUMN(G9:T9))))-SUM(FILTER(G9:T9, ISODD(COLUMN(G9:T9)))))*24"),41.0000000000582)</f>
        <v>41.0000000000582</v>
      </c>
    </row>
    <row r="10" customHeight="1" spans="1:21">
      <c r="A10" s="7">
        <v>10317147</v>
      </c>
      <c r="B10" s="7" t="s">
        <v>24</v>
      </c>
      <c r="C10" s="7" t="str">
        <f t="array" ref="C10">_xlfn.XLOOKUP($A10,'WK 48'!A:A,'WK 48'!C:C,"")</f>
        <v>CSR</v>
      </c>
      <c r="D10" s="7" t="str">
        <f t="array" ref="D10">_xlfn.XLOOKUP($A10,'WK 48'!$A:$A,'WK 48'!D:D,"")</f>
        <v>Production</v>
      </c>
      <c r="E10" s="8" t="str">
        <f t="array" ref="E10">_xlfn.XLOOKUP($A10,'WK 48'!$A:$A,'WK 48'!E:E,"")</f>
        <v>FT</v>
      </c>
      <c r="F10" s="9">
        <f t="array" ref="F10">_xlfn.XLOOKUP($A10,'WK 48'!$A:$A,'WK 48'!F:F,"")</f>
        <v>1</v>
      </c>
      <c r="G10" s="7" t="s">
        <v>23</v>
      </c>
      <c r="H10" s="7" t="s">
        <v>23</v>
      </c>
      <c r="I10" s="8">
        <v>0.375</v>
      </c>
      <c r="J10" s="8">
        <v>0.791666666667879</v>
      </c>
      <c r="K10" s="8">
        <v>0.375</v>
      </c>
      <c r="L10" s="8">
        <v>0.791666666667879</v>
      </c>
      <c r="M10" s="8">
        <v>0.375</v>
      </c>
      <c r="N10" s="8">
        <v>0.791666666667879</v>
      </c>
      <c r="O10" s="8">
        <v>0.375</v>
      </c>
      <c r="P10" s="8">
        <v>0.791666666667879</v>
      </c>
      <c r="Q10" s="8">
        <v>0.458333333332121</v>
      </c>
      <c r="R10" s="8">
        <v>0.666666666667879</v>
      </c>
      <c r="S10" s="7" t="s">
        <v>23</v>
      </c>
      <c r="T10" s="7" t="s">
        <v>23</v>
      </c>
      <c r="U10" s="21">
        <f>IFERROR(__xludf.DUMMYFUNCTION("TO_PURE_NUMBER(SUM(FILTER(G10:T10, ISEVEN(COLUMN(G10:T10))))-SUM(FILTER(G10:T10, ISODD(COLUMN(G10:T10)))))*24"),45.0000000001746)</f>
        <v>45.0000000001746</v>
      </c>
    </row>
    <row r="11" hidden="1" customHeight="1" spans="1:21">
      <c r="A11" s="7">
        <v>10272259</v>
      </c>
      <c r="B11" s="7" t="s">
        <v>32</v>
      </c>
      <c r="C11" s="7" t="str">
        <f t="array" ref="C11">_xlfn.XLOOKUP($A11,'WK 48'!A:A,'WK 48'!C:C,"")</f>
        <v>CSR</v>
      </c>
      <c r="D11" s="7" t="str">
        <f t="array" ref="D11">_xlfn.XLOOKUP($A11,'WK 48'!$A:$A,'WK 48'!D:D,"")</f>
        <v>Production</v>
      </c>
      <c r="E11" s="8" t="str">
        <f t="array" ref="E11">_xlfn.XLOOKUP($A11,'WK 48'!$A:$A,'WK 48'!E:E,"")</f>
        <v>FT</v>
      </c>
      <c r="F11" s="9">
        <f t="array" ref="F11">_xlfn.XLOOKUP($A11,'WK 48'!$A:$A,'WK 48'!F:F,"")</f>
        <v>2</v>
      </c>
      <c r="G11" s="8">
        <v>0.375</v>
      </c>
      <c r="H11" s="8">
        <v>0.75</v>
      </c>
      <c r="I11" s="7" t="s">
        <v>23</v>
      </c>
      <c r="J11" s="7" t="s">
        <v>23</v>
      </c>
      <c r="K11" s="7" t="s">
        <v>23</v>
      </c>
      <c r="L11" s="7" t="s">
        <v>23</v>
      </c>
      <c r="M11" s="8">
        <v>0.375</v>
      </c>
      <c r="N11" s="8">
        <v>0.75</v>
      </c>
      <c r="O11" s="8">
        <v>0.375</v>
      </c>
      <c r="P11" s="8">
        <v>0.75</v>
      </c>
      <c r="Q11" s="8">
        <v>0.458333333332121</v>
      </c>
      <c r="R11" s="8">
        <v>0.666666666667879</v>
      </c>
      <c r="S11" s="8">
        <v>0.458333333332121</v>
      </c>
      <c r="T11" s="8">
        <v>0.666666666667879</v>
      </c>
      <c r="U11" s="21">
        <f>IFERROR(__xludf.DUMMYFUNCTION("TO_PURE_NUMBER(SUM(FILTER(G11:T11, ISEVEN(COLUMN(G11:T11))))-SUM(FILTER(G11:T11, ISODD(COLUMN(G11:T11)))))*24"),37.0000000001164)</f>
        <v>37.0000000001164</v>
      </c>
    </row>
    <row r="12" customHeight="1" spans="1:21">
      <c r="A12" s="7">
        <v>10320412</v>
      </c>
      <c r="B12" s="7" t="s">
        <v>59</v>
      </c>
      <c r="C12" s="7" t="str">
        <f t="array" ref="C12">_xlfn.XLOOKUP($A12,'WK 48'!A:A,'WK 48'!C:C,"")</f>
        <v>CSR</v>
      </c>
      <c r="D12" s="7" t="str">
        <f t="array" ref="D12">_xlfn.XLOOKUP($A12,'WK 48'!$A:$A,'WK 48'!D:D,"")</f>
        <v>Production</v>
      </c>
      <c r="E12" s="8" t="str">
        <f t="array" ref="E12">_xlfn.XLOOKUP($A12,'WK 48'!$A:$A,'WK 48'!E:E,"")</f>
        <v>FT</v>
      </c>
      <c r="F12" s="9">
        <f t="array" ref="F12">_xlfn.XLOOKUP($A12,'WK 48'!$A:$A,'WK 48'!F:F,"")</f>
        <v>3</v>
      </c>
      <c r="G12" s="8">
        <v>0.375</v>
      </c>
      <c r="H12" s="8">
        <v>0.75</v>
      </c>
      <c r="I12" s="8">
        <v>0.375</v>
      </c>
      <c r="J12" s="8">
        <v>0.75</v>
      </c>
      <c r="K12" s="8">
        <v>0.375</v>
      </c>
      <c r="L12" s="8">
        <v>0.75</v>
      </c>
      <c r="M12" s="8">
        <v>0.375</v>
      </c>
      <c r="N12" s="8">
        <v>0.75</v>
      </c>
      <c r="O12" s="8">
        <v>0.375</v>
      </c>
      <c r="P12" s="8">
        <v>0.75</v>
      </c>
      <c r="Q12" s="7" t="s">
        <v>23</v>
      </c>
      <c r="R12" s="7" t="s">
        <v>23</v>
      </c>
      <c r="S12" s="7" t="s">
        <v>23</v>
      </c>
      <c r="T12" s="7" t="s">
        <v>23</v>
      </c>
      <c r="U12" s="21">
        <f>IFERROR(__xludf.DUMMYFUNCTION("TO_PURE_NUMBER(SUM(FILTER(G12:T12, ISEVEN(COLUMN(G12:T12))))-SUM(FILTER(G12:T12, ISODD(COLUMN(G12:T12)))))*24"),45)</f>
        <v>45</v>
      </c>
    </row>
    <row r="13" customHeight="1" spans="1:21">
      <c r="A13" s="7">
        <v>10320418</v>
      </c>
      <c r="B13" s="7" t="s">
        <v>68</v>
      </c>
      <c r="C13" s="7" t="str">
        <f t="array" ref="C13">_xlfn.XLOOKUP($A13,'WK 48'!A:A,'WK 48'!C:C,"")</f>
        <v>CSR</v>
      </c>
      <c r="D13" s="7" t="str">
        <f t="array" ref="D13">_xlfn.XLOOKUP($A13,'WK 48'!$A:$A,'WK 48'!D:D,"")</f>
        <v>Production</v>
      </c>
      <c r="E13" s="8" t="str">
        <f t="array" ref="E13">_xlfn.XLOOKUP($A13,'WK 48'!$A:$A,'WK 48'!E:E,"")</f>
        <v>FT</v>
      </c>
      <c r="F13" s="9">
        <f t="array" ref="F13">_xlfn.XLOOKUP($A13,'WK 48'!$A:$A,'WK 48'!F:F,"")</f>
        <v>3</v>
      </c>
      <c r="G13" s="8">
        <v>0.5</v>
      </c>
      <c r="H13" s="8">
        <v>0.875</v>
      </c>
      <c r="I13" s="8">
        <v>0.5</v>
      </c>
      <c r="J13" s="8">
        <v>0.875</v>
      </c>
      <c r="K13" s="8">
        <v>0.5</v>
      </c>
      <c r="L13" s="8">
        <v>0.875</v>
      </c>
      <c r="M13" s="8">
        <v>0.5</v>
      </c>
      <c r="N13" s="8">
        <v>0.875</v>
      </c>
      <c r="O13" s="7" t="s">
        <v>23</v>
      </c>
      <c r="P13" s="7" t="s">
        <v>23</v>
      </c>
      <c r="Q13" s="7" t="s">
        <v>23</v>
      </c>
      <c r="R13" s="7" t="s">
        <v>23</v>
      </c>
      <c r="S13" s="8">
        <v>0.458333333332121</v>
      </c>
      <c r="T13" s="8">
        <v>0.666666666667879</v>
      </c>
      <c r="U13" s="21">
        <f>IFERROR(__xludf.DUMMYFUNCTION("TO_PURE_NUMBER(SUM(FILTER(G13:T13, ISEVEN(COLUMN(G13:T13))))-SUM(FILTER(G13:T13, ISODD(COLUMN(G13:T13)))))*24"),41.0000000000582)</f>
        <v>41.0000000000582</v>
      </c>
    </row>
    <row r="14" hidden="1" customHeight="1" spans="1:21">
      <c r="A14" s="7">
        <v>10316618</v>
      </c>
      <c r="B14" s="7" t="s">
        <v>33</v>
      </c>
      <c r="C14" s="7" t="str">
        <f t="array" ref="C14">_xlfn.XLOOKUP($A14,'WK 48'!A:A,'WK 48'!C:C,"")</f>
        <v>CSR</v>
      </c>
      <c r="D14" s="7" t="str">
        <f t="array" ref="D14">_xlfn.XLOOKUP($A14,'WK 48'!$A:$A,'WK 48'!D:D,"")</f>
        <v>B2B</v>
      </c>
      <c r="E14" s="8" t="str">
        <f t="array" ref="E14">_xlfn.XLOOKUP($A14,'WK 48'!$A:$A,'WK 48'!E:E,"")</f>
        <v>FT</v>
      </c>
      <c r="F14" s="9">
        <f t="array" ref="F14">_xlfn.XLOOKUP($A14,'WK 48'!$A:$A,'WK 48'!F:F,"")</f>
        <v>1</v>
      </c>
      <c r="G14" s="8">
        <v>0.375</v>
      </c>
      <c r="H14" s="8">
        <v>0.75</v>
      </c>
      <c r="I14" s="8">
        <v>0.375</v>
      </c>
      <c r="J14" s="8">
        <v>0.75</v>
      </c>
      <c r="K14" s="8">
        <v>0.375</v>
      </c>
      <c r="L14" s="8">
        <v>0.75</v>
      </c>
      <c r="M14" s="8">
        <v>0.375</v>
      </c>
      <c r="N14" s="8">
        <v>0.75</v>
      </c>
      <c r="O14" s="8">
        <v>0.375</v>
      </c>
      <c r="P14" s="8">
        <v>0.75</v>
      </c>
      <c r="Q14" s="7" t="s">
        <v>23</v>
      </c>
      <c r="R14" s="7" t="s">
        <v>23</v>
      </c>
      <c r="S14" s="7" t="s">
        <v>23</v>
      </c>
      <c r="T14" s="7" t="s">
        <v>23</v>
      </c>
      <c r="U14" s="21">
        <f>IFERROR(__xludf.DUMMYFUNCTION("TO_PURE_NUMBER(SUM(FILTER(G14:T14, ISEVEN(COLUMN(G14:T14))))-SUM(FILTER(G14:T14, ISODD(COLUMN(G14:T14)))))*24"),45)</f>
        <v>45</v>
      </c>
    </row>
    <row r="15" customHeight="1" spans="1:21">
      <c r="A15" s="7">
        <v>10250963</v>
      </c>
      <c r="B15" s="7" t="s">
        <v>25</v>
      </c>
      <c r="C15" s="7" t="str">
        <f t="array" ref="C15">_xlfn.XLOOKUP($A15,'WK 48'!A:A,'WK 48'!C:C,"")</f>
        <v>CSR</v>
      </c>
      <c r="D15" s="7" t="str">
        <f t="array" ref="D15">_xlfn.XLOOKUP($A15,'WK 48'!$A:$A,'WK 48'!D:D,"")</f>
        <v>Production</v>
      </c>
      <c r="E15" s="8" t="str">
        <f t="array" ref="E15">_xlfn.XLOOKUP($A15,'WK 48'!$A:$A,'WK 48'!E:E,"")</f>
        <v>FT</v>
      </c>
      <c r="F15" s="9">
        <f t="array" ref="F15">_xlfn.XLOOKUP($A15,'WK 48'!$A:$A,'WK 48'!F:F,"")</f>
        <v>1</v>
      </c>
      <c r="G15" s="7" t="s">
        <v>23</v>
      </c>
      <c r="H15" s="7" t="s">
        <v>23</v>
      </c>
      <c r="I15" s="8">
        <v>0.375</v>
      </c>
      <c r="J15" s="8">
        <v>0.791666666667879</v>
      </c>
      <c r="K15" s="8">
        <v>0.375</v>
      </c>
      <c r="L15" s="8">
        <v>0.791666666667879</v>
      </c>
      <c r="M15" s="8">
        <v>0.375</v>
      </c>
      <c r="N15" s="8">
        <v>0.791666666667879</v>
      </c>
      <c r="O15" s="8">
        <v>0.375</v>
      </c>
      <c r="P15" s="8">
        <v>0.791666666667879</v>
      </c>
      <c r="Q15" s="8">
        <v>0.458333333332121</v>
      </c>
      <c r="R15" s="8">
        <v>0.666666666667879</v>
      </c>
      <c r="S15" s="7" t="s">
        <v>23</v>
      </c>
      <c r="T15" s="7" t="s">
        <v>23</v>
      </c>
      <c r="U15" s="21">
        <f>IFERROR(__xludf.DUMMYFUNCTION("TO_PURE_NUMBER(SUM(FILTER(G15:T15, ISEVEN(COLUMN(G15:T15))))-SUM(FILTER(G15:T15, ISODD(COLUMN(G15:T15)))))*24"),45.0000000001746)</f>
        <v>45.0000000001746</v>
      </c>
    </row>
    <row r="16" customHeight="1" spans="1:21">
      <c r="A16" s="7">
        <v>10295555</v>
      </c>
      <c r="B16" s="7" t="s">
        <v>34</v>
      </c>
      <c r="C16" s="7" t="str">
        <f t="array" ref="C16">_xlfn.XLOOKUP($A16,'WK 48'!A:A,'WK 48'!C:C,"")</f>
        <v>CSR</v>
      </c>
      <c r="D16" s="7" t="str">
        <f t="array" ref="D16">_xlfn.XLOOKUP($A16,'WK 48'!$A:$A,'WK 48'!D:D,"")</f>
        <v>Production</v>
      </c>
      <c r="E16" s="8" t="str">
        <f t="array" ref="E16">_xlfn.XLOOKUP($A16,'WK 48'!$A:$A,'WK 48'!E:E,"")</f>
        <v>PT</v>
      </c>
      <c r="F16" s="9">
        <f t="array" ref="F16">_xlfn.XLOOKUP($A16,'WK 48'!$A:$A,'WK 48'!F:F,"")</f>
        <v>2</v>
      </c>
      <c r="G16" s="8">
        <v>0.666666666667879</v>
      </c>
      <c r="H16" s="8">
        <v>0.875</v>
      </c>
      <c r="I16" s="8">
        <v>0.666666666667879</v>
      </c>
      <c r="J16" s="8">
        <v>0.875</v>
      </c>
      <c r="K16" s="8">
        <v>0.666666666667879</v>
      </c>
      <c r="L16" s="8">
        <v>0.875</v>
      </c>
      <c r="M16" s="7" t="s">
        <v>23</v>
      </c>
      <c r="N16" s="7" t="s">
        <v>23</v>
      </c>
      <c r="O16" s="7" t="s">
        <v>23</v>
      </c>
      <c r="P16" s="7" t="s">
        <v>23</v>
      </c>
      <c r="Q16" s="8">
        <v>0.458333333332121</v>
      </c>
      <c r="R16" s="8">
        <v>0.666666666667879</v>
      </c>
      <c r="S16" s="8">
        <v>0.458333333332121</v>
      </c>
      <c r="T16" s="8">
        <v>0.666666666667879</v>
      </c>
      <c r="U16" s="21">
        <f>IFERROR(__xludf.DUMMYFUNCTION("TO_PURE_NUMBER(SUM(FILTER(G16:T16, ISEVEN(COLUMN(G16:T16))))-SUM(FILTER(G16:T16, ISODD(COLUMN(G16:T16)))))*24"),25.0000000000291)</f>
        <v>25.0000000000291</v>
      </c>
    </row>
    <row r="17" customHeight="1" spans="1:21">
      <c r="A17" s="7">
        <v>10317520</v>
      </c>
      <c r="B17" s="7" t="s">
        <v>37</v>
      </c>
      <c r="C17" s="7" t="str">
        <f t="array" ref="C17">_xlfn.XLOOKUP($A17,'WK 48'!A:A,'WK 48'!C:C,"")</f>
        <v>CSR</v>
      </c>
      <c r="D17" s="7" t="str">
        <f t="array" ref="D17">_xlfn.XLOOKUP($A17,'WK 48'!$A:$A,'WK 48'!D:D,"")</f>
        <v>Production</v>
      </c>
      <c r="E17" s="8" t="str">
        <f t="array" ref="E17">_xlfn.XLOOKUP($A17,'WK 48'!$A:$A,'WK 48'!E:E,"")</f>
        <v>FT</v>
      </c>
      <c r="F17" s="9">
        <f t="array" ref="F17">_xlfn.XLOOKUP($A17,'WK 48'!$A:$A,'WK 48'!F:F,"")</f>
        <v>2</v>
      </c>
      <c r="G17" s="7" t="s">
        <v>23</v>
      </c>
      <c r="H17" s="7" t="s">
        <v>23</v>
      </c>
      <c r="I17" s="8">
        <v>0.333333333332121</v>
      </c>
      <c r="J17" s="8">
        <v>0.75</v>
      </c>
      <c r="K17" s="8">
        <v>0.333333333332121</v>
      </c>
      <c r="L17" s="8">
        <v>0.75</v>
      </c>
      <c r="M17" s="8">
        <v>0.333333333332121</v>
      </c>
      <c r="N17" s="8">
        <v>0.75</v>
      </c>
      <c r="O17" s="8">
        <v>0.333333333332121</v>
      </c>
      <c r="P17" s="8">
        <v>0.75</v>
      </c>
      <c r="Q17" s="8">
        <v>0.416666666667879</v>
      </c>
      <c r="R17" s="8">
        <v>0.625</v>
      </c>
      <c r="S17" s="7" t="s">
        <v>23</v>
      </c>
      <c r="T17" s="7" t="s">
        <v>23</v>
      </c>
      <c r="U17" s="21">
        <f>IFERROR(__xludf.DUMMYFUNCTION("TO_PURE_NUMBER(SUM(FILTER(G17:T17, ISEVEN(COLUMN(G17:T17))))-SUM(FILTER(G17:T17, ISODD(COLUMN(G17:T17)))))*24"),45.0000000000873)</f>
        <v>45.0000000000873</v>
      </c>
    </row>
    <row r="18" customHeight="1" spans="1:21">
      <c r="A18" s="7">
        <v>10320414</v>
      </c>
      <c r="B18" s="7" t="s">
        <v>62</v>
      </c>
      <c r="C18" s="7" t="str">
        <f t="array" ref="C18">_xlfn.XLOOKUP($A18,'WK 48'!A:A,'WK 48'!C:C,"")</f>
        <v>CSR</v>
      </c>
      <c r="D18" s="7" t="str">
        <f t="array" ref="D18">_xlfn.XLOOKUP($A18,'WK 48'!$A:$A,'WK 48'!D:D,"")</f>
        <v>Production</v>
      </c>
      <c r="E18" s="8" t="str">
        <f t="array" ref="E18">_xlfn.XLOOKUP($A18,'WK 48'!$A:$A,'WK 48'!E:E,"")</f>
        <v>FT</v>
      </c>
      <c r="F18" s="9">
        <f t="array" ref="F18">_xlfn.XLOOKUP($A18,'WK 48'!$A:$A,'WK 48'!F:F,"")</f>
        <v>3</v>
      </c>
      <c r="G18" s="7" t="s">
        <v>23</v>
      </c>
      <c r="H18" s="7" t="s">
        <v>23</v>
      </c>
      <c r="I18" s="8">
        <v>0.458333333332121</v>
      </c>
      <c r="J18" s="8">
        <v>0.875</v>
      </c>
      <c r="K18" s="8">
        <v>0.458333333332121</v>
      </c>
      <c r="L18" s="8">
        <v>0.875</v>
      </c>
      <c r="M18" s="8">
        <v>0.458333333332121</v>
      </c>
      <c r="N18" s="8">
        <v>0.875</v>
      </c>
      <c r="O18" s="8">
        <v>0.458333333332121</v>
      </c>
      <c r="P18" s="8">
        <v>0.875</v>
      </c>
      <c r="Q18" s="8">
        <v>0.458333333332121</v>
      </c>
      <c r="R18" s="8">
        <v>0.666666666667879</v>
      </c>
      <c r="S18" s="7" t="s">
        <v>23</v>
      </c>
      <c r="T18" s="7" t="s">
        <v>23</v>
      </c>
      <c r="U18" s="21">
        <f>IFERROR(__xludf.DUMMYFUNCTION("TO_PURE_NUMBER(SUM(FILTER(G18:T18, ISEVEN(COLUMN(G18:T18))))-SUM(FILTER(G18:T18, ISODD(COLUMN(G18:T18)))))*24"),45.0000000001746)</f>
        <v>45.0000000001746</v>
      </c>
    </row>
    <row r="19" hidden="1" customHeight="1" spans="1:21">
      <c r="A19" s="7">
        <v>10316681</v>
      </c>
      <c r="B19" s="7" t="s">
        <v>38</v>
      </c>
      <c r="C19" s="7" t="str">
        <f t="array" ref="C19">_xlfn.XLOOKUP($A19,'WK 48'!A:A,'WK 48'!C:C,"")</f>
        <v>Esc Mgr</v>
      </c>
      <c r="D19" s="7" t="str">
        <f t="array" ref="D19">_xlfn.XLOOKUP($A19,'WK 48'!$A:$A,'WK 48'!D:D,"")</f>
        <v>Production</v>
      </c>
      <c r="E19" s="8" t="str">
        <f t="array" ref="E19">_xlfn.XLOOKUP($A19,'WK 48'!$A:$A,'WK 48'!E:E,"")</f>
        <v>FT</v>
      </c>
      <c r="F19" s="9">
        <f t="array" ref="F19">_xlfn.XLOOKUP($A19,'WK 48'!$A:$A,'WK 48'!F:F,"")</f>
        <v>1</v>
      </c>
      <c r="G19" s="8">
        <v>0.375</v>
      </c>
      <c r="H19" s="8">
        <v>0.75</v>
      </c>
      <c r="I19" s="8">
        <v>0.375</v>
      </c>
      <c r="J19" s="8">
        <v>0.75</v>
      </c>
      <c r="K19" s="8">
        <v>0.375</v>
      </c>
      <c r="L19" s="8">
        <v>0.75</v>
      </c>
      <c r="M19" s="8">
        <v>0.375</v>
      </c>
      <c r="N19" s="8">
        <v>0.75</v>
      </c>
      <c r="O19" s="8">
        <v>0.375</v>
      </c>
      <c r="P19" s="8">
        <v>0.75</v>
      </c>
      <c r="Q19" s="7" t="s">
        <v>23</v>
      </c>
      <c r="R19" s="7" t="s">
        <v>23</v>
      </c>
      <c r="S19" s="7" t="s">
        <v>23</v>
      </c>
      <c r="T19" s="7" t="s">
        <v>23</v>
      </c>
      <c r="U19" s="21">
        <f>IFERROR(__xludf.DUMMYFUNCTION("TO_PURE_NUMBER(SUM(FILTER(G19:T19, ISEVEN(COLUMN(G19:T19))))-SUM(FILTER(G19:T19, ISODD(COLUMN(G19:T19)))))*24"),45)</f>
        <v>45</v>
      </c>
    </row>
    <row r="20" customHeight="1" spans="1:21">
      <c r="A20" s="7">
        <v>10316650</v>
      </c>
      <c r="B20" s="7" t="s">
        <v>39</v>
      </c>
      <c r="C20" s="7" t="str">
        <f t="array" ref="C20">_xlfn.XLOOKUP($A20,'WK 48'!A:A,'WK 48'!C:C,"")</f>
        <v>CSR</v>
      </c>
      <c r="D20" s="7" t="str">
        <f t="array" ref="D20">_xlfn.XLOOKUP($A20,'WK 48'!$A:$A,'WK 48'!D:D,"")</f>
        <v>Production</v>
      </c>
      <c r="E20" s="8" t="str">
        <f t="array" ref="E20">_xlfn.XLOOKUP($A20,'WK 48'!$A:$A,'WK 48'!E:E,"")</f>
        <v>FT</v>
      </c>
      <c r="F20" s="9">
        <f t="array" ref="F20">_xlfn.XLOOKUP($A20,'WK 48'!$A:$A,'WK 48'!F:F,"")</f>
        <v>2</v>
      </c>
      <c r="G20" s="8">
        <v>0.5</v>
      </c>
      <c r="H20" s="8">
        <v>0.875</v>
      </c>
      <c r="I20" s="8">
        <v>0.5</v>
      </c>
      <c r="J20" s="8">
        <v>0.875</v>
      </c>
      <c r="K20" s="8">
        <v>0.5</v>
      </c>
      <c r="L20" s="8">
        <v>0.875</v>
      </c>
      <c r="M20" s="8">
        <v>0.5</v>
      </c>
      <c r="N20" s="8">
        <v>0.875</v>
      </c>
      <c r="O20" s="8">
        <v>0.5</v>
      </c>
      <c r="P20" s="8">
        <v>0.875</v>
      </c>
      <c r="Q20" s="7" t="s">
        <v>23</v>
      </c>
      <c r="R20" s="7" t="s">
        <v>23</v>
      </c>
      <c r="S20" s="7" t="s">
        <v>23</v>
      </c>
      <c r="T20" s="7" t="s">
        <v>23</v>
      </c>
      <c r="U20" s="21">
        <f>IFERROR(__xludf.DUMMYFUNCTION("TO_PURE_NUMBER(SUM(FILTER(G20:T20, ISEVEN(COLUMN(G20:T20))))-SUM(FILTER(G20:T20, ISODD(COLUMN(G20:T20)))))*24"),45)</f>
        <v>45</v>
      </c>
    </row>
    <row r="21" customHeight="1" spans="1:21">
      <c r="A21" s="7">
        <v>10320416</v>
      </c>
      <c r="B21" s="7" t="s">
        <v>66</v>
      </c>
      <c r="C21" s="7" t="str">
        <f t="array" ref="C21">_xlfn.XLOOKUP($A21,'WK 48'!A:A,'WK 48'!C:C,"")</f>
        <v>CSR</v>
      </c>
      <c r="D21" s="7" t="str">
        <f t="array" ref="D21">_xlfn.XLOOKUP($A21,'WK 48'!$A:$A,'WK 48'!D:D,"")</f>
        <v>Production</v>
      </c>
      <c r="E21" s="8" t="str">
        <f t="array" ref="E21">_xlfn.XLOOKUP($A21,'WK 48'!$A:$A,'WK 48'!E:E,"")</f>
        <v>FT</v>
      </c>
      <c r="F21" s="9">
        <f t="array" ref="F21">_xlfn.XLOOKUP($A21,'WK 48'!$A:$A,'WK 48'!F:F,"")</f>
        <v>3</v>
      </c>
      <c r="G21" s="8">
        <v>0.375</v>
      </c>
      <c r="H21" s="8">
        <v>0.75</v>
      </c>
      <c r="I21" s="8">
        <v>0.375</v>
      </c>
      <c r="J21" s="8">
        <v>0.75</v>
      </c>
      <c r="K21" s="8">
        <v>0.375</v>
      </c>
      <c r="L21" s="8">
        <v>0.75</v>
      </c>
      <c r="M21" s="8">
        <v>0.375</v>
      </c>
      <c r="N21" s="8">
        <v>0.75</v>
      </c>
      <c r="O21" s="8">
        <v>0.375</v>
      </c>
      <c r="P21" s="8">
        <v>0.75</v>
      </c>
      <c r="Q21" s="7" t="s">
        <v>23</v>
      </c>
      <c r="R21" s="7" t="s">
        <v>23</v>
      </c>
      <c r="S21" s="7" t="s">
        <v>23</v>
      </c>
      <c r="T21" s="7" t="s">
        <v>23</v>
      </c>
      <c r="U21" s="21">
        <f>IFERROR(__xludf.DUMMYFUNCTION("TO_PURE_NUMBER(SUM(FILTER(G21:T21, ISEVEN(COLUMN(G21:T21))))-SUM(FILTER(G21:T21, ISODD(COLUMN(G21:T21)))))*24"),45)</f>
        <v>45</v>
      </c>
    </row>
    <row r="22" customHeight="1" spans="1:21">
      <c r="A22" s="7">
        <v>10316530</v>
      </c>
      <c r="B22" s="7" t="s">
        <v>26</v>
      </c>
      <c r="C22" s="7" t="str">
        <f t="array" ref="C22">_xlfn.XLOOKUP($A22,'WK 48'!A:A,'WK 48'!C:C,"")</f>
        <v>CSR</v>
      </c>
      <c r="D22" s="7" t="str">
        <f t="array" ref="D22">_xlfn.XLOOKUP($A22,'WK 48'!$A:$A,'WK 48'!D:D,"")</f>
        <v>Production</v>
      </c>
      <c r="E22" s="8" t="str">
        <f t="array" ref="E22">_xlfn.XLOOKUP($A22,'WK 48'!$A:$A,'WK 48'!E:E,"")</f>
        <v>FT</v>
      </c>
      <c r="F22" s="9">
        <f t="array" ref="F22">_xlfn.XLOOKUP($A22,'WK 48'!$A:$A,'WK 48'!F:F,"")</f>
        <v>1</v>
      </c>
      <c r="G22" s="7" t="s">
        <v>23</v>
      </c>
      <c r="H22" s="7" t="s">
        <v>23</v>
      </c>
      <c r="I22" s="8">
        <v>0.375</v>
      </c>
      <c r="J22" s="8">
        <v>0.791666666667879</v>
      </c>
      <c r="K22" s="8">
        <v>0.375</v>
      </c>
      <c r="L22" s="8">
        <v>0.791666666667879</v>
      </c>
      <c r="M22" s="8">
        <v>0.375</v>
      </c>
      <c r="N22" s="8">
        <v>0.791666666667879</v>
      </c>
      <c r="O22" s="8">
        <v>0.375</v>
      </c>
      <c r="P22" s="8">
        <v>0.791666666667879</v>
      </c>
      <c r="Q22" s="8">
        <v>0.458333333332121</v>
      </c>
      <c r="R22" s="8">
        <v>0.666666666667879</v>
      </c>
      <c r="S22" s="7" t="s">
        <v>23</v>
      </c>
      <c r="T22" s="7" t="s">
        <v>23</v>
      </c>
      <c r="U22" s="21">
        <f>IFERROR(__xludf.DUMMYFUNCTION("TO_PURE_NUMBER(SUM(FILTER(G22:T22, ISEVEN(COLUMN(G22:T22))))-SUM(FILTER(G22:T22, ISODD(COLUMN(G22:T22)))))*24"),45.0000000001746)</f>
        <v>45.0000000001746</v>
      </c>
    </row>
    <row r="23" customHeight="1" spans="1:21">
      <c r="A23" s="7">
        <v>10316680</v>
      </c>
      <c r="B23" s="7" t="s">
        <v>40</v>
      </c>
      <c r="C23" s="7" t="str">
        <f t="array" ref="C23">_xlfn.XLOOKUP($A23,'WK 48'!A:A,'WK 48'!C:C,"")</f>
        <v>CSR</v>
      </c>
      <c r="D23" s="7" t="str">
        <f t="array" ref="D23">_xlfn.XLOOKUP($A23,'WK 48'!$A:$A,'WK 48'!D:D,"")</f>
        <v>Production</v>
      </c>
      <c r="E23" s="8" t="str">
        <f t="array" ref="E23">_xlfn.XLOOKUP($A23,'WK 48'!$A:$A,'WK 48'!E:E,"")</f>
        <v>FT</v>
      </c>
      <c r="F23" s="9">
        <f t="array" ref="F23">_xlfn.XLOOKUP($A23,'WK 48'!$A:$A,'WK 48'!F:F,"")</f>
        <v>1</v>
      </c>
      <c r="G23" s="8">
        <v>0.375</v>
      </c>
      <c r="H23" s="8">
        <v>0.75</v>
      </c>
      <c r="I23" s="8">
        <v>0.375</v>
      </c>
      <c r="J23" s="8">
        <v>0.75</v>
      </c>
      <c r="K23" s="8">
        <v>0.375</v>
      </c>
      <c r="L23" s="8">
        <v>0.75</v>
      </c>
      <c r="M23" s="8">
        <v>0.375</v>
      </c>
      <c r="N23" s="8">
        <v>0.75</v>
      </c>
      <c r="O23" s="8">
        <v>0.375</v>
      </c>
      <c r="P23" s="8">
        <v>0.75</v>
      </c>
      <c r="Q23" s="7" t="s">
        <v>23</v>
      </c>
      <c r="R23" s="7" t="s">
        <v>23</v>
      </c>
      <c r="S23" s="7" t="s">
        <v>23</v>
      </c>
      <c r="T23" s="7" t="s">
        <v>23</v>
      </c>
      <c r="U23" s="21">
        <f>IFERROR(__xludf.DUMMYFUNCTION("TO_PURE_NUMBER(SUM(FILTER(G23:T23, ISEVEN(COLUMN(G23:T23))))-SUM(FILTER(G23:T23, ISODD(COLUMN(G23:T23)))))*24"),45)</f>
        <v>45</v>
      </c>
    </row>
    <row r="24" customHeight="1" spans="1:21">
      <c r="A24" s="7">
        <v>10317943</v>
      </c>
      <c r="B24" s="7" t="s">
        <v>27</v>
      </c>
      <c r="C24" s="7" t="str">
        <f t="array" ref="C24">_xlfn.XLOOKUP($A24,'WK 48'!A:A,'WK 48'!C:C,"")</f>
        <v>CSR</v>
      </c>
      <c r="D24" s="7" t="str">
        <f t="array" ref="D24">_xlfn.XLOOKUP($A24,'WK 48'!$A:$A,'WK 48'!D:D,"")</f>
        <v>Production</v>
      </c>
      <c r="E24" s="8" t="str">
        <f t="array" ref="E24">_xlfn.XLOOKUP($A24,'WK 48'!$A:$A,'WK 48'!E:E,"")</f>
        <v>FT</v>
      </c>
      <c r="F24" s="9">
        <f t="array" ref="F24">_xlfn.XLOOKUP($A24,'WK 48'!$A:$A,'WK 48'!F:F,"")</f>
        <v>2</v>
      </c>
      <c r="G24" s="8">
        <v>0.375</v>
      </c>
      <c r="H24" s="8">
        <v>0.791666666667879</v>
      </c>
      <c r="I24" s="8">
        <v>0.375</v>
      </c>
      <c r="J24" s="8">
        <v>0.791666666667879</v>
      </c>
      <c r="K24" s="8">
        <v>0.375</v>
      </c>
      <c r="L24" s="8">
        <v>0.791666666667879</v>
      </c>
      <c r="M24" s="8">
        <v>0.375</v>
      </c>
      <c r="N24" s="8">
        <v>0.791666666667879</v>
      </c>
      <c r="O24" s="7" t="s">
        <v>23</v>
      </c>
      <c r="P24" s="7" t="s">
        <v>23</v>
      </c>
      <c r="Q24" s="7" t="s">
        <v>23</v>
      </c>
      <c r="R24" s="7" t="s">
        <v>23</v>
      </c>
      <c r="S24" s="8">
        <v>0.458333333332121</v>
      </c>
      <c r="T24" s="8">
        <v>0.666666666667879</v>
      </c>
      <c r="U24" s="21">
        <f>IFERROR(__xludf.DUMMYFUNCTION("TO_PURE_NUMBER(SUM(FILTER(G24:T24, ISEVEN(COLUMN(G24:T24))))-SUM(FILTER(G24:T24, ISODD(COLUMN(G24:T24)))))*24"),45.0000000001746)</f>
        <v>45.0000000001746</v>
      </c>
    </row>
    <row r="25" customHeight="1" spans="1:21">
      <c r="A25" s="7">
        <v>10250966</v>
      </c>
      <c r="B25" s="7" t="s">
        <v>61</v>
      </c>
      <c r="C25" s="7" t="str">
        <f t="array" ref="C25">_xlfn.XLOOKUP($A25,'WK 48'!A:A,'WK 48'!C:C,"")</f>
        <v>CSR</v>
      </c>
      <c r="D25" s="7" t="str">
        <f t="array" ref="D25">_xlfn.XLOOKUP($A25,'WK 48'!$A:$A,'WK 48'!D:D,"")</f>
        <v>Production</v>
      </c>
      <c r="E25" s="8" t="str">
        <f t="array" ref="E25">_xlfn.XLOOKUP($A25,'WK 48'!$A:$A,'WK 48'!E:E,"")</f>
        <v>FT</v>
      </c>
      <c r="F25" s="9">
        <f t="array" ref="F25">_xlfn.XLOOKUP($A25,'WK 48'!$A:$A,'WK 48'!F:F,"")</f>
        <v>3</v>
      </c>
      <c r="G25" s="8">
        <v>0.375</v>
      </c>
      <c r="H25" s="8">
        <v>0.791666666667879</v>
      </c>
      <c r="I25" s="8">
        <v>0.375</v>
      </c>
      <c r="J25" s="8">
        <v>0.791666666667879</v>
      </c>
      <c r="K25" s="8">
        <v>0.375</v>
      </c>
      <c r="L25" s="8">
        <v>0.791666666667879</v>
      </c>
      <c r="M25" s="8">
        <v>0.375</v>
      </c>
      <c r="N25" s="8">
        <v>0.791666666667879</v>
      </c>
      <c r="O25" s="7" t="s">
        <v>23</v>
      </c>
      <c r="P25" s="7" t="s">
        <v>23</v>
      </c>
      <c r="Q25" s="7" t="s">
        <v>23</v>
      </c>
      <c r="R25" s="7" t="s">
        <v>23</v>
      </c>
      <c r="S25" s="8">
        <v>0.458333333332121</v>
      </c>
      <c r="T25" s="8">
        <v>0.666666666667879</v>
      </c>
      <c r="U25" s="21">
        <f>IFERROR(__xludf.DUMMYFUNCTION("TO_PURE_NUMBER(SUM(FILTER(G25:T25, ISEVEN(COLUMN(G25:T25))))-SUM(FILTER(G25:T25, ISODD(COLUMN(G25:T25)))))*24"),45.0000000001746)</f>
        <v>45.0000000001746</v>
      </c>
    </row>
    <row r="26" customHeight="1" spans="1:21">
      <c r="A26" s="7">
        <v>10316543</v>
      </c>
      <c r="B26" s="7" t="s">
        <v>41</v>
      </c>
      <c r="C26" s="7" t="str">
        <f t="array" ref="C26">_xlfn.XLOOKUP($A26,'WK 48'!A:A,'WK 48'!C:C,"")</f>
        <v>CSR</v>
      </c>
      <c r="D26" s="7" t="str">
        <f t="array" ref="D26">_xlfn.XLOOKUP($A26,'WK 48'!$A:$A,'WK 48'!D:D,"")</f>
        <v>Production</v>
      </c>
      <c r="E26" s="8" t="str">
        <f t="array" ref="E26">_xlfn.XLOOKUP($A26,'WK 48'!$A:$A,'WK 48'!E:E,"")</f>
        <v>FT</v>
      </c>
      <c r="F26" s="9">
        <f t="array" ref="F26">_xlfn.XLOOKUP($A26,'WK 48'!$A:$A,'WK 48'!F:F,"")</f>
        <v>1</v>
      </c>
      <c r="G26" s="8">
        <v>0.375</v>
      </c>
      <c r="H26" s="8">
        <v>0.791666666667879</v>
      </c>
      <c r="I26" s="8">
        <v>0.375</v>
      </c>
      <c r="J26" s="8">
        <v>0.791666666667879</v>
      </c>
      <c r="K26" s="8">
        <v>0.375</v>
      </c>
      <c r="L26" s="8">
        <v>0.791666666667879</v>
      </c>
      <c r="M26" s="8">
        <v>0.375</v>
      </c>
      <c r="N26" s="8">
        <v>0.791666666667879</v>
      </c>
      <c r="O26" s="7" t="s">
        <v>23</v>
      </c>
      <c r="P26" s="7" t="s">
        <v>23</v>
      </c>
      <c r="Q26" s="7" t="s">
        <v>23</v>
      </c>
      <c r="R26" s="7" t="s">
        <v>23</v>
      </c>
      <c r="S26" s="8">
        <v>0.458333333332121</v>
      </c>
      <c r="T26" s="8">
        <v>0.666666666667879</v>
      </c>
      <c r="U26" s="21">
        <f>IFERROR(__xludf.DUMMYFUNCTION("TO_PURE_NUMBER(SUM(FILTER(G26:T26, ISEVEN(COLUMN(G26:T26))))-SUM(FILTER(G26:T26, ISODD(COLUMN(G26:T26)))))*24"),45.0000000001746)</f>
        <v>45.0000000001746</v>
      </c>
    </row>
    <row r="27" customHeight="1" spans="1:21">
      <c r="A27" s="7">
        <v>10317153</v>
      </c>
      <c r="B27" s="7" t="s">
        <v>42</v>
      </c>
      <c r="C27" s="7" t="str">
        <f t="array" ref="C27">_xlfn.XLOOKUP($A27,'WK 48'!A:A,'WK 48'!C:C,"")</f>
        <v>CSR</v>
      </c>
      <c r="D27" s="7" t="str">
        <f t="array" ref="D27">_xlfn.XLOOKUP($A27,'WK 48'!$A:$A,'WK 48'!D:D,"")</f>
        <v>Production</v>
      </c>
      <c r="E27" s="8" t="str">
        <f t="array" ref="E27">_xlfn.XLOOKUP($A27,'WK 48'!$A:$A,'WK 48'!E:E,"")</f>
        <v>FT</v>
      </c>
      <c r="F27" s="9">
        <f t="array" ref="F27">_xlfn.XLOOKUP($A27,'WK 48'!$A:$A,'WK 48'!F:F,"")</f>
        <v>1</v>
      </c>
      <c r="G27" s="7" t="s">
        <v>23</v>
      </c>
      <c r="H27" s="7" t="s">
        <v>23</v>
      </c>
      <c r="I27" s="8">
        <v>0.458333333332121</v>
      </c>
      <c r="J27" s="8">
        <v>0.875</v>
      </c>
      <c r="K27" s="8">
        <v>0.458333333332121</v>
      </c>
      <c r="L27" s="8">
        <v>0.875</v>
      </c>
      <c r="M27" s="8">
        <v>0.458333333332121</v>
      </c>
      <c r="N27" s="8">
        <v>0.875</v>
      </c>
      <c r="O27" s="8">
        <v>0.458333333332121</v>
      </c>
      <c r="P27" s="8">
        <v>0.875</v>
      </c>
      <c r="Q27" s="8">
        <v>0.458333333332121</v>
      </c>
      <c r="R27" s="8">
        <v>0.666666666667879</v>
      </c>
      <c r="S27" s="7" t="s">
        <v>23</v>
      </c>
      <c r="T27" s="7" t="s">
        <v>23</v>
      </c>
      <c r="U27" s="21">
        <f>IFERROR(__xludf.DUMMYFUNCTION("TO_PURE_NUMBER(SUM(FILTER(G27:T27, ISEVEN(COLUMN(G27:T27))))-SUM(FILTER(G27:T27, ISODD(COLUMN(G27:T27)))))*24"),45.0000000001746)</f>
        <v>45.0000000001746</v>
      </c>
    </row>
    <row r="28" customHeight="1" spans="1:21">
      <c r="A28" s="7">
        <v>10317521</v>
      </c>
      <c r="B28" s="7" t="s">
        <v>28</v>
      </c>
      <c r="C28" s="7" t="str">
        <f t="array" ref="C28">_xlfn.XLOOKUP($A28,'WK 48'!A:A,'WK 48'!C:C,"")</f>
        <v>CSR</v>
      </c>
      <c r="D28" s="7" t="str">
        <f t="array" ref="D28">_xlfn.XLOOKUP($A28,'WK 48'!$A:$A,'WK 48'!D:D,"")</f>
        <v>Production</v>
      </c>
      <c r="E28" s="8" t="str">
        <f t="array" ref="E28">_xlfn.XLOOKUP($A28,'WK 48'!$A:$A,'WK 48'!E:E,"")</f>
        <v>FT</v>
      </c>
      <c r="F28" s="9">
        <f t="array" ref="F28">_xlfn.XLOOKUP($A28,'WK 48'!$A:$A,'WK 48'!F:F,"")</f>
        <v>2</v>
      </c>
      <c r="G28" s="7" t="s">
        <v>23</v>
      </c>
      <c r="H28" s="7" t="s">
        <v>23</v>
      </c>
      <c r="I28" s="8">
        <v>0.333333333332121</v>
      </c>
      <c r="J28" s="8">
        <v>0.75</v>
      </c>
      <c r="K28" s="8">
        <v>0.333333333332121</v>
      </c>
      <c r="L28" s="8">
        <v>0.75</v>
      </c>
      <c r="M28" s="8">
        <v>0.333333333332121</v>
      </c>
      <c r="N28" s="8">
        <v>0.75</v>
      </c>
      <c r="O28" s="8">
        <v>0.333333333332121</v>
      </c>
      <c r="P28" s="8">
        <v>0.75</v>
      </c>
      <c r="Q28" s="8">
        <v>0.416666666667879</v>
      </c>
      <c r="R28" s="8">
        <v>0.625</v>
      </c>
      <c r="S28" s="7" t="s">
        <v>23</v>
      </c>
      <c r="T28" s="7" t="s">
        <v>23</v>
      </c>
      <c r="U28" s="21">
        <f>IFERROR(__xludf.DUMMYFUNCTION("TO_PURE_NUMBER(SUM(FILTER(G28:T28, ISEVEN(COLUMN(G28:T28))))-SUM(FILTER(G28:T28, ISODD(COLUMN(G28:T28)))))*24"),45.0000000000873)</f>
        <v>45.0000000000873</v>
      </c>
    </row>
    <row r="29" customHeight="1" spans="1:21">
      <c r="A29" s="7">
        <v>10317517</v>
      </c>
      <c r="B29" s="7" t="s">
        <v>29</v>
      </c>
      <c r="C29" s="7" t="str">
        <f t="array" ref="C29">_xlfn.XLOOKUP($A29,'WK 48'!A:A,'WK 48'!C:C,"")</f>
        <v>CSR</v>
      </c>
      <c r="D29" s="7" t="str">
        <f t="array" ref="D29">_xlfn.XLOOKUP($A29,'WK 48'!$A:$A,'WK 48'!D:D,"")</f>
        <v>Production</v>
      </c>
      <c r="E29" s="8" t="str">
        <f t="array" ref="E29">_xlfn.XLOOKUP($A29,'WK 48'!$A:$A,'WK 48'!E:E,"")</f>
        <v>FT</v>
      </c>
      <c r="F29" s="9">
        <f t="array" ref="F29">_xlfn.XLOOKUP($A29,'WK 48'!$A:$A,'WK 48'!F:F,"")</f>
        <v>2</v>
      </c>
      <c r="G29" s="7" t="s">
        <v>23</v>
      </c>
      <c r="H29" s="7" t="s">
        <v>23</v>
      </c>
      <c r="I29" s="8">
        <v>0.458333333332121</v>
      </c>
      <c r="J29" s="8">
        <v>0.875</v>
      </c>
      <c r="K29" s="8">
        <v>0.458333333332121</v>
      </c>
      <c r="L29" s="8">
        <v>0.875</v>
      </c>
      <c r="M29" s="8">
        <v>0.458333333332121</v>
      </c>
      <c r="N29" s="8">
        <v>0.875</v>
      </c>
      <c r="O29" s="8">
        <v>0.458333333332121</v>
      </c>
      <c r="P29" s="8">
        <v>0.875</v>
      </c>
      <c r="Q29" s="8">
        <v>0.458333333332121</v>
      </c>
      <c r="R29" s="8">
        <v>0.666666666667879</v>
      </c>
      <c r="S29" s="7" t="s">
        <v>23</v>
      </c>
      <c r="T29" s="7" t="s">
        <v>23</v>
      </c>
      <c r="U29" s="21">
        <f>IFERROR(__xludf.DUMMYFUNCTION("TO_PURE_NUMBER(SUM(FILTER(G29:T29, ISEVEN(COLUMN(G29:T29))))-SUM(FILTER(G29:T29, ISODD(COLUMN(G29:T29)))))*24"),45.0000000001746)</f>
        <v>45.0000000001746</v>
      </c>
    </row>
    <row r="30" hidden="1" customHeight="1" spans="1:21">
      <c r="A30" s="7">
        <v>10252106</v>
      </c>
      <c r="B30" s="7" t="s">
        <v>43</v>
      </c>
      <c r="C30" s="7" t="str">
        <f t="array" ref="C30">_xlfn.XLOOKUP($A30,'WK 48'!A:A,'WK 48'!C:C,"")</f>
        <v>CSR</v>
      </c>
      <c r="D30" s="7" t="str">
        <f t="array" ref="D30">_xlfn.XLOOKUP($A30,'WK 48'!$A:$A,'WK 48'!D:D,"")</f>
        <v>Production</v>
      </c>
      <c r="E30" s="8" t="str">
        <f t="array" ref="E30">_xlfn.XLOOKUP($A30,'WK 48'!$A:$A,'WK 48'!E:E,"")</f>
        <v>FT</v>
      </c>
      <c r="F30" s="9">
        <f t="array" ref="F30">_xlfn.XLOOKUP($A30,'WK 48'!$A:$A,'WK 48'!F:F,"")</f>
        <v>2</v>
      </c>
      <c r="G30" s="8">
        <v>0.5</v>
      </c>
      <c r="H30" s="8">
        <v>0.875</v>
      </c>
      <c r="I30" s="7" t="s">
        <v>23</v>
      </c>
      <c r="J30" s="7" t="s">
        <v>23</v>
      </c>
      <c r="K30" s="7" t="s">
        <v>23</v>
      </c>
      <c r="L30" s="7" t="s">
        <v>23</v>
      </c>
      <c r="M30" s="8">
        <v>0.5</v>
      </c>
      <c r="N30" s="8">
        <v>0.875</v>
      </c>
      <c r="O30" s="8">
        <v>0.5</v>
      </c>
      <c r="P30" s="8">
        <v>0.875</v>
      </c>
      <c r="Q30" s="8">
        <v>0.458333333332121</v>
      </c>
      <c r="R30" s="8">
        <v>0.666666666667879</v>
      </c>
      <c r="S30" s="8">
        <v>0.458333333332121</v>
      </c>
      <c r="T30" s="8">
        <v>0.666666666667879</v>
      </c>
      <c r="U30" s="21">
        <f>IFERROR(__xludf.DUMMYFUNCTION("TO_PURE_NUMBER(SUM(FILTER(G30:T30, ISEVEN(COLUMN(G30:T30))))-SUM(FILTER(G30:T30, ISODD(COLUMN(G30:T30)))))*24"),37.0000000001164)</f>
        <v>37.0000000001164</v>
      </c>
    </row>
    <row r="31" customHeight="1" spans="1:21">
      <c r="A31" s="7">
        <v>10320407</v>
      </c>
      <c r="B31" s="7" t="s">
        <v>55</v>
      </c>
      <c r="C31" s="7" t="str">
        <f t="array" ref="C31">_xlfn.XLOOKUP($A31,'WK 48'!A:A,'WK 48'!C:C,"")</f>
        <v>CSR</v>
      </c>
      <c r="D31" s="7" t="str">
        <f t="array" ref="D31">_xlfn.XLOOKUP($A31,'WK 48'!$A:$A,'WK 48'!D:D,"")</f>
        <v>Production</v>
      </c>
      <c r="E31" s="8" t="str">
        <f t="array" ref="E31">_xlfn.XLOOKUP($A31,'WK 48'!$A:$A,'WK 48'!E:E,"")</f>
        <v>FT</v>
      </c>
      <c r="F31" s="9">
        <f t="array" ref="F31">_xlfn.XLOOKUP($A31,'WK 48'!$A:$A,'WK 48'!F:F,"")</f>
        <v>3</v>
      </c>
      <c r="G31" s="7" t="s">
        <v>23</v>
      </c>
      <c r="H31" s="7" t="s">
        <v>23</v>
      </c>
      <c r="I31" s="8">
        <v>0.458333333332121</v>
      </c>
      <c r="J31" s="8">
        <v>0.875</v>
      </c>
      <c r="K31" s="8">
        <v>0.458333333332121</v>
      </c>
      <c r="L31" s="8">
        <v>0.875</v>
      </c>
      <c r="M31" s="8">
        <v>0.458333333332121</v>
      </c>
      <c r="N31" s="8">
        <v>0.875</v>
      </c>
      <c r="O31" s="8">
        <v>0.458333333332121</v>
      </c>
      <c r="P31" s="8">
        <v>0.875</v>
      </c>
      <c r="Q31" s="8">
        <v>0.458333333332121</v>
      </c>
      <c r="R31" s="8">
        <v>0.666666666667879</v>
      </c>
      <c r="S31" s="7" t="s">
        <v>23</v>
      </c>
      <c r="T31" s="7" t="s">
        <v>23</v>
      </c>
      <c r="U31" s="21">
        <f>IFERROR(__xludf.DUMMYFUNCTION("TO_PURE_NUMBER(SUM(FILTER(G31:T31, ISEVEN(COLUMN(G31:T31))))-SUM(FILTER(G31:T31, ISODD(COLUMN(G31:T31)))))*24"),45.0000000001746)</f>
        <v>45.0000000001746</v>
      </c>
    </row>
    <row r="32" customHeight="1" spans="1:21">
      <c r="A32" s="7">
        <v>10320417</v>
      </c>
      <c r="B32" s="7" t="s">
        <v>67</v>
      </c>
      <c r="C32" s="7" t="str">
        <f t="array" ref="C32">_xlfn.XLOOKUP($A32,'WK 48'!A:A,'WK 48'!C:C,"")</f>
        <v>CSR</v>
      </c>
      <c r="D32" s="7" t="str">
        <f t="array" ref="D32">_xlfn.XLOOKUP($A32,'WK 48'!$A:$A,'WK 48'!D:D,"")</f>
        <v>Production</v>
      </c>
      <c r="E32" s="8" t="str">
        <f t="array" ref="E32">_xlfn.XLOOKUP($A32,'WK 48'!$A:$A,'WK 48'!E:E,"")</f>
        <v>FT</v>
      </c>
      <c r="F32" s="9">
        <f t="array" ref="F32">_xlfn.XLOOKUP($A32,'WK 48'!$A:$A,'WK 48'!F:F,"")</f>
        <v>3</v>
      </c>
      <c r="G32" s="8">
        <v>0.5</v>
      </c>
      <c r="H32" s="8">
        <v>0.875</v>
      </c>
      <c r="I32" s="8">
        <v>0.5</v>
      </c>
      <c r="J32" s="8">
        <v>0.875</v>
      </c>
      <c r="K32" s="8">
        <v>0.5</v>
      </c>
      <c r="L32" s="8">
        <v>0.875</v>
      </c>
      <c r="M32" s="8">
        <v>0.5</v>
      </c>
      <c r="N32" s="8">
        <v>0.875</v>
      </c>
      <c r="O32" s="8">
        <v>0.5</v>
      </c>
      <c r="P32" s="8">
        <v>0.875</v>
      </c>
      <c r="Q32" s="7" t="s">
        <v>23</v>
      </c>
      <c r="R32" s="7" t="s">
        <v>23</v>
      </c>
      <c r="S32" s="7" t="s">
        <v>23</v>
      </c>
      <c r="T32" s="7" t="s">
        <v>23</v>
      </c>
      <c r="U32" s="21">
        <f>IFERROR(__xludf.DUMMYFUNCTION("TO_PURE_NUMBER(SUM(FILTER(G32:T32, ISEVEN(COLUMN(G32:T32))))-SUM(FILTER(G32:T32, ISODD(COLUMN(G32:T32)))))*24"),45)</f>
        <v>45</v>
      </c>
    </row>
    <row r="33" customHeight="1" spans="1:21">
      <c r="A33" s="7">
        <v>10317154</v>
      </c>
      <c r="B33" s="7" t="s">
        <v>70</v>
      </c>
      <c r="C33" s="7" t="str">
        <f t="array" ref="C33">_xlfn.XLOOKUP($A33,'WK 48'!A:A,'WK 48'!C:C,"")</f>
        <v>CSR</v>
      </c>
      <c r="D33" s="7" t="str">
        <f t="array" ref="D33">_xlfn.XLOOKUP($A33,'WK 48'!$A:$A,'WK 48'!D:D,"")</f>
        <v>Production</v>
      </c>
      <c r="E33" s="8" t="str">
        <f t="array" ref="E33">_xlfn.XLOOKUP($A33,'WK 48'!$A:$A,'WK 48'!E:E,"")</f>
        <v>FT</v>
      </c>
      <c r="F33" s="9">
        <f t="array" ref="F33">_xlfn.XLOOKUP($A33,'WK 48'!$A:$A,'WK 48'!F:F,"")</f>
        <v>3</v>
      </c>
      <c r="G33" s="8">
        <v>0.458333333332121</v>
      </c>
      <c r="H33" s="8">
        <v>0.833333333332121</v>
      </c>
      <c r="I33" s="8">
        <v>0.458333333332121</v>
      </c>
      <c r="J33" s="8">
        <v>0.833333333332121</v>
      </c>
      <c r="K33" s="8">
        <v>0.458333333332121</v>
      </c>
      <c r="L33" s="8">
        <v>0.833333333332121</v>
      </c>
      <c r="M33" s="8">
        <v>0.458333333332121</v>
      </c>
      <c r="N33" s="8">
        <v>0.833333333332121</v>
      </c>
      <c r="O33" s="8">
        <v>0.458333333332121</v>
      </c>
      <c r="P33" s="8">
        <v>0.833333333332121</v>
      </c>
      <c r="Q33" s="7" t="s">
        <v>23</v>
      </c>
      <c r="R33" s="7" t="s">
        <v>23</v>
      </c>
      <c r="S33" s="7" t="s">
        <v>23</v>
      </c>
      <c r="T33" s="7" t="s">
        <v>23</v>
      </c>
      <c r="U33" s="21">
        <f>IFERROR(__xludf.DUMMYFUNCTION("TO_PURE_NUMBER(SUM(FILTER(G33:T33, ISEVEN(COLUMN(G33:T33))))-SUM(FILTER(G33:T33, ISODD(COLUMN(G33:T33)))))*24"),45)</f>
        <v>45</v>
      </c>
    </row>
    <row r="34" customHeight="1" spans="1:21">
      <c r="A34" s="7">
        <v>10320436</v>
      </c>
      <c r="B34" s="7" t="s">
        <v>90</v>
      </c>
      <c r="C34" s="7" t="str">
        <f t="array" ref="C34">_xlfn.XLOOKUP($A34,'WK 48'!A:A,'WK 48'!C:C,"")</f>
        <v>CSR</v>
      </c>
      <c r="D34" s="7" t="str">
        <f t="array" ref="D34">_xlfn.XLOOKUP($A34,'WK 48'!$A:$A,'WK 48'!D:D,"")</f>
        <v>Production</v>
      </c>
      <c r="E34" s="8" t="str">
        <f t="array" ref="E34">_xlfn.XLOOKUP($A34,'WK 48'!$A:$A,'WK 48'!E:E,"")</f>
        <v>FT</v>
      </c>
      <c r="F34" s="9">
        <f t="array" ref="F34">_xlfn.XLOOKUP($A34,'WK 48'!$A:$A,'WK 48'!F:F,"")</f>
        <v>3</v>
      </c>
      <c r="G34" s="8">
        <v>0.458333333332121</v>
      </c>
      <c r="H34" s="8">
        <v>0.875</v>
      </c>
      <c r="I34" s="8">
        <v>0.458333333332121</v>
      </c>
      <c r="J34" s="8">
        <v>0.875</v>
      </c>
      <c r="K34" s="8">
        <v>0.458333333332121</v>
      </c>
      <c r="L34" s="8">
        <v>0.875</v>
      </c>
      <c r="M34" s="8">
        <v>0.458333333332121</v>
      </c>
      <c r="N34" s="8">
        <v>0.875</v>
      </c>
      <c r="O34" s="7" t="s">
        <v>23</v>
      </c>
      <c r="P34" s="7" t="s">
        <v>23</v>
      </c>
      <c r="Q34" s="7" t="s">
        <v>23</v>
      </c>
      <c r="R34" s="7" t="s">
        <v>23</v>
      </c>
      <c r="S34" s="8">
        <v>0.458333333332121</v>
      </c>
      <c r="T34" s="8">
        <v>0.666666666667879</v>
      </c>
      <c r="U34" s="21">
        <f>IFERROR(__xludf.DUMMYFUNCTION("TO_PURE_NUMBER(SUM(FILTER(G34:T34, ISEVEN(COLUMN(G34:T34))))-SUM(FILTER(G34:T34, ISODD(COLUMN(G34:T34)))))*24"),45.0000000001746)</f>
        <v>45.0000000001746</v>
      </c>
    </row>
    <row r="35" hidden="1" customHeight="1" spans="1:21">
      <c r="A35" s="7">
        <v>10316538</v>
      </c>
      <c r="B35" s="7" t="s">
        <v>44</v>
      </c>
      <c r="C35" s="7" t="str">
        <f t="array" ref="C35">_xlfn.XLOOKUP($A35,'WK 48'!A:A,'WK 48'!C:C,"")</f>
        <v>CSR</v>
      </c>
      <c r="D35" s="7" t="str">
        <f t="array" ref="D35">_xlfn.XLOOKUP($A35,'WK 48'!$A:$A,'WK 48'!D:D,"")</f>
        <v>Production</v>
      </c>
      <c r="E35" s="8" t="str">
        <f t="array" ref="E35">_xlfn.XLOOKUP($A35,'WK 48'!$A:$A,'WK 48'!E:E,"")</f>
        <v>FT</v>
      </c>
      <c r="F35" s="9">
        <f t="array" ref="F35">_xlfn.XLOOKUP($A35,'WK 48'!$A:$A,'WK 48'!F:F,"")</f>
        <v>1</v>
      </c>
      <c r="G35" s="8">
        <v>0.375</v>
      </c>
      <c r="H35" s="8">
        <v>0.75</v>
      </c>
      <c r="I35" s="7" t="s">
        <v>23</v>
      </c>
      <c r="J35" s="7" t="s">
        <v>23</v>
      </c>
      <c r="K35" s="7" t="s">
        <v>23</v>
      </c>
      <c r="L35" s="7" t="s">
        <v>23</v>
      </c>
      <c r="M35" s="8">
        <v>0.375</v>
      </c>
      <c r="N35" s="8">
        <v>0.75</v>
      </c>
      <c r="O35" s="8">
        <v>0.375</v>
      </c>
      <c r="P35" s="8">
        <v>0.75</v>
      </c>
      <c r="Q35" s="8">
        <v>0.458333333332121</v>
      </c>
      <c r="R35" s="8">
        <v>0.666666666667879</v>
      </c>
      <c r="S35" s="8">
        <v>0.458333333332121</v>
      </c>
      <c r="T35" s="8">
        <v>0.666666666667879</v>
      </c>
      <c r="U35" s="21">
        <f>IFERROR(__xludf.DUMMYFUNCTION("TO_PURE_NUMBER(SUM(FILTER(G35:T35, ISEVEN(COLUMN(G35:T35))))-SUM(FILTER(G35:T35, ISODD(COLUMN(G35:T35)))))*24"),37.0000000001164)</f>
        <v>37.0000000001164</v>
      </c>
    </row>
    <row r="36" customHeight="1" spans="1:21">
      <c r="A36" s="7">
        <v>10293607</v>
      </c>
      <c r="B36" s="7" t="s">
        <v>65</v>
      </c>
      <c r="C36" s="7" t="str">
        <f t="array" ref="C36">_xlfn.XLOOKUP($A36,'WK 48'!A:A,'WK 48'!C:C,"")</f>
        <v>CSR</v>
      </c>
      <c r="D36" s="7" t="str">
        <f t="array" ref="D36">_xlfn.XLOOKUP($A36,'WK 48'!$A:$A,'WK 48'!D:D,"")</f>
        <v>Production</v>
      </c>
      <c r="E36" s="8" t="str">
        <f t="array" ref="E36">_xlfn.XLOOKUP($A36,'WK 48'!$A:$A,'WK 48'!E:E,"")</f>
        <v>FT</v>
      </c>
      <c r="F36" s="9">
        <f t="array" ref="F36">_xlfn.XLOOKUP($A36,'WK 48'!$A:$A,'WK 48'!F:F,"")</f>
        <v>3</v>
      </c>
      <c r="G36" s="8">
        <v>0.375</v>
      </c>
      <c r="H36" s="8">
        <v>0.75</v>
      </c>
      <c r="I36" s="8">
        <v>0.375</v>
      </c>
      <c r="J36" s="8">
        <v>0.75</v>
      </c>
      <c r="K36" s="8">
        <v>0.375</v>
      </c>
      <c r="L36" s="8">
        <v>0.75</v>
      </c>
      <c r="M36" s="8">
        <v>0.375</v>
      </c>
      <c r="N36" s="8">
        <v>0.75</v>
      </c>
      <c r="O36" s="8">
        <v>0.375</v>
      </c>
      <c r="P36" s="8">
        <v>0.75</v>
      </c>
      <c r="Q36" s="7" t="s">
        <v>23</v>
      </c>
      <c r="R36" s="7" t="s">
        <v>23</v>
      </c>
      <c r="S36" s="7" t="s">
        <v>23</v>
      </c>
      <c r="T36" s="7" t="s">
        <v>23</v>
      </c>
      <c r="U36" s="21">
        <f>IFERROR(__xludf.DUMMYFUNCTION("TO_PURE_NUMBER(SUM(FILTER(G36:T36, ISEVEN(COLUMN(G36:T36))))-SUM(FILTER(G36:T36, ISODD(COLUMN(G36:T36)))))*24"),45)</f>
        <v>45</v>
      </c>
    </row>
    <row r="37" customHeight="1" spans="1:21">
      <c r="A37" s="7">
        <v>10316545</v>
      </c>
      <c r="B37" s="7" t="s">
        <v>45</v>
      </c>
      <c r="C37" s="7" t="str">
        <f t="array" ref="C37">_xlfn.XLOOKUP($A37,'WK 48'!A:A,'WK 48'!C:C,"")</f>
        <v>CSR</v>
      </c>
      <c r="D37" s="7" t="str">
        <f t="array" ref="D37">_xlfn.XLOOKUP($A37,'WK 48'!$A:$A,'WK 48'!D:D,"")</f>
        <v>Production</v>
      </c>
      <c r="E37" s="8" t="str">
        <f t="array" ref="E37">_xlfn.XLOOKUP($A37,'WK 48'!$A:$A,'WK 48'!E:E,"")</f>
        <v>FT</v>
      </c>
      <c r="F37" s="9">
        <f t="array" ref="F37">_xlfn.XLOOKUP($A37,'WK 48'!$A:$A,'WK 48'!F:F,"")</f>
        <v>1</v>
      </c>
      <c r="G37" s="8">
        <v>0.5</v>
      </c>
      <c r="H37" s="8">
        <v>0.875</v>
      </c>
      <c r="I37" s="8">
        <v>0.5</v>
      </c>
      <c r="J37" s="8">
        <v>0.875</v>
      </c>
      <c r="K37" s="8">
        <v>0.5</v>
      </c>
      <c r="L37" s="8">
        <v>0.875</v>
      </c>
      <c r="M37" s="8">
        <v>0.5</v>
      </c>
      <c r="N37" s="8">
        <v>0.875</v>
      </c>
      <c r="O37" s="8">
        <v>0.5</v>
      </c>
      <c r="P37" s="8">
        <v>0.875</v>
      </c>
      <c r="Q37" s="7" t="s">
        <v>23</v>
      </c>
      <c r="R37" s="7" t="s">
        <v>23</v>
      </c>
      <c r="S37" s="7" t="s">
        <v>23</v>
      </c>
      <c r="T37" s="7" t="s">
        <v>23</v>
      </c>
      <c r="U37" s="21">
        <f>IFERROR(__xludf.DUMMYFUNCTION("TO_PURE_NUMBER(SUM(FILTER(G37:T37, ISEVEN(COLUMN(G37:T37))))-SUM(FILTER(G37:T37, ISODD(COLUMN(G37:T37)))))*24"),45)</f>
        <v>45</v>
      </c>
    </row>
    <row r="38" customHeight="1" spans="1:21">
      <c r="A38" s="7">
        <v>10316572</v>
      </c>
      <c r="B38" s="7" t="s">
        <v>46</v>
      </c>
      <c r="C38" s="7" t="str">
        <f t="array" ref="C38">_xlfn.XLOOKUP($A38,'WK 48'!A:A,'WK 48'!C:C,"")</f>
        <v>CSR</v>
      </c>
      <c r="D38" s="7" t="str">
        <f t="array" ref="D38">_xlfn.XLOOKUP($A38,'WK 48'!$A:$A,'WK 48'!D:D,"")</f>
        <v>Production</v>
      </c>
      <c r="E38" s="8" t="str">
        <f t="array" ref="E38">_xlfn.XLOOKUP($A38,'WK 48'!$A:$A,'WK 48'!E:E,"")</f>
        <v>FT</v>
      </c>
      <c r="F38" s="9">
        <f t="array" ref="F38">_xlfn.XLOOKUP($A38,'WK 48'!$A:$A,'WK 48'!F:F,"")</f>
        <v>2</v>
      </c>
      <c r="G38" s="8">
        <v>0.333333333332121</v>
      </c>
      <c r="H38" s="8">
        <v>0.75</v>
      </c>
      <c r="I38" s="8">
        <v>0.375</v>
      </c>
      <c r="J38" s="8">
        <v>0.791666666667879</v>
      </c>
      <c r="K38" s="8">
        <v>0.375</v>
      </c>
      <c r="L38" s="8">
        <v>0.791666666667879</v>
      </c>
      <c r="M38" s="8">
        <v>0.375</v>
      </c>
      <c r="N38" s="8">
        <v>0.791666666667879</v>
      </c>
      <c r="O38" s="7" t="s">
        <v>23</v>
      </c>
      <c r="P38" s="7" t="s">
        <v>23</v>
      </c>
      <c r="Q38" s="7" t="s">
        <v>23</v>
      </c>
      <c r="R38" s="7" t="s">
        <v>23</v>
      </c>
      <c r="S38" s="8">
        <v>0.416666666667879</v>
      </c>
      <c r="T38" s="8">
        <v>0.625</v>
      </c>
      <c r="U38" s="21">
        <f>IFERROR(__xludf.DUMMYFUNCTION("TO_PURE_NUMBER(SUM(FILTER(G38:T38, ISEVEN(COLUMN(G38:T38))))-SUM(FILTER(G38:T38, ISODD(COLUMN(G38:T38)))))*24"),45.0000000000873)</f>
        <v>45.0000000000873</v>
      </c>
    </row>
    <row r="39" hidden="1" customHeight="1" spans="1:21">
      <c r="A39" s="7">
        <v>10316685</v>
      </c>
      <c r="B39" s="7" t="s">
        <v>47</v>
      </c>
      <c r="C39" s="7" t="str">
        <f t="array" ref="C39">_xlfn.XLOOKUP($A39,'WK 48'!A:A,'WK 48'!C:C,"")</f>
        <v>Esc Mgr</v>
      </c>
      <c r="D39" s="7" t="str">
        <f t="array" ref="D39">_xlfn.XLOOKUP($A39,'WK 48'!$A:$A,'WK 48'!D:D,"")</f>
        <v>Production</v>
      </c>
      <c r="E39" s="8" t="str">
        <f t="array" ref="E39">_xlfn.XLOOKUP($A39,'WK 48'!$A:$A,'WK 48'!E:E,"")</f>
        <v>FT</v>
      </c>
      <c r="F39" s="9">
        <f t="array" ref="F39">_xlfn.XLOOKUP($A39,'WK 48'!$A:$A,'WK 48'!F:F,"")</f>
        <v>1</v>
      </c>
      <c r="G39" s="8">
        <v>0.375</v>
      </c>
      <c r="H39" s="8">
        <v>0.75</v>
      </c>
      <c r="I39" s="8">
        <v>0.375</v>
      </c>
      <c r="J39" s="8">
        <v>0.75</v>
      </c>
      <c r="K39" s="8">
        <v>0.375</v>
      </c>
      <c r="L39" s="8">
        <v>0.75</v>
      </c>
      <c r="M39" s="8">
        <v>0.375</v>
      </c>
      <c r="N39" s="8">
        <v>0.75</v>
      </c>
      <c r="O39" s="8">
        <v>0.375</v>
      </c>
      <c r="P39" s="8">
        <v>0.75</v>
      </c>
      <c r="Q39" s="7" t="s">
        <v>23</v>
      </c>
      <c r="R39" s="7" t="s">
        <v>23</v>
      </c>
      <c r="S39" s="7" t="s">
        <v>23</v>
      </c>
      <c r="T39" s="7" t="s">
        <v>23</v>
      </c>
      <c r="U39" s="21">
        <f>IFERROR(__xludf.DUMMYFUNCTION("TO_PURE_NUMBER(SUM(FILTER(G39:T39, ISEVEN(COLUMN(G39:T39))))-SUM(FILTER(G39:T39, ISODD(COLUMN(G39:T39)))))*24"),45)</f>
        <v>45</v>
      </c>
    </row>
    <row r="40" customHeight="1" spans="1:21">
      <c r="A40" s="7">
        <v>10274446</v>
      </c>
      <c r="B40" s="7" t="s">
        <v>88</v>
      </c>
      <c r="C40" s="7" t="str">
        <f t="array" ref="C40">_xlfn.XLOOKUP($A40,'WK 48'!A:A,'WK 48'!C:C,"")</f>
        <v>CSR</v>
      </c>
      <c r="D40" s="7" t="str">
        <f t="array" ref="D40">_xlfn.XLOOKUP($A40,'WK 48'!$A:$A,'WK 48'!D:D,"")</f>
        <v>Production</v>
      </c>
      <c r="E40" s="8" t="str">
        <f t="array" ref="E40">_xlfn.XLOOKUP($A40,'WK 48'!$A:$A,'WK 48'!E:E,"")</f>
        <v>FT</v>
      </c>
      <c r="F40" s="9">
        <f t="array" ref="F40">_xlfn.XLOOKUP($A40,'WK 48'!$A:$A,'WK 48'!F:F,"")</f>
        <v>2</v>
      </c>
      <c r="G40" s="8">
        <v>0.5</v>
      </c>
      <c r="H40" s="8">
        <v>0.875</v>
      </c>
      <c r="I40" s="8">
        <v>0.5</v>
      </c>
      <c r="J40" s="8">
        <v>0.875</v>
      </c>
      <c r="K40" s="171" t="s">
        <v>36</v>
      </c>
      <c r="L40" s="171" t="s">
        <v>36</v>
      </c>
      <c r="M40" s="7" t="s">
        <v>23</v>
      </c>
      <c r="N40" s="7" t="s">
        <v>23</v>
      </c>
      <c r="O40" s="7" t="s">
        <v>23</v>
      </c>
      <c r="P40" s="7" t="s">
        <v>23</v>
      </c>
      <c r="Q40" s="171" t="s">
        <v>36</v>
      </c>
      <c r="R40" s="171" t="s">
        <v>36</v>
      </c>
      <c r="S40" s="171" t="s">
        <v>36</v>
      </c>
      <c r="T40" s="171" t="s">
        <v>36</v>
      </c>
      <c r="U40" s="21">
        <f>IFERROR(__xludf.DUMMYFUNCTION("TO_PURE_NUMBER(SUM(FILTER(G40:T40, ISEVEN(COLUMN(G40:T40))))-SUM(FILTER(G40:T40, ISODD(COLUMN(G40:T40)))))*24"),18)</f>
        <v>18</v>
      </c>
    </row>
    <row r="41" customHeight="1" spans="1:21">
      <c r="A41" s="7">
        <v>10276839</v>
      </c>
      <c r="B41" s="7" t="s">
        <v>54</v>
      </c>
      <c r="C41" s="7" t="str">
        <f t="array" ref="C41">_xlfn.XLOOKUP($A41,'WK 48'!A:A,'WK 48'!C:C,"")</f>
        <v>CSR</v>
      </c>
      <c r="D41" s="7" t="str">
        <f t="array" ref="D41">_xlfn.XLOOKUP($A41,'WK 48'!$A:$A,'WK 48'!D:D,"")</f>
        <v>Production</v>
      </c>
      <c r="E41" s="8" t="str">
        <f t="array" ref="E41">_xlfn.XLOOKUP($A41,'WK 48'!$A:$A,'WK 48'!E:E,"")</f>
        <v>FT</v>
      </c>
      <c r="F41" s="9">
        <f t="array" ref="F41">_xlfn.XLOOKUP($A41,'WK 48'!$A:$A,'WK 48'!F:F,"")</f>
        <v>2</v>
      </c>
      <c r="G41" s="8">
        <v>0.5</v>
      </c>
      <c r="H41" s="8">
        <v>0.875</v>
      </c>
      <c r="I41" s="8">
        <v>0.5</v>
      </c>
      <c r="J41" s="8">
        <v>0.875</v>
      </c>
      <c r="K41" s="8">
        <v>0.5</v>
      </c>
      <c r="L41" s="8">
        <v>0.875</v>
      </c>
      <c r="M41" s="8">
        <v>0.5</v>
      </c>
      <c r="N41" s="8">
        <v>0.875</v>
      </c>
      <c r="O41" s="8">
        <v>0.5</v>
      </c>
      <c r="P41" s="8">
        <v>0.875</v>
      </c>
      <c r="Q41" s="7" t="s">
        <v>23</v>
      </c>
      <c r="R41" s="7" t="s">
        <v>23</v>
      </c>
      <c r="S41" s="7" t="s">
        <v>23</v>
      </c>
      <c r="T41" s="7" t="s">
        <v>23</v>
      </c>
      <c r="U41" s="21">
        <f>IFERROR(__xludf.DUMMYFUNCTION("TO_PURE_NUMBER(SUM(FILTER(G41:T41, ISEVEN(COLUMN(G41:T41))))-SUM(FILTER(G41:T41, ISODD(COLUMN(G41:T41)))))*24"),45)</f>
        <v>45</v>
      </c>
    </row>
    <row r="42" customHeight="1" spans="1:21">
      <c r="A42" s="7">
        <v>10320419</v>
      </c>
      <c r="B42" s="7" t="s">
        <v>69</v>
      </c>
      <c r="C42" s="7" t="str">
        <f t="array" ref="C42">_xlfn.XLOOKUP($A42,'WK 48'!A:A,'WK 48'!C:C,"")</f>
        <v>CSR</v>
      </c>
      <c r="D42" s="7" t="str">
        <f t="array" ref="D42">_xlfn.XLOOKUP($A42,'WK 48'!$A:$A,'WK 48'!D:D,"")</f>
        <v>Production</v>
      </c>
      <c r="E42" s="8" t="str">
        <f t="array" ref="E42">_xlfn.XLOOKUP($A42,'WK 48'!$A:$A,'WK 48'!E:E,"")</f>
        <v>FT</v>
      </c>
      <c r="F42" s="9">
        <f t="array" ref="F42">_xlfn.XLOOKUP($A42,'WK 48'!$A:$A,'WK 48'!F:F,"")</f>
        <v>3</v>
      </c>
      <c r="G42" s="7" t="s">
        <v>23</v>
      </c>
      <c r="H42" s="7" t="s">
        <v>23</v>
      </c>
      <c r="I42" s="8">
        <v>0.458333333332121</v>
      </c>
      <c r="J42" s="8">
        <v>0.875</v>
      </c>
      <c r="K42" s="8">
        <v>0.458333333332121</v>
      </c>
      <c r="L42" s="8">
        <v>0.875</v>
      </c>
      <c r="M42" s="8">
        <v>0.458333333332121</v>
      </c>
      <c r="N42" s="8">
        <v>0.875</v>
      </c>
      <c r="O42" s="8">
        <v>0.458333333332121</v>
      </c>
      <c r="P42" s="8">
        <v>0.875</v>
      </c>
      <c r="Q42" s="8">
        <v>0.458333333332121</v>
      </c>
      <c r="R42" s="8">
        <v>0.666666666667879</v>
      </c>
      <c r="S42" s="7" t="s">
        <v>23</v>
      </c>
      <c r="T42" s="7" t="s">
        <v>23</v>
      </c>
      <c r="U42" s="21">
        <f>IFERROR(__xludf.DUMMYFUNCTION("TO_PURE_NUMBER(SUM(FILTER(G42:T42, ISEVEN(COLUMN(G42:T42))))-SUM(FILTER(G42:T42, ISODD(COLUMN(G42:T42)))))*24"),45.0000000001746)</f>
        <v>45.0000000001746</v>
      </c>
    </row>
    <row r="43" customHeight="1" spans="1:21">
      <c r="A43" s="7">
        <v>10316546</v>
      </c>
      <c r="B43" s="7" t="s">
        <v>49</v>
      </c>
      <c r="C43" s="7" t="str">
        <f t="array" ref="C43">_xlfn.XLOOKUP($A43,'WK 48'!A:A,'WK 48'!C:C,"")</f>
        <v>CSR</v>
      </c>
      <c r="D43" s="7" t="str">
        <f t="array" ref="D43">_xlfn.XLOOKUP($A43,'WK 48'!$A:$A,'WK 48'!D:D,"")</f>
        <v>Production</v>
      </c>
      <c r="E43" s="8" t="str">
        <f t="array" ref="E43">_xlfn.XLOOKUP($A43,'WK 48'!$A:$A,'WK 48'!E:E,"")</f>
        <v>FT</v>
      </c>
      <c r="F43" s="9">
        <f t="array" ref="F43">_xlfn.XLOOKUP($A43,'WK 48'!$A:$A,'WK 48'!F:F,"")</f>
        <v>1</v>
      </c>
      <c r="G43" s="8">
        <v>0.375</v>
      </c>
      <c r="H43" s="8">
        <v>0.75</v>
      </c>
      <c r="I43" s="8">
        <v>0.375</v>
      </c>
      <c r="J43" s="8">
        <v>0.75</v>
      </c>
      <c r="K43" s="8">
        <v>0.375</v>
      </c>
      <c r="L43" s="8">
        <v>0.75</v>
      </c>
      <c r="M43" s="7" t="s">
        <v>23</v>
      </c>
      <c r="N43" s="7" t="s">
        <v>23</v>
      </c>
      <c r="O43" s="7" t="s">
        <v>23</v>
      </c>
      <c r="P43" s="7" t="s">
        <v>23</v>
      </c>
      <c r="Q43" s="8">
        <v>0.458333333332121</v>
      </c>
      <c r="R43" s="8">
        <v>0.666666666667879</v>
      </c>
      <c r="S43" s="8">
        <v>0.458333333332121</v>
      </c>
      <c r="T43" s="8">
        <v>0.666666666667879</v>
      </c>
      <c r="U43" s="21">
        <f>IFERROR(__xludf.DUMMYFUNCTION("TO_PURE_NUMBER(SUM(FILTER(G43:T43, ISEVEN(COLUMN(G43:T43))))-SUM(FILTER(G43:T43, ISODD(COLUMN(G43:T43)))))*24"),37.0000000001164)</f>
        <v>37.0000000001164</v>
      </c>
    </row>
    <row r="44" customHeight="1" spans="1:21">
      <c r="A44" s="7">
        <v>10316551</v>
      </c>
      <c r="B44" s="7" t="s">
        <v>87</v>
      </c>
      <c r="C44" s="7" t="str">
        <f t="array" ref="C44">_xlfn.XLOOKUP($A44,'WK 48'!A:A,'WK 48'!C:C,"")</f>
        <v>CSR</v>
      </c>
      <c r="D44" s="7" t="str">
        <f t="array" ref="D44">_xlfn.XLOOKUP($A44,'WK 48'!$A:$A,'WK 48'!D:D,"")</f>
        <v>Production</v>
      </c>
      <c r="E44" s="8" t="str">
        <f t="array" ref="E44">_xlfn.XLOOKUP($A44,'WK 48'!$A:$A,'WK 48'!E:E,"")</f>
        <v>FT</v>
      </c>
      <c r="F44" s="9">
        <f t="array" ref="F44">_xlfn.XLOOKUP($A44,'WK 48'!$A:$A,'WK 48'!F:F,"")</f>
        <v>1</v>
      </c>
      <c r="G44" s="8">
        <v>0.375</v>
      </c>
      <c r="H44" s="8">
        <v>0.75</v>
      </c>
      <c r="I44" s="8">
        <v>0.375</v>
      </c>
      <c r="J44" s="8">
        <v>0.75</v>
      </c>
      <c r="K44" s="8">
        <v>0.375</v>
      </c>
      <c r="L44" s="8">
        <v>0.75</v>
      </c>
      <c r="M44" s="8">
        <v>0.375</v>
      </c>
      <c r="N44" s="8">
        <v>0.75</v>
      </c>
      <c r="O44" s="8">
        <v>0.375</v>
      </c>
      <c r="P44" s="8">
        <v>0.75</v>
      </c>
      <c r="Q44" s="7" t="s">
        <v>23</v>
      </c>
      <c r="R44" s="7" t="s">
        <v>23</v>
      </c>
      <c r="S44" s="7" t="s">
        <v>23</v>
      </c>
      <c r="T44" s="7" t="s">
        <v>23</v>
      </c>
      <c r="U44" s="21">
        <f>IFERROR(__xludf.DUMMYFUNCTION("TO_PURE_NUMBER(SUM(FILTER(G44:T44, ISEVEN(COLUMN(G44:T44))))-SUM(FILTER(G44:T44, ISODD(COLUMN(G44:T44)))))*24"),45)</f>
        <v>45</v>
      </c>
    </row>
    <row r="45" customHeight="1" spans="1:21">
      <c r="A45" s="7">
        <v>10320435</v>
      </c>
      <c r="B45" s="7" t="s">
        <v>71</v>
      </c>
      <c r="C45" s="7" t="str">
        <f t="array" ref="C45">_xlfn.XLOOKUP($A45,'WK 48'!A:A,'WK 48'!C:C,"")</f>
        <v>CSR</v>
      </c>
      <c r="D45" s="7" t="str">
        <f t="array" ref="D45">_xlfn.XLOOKUP($A45,'WK 48'!$A:$A,'WK 48'!D:D,"")</f>
        <v>Production</v>
      </c>
      <c r="E45" s="8" t="str">
        <f t="array" ref="E45">_xlfn.XLOOKUP($A45,'WK 48'!$A:$A,'WK 48'!E:E,"")</f>
        <v>FT</v>
      </c>
      <c r="F45" s="9">
        <f t="array" ref="F45">_xlfn.XLOOKUP($A45,'WK 48'!$A:$A,'WK 48'!F:F,"")</f>
        <v>3</v>
      </c>
      <c r="G45" s="8">
        <v>0.375</v>
      </c>
      <c r="H45" s="8">
        <v>0.75</v>
      </c>
      <c r="I45" s="8">
        <v>0.375</v>
      </c>
      <c r="J45" s="8">
        <v>0.75</v>
      </c>
      <c r="K45" s="8">
        <v>0.375</v>
      </c>
      <c r="L45" s="8">
        <v>0.75</v>
      </c>
      <c r="M45" s="8">
        <v>0.375</v>
      </c>
      <c r="N45" s="8">
        <v>0.75</v>
      </c>
      <c r="O45" s="8">
        <v>0.375</v>
      </c>
      <c r="P45" s="8">
        <v>0.75</v>
      </c>
      <c r="Q45" s="7" t="s">
        <v>23</v>
      </c>
      <c r="R45" s="7" t="s">
        <v>23</v>
      </c>
      <c r="S45" s="7" t="s">
        <v>23</v>
      </c>
      <c r="T45" s="7" t="s">
        <v>23</v>
      </c>
      <c r="U45" s="21">
        <f>IFERROR(__xludf.DUMMYFUNCTION("TO_PURE_NUMBER(SUM(FILTER(G45:T45, ISEVEN(COLUMN(G45:T45))))-SUM(FILTER(G45:T45, ISODD(COLUMN(G45:T45)))))*24"),45)</f>
        <v>45</v>
      </c>
    </row>
    <row r="46" customHeight="1" spans="1:21">
      <c r="A46" s="7">
        <v>10316683</v>
      </c>
      <c r="B46" s="7" t="s">
        <v>51</v>
      </c>
      <c r="C46" s="7" t="str">
        <f t="array" ref="C46">_xlfn.XLOOKUP($A46,'WK 48'!A:A,'WK 48'!C:C,"")</f>
        <v>CSR</v>
      </c>
      <c r="D46" s="7" t="str">
        <f t="array" ref="D46">_xlfn.XLOOKUP($A46,'WK 48'!$A:$A,'WK 48'!D:D,"")</f>
        <v>Production</v>
      </c>
      <c r="E46" s="8" t="str">
        <f t="array" ref="E46">_xlfn.XLOOKUP($A46,'WK 48'!$A:$A,'WK 48'!E:E,"")</f>
        <v>FT</v>
      </c>
      <c r="F46" s="9">
        <f t="array" ref="F46">_xlfn.XLOOKUP($A46,'WK 48'!$A:$A,'WK 48'!F:F,"")</f>
        <v>1</v>
      </c>
      <c r="G46" s="8">
        <v>0.5</v>
      </c>
      <c r="H46" s="8">
        <v>0.875</v>
      </c>
      <c r="I46" s="8">
        <v>0.5</v>
      </c>
      <c r="J46" s="8">
        <v>0.875</v>
      </c>
      <c r="K46" s="8">
        <v>0.5</v>
      </c>
      <c r="L46" s="8">
        <v>0.875</v>
      </c>
      <c r="M46" s="8">
        <v>0.5</v>
      </c>
      <c r="N46" s="8">
        <v>0.875</v>
      </c>
      <c r="O46" s="8">
        <v>0.5</v>
      </c>
      <c r="P46" s="8">
        <v>0.875</v>
      </c>
      <c r="Q46" s="7" t="s">
        <v>23</v>
      </c>
      <c r="R46" s="7" t="s">
        <v>23</v>
      </c>
      <c r="S46" s="7" t="s">
        <v>23</v>
      </c>
      <c r="T46" s="7" t="s">
        <v>23</v>
      </c>
      <c r="U46" s="21">
        <f>IFERROR(__xludf.DUMMYFUNCTION("TO_PURE_NUMBER(SUM(FILTER(G46:T46, ISEVEN(COLUMN(G46:T46))))-SUM(FILTER(G46:T46, ISODD(COLUMN(G46:T46)))))*24"),45)</f>
        <v>45</v>
      </c>
    </row>
    <row r="47" hidden="1" customHeight="1" spans="1:21">
      <c r="A47" s="7">
        <v>10316540</v>
      </c>
      <c r="B47" s="7" t="s">
        <v>30</v>
      </c>
      <c r="C47" s="7" t="str">
        <f t="array" ref="C47">_xlfn.XLOOKUP($A47,'WK 48'!A:A,'WK 48'!C:C,"")</f>
        <v>CSR</v>
      </c>
      <c r="D47" s="7" t="str">
        <f t="array" ref="D47">_xlfn.XLOOKUP($A47,'WK 48'!$A:$A,'WK 48'!D:D,"")</f>
        <v>B2B</v>
      </c>
      <c r="E47" s="8" t="str">
        <f t="array" ref="E47">_xlfn.XLOOKUP($A47,'WK 48'!$A:$A,'WK 48'!E:E,"")</f>
        <v>FT</v>
      </c>
      <c r="F47" s="9">
        <f t="array" ref="F47">_xlfn.XLOOKUP($A47,'WK 48'!$A:$A,'WK 48'!F:F,"")</f>
        <v>1</v>
      </c>
      <c r="G47" s="8">
        <v>0.375</v>
      </c>
      <c r="H47" s="8">
        <v>0.75</v>
      </c>
      <c r="I47" s="8">
        <v>0.375</v>
      </c>
      <c r="J47" s="8">
        <v>0.75</v>
      </c>
      <c r="K47" s="8">
        <v>0.375</v>
      </c>
      <c r="L47" s="8">
        <v>0.75</v>
      </c>
      <c r="M47" s="8">
        <v>0.375</v>
      </c>
      <c r="N47" s="8">
        <v>0.75</v>
      </c>
      <c r="O47" s="8">
        <v>0.375</v>
      </c>
      <c r="P47" s="8">
        <v>0.75</v>
      </c>
      <c r="Q47" s="7" t="s">
        <v>23</v>
      </c>
      <c r="R47" s="7" t="s">
        <v>23</v>
      </c>
      <c r="S47" s="7" t="s">
        <v>23</v>
      </c>
      <c r="T47" s="7" t="s">
        <v>23</v>
      </c>
      <c r="U47" s="21">
        <f>IFERROR(__xludf.DUMMYFUNCTION("TO_PURE_NUMBER(SUM(FILTER(G47:T47, ISEVEN(COLUMN(G47:T47))))-SUM(FILTER(G47:T47, ISODD(COLUMN(G47:T47)))))*24"),45)</f>
        <v>45</v>
      </c>
    </row>
    <row r="48" customHeight="1" spans="1:21">
      <c r="A48" s="7">
        <v>10293627</v>
      </c>
      <c r="B48" s="7" t="s">
        <v>92</v>
      </c>
      <c r="C48" s="7" t="str">
        <f t="array" ref="C48">_xlfn.XLOOKUP($A48,'WK 48'!A:A,'WK 48'!C:C,"")</f>
        <v>CSR</v>
      </c>
      <c r="D48" s="7" t="str">
        <f t="array" ref="D48">_xlfn.XLOOKUP($A48,'WK 48'!$A:$A,'WK 48'!D:D,"")</f>
        <v>Production</v>
      </c>
      <c r="E48" s="8" t="str">
        <f t="array" ref="E48">_xlfn.XLOOKUP($A48,'WK 48'!$A:$A,'WK 48'!E:E,"")</f>
        <v>FT</v>
      </c>
      <c r="F48" s="9">
        <f t="array" ref="F48">_xlfn.XLOOKUP($A48,'WK 48'!$A:$A,'WK 48'!F:F,"")</f>
        <v>3</v>
      </c>
      <c r="G48" s="8">
        <v>0.5</v>
      </c>
      <c r="H48" s="8">
        <v>0.875</v>
      </c>
      <c r="I48" s="8">
        <v>0.5</v>
      </c>
      <c r="J48" s="8">
        <v>0.875</v>
      </c>
      <c r="K48" s="8">
        <v>0.5</v>
      </c>
      <c r="L48" s="8">
        <v>0.875</v>
      </c>
      <c r="M48" s="8">
        <v>0.5</v>
      </c>
      <c r="N48" s="8">
        <v>0.875</v>
      </c>
      <c r="O48" s="8">
        <v>0.5</v>
      </c>
      <c r="P48" s="8">
        <v>0.875</v>
      </c>
      <c r="Q48" s="7" t="s">
        <v>23</v>
      </c>
      <c r="R48" s="7" t="s">
        <v>23</v>
      </c>
      <c r="S48" s="7" t="s">
        <v>23</v>
      </c>
      <c r="T48" s="7" t="s">
        <v>23</v>
      </c>
      <c r="U48" s="21">
        <f>IFERROR(__xludf.DUMMYFUNCTION("TO_PURE_NUMBER(SUM(FILTER(G48:T48, ISEVEN(COLUMN(G48:T48))))-SUM(FILTER(G48:T48, ISODD(COLUMN(G48:T48)))))*24"),45)</f>
        <v>45</v>
      </c>
    </row>
    <row r="49" customHeight="1" spans="1:21">
      <c r="A49" s="7">
        <v>10320409</v>
      </c>
      <c r="B49" s="7" t="s">
        <v>57</v>
      </c>
      <c r="C49" s="7" t="str">
        <f t="array" ref="C49">_xlfn.XLOOKUP($A49,'WK 48'!A:A,'WK 48'!C:C,"")</f>
        <v>CSR</v>
      </c>
      <c r="D49" s="7" t="str">
        <f t="array" ref="D49">_xlfn.XLOOKUP($A49,'WK 48'!$A:$A,'WK 48'!D:D,"")</f>
        <v>Production</v>
      </c>
      <c r="E49" s="8" t="str">
        <f t="array" ref="E49">_xlfn.XLOOKUP($A49,'WK 48'!$A:$A,'WK 48'!E:E,"")</f>
        <v>FT</v>
      </c>
      <c r="F49" s="9">
        <f t="array" ref="F49">_xlfn.XLOOKUP($A49,'WK 48'!$A:$A,'WK 48'!F:F,"")</f>
        <v>3</v>
      </c>
      <c r="G49" s="8">
        <v>0.5</v>
      </c>
      <c r="H49" s="8">
        <v>0.875</v>
      </c>
      <c r="I49" s="8">
        <v>0.5</v>
      </c>
      <c r="J49" s="8">
        <v>0.875</v>
      </c>
      <c r="K49" s="8">
        <v>0.5</v>
      </c>
      <c r="L49" s="8">
        <v>0.875</v>
      </c>
      <c r="M49" s="7" t="s">
        <v>23</v>
      </c>
      <c r="N49" s="7" t="s">
        <v>23</v>
      </c>
      <c r="O49" s="7" t="s">
        <v>23</v>
      </c>
      <c r="P49" s="7" t="s">
        <v>23</v>
      </c>
      <c r="Q49" s="8">
        <v>0.458333333332121</v>
      </c>
      <c r="R49" s="8">
        <v>0.666666666667879</v>
      </c>
      <c r="S49" s="8">
        <v>0.458333333332121</v>
      </c>
      <c r="T49" s="8">
        <v>0.666666666667879</v>
      </c>
      <c r="U49" s="21">
        <f>IFERROR(__xludf.DUMMYFUNCTION("TO_PURE_NUMBER(SUM(FILTER(G49:T49, ISEVEN(COLUMN(G49:T49))))-SUM(FILTER(G49:T49, ISODD(COLUMN(G49:T49)))))*24"),37.0000000001164)</f>
        <v>37.0000000001164</v>
      </c>
    </row>
    <row r="50" hidden="1" customHeight="1" spans="1:21">
      <c r="A50" s="7">
        <v>10317151</v>
      </c>
      <c r="B50" s="7" t="s">
        <v>52</v>
      </c>
      <c r="C50" s="7" t="str">
        <f t="array" ref="C50">_xlfn.XLOOKUP($A50,'WK 48'!A:A,'WK 48'!C:C,"")</f>
        <v>CSR</v>
      </c>
      <c r="D50" s="7" t="str">
        <f t="array" ref="D50">_xlfn.XLOOKUP($A50,'WK 48'!$A:$A,'WK 48'!D:D,"")</f>
        <v>B2B</v>
      </c>
      <c r="E50" s="8" t="str">
        <f t="array" ref="E50">_xlfn.XLOOKUP($A50,'WK 48'!$A:$A,'WK 48'!E:E,"")</f>
        <v>FT</v>
      </c>
      <c r="F50" s="9">
        <f t="array" ref="F50">_xlfn.XLOOKUP($A50,'WK 48'!$A:$A,'WK 48'!F:F,"")</f>
        <v>1</v>
      </c>
      <c r="G50" s="8">
        <v>0.375</v>
      </c>
      <c r="H50" s="8">
        <v>0.75</v>
      </c>
      <c r="I50" s="8">
        <v>0.375</v>
      </c>
      <c r="J50" s="8">
        <v>0.75</v>
      </c>
      <c r="K50" s="8">
        <v>0.375</v>
      </c>
      <c r="L50" s="8">
        <v>0.75</v>
      </c>
      <c r="M50" s="8">
        <v>0.375</v>
      </c>
      <c r="N50" s="8">
        <v>0.75</v>
      </c>
      <c r="O50" s="8">
        <v>0.375</v>
      </c>
      <c r="P50" s="8">
        <v>0.75</v>
      </c>
      <c r="Q50" s="7" t="s">
        <v>23</v>
      </c>
      <c r="R50" s="7" t="s">
        <v>23</v>
      </c>
      <c r="S50" s="7" t="s">
        <v>23</v>
      </c>
      <c r="T50" s="7" t="s">
        <v>23</v>
      </c>
      <c r="U50" s="21">
        <f>IFERROR(__xludf.DUMMYFUNCTION("TO_PURE_NUMBER(SUM(FILTER(G50:T50, ISEVEN(COLUMN(G50:T50))))-SUM(FILTER(G50:T50, ISODD(COLUMN(G50:T50)))))*24"),45)</f>
        <v>45</v>
      </c>
    </row>
    <row r="51" customHeight="1" spans="1:21">
      <c r="A51" s="7">
        <v>10317524</v>
      </c>
      <c r="B51" s="7" t="s">
        <v>53</v>
      </c>
      <c r="C51" s="7" t="str">
        <f t="array" ref="C51">_xlfn.XLOOKUP($A51,'WK 48'!A:A,'WK 48'!C:C,"")</f>
        <v>CSR</v>
      </c>
      <c r="D51" s="7" t="str">
        <f t="array" ref="D51">_xlfn.XLOOKUP($A51,'WK 48'!$A:$A,'WK 48'!D:D,"")</f>
        <v>Production</v>
      </c>
      <c r="E51" s="8" t="str">
        <f t="array" ref="E51">_xlfn.XLOOKUP($A51,'WK 48'!$A:$A,'WK 48'!E:E,"")</f>
        <v>FT</v>
      </c>
      <c r="F51" s="9">
        <f t="array" ref="F51">_xlfn.XLOOKUP($A51,'WK 48'!$A:$A,'WK 48'!F:F,"")</f>
        <v>2</v>
      </c>
      <c r="G51" s="7" t="s">
        <v>23</v>
      </c>
      <c r="H51" s="7" t="s">
        <v>23</v>
      </c>
      <c r="I51" s="8">
        <v>0.375</v>
      </c>
      <c r="J51" s="8">
        <v>0.791666666667879</v>
      </c>
      <c r="K51" s="8">
        <v>0.375</v>
      </c>
      <c r="L51" s="8">
        <v>0.791666666667879</v>
      </c>
      <c r="M51" s="8">
        <v>0.375</v>
      </c>
      <c r="N51" s="8">
        <v>0.791666666667879</v>
      </c>
      <c r="O51" s="8">
        <v>0.375</v>
      </c>
      <c r="P51" s="8">
        <v>0.791666666667879</v>
      </c>
      <c r="Q51" s="8">
        <v>0.458333333332121</v>
      </c>
      <c r="R51" s="8">
        <v>0.666666666667879</v>
      </c>
      <c r="S51" s="7" t="s">
        <v>23</v>
      </c>
      <c r="T51" s="7" t="s">
        <v>23</v>
      </c>
      <c r="U51" s="21">
        <f>IFERROR(__xludf.DUMMYFUNCTION("TO_PURE_NUMBER(SUM(FILTER(G51:T51, ISEVEN(COLUMN(G51:T51))))-SUM(FILTER(G51:T51, ISODD(COLUMN(G51:T51)))))*24"),45.0000000001746)</f>
        <v>45.0000000001746</v>
      </c>
    </row>
    <row r="67" customHeight="1" spans="2:2">
      <c r="B67" s="172"/>
    </row>
  </sheetData>
  <autoFilter xmlns:etc="http://www.wps.cn/officeDocument/2017/etCustomData" ref="A3:U51" etc:filterBottomFollowUsedRange="0">
    <filterColumn colId="2">
      <customFilters>
        <customFilter operator="equal" val="CSR"/>
      </customFilters>
    </filterColumn>
    <filterColumn colId="3">
      <customFilters>
        <customFilter operator="equal" val="Production"/>
      </customFilters>
    </filterColumn>
    <filterColumn colId="8">
      <filters>
        <filter val="8:00"/>
        <filter val="9:00"/>
        <filter val="10:00"/>
        <filter val="11:00"/>
        <filter val="12:00"/>
        <filter val="16:00"/>
      </filters>
    </filterColumn>
    <extLst/>
  </autoFilter>
  <mergeCells count="14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</mergeCells>
  <conditionalFormatting sqref="A1:A1000">
    <cfRule type="expression" dxfId="1" priority="2">
      <formula>COUNTIF(A1:A51,A1:A51)&gt;1</formula>
    </cfRule>
  </conditionalFormatting>
  <conditionalFormatting sqref="G4:T51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61"/>
  <sheetViews>
    <sheetView workbookViewId="0">
      <selection activeCell="A1" sqref="A1"/>
    </sheetView>
  </sheetViews>
  <sheetFormatPr defaultColWidth="12.6272727272727" defaultRowHeight="15.75" customHeight="1"/>
  <cols>
    <col min="1" max="1" width="9.75454545454545" customWidth="1"/>
    <col min="2" max="2" width="24.7545454545455" customWidth="1"/>
    <col min="3" max="3" width="7.12727272727273" customWidth="1"/>
    <col min="4" max="4" width="9.5" customWidth="1"/>
    <col min="5" max="5" width="6.62727272727273" customWidth="1"/>
    <col min="6" max="6" width="13.3818181818182" customWidth="1"/>
    <col min="7" max="7" width="9.5" customWidth="1"/>
    <col min="8" max="8" width="9.38181818181818" customWidth="1"/>
    <col min="9" max="10" width="9.5" customWidth="1"/>
    <col min="11" max="11" width="9.38181818181818" customWidth="1"/>
    <col min="12" max="17" width="9.5" customWidth="1"/>
    <col min="18" max="18" width="8.38181818181818" customWidth="1"/>
    <col min="19" max="19" width="9.5" customWidth="1"/>
    <col min="20" max="20" width="7.62727272727273" customWidth="1"/>
    <col min="21" max="21" width="2.88181818181818" customWidth="1"/>
  </cols>
  <sheetData>
    <row r="1" customHeight="1" spans="1:21">
      <c r="A1" s="120"/>
      <c r="B1" s="120"/>
      <c r="C1" s="120"/>
      <c r="D1" s="120"/>
      <c r="E1" s="120"/>
      <c r="F1" s="120"/>
      <c r="G1" s="3">
        <v>45635</v>
      </c>
      <c r="H1" s="14"/>
      <c r="I1" s="3">
        <v>45636</v>
      </c>
      <c r="J1" s="14"/>
      <c r="K1" s="3">
        <v>45637</v>
      </c>
      <c r="L1" s="14"/>
      <c r="M1" s="3">
        <v>45638</v>
      </c>
      <c r="N1" s="14"/>
      <c r="O1" s="3">
        <v>45639</v>
      </c>
      <c r="P1" s="14"/>
      <c r="Q1" s="3">
        <v>45640</v>
      </c>
      <c r="R1" s="14"/>
      <c r="S1" s="3">
        <v>45641</v>
      </c>
      <c r="T1" s="14"/>
      <c r="U1" s="169"/>
    </row>
    <row r="2" customHeight="1" spans="1:21">
      <c r="A2" s="47"/>
      <c r="B2" s="47"/>
      <c r="C2" s="47"/>
      <c r="D2" s="47"/>
      <c r="E2" s="47"/>
      <c r="F2" s="120"/>
      <c r="G2" s="24" t="s">
        <v>6</v>
      </c>
      <c r="H2" s="14"/>
      <c r="I2" s="24" t="s">
        <v>7</v>
      </c>
      <c r="J2" s="14"/>
      <c r="K2" s="24" t="s">
        <v>8</v>
      </c>
      <c r="L2" s="14"/>
      <c r="M2" s="24" t="s">
        <v>9</v>
      </c>
      <c r="N2" s="14"/>
      <c r="O2" s="24" t="s">
        <v>10</v>
      </c>
      <c r="P2" s="14"/>
      <c r="Q2" s="24" t="s">
        <v>11</v>
      </c>
      <c r="R2" s="14"/>
      <c r="S2" s="24" t="s">
        <v>12</v>
      </c>
      <c r="T2" s="14"/>
      <c r="U2" s="169"/>
    </row>
    <row r="3" customHeight="1" spans="1:2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16" t="s">
        <v>80</v>
      </c>
      <c r="H3" s="16" t="s">
        <v>81</v>
      </c>
      <c r="I3" s="16" t="s">
        <v>80</v>
      </c>
      <c r="J3" s="16" t="s">
        <v>81</v>
      </c>
      <c r="K3" s="16" t="s">
        <v>80</v>
      </c>
      <c r="L3" s="16" t="s">
        <v>81</v>
      </c>
      <c r="M3" s="16" t="s">
        <v>80</v>
      </c>
      <c r="N3" s="16" t="s">
        <v>81</v>
      </c>
      <c r="O3" s="16" t="s">
        <v>80</v>
      </c>
      <c r="P3" s="16" t="s">
        <v>81</v>
      </c>
      <c r="Q3" s="16" t="s">
        <v>80</v>
      </c>
      <c r="R3" s="16" t="s">
        <v>81</v>
      </c>
      <c r="S3" s="16" t="s">
        <v>80</v>
      </c>
      <c r="T3" s="16" t="s">
        <v>81</v>
      </c>
      <c r="U3" s="170"/>
    </row>
    <row r="4" customHeight="1" spans="1:21">
      <c r="A4" s="7">
        <v>10320410</v>
      </c>
      <c r="B4" s="7" t="s">
        <v>58</v>
      </c>
      <c r="C4" s="7" t="str">
        <f t="array" ref="C4">_xlfn.XLOOKUP($A4,'WK 48'!$A:$A,'WK 48'!C:C,"")</f>
        <v>CSR</v>
      </c>
      <c r="D4" s="7" t="str">
        <f t="array" ref="D4">_xlfn.XLOOKUP($A4,'WK 48'!$A:$A,'WK 48'!D:D,"")</f>
        <v>Production</v>
      </c>
      <c r="E4" s="8" t="str">
        <f t="array" ref="E4">_xlfn.XLOOKUP($A4,'WK 48'!$A:$A,'WK 48'!E:E,"")</f>
        <v>FT</v>
      </c>
      <c r="F4" s="9">
        <f t="array" ref="F4">_xlfn.XLOOKUP($A4,'WK 48'!$A:$A,'WK 48'!F:F,"")</f>
        <v>3</v>
      </c>
      <c r="G4" s="8">
        <v>0.375</v>
      </c>
      <c r="H4" s="8">
        <v>0.75</v>
      </c>
      <c r="I4" s="8">
        <v>0.375</v>
      </c>
      <c r="J4" s="8">
        <v>0.75</v>
      </c>
      <c r="K4" s="8">
        <v>0.375</v>
      </c>
      <c r="L4" s="8">
        <v>0.75</v>
      </c>
      <c r="M4" s="8">
        <v>0.375</v>
      </c>
      <c r="N4" s="8">
        <v>0.75</v>
      </c>
      <c r="O4" s="8">
        <v>0.375</v>
      </c>
      <c r="P4" s="8">
        <v>0.75</v>
      </c>
      <c r="Q4" s="7" t="s">
        <v>23</v>
      </c>
      <c r="R4" s="7" t="s">
        <v>23</v>
      </c>
      <c r="S4" s="7" t="s">
        <v>23</v>
      </c>
      <c r="T4" s="7" t="s">
        <v>23</v>
      </c>
      <c r="U4" s="21">
        <f>IFERROR(__xludf.DUMMYFUNCTION("TO_PURE_NUMBER(SUM(FILTER(G4:T4, ISEVEN(COLUMN(G4:T4))))-SUM(FILTER(G4:T4, ISODD(COLUMN(G4:T4)))))*24"),45)</f>
        <v>45</v>
      </c>
    </row>
    <row r="5" customHeight="1" spans="1:21">
      <c r="A5" s="7">
        <v>10320415</v>
      </c>
      <c r="B5" s="7" t="s">
        <v>63</v>
      </c>
      <c r="C5" s="7" t="str">
        <f t="array" ref="C5">_xlfn.XLOOKUP($A5,'WK 48'!A:A,'WK 48'!C:C,"")</f>
        <v>CSR</v>
      </c>
      <c r="D5" s="7" t="str">
        <f t="array" ref="D5">_xlfn.XLOOKUP($A5,'WK 48'!$A:$A,'WK 48'!D:D,"")</f>
        <v>Production</v>
      </c>
      <c r="E5" s="8" t="str">
        <f t="array" ref="E5">_xlfn.XLOOKUP($A5,'WK 48'!$A:$A,'WK 48'!E:E,"")</f>
        <v>FT</v>
      </c>
      <c r="F5" s="9">
        <f t="array" ref="F5">_xlfn.XLOOKUP($A5,'WK 48'!$A:$A,'WK 48'!F:F,"")</f>
        <v>3</v>
      </c>
      <c r="G5" s="8">
        <v>0.458333333332121</v>
      </c>
      <c r="H5" s="8">
        <v>0.875</v>
      </c>
      <c r="I5" s="8">
        <v>0.458333333332121</v>
      </c>
      <c r="J5" s="8">
        <v>0.875</v>
      </c>
      <c r="K5" s="8">
        <v>0.458333333332121</v>
      </c>
      <c r="L5" s="8">
        <v>0.875</v>
      </c>
      <c r="M5" s="8">
        <v>0.458333333332121</v>
      </c>
      <c r="N5" s="8">
        <v>0.875</v>
      </c>
      <c r="O5" s="7" t="s">
        <v>23</v>
      </c>
      <c r="P5" s="7" t="s">
        <v>23</v>
      </c>
      <c r="Q5" s="7" t="s">
        <v>23</v>
      </c>
      <c r="R5" s="7" t="s">
        <v>23</v>
      </c>
      <c r="S5" s="8">
        <v>0.458333333332121</v>
      </c>
      <c r="T5" s="8">
        <v>0.666666666667879</v>
      </c>
      <c r="U5" s="21">
        <f>IFERROR(__xludf.DUMMYFUNCTION("TO_PURE_NUMBER(SUM(FILTER(G5:T5, ISEVEN(COLUMN(G5:T5))))-SUM(FILTER(G5:T5, ISODD(COLUMN(G5:T5)))))*24"),45.0000000001746)</f>
        <v>45.0000000001746</v>
      </c>
    </row>
    <row r="6" customHeight="1" spans="1:21">
      <c r="A6" s="7">
        <v>10317522</v>
      </c>
      <c r="B6" s="7" t="s">
        <v>31</v>
      </c>
      <c r="C6" s="7" t="str">
        <f t="array" ref="C6">_xlfn.XLOOKUP($A6,'WK 48'!A:A,'WK 48'!C:C,"")</f>
        <v>CSR</v>
      </c>
      <c r="D6" s="7" t="str">
        <f t="array" ref="D6">_xlfn.XLOOKUP($A6,'WK 48'!$A:$A,'WK 48'!D:D,"")</f>
        <v>Production</v>
      </c>
      <c r="E6" s="8" t="str">
        <f t="array" ref="E6">_xlfn.XLOOKUP($A6,'WK 48'!$A:$A,'WK 48'!E:E,"")</f>
        <v>FT</v>
      </c>
      <c r="F6" s="9">
        <f t="array" ref="F6">_xlfn.XLOOKUP($A6,'WK 48'!$A:$A,'WK 48'!F:F,"")</f>
        <v>2</v>
      </c>
      <c r="G6" s="8">
        <v>0.458333333332121</v>
      </c>
      <c r="H6" s="8">
        <v>0.875</v>
      </c>
      <c r="I6" s="8">
        <v>0.458333333332121</v>
      </c>
      <c r="J6" s="8">
        <v>0.875</v>
      </c>
      <c r="K6" s="8">
        <v>0.458333333332121</v>
      </c>
      <c r="L6" s="8">
        <v>0.875</v>
      </c>
      <c r="M6" s="8">
        <v>0.458333333332121</v>
      </c>
      <c r="N6" s="8">
        <v>0.875</v>
      </c>
      <c r="O6" s="7" t="s">
        <v>23</v>
      </c>
      <c r="P6" s="7" t="s">
        <v>23</v>
      </c>
      <c r="Q6" s="7" t="s">
        <v>23</v>
      </c>
      <c r="R6" s="7" t="s">
        <v>23</v>
      </c>
      <c r="S6" s="8">
        <v>0.458333333332121</v>
      </c>
      <c r="T6" s="8">
        <v>0.666666666667879</v>
      </c>
      <c r="U6" s="21">
        <f>IFERROR(__xludf.DUMMYFUNCTION("TO_PURE_NUMBER(SUM(FILTER(G6:T6, ISEVEN(COLUMN(G6:T6))))-SUM(FILTER(G6:T6, ISODD(COLUMN(G6:T6)))))*24"),45.0000000001746)</f>
        <v>45.0000000001746</v>
      </c>
    </row>
    <row r="7" customHeight="1" spans="1:21">
      <c r="A7" s="7">
        <v>10316549</v>
      </c>
      <c r="B7" s="7" t="s">
        <v>19</v>
      </c>
      <c r="C7" s="7" t="str">
        <f t="array" ref="C7">_xlfn.XLOOKUP($A7,'WK 48'!A:A,'WK 48'!C:C,"")</f>
        <v>CSR</v>
      </c>
      <c r="D7" s="7" t="str">
        <f t="array" ref="D7">_xlfn.XLOOKUP($A7,'WK 48'!$A:$A,'WK 48'!D:D,"")</f>
        <v>B2B</v>
      </c>
      <c r="E7" s="8" t="str">
        <f t="array" ref="E7">_xlfn.XLOOKUP($A7,'WK 48'!$A:$A,'WK 48'!E:E,"")</f>
        <v>FT</v>
      </c>
      <c r="F7" s="9">
        <f t="array" ref="F7">_xlfn.XLOOKUP($A7,'WK 48'!$A:$A,'WK 48'!F:F,"")</f>
        <v>1</v>
      </c>
      <c r="G7" s="8">
        <v>0.375</v>
      </c>
      <c r="H7" s="8">
        <v>0.75</v>
      </c>
      <c r="I7" s="8">
        <v>0.375</v>
      </c>
      <c r="J7" s="8">
        <v>0.75</v>
      </c>
      <c r="K7" s="8">
        <v>0.375</v>
      </c>
      <c r="L7" s="8">
        <v>0.75</v>
      </c>
      <c r="M7" s="8">
        <v>0.375</v>
      </c>
      <c r="N7" s="8">
        <v>0.75</v>
      </c>
      <c r="O7" s="8">
        <v>0.375</v>
      </c>
      <c r="P7" s="8">
        <v>0.75</v>
      </c>
      <c r="Q7" s="7" t="s">
        <v>23</v>
      </c>
      <c r="R7" s="7" t="s">
        <v>23</v>
      </c>
      <c r="S7" s="7" t="s">
        <v>23</v>
      </c>
      <c r="T7" s="7" t="s">
        <v>23</v>
      </c>
      <c r="U7" s="21">
        <f>IFERROR(__xludf.DUMMYFUNCTION("TO_PURE_NUMBER(SUM(FILTER(G7:T7, ISEVEN(COLUMN(G7:T7))))-SUM(FILTER(G7:T7, ISODD(COLUMN(G7:T7)))))*24"),45)</f>
        <v>45</v>
      </c>
    </row>
    <row r="8" customHeight="1" spans="1:21">
      <c r="A8" s="7">
        <v>10320413</v>
      </c>
      <c r="B8" s="7" t="s">
        <v>60</v>
      </c>
      <c r="C8" s="7" t="str">
        <f t="array" ref="C8">_xlfn.XLOOKUP($A8,'WK 48'!A:A,'WK 48'!C:C,"")</f>
        <v>CSR</v>
      </c>
      <c r="D8" s="7" t="str">
        <f t="array" ref="D8">_xlfn.XLOOKUP($A8,'WK 48'!$A:$A,'WK 48'!D:D,"")</f>
        <v>Production</v>
      </c>
      <c r="E8" s="8" t="str">
        <f t="array" ref="E8">_xlfn.XLOOKUP($A8,'WK 48'!$A:$A,'WK 48'!E:E,"")</f>
        <v>FT</v>
      </c>
      <c r="F8" s="9">
        <f t="array" ref="F8">_xlfn.XLOOKUP($A8,'WK 48'!$A:$A,'WK 48'!F:F,"")</f>
        <v>3</v>
      </c>
      <c r="G8" s="8">
        <v>0.5</v>
      </c>
      <c r="H8" s="8">
        <v>0.875</v>
      </c>
      <c r="I8" s="8">
        <v>0.5</v>
      </c>
      <c r="J8" s="8">
        <v>0.875</v>
      </c>
      <c r="K8" s="8">
        <v>0.5</v>
      </c>
      <c r="L8" s="8">
        <v>0.875</v>
      </c>
      <c r="M8" s="8">
        <v>0.5</v>
      </c>
      <c r="N8" s="8">
        <v>0.875</v>
      </c>
      <c r="O8" s="8">
        <v>0.5</v>
      </c>
      <c r="P8" s="8">
        <v>0.875</v>
      </c>
      <c r="Q8" s="7" t="s">
        <v>23</v>
      </c>
      <c r="R8" s="7" t="s">
        <v>23</v>
      </c>
      <c r="S8" s="7" t="s">
        <v>23</v>
      </c>
      <c r="T8" s="7" t="s">
        <v>23</v>
      </c>
      <c r="U8" s="21">
        <f>IFERROR(__xludf.DUMMYFUNCTION("TO_PURE_NUMBER(SUM(FILTER(G8:T8, ISEVEN(COLUMN(G8:T8))))-SUM(FILTER(G8:T8, ISODD(COLUMN(G8:T8)))))*24"),45)</f>
        <v>45</v>
      </c>
    </row>
    <row r="9" customHeight="1" spans="1:21">
      <c r="A9" s="7">
        <v>10320408</v>
      </c>
      <c r="B9" s="7" t="s">
        <v>56</v>
      </c>
      <c r="C9" s="7" t="str">
        <f t="array" ref="C9">_xlfn.XLOOKUP($A9,'WK 48'!A:A,'WK 48'!C:C,"")</f>
        <v>CSR</v>
      </c>
      <c r="D9" s="7" t="str">
        <f t="array" ref="D9">_xlfn.XLOOKUP($A9,'WK 48'!$A:$A,'WK 48'!D:D,"")</f>
        <v>Production</v>
      </c>
      <c r="E9" s="8" t="str">
        <f t="array" ref="E9">_xlfn.XLOOKUP($A9,'WK 48'!$A:$A,'WK 48'!E:E,"")</f>
        <v>FT</v>
      </c>
      <c r="F9" s="9">
        <f t="array" ref="F9">_xlfn.XLOOKUP($A9,'WK 48'!$A:$A,'WK 48'!F:F,"")</f>
        <v>3</v>
      </c>
      <c r="G9" s="8">
        <v>0.5</v>
      </c>
      <c r="H9" s="8">
        <v>0.875</v>
      </c>
      <c r="I9" s="8">
        <v>0.5</v>
      </c>
      <c r="J9" s="8">
        <v>0.875</v>
      </c>
      <c r="K9" s="8">
        <v>0.5</v>
      </c>
      <c r="L9" s="8">
        <v>0.875</v>
      </c>
      <c r="M9" s="8">
        <v>0.5</v>
      </c>
      <c r="N9" s="8">
        <v>0.875</v>
      </c>
      <c r="O9" s="7" t="s">
        <v>23</v>
      </c>
      <c r="P9" s="7" t="s">
        <v>23</v>
      </c>
      <c r="Q9" s="7" t="s">
        <v>23</v>
      </c>
      <c r="R9" s="7" t="s">
        <v>23</v>
      </c>
      <c r="S9" s="8">
        <v>0.458333333332121</v>
      </c>
      <c r="T9" s="8">
        <v>0.666666666667879</v>
      </c>
      <c r="U9" s="21">
        <f>IFERROR(__xludf.DUMMYFUNCTION("TO_PURE_NUMBER(SUM(FILTER(G9:T9, ISEVEN(COLUMN(G9:T9))))-SUM(FILTER(G9:T9, ISODD(COLUMN(G9:T9)))))*24"),41.0000000000582)</f>
        <v>41.0000000000582</v>
      </c>
    </row>
    <row r="10" customHeight="1" spans="1:21">
      <c r="A10" s="7">
        <v>10317147</v>
      </c>
      <c r="B10" s="7" t="s">
        <v>24</v>
      </c>
      <c r="C10" s="7" t="str">
        <f t="array" ref="C10">_xlfn.XLOOKUP($A10,'WK 48'!A:A,'WK 48'!C:C,"")</f>
        <v>CSR</v>
      </c>
      <c r="D10" s="7" t="str">
        <f t="array" ref="D10">_xlfn.XLOOKUP($A10,'WK 48'!$A:$A,'WK 48'!D:D,"")</f>
        <v>Production</v>
      </c>
      <c r="E10" s="8" t="str">
        <f t="array" ref="E10">_xlfn.XLOOKUP($A10,'WK 48'!$A:$A,'WK 48'!E:E,"")</f>
        <v>FT</v>
      </c>
      <c r="F10" s="9">
        <f t="array" ref="F10">_xlfn.XLOOKUP($A10,'WK 48'!$A:$A,'WK 48'!F:F,"")</f>
        <v>1</v>
      </c>
      <c r="G10" s="7" t="s">
        <v>23</v>
      </c>
      <c r="H10" s="7" t="s">
        <v>23</v>
      </c>
      <c r="I10" s="8">
        <v>0.458333333332121</v>
      </c>
      <c r="J10" s="8">
        <v>0.875</v>
      </c>
      <c r="K10" s="8">
        <v>0.458333333332121</v>
      </c>
      <c r="L10" s="8">
        <v>0.875</v>
      </c>
      <c r="M10" s="8">
        <v>0.458333333332121</v>
      </c>
      <c r="N10" s="8">
        <v>0.875</v>
      </c>
      <c r="O10" s="8">
        <v>0.458333333332121</v>
      </c>
      <c r="P10" s="8">
        <v>0.875</v>
      </c>
      <c r="Q10" s="8">
        <v>0.458333333332121</v>
      </c>
      <c r="R10" s="8">
        <v>0.666666666667879</v>
      </c>
      <c r="S10" s="7" t="s">
        <v>23</v>
      </c>
      <c r="T10" s="7" t="s">
        <v>23</v>
      </c>
      <c r="U10" s="21">
        <f>IFERROR(__xludf.DUMMYFUNCTION("TO_PURE_NUMBER(SUM(FILTER(G10:T10, ISEVEN(COLUMN(G10:T10))))-SUM(FILTER(G10:T10, ISODD(COLUMN(G10:T10)))))*24"),45.0000000001746)</f>
        <v>45.0000000001746</v>
      </c>
    </row>
    <row r="11" customHeight="1" spans="1:21">
      <c r="A11" s="7">
        <v>10272259</v>
      </c>
      <c r="B11" s="7" t="s">
        <v>32</v>
      </c>
      <c r="C11" s="7" t="str">
        <f t="array" ref="C11">_xlfn.XLOOKUP($A11,'WK 48'!A:A,'WK 48'!C:C,"")</f>
        <v>CSR</v>
      </c>
      <c r="D11" s="7" t="str">
        <f t="array" ref="D11">_xlfn.XLOOKUP($A11,'WK 48'!$A:$A,'WK 48'!D:D,"")</f>
        <v>Production</v>
      </c>
      <c r="E11" s="8" t="str">
        <f t="array" ref="E11">_xlfn.XLOOKUP($A11,'WK 48'!$A:$A,'WK 48'!E:E,"")</f>
        <v>FT</v>
      </c>
      <c r="F11" s="9">
        <f t="array" ref="F11">_xlfn.XLOOKUP($A11,'WK 48'!$A:$A,'WK 48'!F:F,"")</f>
        <v>2</v>
      </c>
      <c r="G11" s="167" t="s">
        <v>36</v>
      </c>
      <c r="H11" s="167" t="s">
        <v>36</v>
      </c>
      <c r="I11" s="7" t="s">
        <v>23</v>
      </c>
      <c r="J11" s="7" t="s">
        <v>23</v>
      </c>
      <c r="K11" s="7" t="s">
        <v>23</v>
      </c>
      <c r="L11" s="7" t="s">
        <v>23</v>
      </c>
      <c r="M11" s="167" t="s">
        <v>36</v>
      </c>
      <c r="N11" s="167" t="s">
        <v>36</v>
      </c>
      <c r="O11" s="167" t="s">
        <v>36</v>
      </c>
      <c r="P11" s="167" t="s">
        <v>36</v>
      </c>
      <c r="Q11" s="8">
        <v>0.458333333332121</v>
      </c>
      <c r="R11" s="8">
        <v>0.666666666667879</v>
      </c>
      <c r="S11" s="8">
        <v>0.458333333332121</v>
      </c>
      <c r="T11" s="8">
        <v>0.666666666667879</v>
      </c>
      <c r="U11" s="21">
        <f>IFERROR(__xludf.DUMMYFUNCTION("TO_PURE_NUMBER(SUM(FILTER(G11:T11, ISEVEN(COLUMN(G11:T11))))-SUM(FILTER(G11:T11, ISODD(COLUMN(G11:T11)))))*24"),10.0000000001164)</f>
        <v>10.0000000001164</v>
      </c>
    </row>
    <row r="12" customHeight="1" spans="1:21">
      <c r="A12" s="7">
        <v>10320412</v>
      </c>
      <c r="B12" s="7" t="s">
        <v>59</v>
      </c>
      <c r="C12" s="7" t="str">
        <f t="array" ref="C12">_xlfn.XLOOKUP($A12,'WK 48'!A:A,'WK 48'!C:C,"")</f>
        <v>CSR</v>
      </c>
      <c r="D12" s="7" t="str">
        <f t="array" ref="D12">_xlfn.XLOOKUP($A12,'WK 48'!$A:$A,'WK 48'!D:D,"")</f>
        <v>Production</v>
      </c>
      <c r="E12" s="8" t="str">
        <f t="array" ref="E12">_xlfn.XLOOKUP($A12,'WK 48'!$A:$A,'WK 48'!E:E,"")</f>
        <v>FT</v>
      </c>
      <c r="F12" s="9">
        <f t="array" ref="F12">_xlfn.XLOOKUP($A12,'WK 48'!$A:$A,'WK 48'!F:F,"")</f>
        <v>3</v>
      </c>
      <c r="G12" s="8">
        <v>0.5</v>
      </c>
      <c r="H12" s="8">
        <v>0.875</v>
      </c>
      <c r="I12" s="8">
        <v>0.5</v>
      </c>
      <c r="J12" s="8">
        <v>0.875</v>
      </c>
      <c r="K12" s="8">
        <v>0.5</v>
      </c>
      <c r="L12" s="8">
        <v>0.875</v>
      </c>
      <c r="M12" s="8">
        <v>0.5</v>
      </c>
      <c r="N12" s="8">
        <v>0.875</v>
      </c>
      <c r="O12" s="8">
        <v>0.5</v>
      </c>
      <c r="P12" s="8">
        <v>0.875</v>
      </c>
      <c r="Q12" s="7" t="s">
        <v>23</v>
      </c>
      <c r="R12" s="7" t="s">
        <v>23</v>
      </c>
      <c r="S12" s="7" t="s">
        <v>23</v>
      </c>
      <c r="T12" s="7" t="s">
        <v>23</v>
      </c>
      <c r="U12" s="21">
        <f>IFERROR(__xludf.DUMMYFUNCTION("TO_PURE_NUMBER(SUM(FILTER(G12:T12, ISEVEN(COLUMN(G12:T12))))-SUM(FILTER(G12:T12, ISODD(COLUMN(G12:T12)))))*24"),45)</f>
        <v>45</v>
      </c>
    </row>
    <row r="13" customHeight="1" spans="1:21">
      <c r="A13" s="7">
        <v>10320418</v>
      </c>
      <c r="B13" s="7" t="s">
        <v>68</v>
      </c>
      <c r="C13" s="7" t="str">
        <f t="array" ref="C13">_xlfn.XLOOKUP($A13,'WK 48'!A:A,'WK 48'!C:C,"")</f>
        <v>CSR</v>
      </c>
      <c r="D13" s="7" t="str">
        <f t="array" ref="D13">_xlfn.XLOOKUP($A13,'WK 48'!$A:$A,'WK 48'!D:D,"")</f>
        <v>Production</v>
      </c>
      <c r="E13" s="8" t="str">
        <f t="array" ref="E13">_xlfn.XLOOKUP($A13,'WK 48'!$A:$A,'WK 48'!E:E,"")</f>
        <v>FT</v>
      </c>
      <c r="F13" s="9">
        <f t="array" ref="F13">_xlfn.XLOOKUP($A13,'WK 48'!$A:$A,'WK 48'!F:F,"")</f>
        <v>3</v>
      </c>
      <c r="G13" s="8">
        <v>0.375</v>
      </c>
      <c r="H13" s="8">
        <v>0.75</v>
      </c>
      <c r="I13" s="8">
        <v>0.375</v>
      </c>
      <c r="J13" s="8">
        <v>0.75</v>
      </c>
      <c r="K13" s="8">
        <v>0.375</v>
      </c>
      <c r="L13" s="8">
        <v>0.75</v>
      </c>
      <c r="M13" s="8">
        <v>0.375</v>
      </c>
      <c r="N13" s="8">
        <v>0.75</v>
      </c>
      <c r="O13" s="7" t="s">
        <v>23</v>
      </c>
      <c r="P13" s="7" t="s">
        <v>23</v>
      </c>
      <c r="Q13" s="7" t="s">
        <v>23</v>
      </c>
      <c r="R13" s="7" t="s">
        <v>23</v>
      </c>
      <c r="S13" s="8">
        <v>0.458333333332121</v>
      </c>
      <c r="T13" s="8">
        <v>0.666666666667879</v>
      </c>
      <c r="U13" s="21">
        <f>IFERROR(__xludf.DUMMYFUNCTION("TO_PURE_NUMBER(SUM(FILTER(G13:T13, ISEVEN(COLUMN(G13:T13))))-SUM(FILTER(G13:T13, ISODD(COLUMN(G13:T13)))))*24"),41.0000000000582)</f>
        <v>41.0000000000582</v>
      </c>
    </row>
    <row r="14" customHeight="1" spans="1:21">
      <c r="A14" s="7">
        <v>10316618</v>
      </c>
      <c r="B14" s="7" t="s">
        <v>33</v>
      </c>
      <c r="C14" s="7" t="str">
        <f t="array" ref="C14">_xlfn.XLOOKUP($A14,'WK 48'!A:A,'WK 48'!C:C,"")</f>
        <v>CSR</v>
      </c>
      <c r="D14" s="7" t="str">
        <f t="array" ref="D14">_xlfn.XLOOKUP($A14,'WK 48'!$A:$A,'WK 48'!D:D,"")</f>
        <v>B2B</v>
      </c>
      <c r="E14" s="8" t="str">
        <f t="array" ref="E14">_xlfn.XLOOKUP($A14,'WK 48'!$A:$A,'WK 48'!E:E,"")</f>
        <v>FT</v>
      </c>
      <c r="F14" s="9">
        <f t="array" ref="F14">_xlfn.XLOOKUP($A14,'WK 48'!$A:$A,'WK 48'!F:F,"")</f>
        <v>1</v>
      </c>
      <c r="G14" s="8">
        <v>0.375</v>
      </c>
      <c r="H14" s="8">
        <v>0.75</v>
      </c>
      <c r="I14" s="8">
        <v>0.375</v>
      </c>
      <c r="J14" s="8">
        <v>0.75</v>
      </c>
      <c r="K14" s="8">
        <v>0.375</v>
      </c>
      <c r="L14" s="8">
        <v>0.75</v>
      </c>
      <c r="M14" s="8">
        <v>0.375</v>
      </c>
      <c r="N14" s="8">
        <v>0.75</v>
      </c>
      <c r="O14" s="8">
        <v>0.375</v>
      </c>
      <c r="P14" s="8">
        <v>0.75</v>
      </c>
      <c r="Q14" s="7" t="s">
        <v>23</v>
      </c>
      <c r="R14" s="7" t="s">
        <v>23</v>
      </c>
      <c r="S14" s="7" t="s">
        <v>23</v>
      </c>
      <c r="T14" s="7" t="s">
        <v>23</v>
      </c>
      <c r="U14" s="21">
        <f>IFERROR(__xludf.DUMMYFUNCTION("TO_PURE_NUMBER(SUM(FILTER(G14:T14, ISEVEN(COLUMN(G14:T14))))-SUM(FILTER(G14:T14, ISODD(COLUMN(G14:T14)))))*24"),45)</f>
        <v>45</v>
      </c>
    </row>
    <row r="15" customHeight="1" spans="1:21">
      <c r="A15" s="7">
        <v>10250963</v>
      </c>
      <c r="B15" s="7" t="s">
        <v>25</v>
      </c>
      <c r="C15" s="7" t="str">
        <f t="array" ref="C15">_xlfn.XLOOKUP($A15,'WK 48'!A:A,'WK 48'!C:C,"")</f>
        <v>CSR</v>
      </c>
      <c r="D15" s="7" t="str">
        <f t="array" ref="D15">_xlfn.XLOOKUP($A15,'WK 48'!$A:$A,'WK 48'!D:D,"")</f>
        <v>Production</v>
      </c>
      <c r="E15" s="8" t="str">
        <f t="array" ref="E15">_xlfn.XLOOKUP($A15,'WK 48'!$A:$A,'WK 48'!E:E,"")</f>
        <v>FT</v>
      </c>
      <c r="F15" s="9">
        <f t="array" ref="F15">_xlfn.XLOOKUP($A15,'WK 48'!$A:$A,'WK 48'!F:F,"")</f>
        <v>1</v>
      </c>
      <c r="G15" s="7" t="s">
        <v>23</v>
      </c>
      <c r="H15" s="7" t="s">
        <v>23</v>
      </c>
      <c r="I15" s="8">
        <v>0.458333333332121</v>
      </c>
      <c r="J15" s="8">
        <v>0.875</v>
      </c>
      <c r="K15" s="8">
        <v>0.458333333332121</v>
      </c>
      <c r="L15" s="8">
        <v>0.875</v>
      </c>
      <c r="M15" s="8">
        <v>0.458333333332121</v>
      </c>
      <c r="N15" s="8">
        <v>0.875</v>
      </c>
      <c r="O15" s="8">
        <v>0.458333333332121</v>
      </c>
      <c r="P15" s="8">
        <v>0.875</v>
      </c>
      <c r="Q15" s="8">
        <v>0.458333333332121</v>
      </c>
      <c r="R15" s="8">
        <v>0.666666666667879</v>
      </c>
      <c r="S15" s="7" t="s">
        <v>23</v>
      </c>
      <c r="T15" s="7" t="s">
        <v>23</v>
      </c>
      <c r="U15" s="21">
        <f>IFERROR(__xludf.DUMMYFUNCTION("TO_PURE_NUMBER(SUM(FILTER(G15:T15, ISEVEN(COLUMN(G15:T15))))-SUM(FILTER(G15:T15, ISODD(COLUMN(G15:T15)))))*24"),45.0000000001746)</f>
        <v>45.0000000001746</v>
      </c>
    </row>
    <row r="16" customHeight="1" spans="1:21">
      <c r="A16" s="7">
        <v>10295555</v>
      </c>
      <c r="B16" s="7" t="s">
        <v>34</v>
      </c>
      <c r="C16" s="7" t="str">
        <f t="array" ref="C16">_xlfn.XLOOKUP($A16,'WK 48'!A:A,'WK 48'!C:C,"")</f>
        <v>CSR</v>
      </c>
      <c r="D16" s="7" t="str">
        <f t="array" ref="D16">_xlfn.XLOOKUP($A16,'WK 48'!$A:$A,'WK 48'!D:D,"")</f>
        <v>Production</v>
      </c>
      <c r="E16" s="8" t="str">
        <f t="array" ref="E16">_xlfn.XLOOKUP($A16,'WK 48'!$A:$A,'WK 48'!E:E,"")</f>
        <v>PT</v>
      </c>
      <c r="F16" s="9">
        <f t="array" ref="F16">_xlfn.XLOOKUP($A16,'WK 48'!$A:$A,'WK 48'!F:F,"")</f>
        <v>2</v>
      </c>
      <c r="G16" s="8">
        <v>0.375</v>
      </c>
      <c r="H16" s="8">
        <v>0.583333333332121</v>
      </c>
      <c r="I16" s="8">
        <v>0.375</v>
      </c>
      <c r="J16" s="8">
        <v>0.583333333332121</v>
      </c>
      <c r="K16" s="8">
        <v>0.375</v>
      </c>
      <c r="L16" s="8">
        <v>0.583333333332121</v>
      </c>
      <c r="M16" s="7" t="s">
        <v>23</v>
      </c>
      <c r="N16" s="7" t="s">
        <v>23</v>
      </c>
      <c r="O16" s="7" t="s">
        <v>23</v>
      </c>
      <c r="P16" s="7" t="s">
        <v>23</v>
      </c>
      <c r="Q16" s="8">
        <v>0.458333333332121</v>
      </c>
      <c r="R16" s="8">
        <v>0.666666666667879</v>
      </c>
      <c r="S16" s="8">
        <v>0.458333333332121</v>
      </c>
      <c r="T16" s="8">
        <v>0.666666666667879</v>
      </c>
      <c r="U16" s="21">
        <f>IFERROR(__xludf.DUMMYFUNCTION("TO_PURE_NUMBER(SUM(FILTER(G16:T16, ISEVEN(COLUMN(G16:T16))))-SUM(FILTER(G16:T16, ISODD(COLUMN(G16:T16)))))*24"),25.0000000000291)</f>
        <v>25.0000000000291</v>
      </c>
    </row>
    <row r="17" customHeight="1" spans="1:21">
      <c r="A17" s="7">
        <v>10317520</v>
      </c>
      <c r="B17" s="7" t="s">
        <v>37</v>
      </c>
      <c r="C17" s="7" t="str">
        <f t="array" ref="C17">_xlfn.XLOOKUP($A17,'WK 48'!A:A,'WK 48'!C:C,"")</f>
        <v>CSR</v>
      </c>
      <c r="D17" s="7" t="str">
        <f t="array" ref="D17">_xlfn.XLOOKUP($A17,'WK 48'!$A:$A,'WK 48'!D:D,"")</f>
        <v>Production</v>
      </c>
      <c r="E17" s="8" t="str">
        <f t="array" ref="E17">_xlfn.XLOOKUP($A17,'WK 48'!$A:$A,'WK 48'!E:E,"")</f>
        <v>FT</v>
      </c>
      <c r="F17" s="9">
        <f t="array" ref="F17">_xlfn.XLOOKUP($A17,'WK 48'!$A:$A,'WK 48'!F:F,"")</f>
        <v>2</v>
      </c>
      <c r="G17" s="7" t="s">
        <v>23</v>
      </c>
      <c r="H17" s="7" t="s">
        <v>23</v>
      </c>
      <c r="I17" s="8">
        <v>0.333333333332121</v>
      </c>
      <c r="J17" s="8">
        <v>0.75</v>
      </c>
      <c r="K17" s="8">
        <v>0.333333333332121</v>
      </c>
      <c r="L17" s="8">
        <v>0.75</v>
      </c>
      <c r="M17" s="8">
        <v>0.333333333332121</v>
      </c>
      <c r="N17" s="8">
        <v>0.75</v>
      </c>
      <c r="O17" s="8">
        <v>0.333333333332121</v>
      </c>
      <c r="P17" s="8">
        <v>0.75</v>
      </c>
      <c r="Q17" s="8">
        <v>0.416666666667879</v>
      </c>
      <c r="R17" s="8">
        <v>0.625</v>
      </c>
      <c r="S17" s="7" t="s">
        <v>23</v>
      </c>
      <c r="T17" s="7" t="s">
        <v>23</v>
      </c>
      <c r="U17" s="21">
        <f>IFERROR(__xludf.DUMMYFUNCTION("TO_PURE_NUMBER(SUM(FILTER(G17:T17, ISEVEN(COLUMN(G17:T17))))-SUM(FILTER(G17:T17, ISODD(COLUMN(G17:T17)))))*24"),45.0000000000873)</f>
        <v>45.0000000000873</v>
      </c>
    </row>
    <row r="18" customHeight="1" spans="1:21">
      <c r="A18" s="7">
        <v>10320414</v>
      </c>
      <c r="B18" s="7" t="s">
        <v>62</v>
      </c>
      <c r="C18" s="7" t="str">
        <f t="array" ref="C18">_xlfn.XLOOKUP($A18,'WK 48'!A:A,'WK 48'!C:C,"")</f>
        <v>CSR</v>
      </c>
      <c r="D18" s="7" t="str">
        <f t="array" ref="D18">_xlfn.XLOOKUP($A18,'WK 48'!$A:$A,'WK 48'!D:D,"")</f>
        <v>Production</v>
      </c>
      <c r="E18" s="8" t="str">
        <f t="array" ref="E18">_xlfn.XLOOKUP($A18,'WK 48'!$A:$A,'WK 48'!E:E,"")</f>
        <v>FT</v>
      </c>
      <c r="F18" s="9">
        <f t="array" ref="F18">_xlfn.XLOOKUP($A18,'WK 48'!$A:$A,'WK 48'!F:F,"")</f>
        <v>3</v>
      </c>
      <c r="G18" s="7" t="s">
        <v>23</v>
      </c>
      <c r="H18" s="7" t="s">
        <v>23</v>
      </c>
      <c r="I18" s="8">
        <v>0.375</v>
      </c>
      <c r="J18" s="8">
        <v>0.791666666667879</v>
      </c>
      <c r="K18" s="8">
        <v>0.375</v>
      </c>
      <c r="L18" s="8">
        <v>0.791666666667879</v>
      </c>
      <c r="M18" s="8">
        <v>0.375</v>
      </c>
      <c r="N18" s="8">
        <v>0.791666666667879</v>
      </c>
      <c r="O18" s="8">
        <v>0.375</v>
      </c>
      <c r="P18" s="8">
        <v>0.791666666667879</v>
      </c>
      <c r="Q18" s="8">
        <v>0.458333333332121</v>
      </c>
      <c r="R18" s="8">
        <v>0.666666666667879</v>
      </c>
      <c r="S18" s="7" t="s">
        <v>23</v>
      </c>
      <c r="T18" s="7" t="s">
        <v>23</v>
      </c>
      <c r="U18" s="21">
        <f>IFERROR(__xludf.DUMMYFUNCTION("TO_PURE_NUMBER(SUM(FILTER(G18:T18, ISEVEN(COLUMN(G18:T18))))-SUM(FILTER(G18:T18, ISODD(COLUMN(G18:T18)))))*24"),45.0000000001746)</f>
        <v>45.0000000001746</v>
      </c>
    </row>
    <row r="19" customHeight="1" spans="1:21">
      <c r="A19" s="7">
        <v>10316681</v>
      </c>
      <c r="B19" s="7" t="s">
        <v>38</v>
      </c>
      <c r="C19" s="7" t="s">
        <v>95</v>
      </c>
      <c r="D19" s="7" t="str">
        <f t="array" ref="D19">_xlfn.XLOOKUP($A19,'WK 48'!$A:$A,'WK 48'!D:D,"")</f>
        <v>Production</v>
      </c>
      <c r="E19" s="8" t="str">
        <f t="array" ref="E19">_xlfn.XLOOKUP($A19,'WK 48'!$A:$A,'WK 48'!E:E,"")</f>
        <v>FT</v>
      </c>
      <c r="F19" s="9">
        <f t="array" ref="F19">_xlfn.XLOOKUP($A19,'WK 48'!$A:$A,'WK 48'!F:F,"")</f>
        <v>1</v>
      </c>
      <c r="G19" s="8">
        <v>0.375</v>
      </c>
      <c r="H19" s="8">
        <v>0.75</v>
      </c>
      <c r="I19" s="8">
        <v>0.375</v>
      </c>
      <c r="J19" s="8">
        <v>0.75</v>
      </c>
      <c r="K19" s="8">
        <v>0.375</v>
      </c>
      <c r="L19" s="8">
        <v>0.75</v>
      </c>
      <c r="M19" s="8">
        <v>0.375</v>
      </c>
      <c r="N19" s="8">
        <v>0.75</v>
      </c>
      <c r="O19" s="8">
        <v>0.375</v>
      </c>
      <c r="P19" s="8">
        <v>0.75</v>
      </c>
      <c r="Q19" s="7" t="s">
        <v>23</v>
      </c>
      <c r="R19" s="7" t="s">
        <v>23</v>
      </c>
      <c r="S19" s="7" t="s">
        <v>23</v>
      </c>
      <c r="T19" s="7" t="s">
        <v>23</v>
      </c>
      <c r="U19" s="21">
        <f>IFERROR(__xludf.DUMMYFUNCTION("TO_PURE_NUMBER(SUM(FILTER(G19:T19, ISEVEN(COLUMN(G19:T19))))-SUM(FILTER(G19:T19, ISODD(COLUMN(G19:T19)))))*24"),45)</f>
        <v>45</v>
      </c>
    </row>
    <row r="20" customHeight="1" spans="1:21">
      <c r="A20" s="7">
        <v>10316650</v>
      </c>
      <c r="B20" s="7" t="s">
        <v>39</v>
      </c>
      <c r="C20" s="7" t="str">
        <f t="array" ref="C20">_xlfn.XLOOKUP($A20,'WK 48'!A:A,'WK 48'!C:C,"")</f>
        <v>CSR</v>
      </c>
      <c r="D20" s="7" t="str">
        <f t="array" ref="D20">_xlfn.XLOOKUP($A20,'WK 48'!$A:$A,'WK 48'!D:D,"")</f>
        <v>Production</v>
      </c>
      <c r="E20" s="8" t="str">
        <f t="array" ref="E20">_xlfn.XLOOKUP($A20,'WK 48'!$A:$A,'WK 48'!E:E,"")</f>
        <v>FT</v>
      </c>
      <c r="F20" s="9">
        <f t="array" ref="F20">_xlfn.XLOOKUP($A20,'WK 48'!$A:$A,'WK 48'!F:F,"")</f>
        <v>2</v>
      </c>
      <c r="G20" s="8">
        <v>0.375</v>
      </c>
      <c r="H20" s="8">
        <v>0.791666666667879</v>
      </c>
      <c r="I20" s="8">
        <v>0.375</v>
      </c>
      <c r="J20" s="8">
        <v>0.791666666667879</v>
      </c>
      <c r="K20" s="8">
        <v>0.375</v>
      </c>
      <c r="L20" s="8">
        <v>0.791666666667879</v>
      </c>
      <c r="M20" s="8">
        <v>0.375</v>
      </c>
      <c r="N20" s="8">
        <v>0.791666666667879</v>
      </c>
      <c r="O20" s="7" t="s">
        <v>23</v>
      </c>
      <c r="P20" s="7" t="s">
        <v>23</v>
      </c>
      <c r="Q20" s="7" t="s">
        <v>23</v>
      </c>
      <c r="R20" s="7" t="s">
        <v>23</v>
      </c>
      <c r="S20" s="8">
        <v>0.458333333332121</v>
      </c>
      <c r="T20" s="8">
        <v>0.666666666667879</v>
      </c>
      <c r="U20" s="21">
        <f>IFERROR(__xludf.DUMMYFUNCTION("TO_PURE_NUMBER(SUM(FILTER(G20:T20, ISEVEN(COLUMN(G20:T20))))-SUM(FILTER(G20:T20, ISODD(COLUMN(G20:T20)))))*24"),45.0000000001746)</f>
        <v>45.0000000001746</v>
      </c>
    </row>
    <row r="21" customHeight="1" spans="1:21">
      <c r="A21" s="7">
        <v>10320416</v>
      </c>
      <c r="B21" s="7" t="s">
        <v>66</v>
      </c>
      <c r="C21" s="7" t="str">
        <f t="array" ref="C21">_xlfn.XLOOKUP($A21,'WK 48'!A:A,'WK 48'!C:C,"")</f>
        <v>CSR</v>
      </c>
      <c r="D21" s="7" t="str">
        <f t="array" ref="D21">_xlfn.XLOOKUP($A21,'WK 48'!$A:$A,'WK 48'!D:D,"")</f>
        <v>Production</v>
      </c>
      <c r="E21" s="8" t="str">
        <f t="array" ref="E21">_xlfn.XLOOKUP($A21,'WK 48'!$A:$A,'WK 48'!E:E,"")</f>
        <v>FT</v>
      </c>
      <c r="F21" s="9">
        <f t="array" ref="F21">_xlfn.XLOOKUP($A21,'WK 48'!$A:$A,'WK 48'!F:F,"")</f>
        <v>3</v>
      </c>
      <c r="G21" s="8">
        <v>0.5</v>
      </c>
      <c r="H21" s="8">
        <v>0.875</v>
      </c>
      <c r="I21" s="8">
        <v>0.5</v>
      </c>
      <c r="J21" s="8">
        <v>0.875</v>
      </c>
      <c r="K21" s="8">
        <v>0.5</v>
      </c>
      <c r="L21" s="8">
        <v>0.875</v>
      </c>
      <c r="M21" s="8">
        <v>0.5</v>
      </c>
      <c r="N21" s="8">
        <v>0.875</v>
      </c>
      <c r="O21" s="8">
        <v>0.5</v>
      </c>
      <c r="P21" s="8">
        <v>0.875</v>
      </c>
      <c r="Q21" s="7" t="s">
        <v>23</v>
      </c>
      <c r="R21" s="7" t="s">
        <v>23</v>
      </c>
      <c r="S21" s="7" t="s">
        <v>23</v>
      </c>
      <c r="T21" s="7" t="s">
        <v>23</v>
      </c>
      <c r="U21" s="21">
        <f>IFERROR(__xludf.DUMMYFUNCTION("TO_PURE_NUMBER(SUM(FILTER(G21:T21, ISEVEN(COLUMN(G21:T21))))-SUM(FILTER(G21:T21, ISODD(COLUMN(G21:T21)))))*24"),45)</f>
        <v>45</v>
      </c>
    </row>
    <row r="22" customHeight="1" spans="1:21">
      <c r="A22" s="7">
        <v>10316530</v>
      </c>
      <c r="B22" s="7" t="s">
        <v>26</v>
      </c>
      <c r="C22" s="7" t="str">
        <f t="array" ref="C22">_xlfn.XLOOKUP($A22,'WK 48'!A:A,'WK 48'!C:C,"")</f>
        <v>CSR</v>
      </c>
      <c r="D22" s="7" t="str">
        <f t="array" ref="D22">_xlfn.XLOOKUP($A22,'WK 48'!$A:$A,'WK 48'!D:D,"")</f>
        <v>Production</v>
      </c>
      <c r="E22" s="8" t="str">
        <f t="array" ref="E22">_xlfn.XLOOKUP($A22,'WK 48'!$A:$A,'WK 48'!E:E,"")</f>
        <v>FT</v>
      </c>
      <c r="F22" s="9">
        <f t="array" ref="F22">_xlfn.XLOOKUP($A22,'WK 48'!$A:$A,'WK 48'!F:F,"")</f>
        <v>1</v>
      </c>
      <c r="G22" s="7" t="s">
        <v>23</v>
      </c>
      <c r="H22" s="7" t="s">
        <v>23</v>
      </c>
      <c r="I22" s="8">
        <v>0.458333333332121</v>
      </c>
      <c r="J22" s="8">
        <v>0.875</v>
      </c>
      <c r="K22" s="8">
        <v>0.458333333332121</v>
      </c>
      <c r="L22" s="8">
        <v>0.875</v>
      </c>
      <c r="M22" s="8">
        <v>0.458333333332121</v>
      </c>
      <c r="N22" s="8">
        <v>0.875</v>
      </c>
      <c r="O22" s="8">
        <v>0.458333333332121</v>
      </c>
      <c r="P22" s="8">
        <v>0.875</v>
      </c>
      <c r="Q22" s="8">
        <v>0.458333333332121</v>
      </c>
      <c r="R22" s="8">
        <v>0.666666666667879</v>
      </c>
      <c r="S22" s="7" t="s">
        <v>23</v>
      </c>
      <c r="T22" s="7" t="s">
        <v>23</v>
      </c>
      <c r="U22" s="21">
        <f>IFERROR(__xludf.DUMMYFUNCTION("TO_PURE_NUMBER(SUM(FILTER(G22:T22, ISEVEN(COLUMN(G22:T22))))-SUM(FILTER(G22:T22, ISODD(COLUMN(G22:T22)))))*24"),45.0000000001746)</f>
        <v>45.0000000001746</v>
      </c>
    </row>
    <row r="23" customHeight="1" spans="1:21">
      <c r="A23" s="7">
        <v>10316680</v>
      </c>
      <c r="B23" s="7" t="s">
        <v>40</v>
      </c>
      <c r="C23" s="7" t="str">
        <f t="array" ref="C23">_xlfn.XLOOKUP($A23,'WK 48'!A:A,'WK 48'!C:C,"")</f>
        <v>CSR</v>
      </c>
      <c r="D23" s="7" t="str">
        <f t="array" ref="D23">_xlfn.XLOOKUP($A23,'WK 48'!$A:$A,'WK 48'!D:D,"")</f>
        <v>Production</v>
      </c>
      <c r="E23" s="8" t="str">
        <f t="array" ref="E23">_xlfn.XLOOKUP($A23,'WK 48'!$A:$A,'WK 48'!E:E,"")</f>
        <v>FT</v>
      </c>
      <c r="F23" s="9">
        <f t="array" ref="F23">_xlfn.XLOOKUP($A23,'WK 48'!$A:$A,'WK 48'!F:F,"")</f>
        <v>1</v>
      </c>
      <c r="G23" s="8">
        <v>0.5</v>
      </c>
      <c r="H23" s="8">
        <v>0.875</v>
      </c>
      <c r="I23" s="8">
        <v>0.5</v>
      </c>
      <c r="J23" s="8">
        <v>0.875</v>
      </c>
      <c r="K23" s="8">
        <v>0.5</v>
      </c>
      <c r="L23" s="8">
        <v>0.875</v>
      </c>
      <c r="M23" s="8">
        <v>0.5</v>
      </c>
      <c r="N23" s="8">
        <v>0.875</v>
      </c>
      <c r="O23" s="8">
        <v>0.5</v>
      </c>
      <c r="P23" s="8">
        <v>0.875</v>
      </c>
      <c r="Q23" s="7" t="s">
        <v>23</v>
      </c>
      <c r="R23" s="7" t="s">
        <v>23</v>
      </c>
      <c r="S23" s="7" t="s">
        <v>23</v>
      </c>
      <c r="T23" s="7" t="s">
        <v>23</v>
      </c>
      <c r="U23" s="21">
        <f>IFERROR(__xludf.DUMMYFUNCTION("TO_PURE_NUMBER(SUM(FILTER(G23:T23, ISEVEN(COLUMN(G23:T23))))-SUM(FILTER(G23:T23, ISODD(COLUMN(G23:T23)))))*24"),45)</f>
        <v>45</v>
      </c>
    </row>
    <row r="24" customHeight="1" spans="1:21">
      <c r="A24" s="7">
        <v>10317943</v>
      </c>
      <c r="B24" s="7" t="s">
        <v>27</v>
      </c>
      <c r="C24" s="7" t="str">
        <f t="array" ref="C24">_xlfn.XLOOKUP($A24,'WK 48'!A:A,'WK 48'!C:C,"")</f>
        <v>CSR</v>
      </c>
      <c r="D24" s="7" t="str">
        <f t="array" ref="D24">_xlfn.XLOOKUP($A24,'WK 48'!$A:$A,'WK 48'!D:D,"")</f>
        <v>Production</v>
      </c>
      <c r="E24" s="8" t="str">
        <f t="array" ref="E24">_xlfn.XLOOKUP($A24,'WK 48'!$A:$A,'WK 48'!E:E,"")</f>
        <v>FT</v>
      </c>
      <c r="F24" s="9">
        <f t="array" ref="F24">_xlfn.XLOOKUP($A24,'WK 48'!$A:$A,'WK 48'!F:F,"")</f>
        <v>2</v>
      </c>
      <c r="G24" s="8">
        <v>0.375</v>
      </c>
      <c r="H24" s="8">
        <v>0.791666666667879</v>
      </c>
      <c r="I24" s="8">
        <v>0.375</v>
      </c>
      <c r="J24" s="8">
        <v>0.791666666667879</v>
      </c>
      <c r="K24" s="8">
        <v>0.375</v>
      </c>
      <c r="L24" s="8">
        <v>0.791666666667879</v>
      </c>
      <c r="M24" s="8">
        <v>0.375</v>
      </c>
      <c r="N24" s="8">
        <v>0.791666666667879</v>
      </c>
      <c r="O24" s="7" t="s">
        <v>23</v>
      </c>
      <c r="P24" s="7" t="s">
        <v>23</v>
      </c>
      <c r="Q24" s="7" t="s">
        <v>23</v>
      </c>
      <c r="R24" s="7" t="s">
        <v>23</v>
      </c>
      <c r="S24" s="8">
        <v>0.458333333332121</v>
      </c>
      <c r="T24" s="8">
        <v>0.666666666667879</v>
      </c>
      <c r="U24" s="21">
        <f>IFERROR(__xludf.DUMMYFUNCTION("TO_PURE_NUMBER(SUM(FILTER(G24:T24, ISEVEN(COLUMN(G24:T24))))-SUM(FILTER(G24:T24, ISODD(COLUMN(G24:T24)))))*24"),45.0000000001746)</f>
        <v>45.0000000001746</v>
      </c>
    </row>
    <row r="25" customHeight="1" spans="1:21">
      <c r="A25" s="7">
        <v>10250966</v>
      </c>
      <c r="B25" s="7" t="s">
        <v>61</v>
      </c>
      <c r="C25" s="7" t="str">
        <f t="array" ref="C25">_xlfn.XLOOKUP($A25,'WK 48'!A:A,'WK 48'!C:C,"")</f>
        <v>CSR</v>
      </c>
      <c r="D25" s="7" t="str">
        <f t="array" ref="D25">_xlfn.XLOOKUP($A25,'WK 48'!$A:$A,'WK 48'!D:D,"")</f>
        <v>Production</v>
      </c>
      <c r="E25" s="8" t="str">
        <f t="array" ref="E25">_xlfn.XLOOKUP($A25,'WK 48'!$A:$A,'WK 48'!E:E,"")</f>
        <v>FT</v>
      </c>
      <c r="F25" s="9">
        <f t="array" ref="F25">_xlfn.XLOOKUP($A25,'WK 48'!$A:$A,'WK 48'!F:F,"")</f>
        <v>3</v>
      </c>
      <c r="G25" s="8">
        <v>0.5</v>
      </c>
      <c r="H25" s="8">
        <v>0.875</v>
      </c>
      <c r="I25" s="8">
        <v>0.5</v>
      </c>
      <c r="J25" s="8">
        <v>0.875</v>
      </c>
      <c r="K25" s="8">
        <v>0.5</v>
      </c>
      <c r="L25" s="8">
        <v>0.875</v>
      </c>
      <c r="M25" s="8">
        <v>0.5</v>
      </c>
      <c r="N25" s="8">
        <v>0.875</v>
      </c>
      <c r="O25" s="8">
        <v>0.5</v>
      </c>
      <c r="P25" s="8">
        <v>0.875</v>
      </c>
      <c r="Q25" s="7" t="s">
        <v>23</v>
      </c>
      <c r="R25" s="7" t="s">
        <v>23</v>
      </c>
      <c r="S25" s="7" t="s">
        <v>23</v>
      </c>
      <c r="T25" s="7" t="s">
        <v>23</v>
      </c>
      <c r="U25" s="21">
        <f>IFERROR(__xludf.DUMMYFUNCTION("TO_PURE_NUMBER(SUM(FILTER(G25:T25, ISEVEN(COLUMN(G25:T25))))-SUM(FILTER(G25:T25, ISODD(COLUMN(G25:T25)))))*24"),45)</f>
        <v>45</v>
      </c>
    </row>
    <row r="26" customHeight="1" spans="1:21">
      <c r="A26" s="7">
        <v>10316543</v>
      </c>
      <c r="B26" s="7" t="s">
        <v>41</v>
      </c>
      <c r="C26" s="7" t="str">
        <f t="array" ref="C26">_xlfn.XLOOKUP($A26,'WK 48'!A:A,'WK 48'!C:C,"")</f>
        <v>CSR</v>
      </c>
      <c r="D26" s="7" t="str">
        <f t="array" ref="D26">_xlfn.XLOOKUP($A26,'WK 48'!$A:$A,'WK 48'!D:D,"")</f>
        <v>Production</v>
      </c>
      <c r="E26" s="8" t="str">
        <f t="array" ref="E26">_xlfn.XLOOKUP($A26,'WK 48'!$A:$A,'WK 48'!E:E,"")</f>
        <v>FT</v>
      </c>
      <c r="F26" s="9">
        <f t="array" ref="F26">_xlfn.XLOOKUP($A26,'WK 48'!$A:$A,'WK 48'!F:F,"")</f>
        <v>1</v>
      </c>
      <c r="G26" s="8">
        <v>0.458333333332121</v>
      </c>
      <c r="H26" s="8">
        <v>0.875</v>
      </c>
      <c r="I26" s="8">
        <v>0.458333333332121</v>
      </c>
      <c r="J26" s="8">
        <v>0.875</v>
      </c>
      <c r="K26" s="8">
        <v>0.458333333332121</v>
      </c>
      <c r="L26" s="8">
        <v>0.875</v>
      </c>
      <c r="M26" s="8">
        <v>0.458333333332121</v>
      </c>
      <c r="N26" s="8">
        <v>0.875</v>
      </c>
      <c r="O26" s="7" t="s">
        <v>23</v>
      </c>
      <c r="P26" s="7" t="s">
        <v>23</v>
      </c>
      <c r="Q26" s="7" t="s">
        <v>23</v>
      </c>
      <c r="R26" s="7" t="s">
        <v>23</v>
      </c>
      <c r="S26" s="8">
        <v>0.458333333332121</v>
      </c>
      <c r="T26" s="8">
        <v>0.666666666667879</v>
      </c>
      <c r="U26" s="21">
        <f>IFERROR(__xludf.DUMMYFUNCTION("TO_PURE_NUMBER(SUM(FILTER(G26:T26, ISEVEN(COLUMN(G26:T26))))-SUM(FILTER(G26:T26, ISODD(COLUMN(G26:T26)))))*24"),45.0000000001746)</f>
        <v>45.0000000001746</v>
      </c>
    </row>
    <row r="27" customHeight="1" spans="1:21">
      <c r="A27" s="7">
        <v>10317153</v>
      </c>
      <c r="B27" s="7" t="s">
        <v>42</v>
      </c>
      <c r="C27" s="7" t="str">
        <f t="array" ref="C27">_xlfn.XLOOKUP($A27,'WK 48'!A:A,'WK 48'!C:C,"")</f>
        <v>CSR</v>
      </c>
      <c r="D27" s="7" t="str">
        <f t="array" ref="D27">_xlfn.XLOOKUP($A27,'WK 48'!$A:$A,'WK 48'!D:D,"")</f>
        <v>Production</v>
      </c>
      <c r="E27" s="8" t="str">
        <f t="array" ref="E27">_xlfn.XLOOKUP($A27,'WK 48'!$A:$A,'WK 48'!E:E,"")</f>
        <v>FT</v>
      </c>
      <c r="F27" s="9">
        <f t="array" ref="F27">_xlfn.XLOOKUP($A27,'WK 48'!$A:$A,'WK 48'!F:F,"")</f>
        <v>1</v>
      </c>
      <c r="G27" s="7" t="s">
        <v>23</v>
      </c>
      <c r="H27" s="7" t="s">
        <v>23</v>
      </c>
      <c r="I27" s="8">
        <v>0.375</v>
      </c>
      <c r="J27" s="8">
        <v>0.791666666667879</v>
      </c>
      <c r="K27" s="8">
        <v>0.375</v>
      </c>
      <c r="L27" s="8">
        <v>0.791666666667879</v>
      </c>
      <c r="M27" s="8">
        <v>0.375</v>
      </c>
      <c r="N27" s="8">
        <v>0.791666666667879</v>
      </c>
      <c r="O27" s="8">
        <v>0.375</v>
      </c>
      <c r="P27" s="8">
        <v>0.791666666667879</v>
      </c>
      <c r="Q27" s="8">
        <v>0.458333333332121</v>
      </c>
      <c r="R27" s="8">
        <v>0.666666666667879</v>
      </c>
      <c r="S27" s="7" t="s">
        <v>23</v>
      </c>
      <c r="T27" s="7" t="s">
        <v>23</v>
      </c>
      <c r="U27" s="21">
        <f>IFERROR(__xludf.DUMMYFUNCTION("TO_PURE_NUMBER(SUM(FILTER(G27:T27, ISEVEN(COLUMN(G27:T27))))-SUM(FILTER(G27:T27, ISODD(COLUMN(G27:T27)))))*24"),45.0000000001746)</f>
        <v>45.0000000001746</v>
      </c>
    </row>
    <row r="28" customHeight="1" spans="1:21">
      <c r="A28" s="7">
        <v>10317521</v>
      </c>
      <c r="B28" s="7" t="s">
        <v>28</v>
      </c>
      <c r="C28" s="7" t="str">
        <f t="array" ref="C28">_xlfn.XLOOKUP($A28,'WK 48'!A:A,'WK 48'!C:C,"")</f>
        <v>CSR</v>
      </c>
      <c r="D28" s="7" t="str">
        <f t="array" ref="D28">_xlfn.XLOOKUP($A28,'WK 48'!$A:$A,'WK 48'!D:D,"")</f>
        <v>Production</v>
      </c>
      <c r="E28" s="8" t="str">
        <f t="array" ref="E28">_xlfn.XLOOKUP($A28,'WK 48'!$A:$A,'WK 48'!E:E,"")</f>
        <v>FT</v>
      </c>
      <c r="F28" s="9">
        <f t="array" ref="F28">_xlfn.XLOOKUP($A28,'WK 48'!$A:$A,'WK 48'!F:F,"")</f>
        <v>2</v>
      </c>
      <c r="G28" s="7" t="s">
        <v>23</v>
      </c>
      <c r="H28" s="7" t="s">
        <v>23</v>
      </c>
      <c r="I28" s="8">
        <v>0.333333333332121</v>
      </c>
      <c r="J28" s="8">
        <v>0.75</v>
      </c>
      <c r="K28" s="8">
        <v>0.333333333332121</v>
      </c>
      <c r="L28" s="8">
        <v>0.75</v>
      </c>
      <c r="M28" s="8">
        <v>0.333333333332121</v>
      </c>
      <c r="N28" s="8">
        <v>0.75</v>
      </c>
      <c r="O28" s="8">
        <v>0.333333333332121</v>
      </c>
      <c r="P28" s="8">
        <v>0.75</v>
      </c>
      <c r="Q28" s="8">
        <v>0.416666666667879</v>
      </c>
      <c r="R28" s="8">
        <v>0.625</v>
      </c>
      <c r="S28" s="7" t="s">
        <v>23</v>
      </c>
      <c r="T28" s="7" t="s">
        <v>23</v>
      </c>
      <c r="U28" s="21">
        <f>IFERROR(__xludf.DUMMYFUNCTION("TO_PURE_NUMBER(SUM(FILTER(G28:T28, ISEVEN(COLUMN(G28:T28))))-SUM(FILTER(G28:T28, ISODD(COLUMN(G28:T28)))))*24"),45.0000000000873)</f>
        <v>45.0000000000873</v>
      </c>
    </row>
    <row r="29" customHeight="1" spans="1:21">
      <c r="A29" s="7">
        <v>10317517</v>
      </c>
      <c r="B29" s="7" t="s">
        <v>29</v>
      </c>
      <c r="C29" s="7" t="str">
        <f t="array" ref="C29">_xlfn.XLOOKUP($A29,'WK 48'!A:A,'WK 48'!C:C,"")</f>
        <v>CSR</v>
      </c>
      <c r="D29" s="7" t="str">
        <f t="array" ref="D29">_xlfn.XLOOKUP($A29,'WK 48'!$A:$A,'WK 48'!D:D,"")</f>
        <v>Production</v>
      </c>
      <c r="E29" s="8" t="str">
        <f t="array" ref="E29">_xlfn.XLOOKUP($A29,'WK 48'!$A:$A,'WK 48'!E:E,"")</f>
        <v>FT</v>
      </c>
      <c r="F29" s="9">
        <f t="array" ref="F29">_xlfn.XLOOKUP($A29,'WK 48'!$A:$A,'WK 48'!F:F,"")</f>
        <v>2</v>
      </c>
      <c r="G29" s="7" t="s">
        <v>23</v>
      </c>
      <c r="H29" s="7" t="s">
        <v>23</v>
      </c>
      <c r="I29" s="8">
        <v>0.375</v>
      </c>
      <c r="J29" s="8">
        <v>0.791666666667879</v>
      </c>
      <c r="K29" s="8">
        <v>0.375</v>
      </c>
      <c r="L29" s="8">
        <v>0.791666666667879</v>
      </c>
      <c r="M29" s="8">
        <v>0.375</v>
      </c>
      <c r="N29" s="8">
        <v>0.791666666667879</v>
      </c>
      <c r="O29" s="8">
        <v>0.375</v>
      </c>
      <c r="P29" s="8">
        <v>0.791666666667879</v>
      </c>
      <c r="Q29" s="8">
        <v>0.458333333332121</v>
      </c>
      <c r="R29" s="8">
        <v>0.666666666667879</v>
      </c>
      <c r="S29" s="7" t="s">
        <v>23</v>
      </c>
      <c r="T29" s="7" t="s">
        <v>23</v>
      </c>
      <c r="U29" s="21">
        <f>IFERROR(__xludf.DUMMYFUNCTION("TO_PURE_NUMBER(SUM(FILTER(G29:T29, ISEVEN(COLUMN(G29:T29))))-SUM(FILTER(G29:T29, ISODD(COLUMN(G29:T29)))))*24"),45.0000000001746)</f>
        <v>45.0000000001746</v>
      </c>
    </row>
    <row r="30" customHeight="1" spans="1:21">
      <c r="A30" s="7">
        <v>10252106</v>
      </c>
      <c r="B30" s="7" t="s">
        <v>43</v>
      </c>
      <c r="C30" s="7" t="str">
        <f t="array" ref="C30">_xlfn.XLOOKUP($A30,'WK 48'!A:A,'WK 48'!C:C,"")</f>
        <v>CSR</v>
      </c>
      <c r="D30" s="7" t="str">
        <f t="array" ref="D30">_xlfn.XLOOKUP($A30,'WK 48'!$A:$A,'WK 48'!D:D,"")</f>
        <v>Production</v>
      </c>
      <c r="E30" s="8" t="str">
        <f t="array" ref="E30">_xlfn.XLOOKUP($A30,'WK 48'!$A:$A,'WK 48'!E:E,"")</f>
        <v>FT</v>
      </c>
      <c r="F30" s="9">
        <f t="array" ref="F30">_xlfn.XLOOKUP($A30,'WK 48'!$A:$A,'WK 48'!F:F,"")</f>
        <v>2</v>
      </c>
      <c r="G30" s="168" t="s">
        <v>96</v>
      </c>
      <c r="H30" s="168" t="s">
        <v>96</v>
      </c>
      <c r="I30" s="7" t="s">
        <v>23</v>
      </c>
      <c r="J30" s="7" t="s">
        <v>23</v>
      </c>
      <c r="K30" s="7" t="s">
        <v>23</v>
      </c>
      <c r="L30" s="7" t="s">
        <v>23</v>
      </c>
      <c r="M30" s="8">
        <v>0.375</v>
      </c>
      <c r="N30" s="8">
        <v>0.75</v>
      </c>
      <c r="O30" s="8">
        <v>0.375</v>
      </c>
      <c r="P30" s="8">
        <v>0.75</v>
      </c>
      <c r="Q30" s="8">
        <v>0.458333333332121</v>
      </c>
      <c r="R30" s="8">
        <v>0.666666666667879</v>
      </c>
      <c r="S30" s="8">
        <v>0.458333333332121</v>
      </c>
      <c r="T30" s="8">
        <v>0.666666666667879</v>
      </c>
      <c r="U30" s="21">
        <f>IFERROR(__xludf.DUMMYFUNCTION("TO_PURE_NUMBER(SUM(FILTER(G30:T30, ISEVEN(COLUMN(G30:T30))))-SUM(FILTER(G30:T30, ISODD(COLUMN(G30:T30)))))*24"),28.0000000001164)</f>
        <v>28.0000000001164</v>
      </c>
    </row>
    <row r="31" customHeight="1" spans="1:21">
      <c r="A31" s="7">
        <v>10320407</v>
      </c>
      <c r="B31" s="7" t="s">
        <v>55</v>
      </c>
      <c r="C31" s="7" t="str">
        <f t="array" ref="C31">_xlfn.XLOOKUP($A31,'WK 48'!A:A,'WK 48'!C:C,"")</f>
        <v>CSR</v>
      </c>
      <c r="D31" s="7" t="str">
        <f t="array" ref="D31">_xlfn.XLOOKUP($A31,'WK 48'!$A:$A,'WK 48'!D:D,"")</f>
        <v>Production</v>
      </c>
      <c r="E31" s="8" t="str">
        <f t="array" ref="E31">_xlfn.XLOOKUP($A31,'WK 48'!$A:$A,'WK 48'!E:E,"")</f>
        <v>FT</v>
      </c>
      <c r="F31" s="9">
        <f t="array" ref="F31">_xlfn.XLOOKUP($A31,'WK 48'!$A:$A,'WK 48'!F:F,"")</f>
        <v>3</v>
      </c>
      <c r="G31" s="7" t="s">
        <v>23</v>
      </c>
      <c r="H31" s="7" t="s">
        <v>23</v>
      </c>
      <c r="I31" s="8">
        <v>0.375</v>
      </c>
      <c r="J31" s="8">
        <v>0.791666666667879</v>
      </c>
      <c r="K31" s="8">
        <v>0.375</v>
      </c>
      <c r="L31" s="8">
        <v>0.791666666667879</v>
      </c>
      <c r="M31" s="8">
        <v>0.375</v>
      </c>
      <c r="N31" s="8">
        <v>0.791666666667879</v>
      </c>
      <c r="O31" s="8">
        <v>0.375</v>
      </c>
      <c r="P31" s="8">
        <v>0.791666666667879</v>
      </c>
      <c r="Q31" s="8">
        <v>0.458333333332121</v>
      </c>
      <c r="R31" s="8">
        <v>0.666666666667879</v>
      </c>
      <c r="S31" s="7" t="s">
        <v>23</v>
      </c>
      <c r="T31" s="7" t="s">
        <v>23</v>
      </c>
      <c r="U31" s="21">
        <f>IFERROR(__xludf.DUMMYFUNCTION("TO_PURE_NUMBER(SUM(FILTER(G31:T31, ISEVEN(COLUMN(G31:T31))))-SUM(FILTER(G31:T31, ISODD(COLUMN(G31:T31)))))*24"),45.0000000001746)</f>
        <v>45.0000000001746</v>
      </c>
    </row>
    <row r="32" customHeight="1" spans="1:21">
      <c r="A32" s="7">
        <v>10320417</v>
      </c>
      <c r="B32" s="7" t="s">
        <v>67</v>
      </c>
      <c r="C32" s="7" t="str">
        <f t="array" ref="C32">_xlfn.XLOOKUP($A32,'WK 48'!A:A,'WK 48'!C:C,"")</f>
        <v>CSR</v>
      </c>
      <c r="D32" s="7" t="str">
        <f t="array" ref="D32">_xlfn.XLOOKUP($A32,'WK 48'!$A:$A,'WK 48'!D:D,"")</f>
        <v>Production</v>
      </c>
      <c r="E32" s="8" t="str">
        <f t="array" ref="E32">_xlfn.XLOOKUP($A32,'WK 48'!$A:$A,'WK 48'!E:E,"")</f>
        <v>FT</v>
      </c>
      <c r="F32" s="9">
        <f t="array" ref="F32">_xlfn.XLOOKUP($A32,'WK 48'!$A:$A,'WK 48'!F:F,"")</f>
        <v>3</v>
      </c>
      <c r="G32" s="8">
        <v>0.375</v>
      </c>
      <c r="H32" s="8">
        <v>0.791666666667879</v>
      </c>
      <c r="I32" s="8">
        <v>0.375</v>
      </c>
      <c r="J32" s="8">
        <v>0.791666666667879</v>
      </c>
      <c r="K32" s="8">
        <v>0.375</v>
      </c>
      <c r="L32" s="8">
        <v>0.791666666667879</v>
      </c>
      <c r="M32" s="8">
        <v>0.375</v>
      </c>
      <c r="N32" s="8">
        <v>0.791666666667879</v>
      </c>
      <c r="O32" s="7" t="s">
        <v>23</v>
      </c>
      <c r="P32" s="7" t="s">
        <v>23</v>
      </c>
      <c r="Q32" s="7" t="s">
        <v>23</v>
      </c>
      <c r="R32" s="7" t="s">
        <v>23</v>
      </c>
      <c r="S32" s="8">
        <v>0.458333333332121</v>
      </c>
      <c r="T32" s="8">
        <v>0.666666666667879</v>
      </c>
      <c r="U32" s="21">
        <f>IFERROR(__xludf.DUMMYFUNCTION("TO_PURE_NUMBER(SUM(FILTER(G32:T32, ISEVEN(COLUMN(G32:T32))))-SUM(FILTER(G32:T32, ISODD(COLUMN(G32:T32)))))*24"),45.0000000001746)</f>
        <v>45.0000000001746</v>
      </c>
    </row>
    <row r="33" customHeight="1" spans="1:21">
      <c r="A33" s="7">
        <v>10317154</v>
      </c>
      <c r="B33" s="7" t="s">
        <v>70</v>
      </c>
      <c r="C33" s="7" t="str">
        <f t="array" ref="C33">_xlfn.XLOOKUP($A33,'WK 48'!A:A,'WK 48'!C:C,"")</f>
        <v>CSR</v>
      </c>
      <c r="D33" s="7" t="str">
        <f t="array" ref="D33">_xlfn.XLOOKUP($A33,'WK 48'!$A:$A,'WK 48'!D:D,"")</f>
        <v>Production</v>
      </c>
      <c r="E33" s="8" t="str">
        <f t="array" ref="E33">_xlfn.XLOOKUP($A33,'WK 48'!$A:$A,'WK 48'!E:E,"")</f>
        <v>FT</v>
      </c>
      <c r="F33" s="9">
        <f t="array" ref="F33">_xlfn.XLOOKUP($A33,'WK 48'!$A:$A,'WK 48'!F:F,"")</f>
        <v>3</v>
      </c>
      <c r="G33" s="8">
        <v>0.333333333332121</v>
      </c>
      <c r="H33" s="8">
        <v>0.75</v>
      </c>
      <c r="I33" s="8">
        <v>0.333333333332121</v>
      </c>
      <c r="J33" s="8">
        <v>0.75</v>
      </c>
      <c r="K33" s="8">
        <v>0.333333333332121</v>
      </c>
      <c r="L33" s="8">
        <v>0.75</v>
      </c>
      <c r="M33" s="8">
        <v>0.333333333332121</v>
      </c>
      <c r="N33" s="8">
        <v>0.75</v>
      </c>
      <c r="O33" s="7" t="s">
        <v>23</v>
      </c>
      <c r="P33" s="7" t="s">
        <v>23</v>
      </c>
      <c r="Q33" s="7" t="s">
        <v>23</v>
      </c>
      <c r="R33" s="7" t="s">
        <v>23</v>
      </c>
      <c r="S33" s="8">
        <v>0.416666666667879</v>
      </c>
      <c r="T33" s="8">
        <v>0.625</v>
      </c>
      <c r="U33" s="21">
        <f>IFERROR(__xludf.DUMMYFUNCTION("TO_PURE_NUMBER(SUM(FILTER(G33:T33, ISEVEN(COLUMN(G33:T33))))-SUM(FILTER(G33:T33, ISODD(COLUMN(G33:T33)))))*24"),45.0000000000873)</f>
        <v>45.0000000000873</v>
      </c>
    </row>
    <row r="34" customHeight="1" spans="1:21">
      <c r="A34" s="7">
        <v>10320436</v>
      </c>
      <c r="B34" s="7" t="s">
        <v>90</v>
      </c>
      <c r="C34" s="7" t="str">
        <f t="array" ref="C34">_xlfn.XLOOKUP($A34,'WK 48'!A:A,'WK 48'!C:C,"")</f>
        <v>CSR</v>
      </c>
      <c r="D34" s="7" t="str">
        <f t="array" ref="D34">_xlfn.XLOOKUP($A34,'WK 48'!$A:$A,'WK 48'!D:D,"")</f>
        <v>Production</v>
      </c>
      <c r="E34" s="8" t="str">
        <f t="array" ref="E34">_xlfn.XLOOKUP($A34,'WK 48'!$A:$A,'WK 48'!E:E,"")</f>
        <v>FT</v>
      </c>
      <c r="F34" s="9">
        <f t="array" ref="F34">_xlfn.XLOOKUP($A34,'WK 48'!$A:$A,'WK 48'!F:F,"")</f>
        <v>3</v>
      </c>
      <c r="G34" s="8">
        <v>0.375</v>
      </c>
      <c r="H34" s="8">
        <v>0.791666666667879</v>
      </c>
      <c r="I34" s="8">
        <v>0.375</v>
      </c>
      <c r="J34" s="8">
        <v>0.791666666667879</v>
      </c>
      <c r="K34" s="8">
        <v>0.375</v>
      </c>
      <c r="L34" s="8">
        <v>0.791666666667879</v>
      </c>
      <c r="M34" s="8">
        <v>0.375</v>
      </c>
      <c r="N34" s="8">
        <v>0.791666666667879</v>
      </c>
      <c r="O34" s="7" t="s">
        <v>23</v>
      </c>
      <c r="P34" s="7" t="s">
        <v>23</v>
      </c>
      <c r="Q34" s="7" t="s">
        <v>23</v>
      </c>
      <c r="R34" s="7" t="s">
        <v>23</v>
      </c>
      <c r="S34" s="8">
        <v>0.458333333332121</v>
      </c>
      <c r="T34" s="8">
        <v>0.666666666667879</v>
      </c>
      <c r="U34" s="21">
        <f>IFERROR(__xludf.DUMMYFUNCTION("TO_PURE_NUMBER(SUM(FILTER(G34:T34, ISEVEN(COLUMN(G34:T34))))-SUM(FILTER(G34:T34, ISODD(COLUMN(G34:T34)))))*24"),45.0000000001746)</f>
        <v>45.0000000001746</v>
      </c>
    </row>
    <row r="35" customHeight="1" spans="1:21">
      <c r="A35" s="7">
        <v>10316538</v>
      </c>
      <c r="B35" s="7" t="s">
        <v>44</v>
      </c>
      <c r="C35" s="7" t="str">
        <f t="array" ref="C35">_xlfn.XLOOKUP($A35,'WK 48'!A:A,'WK 48'!C:C,"")</f>
        <v>CSR</v>
      </c>
      <c r="D35" s="7" t="str">
        <f t="array" ref="D35">_xlfn.XLOOKUP($A35,'WK 48'!$A:$A,'WK 48'!D:D,"")</f>
        <v>Production</v>
      </c>
      <c r="E35" s="8" t="str">
        <f t="array" ref="E35">_xlfn.XLOOKUP($A35,'WK 48'!$A:$A,'WK 48'!E:E,"")</f>
        <v>FT</v>
      </c>
      <c r="F35" s="9">
        <f t="array" ref="F35">_xlfn.XLOOKUP($A35,'WK 48'!$A:$A,'WK 48'!F:F,"")</f>
        <v>1</v>
      </c>
      <c r="G35" s="8">
        <v>0.5</v>
      </c>
      <c r="H35" s="8">
        <v>0.875</v>
      </c>
      <c r="I35" s="8">
        <v>0.5</v>
      </c>
      <c r="J35" s="8">
        <v>0.875</v>
      </c>
      <c r="K35" s="8">
        <v>0.5</v>
      </c>
      <c r="L35" s="8">
        <v>0.875</v>
      </c>
      <c r="M35" s="7" t="s">
        <v>23</v>
      </c>
      <c r="N35" s="7" t="s">
        <v>23</v>
      </c>
      <c r="O35" s="7" t="s">
        <v>23</v>
      </c>
      <c r="P35" s="7" t="s">
        <v>23</v>
      </c>
      <c r="Q35" s="8">
        <v>0.458333333332121</v>
      </c>
      <c r="R35" s="8">
        <v>0.666666666667879</v>
      </c>
      <c r="S35" s="8">
        <v>0.458333333332121</v>
      </c>
      <c r="T35" s="8">
        <v>0.666666666667879</v>
      </c>
      <c r="U35" s="21">
        <f>IFERROR(__xludf.DUMMYFUNCTION("TO_PURE_NUMBER(SUM(FILTER(G35:T35, ISEVEN(COLUMN(G35:T35))))-SUM(FILTER(G35:T35, ISODD(COLUMN(G35:T35)))))*24"),37.0000000001164)</f>
        <v>37.0000000001164</v>
      </c>
    </row>
    <row r="36" customHeight="1" spans="1:21">
      <c r="A36" s="7">
        <v>10293607</v>
      </c>
      <c r="B36" s="7" t="s">
        <v>65</v>
      </c>
      <c r="C36" s="7" t="str">
        <f t="array" ref="C36">_xlfn.XLOOKUP($A36,'WK 48'!A:A,'WK 48'!C:C,"")</f>
        <v>CSR</v>
      </c>
      <c r="D36" s="7" t="str">
        <f t="array" ref="D36">_xlfn.XLOOKUP($A36,'WK 48'!$A:$A,'WK 48'!D:D,"")</f>
        <v>Production</v>
      </c>
      <c r="E36" s="8" t="str">
        <f t="array" ref="E36">_xlfn.XLOOKUP($A36,'WK 48'!$A:$A,'WK 48'!E:E,"")</f>
        <v>FT</v>
      </c>
      <c r="F36" s="9">
        <f t="array" ref="F36">_xlfn.XLOOKUP($A36,'WK 48'!$A:$A,'WK 48'!F:F,"")</f>
        <v>3</v>
      </c>
      <c r="G36" s="8">
        <v>0.5</v>
      </c>
      <c r="H36" s="8">
        <v>0.875</v>
      </c>
      <c r="I36" s="8">
        <v>0.5</v>
      </c>
      <c r="J36" s="8">
        <v>0.875</v>
      </c>
      <c r="K36" s="8">
        <v>0.5</v>
      </c>
      <c r="L36" s="8">
        <v>0.875</v>
      </c>
      <c r="M36" s="8">
        <v>0.5</v>
      </c>
      <c r="N36" s="8">
        <v>0.875</v>
      </c>
      <c r="O36" s="8">
        <v>0.5</v>
      </c>
      <c r="P36" s="8">
        <v>0.875</v>
      </c>
      <c r="Q36" s="7" t="s">
        <v>23</v>
      </c>
      <c r="R36" s="7" t="s">
        <v>23</v>
      </c>
      <c r="S36" s="7" t="s">
        <v>23</v>
      </c>
      <c r="T36" s="7" t="s">
        <v>23</v>
      </c>
      <c r="U36" s="21">
        <f>IFERROR(__xludf.DUMMYFUNCTION("TO_PURE_NUMBER(SUM(FILTER(G36:T36, ISEVEN(COLUMN(G36:T36))))-SUM(FILTER(G36:T36, ISODD(COLUMN(G36:T36)))))*24"),45)</f>
        <v>45</v>
      </c>
    </row>
    <row r="37" customHeight="1" spans="1:21">
      <c r="A37" s="7">
        <v>10316545</v>
      </c>
      <c r="B37" s="7" t="s">
        <v>45</v>
      </c>
      <c r="C37" s="7" t="str">
        <f t="array" ref="C37">_xlfn.XLOOKUP($A37,'WK 48'!A:A,'WK 48'!C:C,"")</f>
        <v>CSR</v>
      </c>
      <c r="D37" s="7" t="str">
        <f t="array" ref="D37">_xlfn.XLOOKUP($A37,'WK 48'!$A:$A,'WK 48'!D:D,"")</f>
        <v>Production</v>
      </c>
      <c r="E37" s="8" t="str">
        <f t="array" ref="E37">_xlfn.XLOOKUP($A37,'WK 48'!$A:$A,'WK 48'!E:E,"")</f>
        <v>FT</v>
      </c>
      <c r="F37" s="9">
        <f t="array" ref="F37">_xlfn.XLOOKUP($A37,'WK 48'!$A:$A,'WK 48'!F:F,"")</f>
        <v>1</v>
      </c>
      <c r="G37" s="8">
        <v>0.375</v>
      </c>
      <c r="H37" s="8">
        <v>0.75</v>
      </c>
      <c r="I37" s="8">
        <v>0.375</v>
      </c>
      <c r="J37" s="8">
        <v>0.75</v>
      </c>
      <c r="K37" s="8">
        <v>0.375</v>
      </c>
      <c r="L37" s="8">
        <v>0.75</v>
      </c>
      <c r="M37" s="8">
        <v>0.375</v>
      </c>
      <c r="N37" s="8">
        <v>0.75</v>
      </c>
      <c r="O37" s="8">
        <v>0.375</v>
      </c>
      <c r="P37" s="8">
        <v>0.75</v>
      </c>
      <c r="Q37" s="7" t="s">
        <v>23</v>
      </c>
      <c r="R37" s="7" t="s">
        <v>23</v>
      </c>
      <c r="S37" s="7" t="s">
        <v>23</v>
      </c>
      <c r="T37" s="7" t="s">
        <v>23</v>
      </c>
      <c r="U37" s="21">
        <f>IFERROR(__xludf.DUMMYFUNCTION("TO_PURE_NUMBER(SUM(FILTER(G37:T37, ISEVEN(COLUMN(G37:T37))))-SUM(FILTER(G37:T37, ISODD(COLUMN(G37:T37)))))*24"),45)</f>
        <v>45</v>
      </c>
    </row>
    <row r="38" customHeight="1" spans="1:21">
      <c r="A38" s="7">
        <v>10316572</v>
      </c>
      <c r="B38" s="7" t="s">
        <v>46</v>
      </c>
      <c r="C38" s="7" t="str">
        <f t="array" ref="C38">_xlfn.XLOOKUP($A38,'WK 48'!A:A,'WK 48'!C:C,"")</f>
        <v>CSR</v>
      </c>
      <c r="D38" s="7" t="str">
        <f t="array" ref="D38">_xlfn.XLOOKUP($A38,'WK 48'!$A:$A,'WK 48'!D:D,"")</f>
        <v>Production</v>
      </c>
      <c r="E38" s="8" t="str">
        <f t="array" ref="E38">_xlfn.XLOOKUP($A38,'WK 48'!$A:$A,'WK 48'!E:E,"")</f>
        <v>FT</v>
      </c>
      <c r="F38" s="9">
        <f t="array" ref="F38">_xlfn.XLOOKUP($A38,'WK 48'!$A:$A,'WK 48'!F:F,"")</f>
        <v>2</v>
      </c>
      <c r="G38" s="8">
        <v>0.333333333332121</v>
      </c>
      <c r="H38" s="8">
        <v>0.75</v>
      </c>
      <c r="I38" s="8">
        <v>0.375</v>
      </c>
      <c r="J38" s="8">
        <v>0.791666666667879</v>
      </c>
      <c r="K38" s="8">
        <v>0.375</v>
      </c>
      <c r="L38" s="8">
        <v>0.791666666667879</v>
      </c>
      <c r="M38" s="8">
        <v>0.375</v>
      </c>
      <c r="N38" s="8">
        <v>0.791666666667879</v>
      </c>
      <c r="O38" s="7" t="s">
        <v>23</v>
      </c>
      <c r="P38" s="7" t="s">
        <v>23</v>
      </c>
      <c r="Q38" s="7" t="s">
        <v>23</v>
      </c>
      <c r="R38" s="7" t="s">
        <v>23</v>
      </c>
      <c r="S38" s="8">
        <v>0.416666666667879</v>
      </c>
      <c r="T38" s="8">
        <v>0.625</v>
      </c>
      <c r="U38" s="21">
        <f>IFERROR(__xludf.DUMMYFUNCTION("TO_PURE_NUMBER(SUM(FILTER(G38:T38, ISEVEN(COLUMN(G38:T38))))-SUM(FILTER(G38:T38, ISODD(COLUMN(G38:T38)))))*24"),45.0000000000873)</f>
        <v>45.0000000000873</v>
      </c>
    </row>
    <row r="39" customHeight="1" spans="1:21">
      <c r="A39" s="7">
        <v>10316685</v>
      </c>
      <c r="B39" s="7" t="s">
        <v>47</v>
      </c>
      <c r="C39" s="7" t="s">
        <v>95</v>
      </c>
      <c r="D39" s="7" t="str">
        <f t="array" ref="D39">_xlfn.XLOOKUP($A39,'WK 48'!$A:$A,'WK 48'!D:D,"")</f>
        <v>Production</v>
      </c>
      <c r="E39" s="8" t="str">
        <f t="array" ref="E39">_xlfn.XLOOKUP($A39,'WK 48'!$A:$A,'WK 48'!E:E,"")</f>
        <v>FT</v>
      </c>
      <c r="F39" s="9">
        <f t="array" ref="F39">_xlfn.XLOOKUP($A39,'WK 48'!$A:$A,'WK 48'!F:F,"")</f>
        <v>1</v>
      </c>
      <c r="G39" s="8">
        <v>0.375</v>
      </c>
      <c r="H39" s="8">
        <v>0.75</v>
      </c>
      <c r="I39" s="8">
        <v>0.375</v>
      </c>
      <c r="J39" s="8">
        <v>0.75</v>
      </c>
      <c r="K39" s="8">
        <v>0.375</v>
      </c>
      <c r="L39" s="8">
        <v>0.75</v>
      </c>
      <c r="M39" s="8">
        <v>0.375</v>
      </c>
      <c r="N39" s="8">
        <v>0.75</v>
      </c>
      <c r="O39" s="8">
        <v>0.375</v>
      </c>
      <c r="P39" s="8">
        <v>0.75</v>
      </c>
      <c r="Q39" s="7" t="s">
        <v>23</v>
      </c>
      <c r="R39" s="7" t="s">
        <v>23</v>
      </c>
      <c r="S39" s="7" t="s">
        <v>23</v>
      </c>
      <c r="T39" s="7" t="s">
        <v>23</v>
      </c>
      <c r="U39" s="21">
        <f>IFERROR(__xludf.DUMMYFUNCTION("TO_PURE_NUMBER(SUM(FILTER(G39:T39, ISEVEN(COLUMN(G39:T39))))-SUM(FILTER(G39:T39, ISODD(COLUMN(G39:T39)))))*24"),45)</f>
        <v>45</v>
      </c>
    </row>
    <row r="40" customHeight="1" spans="1:21">
      <c r="A40" s="7">
        <v>10274446</v>
      </c>
      <c r="B40" s="7" t="s">
        <v>88</v>
      </c>
      <c r="C40" s="7" t="str">
        <f t="array" ref="C40">_xlfn.XLOOKUP($A40,'WK 48'!A:A,'WK 48'!C:C,"")</f>
        <v>CSR</v>
      </c>
      <c r="D40" s="7" t="str">
        <f t="array" ref="D40">_xlfn.XLOOKUP($A40,'WK 48'!$A:$A,'WK 48'!D:D,"")</f>
        <v>Production</v>
      </c>
      <c r="E40" s="8" t="str">
        <f t="array" ref="E40">_xlfn.XLOOKUP($A40,'WK 48'!$A:$A,'WK 48'!E:E,"")</f>
        <v>FT</v>
      </c>
      <c r="F40" s="9">
        <f t="array" ref="F40">_xlfn.XLOOKUP($A40,'WK 48'!$A:$A,'WK 48'!F:F,"")</f>
        <v>2</v>
      </c>
      <c r="G40" s="8">
        <v>0.375</v>
      </c>
      <c r="H40" s="8">
        <v>0.75</v>
      </c>
      <c r="I40" s="8">
        <v>0.375</v>
      </c>
      <c r="J40" s="8">
        <v>0.75</v>
      </c>
      <c r="K40" s="8">
        <v>0.375</v>
      </c>
      <c r="L40" s="8">
        <v>0.75</v>
      </c>
      <c r="M40" s="7" t="s">
        <v>23</v>
      </c>
      <c r="N40" s="7" t="s">
        <v>23</v>
      </c>
      <c r="O40" s="7" t="s">
        <v>23</v>
      </c>
      <c r="P40" s="7" t="s">
        <v>23</v>
      </c>
      <c r="Q40" s="8">
        <v>0.458333333332121</v>
      </c>
      <c r="R40" s="8">
        <v>0.666666666667879</v>
      </c>
      <c r="S40" s="8">
        <v>0.458333333332121</v>
      </c>
      <c r="T40" s="8">
        <v>0.666666666667879</v>
      </c>
      <c r="U40" s="21">
        <f>IFERROR(__xludf.DUMMYFUNCTION("TO_PURE_NUMBER(SUM(FILTER(G40:T40, ISEVEN(COLUMN(G40:T40))))-SUM(FILTER(G40:T40, ISODD(COLUMN(G40:T40)))))*24"),37.0000000001164)</f>
        <v>37.0000000001164</v>
      </c>
    </row>
    <row r="41" customHeight="1" spans="1:21">
      <c r="A41" s="7">
        <v>10276839</v>
      </c>
      <c r="B41" s="7" t="s">
        <v>54</v>
      </c>
      <c r="C41" s="7" t="str">
        <f t="array" ref="C41">_xlfn.XLOOKUP($A41,'WK 48'!A:A,'WK 48'!C:C,"")</f>
        <v>CSR</v>
      </c>
      <c r="D41" s="7" t="str">
        <f t="array" ref="D41">_xlfn.XLOOKUP($A41,'WK 48'!$A:$A,'WK 48'!D:D,"")</f>
        <v>Production</v>
      </c>
      <c r="E41" s="8" t="str">
        <f t="array" ref="E41">_xlfn.XLOOKUP($A41,'WK 48'!$A:$A,'WK 48'!E:E,"")</f>
        <v>FT</v>
      </c>
      <c r="F41" s="9">
        <f t="array" ref="F41">_xlfn.XLOOKUP($A41,'WK 48'!$A:$A,'WK 48'!F:F,"")</f>
        <v>2</v>
      </c>
      <c r="G41" s="8">
        <v>0.416666666667879</v>
      </c>
      <c r="H41" s="8">
        <v>0.833333333332121</v>
      </c>
      <c r="I41" s="8">
        <v>0.416666666667879</v>
      </c>
      <c r="J41" s="8">
        <v>0.833333333332121</v>
      </c>
      <c r="K41" s="8">
        <v>0.416666666667879</v>
      </c>
      <c r="L41" s="8">
        <v>0.833333333332121</v>
      </c>
      <c r="M41" s="8">
        <v>0.416666666667879</v>
      </c>
      <c r="N41" s="8">
        <v>0.833333333332121</v>
      </c>
      <c r="O41" s="7" t="s">
        <v>23</v>
      </c>
      <c r="P41" s="7" t="s">
        <v>23</v>
      </c>
      <c r="Q41" s="7" t="s">
        <v>23</v>
      </c>
      <c r="R41" s="7" t="s">
        <v>23</v>
      </c>
      <c r="S41" s="8">
        <v>0.458333333332121</v>
      </c>
      <c r="T41" s="8">
        <v>0.666666666667879</v>
      </c>
      <c r="U41" s="21">
        <f>IFERROR(__xludf.DUMMYFUNCTION("TO_PURE_NUMBER(SUM(FILTER(G41:T41, ISEVEN(COLUMN(G41:T41))))-SUM(FILTER(G41:T41, ISODD(COLUMN(G41:T41)))))*24"),44.9999999998253)</f>
        <v>44.9999999998253</v>
      </c>
    </row>
    <row r="42" customHeight="1" spans="1:21">
      <c r="A42" s="7">
        <v>10320419</v>
      </c>
      <c r="B42" s="7" t="s">
        <v>69</v>
      </c>
      <c r="C42" s="7" t="str">
        <f t="array" ref="C42">_xlfn.XLOOKUP($A42,'WK 48'!A:A,'WK 48'!C:C,"")</f>
        <v>CSR</v>
      </c>
      <c r="D42" s="7" t="str">
        <f t="array" ref="D42">_xlfn.XLOOKUP($A42,'WK 48'!$A:$A,'WK 48'!D:D,"")</f>
        <v>Production</v>
      </c>
      <c r="E42" s="8" t="str">
        <f t="array" ref="E42">_xlfn.XLOOKUP($A42,'WK 48'!$A:$A,'WK 48'!E:E,"")</f>
        <v>FT</v>
      </c>
      <c r="F42" s="9">
        <f t="array" ref="F42">_xlfn.XLOOKUP($A42,'WK 48'!$A:$A,'WK 48'!F:F,"")</f>
        <v>3</v>
      </c>
      <c r="G42" s="7" t="s">
        <v>23</v>
      </c>
      <c r="H42" s="7" t="s">
        <v>23</v>
      </c>
      <c r="I42" s="8">
        <v>0.375</v>
      </c>
      <c r="J42" s="8">
        <v>0.791666666667879</v>
      </c>
      <c r="K42" s="8">
        <v>0.375</v>
      </c>
      <c r="L42" s="8">
        <v>0.791666666667879</v>
      </c>
      <c r="M42" s="8">
        <v>0.375</v>
      </c>
      <c r="N42" s="8">
        <v>0.791666666667879</v>
      </c>
      <c r="O42" s="8">
        <v>0.375</v>
      </c>
      <c r="P42" s="8">
        <v>0.791666666667879</v>
      </c>
      <c r="Q42" s="8">
        <v>0.458333333332121</v>
      </c>
      <c r="R42" s="8">
        <v>0.666666666667879</v>
      </c>
      <c r="S42" s="7" t="s">
        <v>23</v>
      </c>
      <c r="T42" s="7" t="s">
        <v>23</v>
      </c>
      <c r="U42" s="21">
        <f>IFERROR(__xludf.DUMMYFUNCTION("TO_PURE_NUMBER(SUM(FILTER(G42:T42, ISEVEN(COLUMN(G42:T42))))-SUM(FILTER(G42:T42, ISODD(COLUMN(G42:T42)))))*24"),45.0000000001746)</f>
        <v>45.0000000001746</v>
      </c>
    </row>
    <row r="43" customHeight="1" spans="1:21">
      <c r="A43" s="7">
        <v>10316546</v>
      </c>
      <c r="B43" s="7" t="s">
        <v>49</v>
      </c>
      <c r="C43" s="7" t="str">
        <f t="array" ref="C43">_xlfn.XLOOKUP($A43,'WK 48'!A:A,'WK 48'!C:C,"")</f>
        <v>CSR</v>
      </c>
      <c r="D43" s="7" t="str">
        <f t="array" ref="D43">_xlfn.XLOOKUP($A43,'WK 48'!$A:$A,'WK 48'!D:D,"")</f>
        <v>Production</v>
      </c>
      <c r="E43" s="8" t="str">
        <f t="array" ref="E43">_xlfn.XLOOKUP($A43,'WK 48'!$A:$A,'WK 48'!E:E,"")</f>
        <v>FT</v>
      </c>
      <c r="F43" s="9">
        <f t="array" ref="F43">_xlfn.XLOOKUP($A43,'WK 48'!$A:$A,'WK 48'!F:F,"")</f>
        <v>1</v>
      </c>
      <c r="G43" s="8">
        <v>0.5</v>
      </c>
      <c r="H43" s="8">
        <v>0.875</v>
      </c>
      <c r="I43" s="8">
        <v>0.5</v>
      </c>
      <c r="J43" s="8">
        <v>0.875</v>
      </c>
      <c r="K43" s="8">
        <v>0.5</v>
      </c>
      <c r="L43" s="8">
        <v>0.875</v>
      </c>
      <c r="M43" s="7" t="s">
        <v>23</v>
      </c>
      <c r="N43" s="7" t="s">
        <v>23</v>
      </c>
      <c r="O43" s="7" t="s">
        <v>23</v>
      </c>
      <c r="P43" s="7" t="s">
        <v>23</v>
      </c>
      <c r="Q43" s="8">
        <v>0.458333333332121</v>
      </c>
      <c r="R43" s="8">
        <v>0.666666666667879</v>
      </c>
      <c r="S43" s="8">
        <v>0.458333333332121</v>
      </c>
      <c r="T43" s="8">
        <v>0.666666666667879</v>
      </c>
      <c r="U43" s="21">
        <f>IFERROR(__xludf.DUMMYFUNCTION("TO_PURE_NUMBER(SUM(FILTER(G43:T43, ISEVEN(COLUMN(G43:T43))))-SUM(FILTER(G43:T43, ISODD(COLUMN(G43:T43)))))*24"),37.0000000001164)</f>
        <v>37.0000000001164</v>
      </c>
    </row>
    <row r="44" customHeight="1" spans="1:21">
      <c r="A44" s="7">
        <v>10316551</v>
      </c>
      <c r="B44" s="7" t="s">
        <v>87</v>
      </c>
      <c r="C44" s="7" t="str">
        <f t="array" ref="C44">_xlfn.XLOOKUP($A44,'WK 48'!A:A,'WK 48'!C:C,"")</f>
        <v>CSR</v>
      </c>
      <c r="D44" s="7" t="str">
        <f t="array" ref="D44">_xlfn.XLOOKUP($A44,'WK 48'!$A:$A,'WK 48'!D:D,"")</f>
        <v>Production</v>
      </c>
      <c r="E44" s="8" t="str">
        <f t="array" ref="E44">_xlfn.XLOOKUP($A44,'WK 48'!$A:$A,'WK 48'!E:E,"")</f>
        <v>FT</v>
      </c>
      <c r="F44" s="9">
        <f t="array" ref="F44">_xlfn.XLOOKUP($A44,'WK 48'!$A:$A,'WK 48'!F:F,"")</f>
        <v>1</v>
      </c>
      <c r="G44" s="8">
        <v>0.5</v>
      </c>
      <c r="H44" s="8">
        <v>0.875</v>
      </c>
      <c r="I44" s="8">
        <v>0.5</v>
      </c>
      <c r="J44" s="8">
        <v>0.875</v>
      </c>
      <c r="K44" s="8">
        <v>0.5</v>
      </c>
      <c r="L44" s="8">
        <v>0.875</v>
      </c>
      <c r="M44" s="8">
        <v>0.5</v>
      </c>
      <c r="N44" s="8">
        <v>0.875</v>
      </c>
      <c r="O44" s="8">
        <v>0.5</v>
      </c>
      <c r="P44" s="8">
        <v>0.875</v>
      </c>
      <c r="Q44" s="7" t="s">
        <v>23</v>
      </c>
      <c r="R44" s="7" t="s">
        <v>23</v>
      </c>
      <c r="S44" s="7" t="s">
        <v>23</v>
      </c>
      <c r="T44" s="7" t="s">
        <v>23</v>
      </c>
      <c r="U44" s="21">
        <f>IFERROR(__xludf.DUMMYFUNCTION("TO_PURE_NUMBER(SUM(FILTER(G44:T44, ISEVEN(COLUMN(G44:T44))))-SUM(FILTER(G44:T44, ISODD(COLUMN(G44:T44)))))*24"),45)</f>
        <v>45</v>
      </c>
    </row>
    <row r="45" customHeight="1" spans="1:21">
      <c r="A45" s="7">
        <v>10320435</v>
      </c>
      <c r="B45" s="7" t="s">
        <v>71</v>
      </c>
      <c r="C45" s="7" t="str">
        <f t="array" ref="C45">_xlfn.XLOOKUP($A45,'WK 48'!A:A,'WK 48'!C:C,"")</f>
        <v>CSR</v>
      </c>
      <c r="D45" s="7" t="str">
        <f t="array" ref="D45">_xlfn.XLOOKUP($A45,'WK 48'!$A:$A,'WK 48'!D:D,"")</f>
        <v>Production</v>
      </c>
      <c r="E45" s="8" t="str">
        <f t="array" ref="E45">_xlfn.XLOOKUP($A45,'WK 48'!$A:$A,'WK 48'!E:E,"")</f>
        <v>FT</v>
      </c>
      <c r="F45" s="9">
        <f t="array" ref="F45">_xlfn.XLOOKUP($A45,'WK 48'!$A:$A,'WK 48'!F:F,"")</f>
        <v>3</v>
      </c>
      <c r="G45" s="8">
        <v>0.375</v>
      </c>
      <c r="H45" s="8">
        <v>0.75</v>
      </c>
      <c r="I45" s="8">
        <v>0.375</v>
      </c>
      <c r="J45" s="8">
        <v>0.75</v>
      </c>
      <c r="K45" s="8">
        <v>0.375</v>
      </c>
      <c r="L45" s="8">
        <v>0.75</v>
      </c>
      <c r="M45" s="8">
        <v>0.375</v>
      </c>
      <c r="N45" s="8">
        <v>0.75</v>
      </c>
      <c r="O45" s="8">
        <v>0.375</v>
      </c>
      <c r="P45" s="8">
        <v>0.75</v>
      </c>
      <c r="Q45" s="7" t="s">
        <v>23</v>
      </c>
      <c r="R45" s="7" t="s">
        <v>23</v>
      </c>
      <c r="S45" s="7" t="s">
        <v>23</v>
      </c>
      <c r="T45" s="7" t="s">
        <v>23</v>
      </c>
      <c r="U45" s="21">
        <f>IFERROR(__xludf.DUMMYFUNCTION("TO_PURE_NUMBER(SUM(FILTER(G45:T45, ISEVEN(COLUMN(G45:T45))))-SUM(FILTER(G45:T45, ISODD(COLUMN(G45:T45)))))*24"),45)</f>
        <v>45</v>
      </c>
    </row>
    <row r="46" customHeight="1" spans="1:21">
      <c r="A46" s="7">
        <v>10316683</v>
      </c>
      <c r="B46" s="7" t="s">
        <v>51</v>
      </c>
      <c r="C46" s="7" t="str">
        <f t="array" ref="C46">_xlfn.XLOOKUP($A46,'WK 48'!A:A,'WK 48'!C:C,"")</f>
        <v>CSR</v>
      </c>
      <c r="D46" s="7" t="str">
        <f t="array" ref="D46">_xlfn.XLOOKUP($A46,'WK 48'!$A:$A,'WK 48'!D:D,"")</f>
        <v>Production</v>
      </c>
      <c r="E46" s="8" t="str">
        <f t="array" ref="E46">_xlfn.XLOOKUP($A46,'WK 48'!$A:$A,'WK 48'!E:E,"")</f>
        <v>FT</v>
      </c>
      <c r="F46" s="9">
        <f t="array" ref="F46">_xlfn.XLOOKUP($A46,'WK 48'!$A:$A,'WK 48'!F:F,"")</f>
        <v>1</v>
      </c>
      <c r="G46" s="8">
        <v>0.375</v>
      </c>
      <c r="H46" s="8">
        <v>0.75</v>
      </c>
      <c r="I46" s="8">
        <v>0.375</v>
      </c>
      <c r="J46" s="8">
        <v>0.75</v>
      </c>
      <c r="K46" s="8">
        <v>0.375</v>
      </c>
      <c r="L46" s="8">
        <v>0.75</v>
      </c>
      <c r="M46" s="8">
        <v>0.375</v>
      </c>
      <c r="N46" s="8">
        <v>0.75</v>
      </c>
      <c r="O46" s="8">
        <v>0.375</v>
      </c>
      <c r="P46" s="8">
        <v>0.75</v>
      </c>
      <c r="Q46" s="7" t="s">
        <v>23</v>
      </c>
      <c r="R46" s="7" t="s">
        <v>23</v>
      </c>
      <c r="S46" s="7" t="s">
        <v>23</v>
      </c>
      <c r="T46" s="7" t="s">
        <v>23</v>
      </c>
      <c r="U46" s="21">
        <f>IFERROR(__xludf.DUMMYFUNCTION("TO_PURE_NUMBER(SUM(FILTER(G46:T46, ISEVEN(COLUMN(G46:T46))))-SUM(FILTER(G46:T46, ISODD(COLUMN(G46:T46)))))*24"),45)</f>
        <v>45</v>
      </c>
    </row>
    <row r="47" customHeight="1" spans="1:21">
      <c r="A47" s="7">
        <v>10316540</v>
      </c>
      <c r="B47" s="7" t="s">
        <v>30</v>
      </c>
      <c r="C47" s="7" t="str">
        <f t="array" ref="C47">_xlfn.XLOOKUP($A47,'WK 48'!A:A,'WK 48'!C:C,"")</f>
        <v>CSR</v>
      </c>
      <c r="D47" s="7" t="str">
        <f t="array" ref="D47">_xlfn.XLOOKUP($A47,'WK 48'!$A:$A,'WK 48'!D:D,"")</f>
        <v>B2B</v>
      </c>
      <c r="E47" s="8" t="str">
        <f t="array" ref="E47">_xlfn.XLOOKUP($A47,'WK 48'!$A:$A,'WK 48'!E:E,"")</f>
        <v>FT</v>
      </c>
      <c r="F47" s="9">
        <f t="array" ref="F47">_xlfn.XLOOKUP($A47,'WK 48'!$A:$A,'WK 48'!F:F,"")</f>
        <v>1</v>
      </c>
      <c r="G47" s="8">
        <v>0.375</v>
      </c>
      <c r="H47" s="8">
        <v>0.75</v>
      </c>
      <c r="I47" s="8">
        <v>0.375</v>
      </c>
      <c r="J47" s="8">
        <v>0.75</v>
      </c>
      <c r="K47" s="8">
        <v>0.375</v>
      </c>
      <c r="L47" s="8">
        <v>0.75</v>
      </c>
      <c r="M47" s="8">
        <v>0.375</v>
      </c>
      <c r="N47" s="8">
        <v>0.75</v>
      </c>
      <c r="O47" s="8">
        <v>0.375</v>
      </c>
      <c r="P47" s="8">
        <v>0.75</v>
      </c>
      <c r="Q47" s="7" t="s">
        <v>23</v>
      </c>
      <c r="R47" s="7" t="s">
        <v>23</v>
      </c>
      <c r="S47" s="7" t="s">
        <v>23</v>
      </c>
      <c r="T47" s="7" t="s">
        <v>23</v>
      </c>
      <c r="U47" s="21">
        <f>IFERROR(__xludf.DUMMYFUNCTION("TO_PURE_NUMBER(SUM(FILTER(G47:T47, ISEVEN(COLUMN(G47:T47))))-SUM(FILTER(G47:T47, ISODD(COLUMN(G47:T47)))))*24"),45)</f>
        <v>45</v>
      </c>
    </row>
    <row r="48" customHeight="1" spans="1:21">
      <c r="A48" s="7">
        <v>10293627</v>
      </c>
      <c r="B48" s="7" t="s">
        <v>92</v>
      </c>
      <c r="C48" s="7" t="str">
        <f t="array" ref="C48">_xlfn.XLOOKUP($A48,'WK 48'!A:A,'WK 48'!C:C,"")</f>
        <v>CSR</v>
      </c>
      <c r="D48" s="7" t="str">
        <f t="array" ref="D48">_xlfn.XLOOKUP($A48,'WK 48'!$A:$A,'WK 48'!D:D,"")</f>
        <v>Production</v>
      </c>
      <c r="E48" s="8" t="str">
        <f t="array" ref="E48">_xlfn.XLOOKUP($A48,'WK 48'!$A:$A,'WK 48'!E:E,"")</f>
        <v>FT</v>
      </c>
      <c r="F48" s="9">
        <f t="array" ref="F48">_xlfn.XLOOKUP($A48,'WK 48'!$A:$A,'WK 48'!F:F,"")</f>
        <v>3</v>
      </c>
      <c r="G48" s="8">
        <v>0.375</v>
      </c>
      <c r="H48" s="8">
        <v>0.75</v>
      </c>
      <c r="I48" s="8">
        <v>0.375</v>
      </c>
      <c r="J48" s="8">
        <v>0.75</v>
      </c>
      <c r="K48" s="8">
        <v>0.375</v>
      </c>
      <c r="L48" s="8">
        <v>0.75</v>
      </c>
      <c r="M48" s="8">
        <v>0.375</v>
      </c>
      <c r="N48" s="8">
        <v>0.75</v>
      </c>
      <c r="O48" s="8">
        <v>0.375</v>
      </c>
      <c r="P48" s="8">
        <v>0.75</v>
      </c>
      <c r="Q48" s="7" t="s">
        <v>23</v>
      </c>
      <c r="R48" s="7" t="s">
        <v>23</v>
      </c>
      <c r="S48" s="7" t="s">
        <v>23</v>
      </c>
      <c r="T48" s="7" t="s">
        <v>23</v>
      </c>
      <c r="U48" s="21">
        <f>IFERROR(__xludf.DUMMYFUNCTION("TO_PURE_NUMBER(SUM(FILTER(G48:T48, ISEVEN(COLUMN(G48:T48))))-SUM(FILTER(G48:T48, ISODD(COLUMN(G48:T48)))))*24"),45)</f>
        <v>45</v>
      </c>
    </row>
    <row r="49" customHeight="1" spans="1:21">
      <c r="A49" s="7">
        <v>10320409</v>
      </c>
      <c r="B49" s="7" t="s">
        <v>57</v>
      </c>
      <c r="C49" s="7" t="str">
        <f t="array" ref="C49">_xlfn.XLOOKUP($A49,'WK 48'!A:A,'WK 48'!C:C,"")</f>
        <v>CSR</v>
      </c>
      <c r="D49" s="7" t="str">
        <f t="array" ref="D49">_xlfn.XLOOKUP($A49,'WK 48'!$A:$A,'WK 48'!D:D,"")</f>
        <v>Production</v>
      </c>
      <c r="E49" s="8" t="str">
        <f t="array" ref="E49">_xlfn.XLOOKUP($A49,'WK 48'!$A:$A,'WK 48'!E:E,"")</f>
        <v>FT</v>
      </c>
      <c r="F49" s="9">
        <f t="array" ref="F49">_xlfn.XLOOKUP($A49,'WK 48'!$A:$A,'WK 48'!F:F,"")</f>
        <v>3</v>
      </c>
      <c r="G49" s="8">
        <v>0.375</v>
      </c>
      <c r="H49" s="8">
        <v>0.75</v>
      </c>
      <c r="I49" s="8">
        <v>0.375</v>
      </c>
      <c r="J49" s="8">
        <v>0.75</v>
      </c>
      <c r="K49" s="8">
        <v>0.375</v>
      </c>
      <c r="L49" s="8">
        <v>0.75</v>
      </c>
      <c r="M49" s="7" t="s">
        <v>23</v>
      </c>
      <c r="N49" s="7" t="s">
        <v>23</v>
      </c>
      <c r="O49" s="7" t="s">
        <v>23</v>
      </c>
      <c r="P49" s="7" t="s">
        <v>23</v>
      </c>
      <c r="Q49" s="8">
        <v>0.458333333332121</v>
      </c>
      <c r="R49" s="8">
        <v>0.666666666667879</v>
      </c>
      <c r="S49" s="8">
        <v>0.458333333332121</v>
      </c>
      <c r="T49" s="8">
        <v>0.666666666667879</v>
      </c>
      <c r="U49" s="21">
        <f>IFERROR(__xludf.DUMMYFUNCTION("TO_PURE_NUMBER(SUM(FILTER(G49:T49, ISEVEN(COLUMN(G49:T49))))-SUM(FILTER(G49:T49, ISODD(COLUMN(G49:T49)))))*24"),37.0000000001164)</f>
        <v>37.0000000001164</v>
      </c>
    </row>
    <row r="50" customHeight="1" spans="1:21">
      <c r="A50" s="7">
        <v>10317151</v>
      </c>
      <c r="B50" s="7" t="s">
        <v>52</v>
      </c>
      <c r="C50" s="7" t="str">
        <f t="array" ref="C50">_xlfn.XLOOKUP($A50,'WK 48'!A:A,'WK 48'!C:C,"")</f>
        <v>CSR</v>
      </c>
      <c r="D50" s="7" t="str">
        <f t="array" ref="D50">_xlfn.XLOOKUP($A50,'WK 48'!$A:$A,'WK 48'!D:D,"")</f>
        <v>B2B</v>
      </c>
      <c r="E50" s="8" t="str">
        <f t="array" ref="E50">_xlfn.XLOOKUP($A50,'WK 48'!$A:$A,'WK 48'!E:E,"")</f>
        <v>FT</v>
      </c>
      <c r="F50" s="9">
        <f t="array" ref="F50">_xlfn.XLOOKUP($A50,'WK 48'!$A:$A,'WK 48'!F:F,"")</f>
        <v>1</v>
      </c>
      <c r="G50" s="8">
        <v>0.375</v>
      </c>
      <c r="H50" s="8">
        <v>0.75</v>
      </c>
      <c r="I50" s="8">
        <v>0.375</v>
      </c>
      <c r="J50" s="8">
        <v>0.75</v>
      </c>
      <c r="K50" s="8">
        <v>0.375</v>
      </c>
      <c r="L50" s="8">
        <v>0.75</v>
      </c>
      <c r="M50" s="8">
        <v>0.375</v>
      </c>
      <c r="N50" s="8">
        <v>0.75</v>
      </c>
      <c r="O50" s="8">
        <v>0.375</v>
      </c>
      <c r="P50" s="8">
        <v>0.75</v>
      </c>
      <c r="Q50" s="7" t="s">
        <v>23</v>
      </c>
      <c r="R50" s="7" t="s">
        <v>23</v>
      </c>
      <c r="S50" s="7" t="s">
        <v>23</v>
      </c>
      <c r="T50" s="7" t="s">
        <v>23</v>
      </c>
      <c r="U50" s="21">
        <f>IFERROR(__xludf.DUMMYFUNCTION("TO_PURE_NUMBER(SUM(FILTER(G50:T50, ISEVEN(COLUMN(G50:T50))))-SUM(FILTER(G50:T50, ISODD(COLUMN(G50:T50)))))*24"),45)</f>
        <v>45</v>
      </c>
    </row>
    <row r="51" customHeight="1" spans="1:21">
      <c r="A51" s="7">
        <v>10317524</v>
      </c>
      <c r="B51" s="7" t="s">
        <v>53</v>
      </c>
      <c r="C51" s="7" t="str">
        <f t="array" ref="C51">_xlfn.XLOOKUP($A51,'WK 48'!A:A,'WK 48'!C:C,"")</f>
        <v>CSR</v>
      </c>
      <c r="D51" s="7" t="str">
        <f t="array" ref="D51">_xlfn.XLOOKUP($A51,'WK 48'!$A:$A,'WK 48'!D:D,"")</f>
        <v>Production</v>
      </c>
      <c r="E51" s="8" t="str">
        <f t="array" ref="E51">_xlfn.XLOOKUP($A51,'WK 48'!$A:$A,'WK 48'!E:E,"")</f>
        <v>FT</v>
      </c>
      <c r="F51" s="9">
        <f t="array" ref="F51">_xlfn.XLOOKUP($A51,'WK 48'!$A:$A,'WK 48'!F:F,"")</f>
        <v>2</v>
      </c>
      <c r="G51" s="7" t="s">
        <v>23</v>
      </c>
      <c r="H51" s="7" t="s">
        <v>23</v>
      </c>
      <c r="I51" s="8">
        <v>0.458333333332121</v>
      </c>
      <c r="J51" s="8">
        <v>0.875</v>
      </c>
      <c r="K51" s="8">
        <v>0.458333333332121</v>
      </c>
      <c r="L51" s="8">
        <v>0.875</v>
      </c>
      <c r="M51" s="8">
        <v>0.458333333332121</v>
      </c>
      <c r="N51" s="8">
        <v>0.875</v>
      </c>
      <c r="O51" s="8">
        <v>0.458333333332121</v>
      </c>
      <c r="P51" s="8">
        <v>0.875</v>
      </c>
      <c r="Q51" s="8">
        <v>0.458333333332121</v>
      </c>
      <c r="R51" s="8">
        <v>0.666666666667879</v>
      </c>
      <c r="S51" s="7" t="s">
        <v>23</v>
      </c>
      <c r="T51" s="7" t="s">
        <v>23</v>
      </c>
      <c r="U51" s="21">
        <f>IFERROR(__xludf.DUMMYFUNCTION("TO_PURE_NUMBER(SUM(FILTER(G51:T51, ISEVEN(COLUMN(G51:T51))))-SUM(FILTER(G51:T51, ISODD(COLUMN(G51:T51)))))*24"),45.0000000001746)</f>
        <v>45.0000000001746</v>
      </c>
    </row>
    <row r="54" hidden="1" customHeight="1" spans="6:13">
      <c r="F54" s="7"/>
      <c r="G54" s="50" t="s">
        <v>6</v>
      </c>
      <c r="H54" s="50" t="s">
        <v>7</v>
      </c>
      <c r="I54" s="50" t="s">
        <v>8</v>
      </c>
      <c r="J54" s="50" t="s">
        <v>9</v>
      </c>
      <c r="K54" s="50" t="s">
        <v>10</v>
      </c>
      <c r="L54" s="50" t="s">
        <v>11</v>
      </c>
      <c r="M54" s="50" t="s">
        <v>12</v>
      </c>
    </row>
    <row r="55" hidden="1" customHeight="1" spans="6:13">
      <c r="F55" s="7" t="s">
        <v>73</v>
      </c>
      <c r="G55" s="88">
        <v>251.4</v>
      </c>
      <c r="H55" s="88">
        <v>212.1</v>
      </c>
      <c r="I55" s="88">
        <v>205.7</v>
      </c>
      <c r="J55" s="88">
        <v>187.9</v>
      </c>
      <c r="K55" s="88">
        <v>203.7</v>
      </c>
      <c r="L55" s="88">
        <v>115.9</v>
      </c>
      <c r="M55" s="88">
        <v>84.7</v>
      </c>
    </row>
    <row r="56" hidden="1" customHeight="1" spans="6:13">
      <c r="F56" s="7" t="s">
        <v>74</v>
      </c>
      <c r="G56" s="7">
        <f t="shared" ref="G56:J56" si="0">G58*8</f>
        <v>264</v>
      </c>
      <c r="H56" s="7">
        <f t="shared" si="0"/>
        <v>352</v>
      </c>
      <c r="I56" s="7">
        <f t="shared" si="0"/>
        <v>352</v>
      </c>
      <c r="J56" s="7">
        <f t="shared" si="0"/>
        <v>320</v>
      </c>
      <c r="K56" s="7">
        <f>K58*7.5</f>
        <v>210</v>
      </c>
      <c r="L56" s="7">
        <f t="shared" ref="L56:M56" si="1">L58*4.5</f>
        <v>81</v>
      </c>
      <c r="M56" s="7">
        <f t="shared" si="1"/>
        <v>85.5</v>
      </c>
    </row>
    <row r="57" hidden="1" customHeight="1" spans="6:13">
      <c r="F57" s="7" t="s">
        <v>75</v>
      </c>
      <c r="G57" s="57">
        <f t="shared" ref="G57:M57" si="2">G56-G55</f>
        <v>12.6</v>
      </c>
      <c r="H57" s="57">
        <f t="shared" si="2"/>
        <v>139.9</v>
      </c>
      <c r="I57" s="57">
        <f t="shared" si="2"/>
        <v>146.3</v>
      </c>
      <c r="J57" s="57">
        <f t="shared" si="2"/>
        <v>132.1</v>
      </c>
      <c r="K57" s="57">
        <f t="shared" si="2"/>
        <v>6.30000000000001</v>
      </c>
      <c r="L57" s="57">
        <f t="shared" si="2"/>
        <v>-34.9</v>
      </c>
      <c r="M57" s="57">
        <f t="shared" si="2"/>
        <v>0.799999999999997</v>
      </c>
    </row>
    <row r="58" hidden="1" customHeight="1" spans="6:13">
      <c r="F58" s="7" t="s">
        <v>76</v>
      </c>
      <c r="G58" s="7">
        <f>IFERROR(__xludf.DUMMYFUNCTION("COUNTA(FILTER($C$4:$C$51, $C$4:$C$51=""CSR"", G4:G51&lt;&gt;"""", NOT(ISTEXT(G4:G51))))"),33)</f>
        <v>33</v>
      </c>
      <c r="H58" s="7">
        <f>IFERROR(__xludf.DUMMYFUNCTION("COUNTA(FILTER($C$4:$C$51, $C$4:$C$51=""CSR"", I4:I51&lt;&gt;"""", NOT(ISTEXT(I4:I51))))"),44)</f>
        <v>44</v>
      </c>
      <c r="I58" s="7">
        <f>IFERROR(__xludf.DUMMYFUNCTION("COUNTA(FILTER($C$4:$C$51, $C$4:$C$51=""CSR"", K4:K51&lt;&gt;"""", NOT(ISTEXT(K4:K51))))"),44)</f>
        <v>44</v>
      </c>
      <c r="J58" s="7">
        <f>IFERROR(__xludf.DUMMYFUNCTION("COUNTA(FILTER($C$4:$C$51, $C$4:$C$51=""CSR"", M4:M51&lt;&gt;"""", NOT(ISTEXT(M4:M51))))"),40)</f>
        <v>40</v>
      </c>
      <c r="K58" s="7">
        <f>IFERROR(__xludf.DUMMYFUNCTION("COUNTA(FILTER($C$4:$C$51, $C$4:$C$51=""CSR"", O4:O51&lt;&gt;"""", NOT(ISTEXT(O4:O51))))"),28)</f>
        <v>28</v>
      </c>
      <c r="L58" s="7">
        <f>IFERROR(__xludf.DUMMYFUNCTION("COUNTA(FILTER($C$4:$C$51, $C$4:$C$51=""CSR"", Q4:Q51&lt;&gt;"""", NOT(ISTEXT(Q4:Q51))))"),18)</f>
        <v>18</v>
      </c>
      <c r="M58" s="7">
        <f>IFERROR(__xludf.DUMMYFUNCTION("COUNTA(FILTER($C$4:$C$51, $C$4:$C$51=""CSR"", S4:S51&lt;&gt;"""", NOT(ISTEXT(S4:S51))))"),19)</f>
        <v>19</v>
      </c>
    </row>
    <row r="59" hidden="1" customHeight="1" spans="6:13">
      <c r="F59" s="7" t="s">
        <v>77</v>
      </c>
      <c r="G59" s="56">
        <f t="shared" ref="G59:K59" si="3">G55/8</f>
        <v>31.425</v>
      </c>
      <c r="H59" s="56">
        <f t="shared" si="3"/>
        <v>26.5125</v>
      </c>
      <c r="I59" s="56">
        <f t="shared" si="3"/>
        <v>25.7125</v>
      </c>
      <c r="J59" s="56">
        <f t="shared" si="3"/>
        <v>23.4875</v>
      </c>
      <c r="K59" s="56">
        <f t="shared" si="3"/>
        <v>25.4625</v>
      </c>
      <c r="L59" s="56">
        <f t="shared" ref="L59:M59" si="4">L55/4.5</f>
        <v>25.7555555555556</v>
      </c>
      <c r="M59" s="56">
        <f t="shared" si="4"/>
        <v>18.8222222222222</v>
      </c>
    </row>
    <row r="60" hidden="1" customHeight="1" spans="6:13">
      <c r="F60" s="7" t="s">
        <v>78</v>
      </c>
      <c r="G60" s="57">
        <f t="shared" ref="G60:M60" si="5">G58-G59</f>
        <v>1.575</v>
      </c>
      <c r="H60" s="57">
        <f t="shared" si="5"/>
        <v>17.4875</v>
      </c>
      <c r="I60" s="57">
        <f t="shared" si="5"/>
        <v>18.2875</v>
      </c>
      <c r="J60" s="57">
        <f t="shared" si="5"/>
        <v>16.5125</v>
      </c>
      <c r="K60" s="57">
        <f t="shared" si="5"/>
        <v>2.5375</v>
      </c>
      <c r="L60" s="57">
        <f t="shared" si="5"/>
        <v>-7.75555555555556</v>
      </c>
      <c r="M60" s="57">
        <f t="shared" si="5"/>
        <v>0.177777777777777</v>
      </c>
    </row>
    <row r="61" hidden="1" customHeight="1" spans="6:13">
      <c r="F61" s="7" t="s">
        <v>79</v>
      </c>
      <c r="G61" s="107">
        <f t="shared" ref="G61:M61" si="6">G60/G59</f>
        <v>0.0501193317422434</v>
      </c>
      <c r="H61" s="108">
        <f t="shared" si="6"/>
        <v>0.65959453088166</v>
      </c>
      <c r="I61" s="108">
        <f t="shared" si="6"/>
        <v>0.711229946524064</v>
      </c>
      <c r="J61" s="108">
        <f t="shared" si="6"/>
        <v>0.703033528472592</v>
      </c>
      <c r="K61" s="108">
        <f t="shared" si="6"/>
        <v>0.0996563573883162</v>
      </c>
      <c r="L61" s="107">
        <f t="shared" si="6"/>
        <v>-0.301121656600518</v>
      </c>
      <c r="M61" s="107">
        <f t="shared" si="6"/>
        <v>0.00944510035419123</v>
      </c>
    </row>
  </sheetData>
  <mergeCells count="14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</mergeCells>
  <conditionalFormatting sqref="G57:M57">
    <cfRule type="cellIs" dxfId="0" priority="1" operator="lessThan">
      <formula>0</formula>
    </cfRule>
  </conditionalFormatting>
  <conditionalFormatting sqref="G4:T51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70"/>
  <sheetViews>
    <sheetView workbookViewId="0">
      <selection activeCell="A1" sqref="A1"/>
    </sheetView>
  </sheetViews>
  <sheetFormatPr defaultColWidth="12.6272727272727" defaultRowHeight="15.75" customHeight="1"/>
  <cols>
    <col min="1" max="1" width="10.6272727272727" customWidth="1"/>
    <col min="2" max="2" width="18.7545454545455" customWidth="1"/>
    <col min="3" max="3" width="7.12727272727273" customWidth="1"/>
    <col min="4" max="4" width="9" customWidth="1"/>
    <col min="5" max="6" width="4.75454545454545" customWidth="1"/>
    <col min="7" max="7" width="9.5" customWidth="1"/>
    <col min="8" max="8" width="7.75454545454545" customWidth="1"/>
    <col min="9" max="9" width="9.5" customWidth="1"/>
    <col min="10" max="10" width="7.75454545454545" customWidth="1"/>
    <col min="11" max="11" width="9.5" customWidth="1"/>
    <col min="12" max="12" width="7.75454545454545" customWidth="1"/>
    <col min="13" max="13" width="9.5" customWidth="1"/>
    <col min="14" max="14" width="7.75454545454545" customWidth="1"/>
    <col min="15" max="15" width="9.5" customWidth="1"/>
    <col min="16" max="16" width="7.75454545454545" customWidth="1"/>
    <col min="17" max="17" width="9.5" customWidth="1"/>
    <col min="18" max="18" width="7.75454545454545" customWidth="1"/>
    <col min="19" max="19" width="9.5" customWidth="1"/>
    <col min="20" max="20" width="7.75454545454545" customWidth="1"/>
    <col min="21" max="21" width="12.6272727272727" customWidth="1"/>
  </cols>
  <sheetData>
    <row r="1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48" t="s">
        <v>6</v>
      </c>
      <c r="H1" s="14"/>
      <c r="I1" s="48" t="s">
        <v>7</v>
      </c>
      <c r="J1" s="14"/>
      <c r="K1" s="48" t="s">
        <v>8</v>
      </c>
      <c r="L1" s="14"/>
      <c r="M1" s="48" t="s">
        <v>9</v>
      </c>
      <c r="N1" s="14"/>
      <c r="O1" s="48" t="s">
        <v>10</v>
      </c>
      <c r="P1" s="14"/>
      <c r="Q1" s="48" t="s">
        <v>11</v>
      </c>
      <c r="R1" s="14"/>
      <c r="S1" s="48" t="s">
        <v>12</v>
      </c>
      <c r="T1" s="14"/>
    </row>
    <row r="2" customHeight="1" spans="1:20">
      <c r="A2" s="47"/>
      <c r="B2" s="47"/>
      <c r="C2" s="47"/>
      <c r="D2" s="47"/>
      <c r="E2" s="47"/>
      <c r="F2" s="120"/>
      <c r="G2" s="3">
        <v>45628</v>
      </c>
      <c r="H2" s="14"/>
      <c r="I2" s="3">
        <v>45629</v>
      </c>
      <c r="J2" s="14"/>
      <c r="K2" s="3">
        <v>45630</v>
      </c>
      <c r="L2" s="14"/>
      <c r="M2" s="3">
        <v>45631</v>
      </c>
      <c r="N2" s="14"/>
      <c r="O2" s="3">
        <v>45632</v>
      </c>
      <c r="P2" s="14"/>
      <c r="Q2" s="3">
        <v>45633</v>
      </c>
      <c r="R2" s="14"/>
      <c r="S2" s="3">
        <v>45634</v>
      </c>
      <c r="T2" s="14"/>
    </row>
    <row r="3" customHeight="1" spans="1:21">
      <c r="A3" s="47"/>
      <c r="B3" s="47"/>
      <c r="C3" s="47"/>
      <c r="D3" s="47"/>
      <c r="E3" s="47"/>
      <c r="F3" s="120"/>
      <c r="G3" s="16" t="s">
        <v>80</v>
      </c>
      <c r="H3" s="16" t="s">
        <v>81</v>
      </c>
      <c r="I3" s="16" t="s">
        <v>80</v>
      </c>
      <c r="J3" s="16" t="s">
        <v>81</v>
      </c>
      <c r="K3" s="16" t="s">
        <v>80</v>
      </c>
      <c r="L3" s="16" t="s">
        <v>81</v>
      </c>
      <c r="M3" s="16" t="s">
        <v>80</v>
      </c>
      <c r="N3" s="16" t="s">
        <v>81</v>
      </c>
      <c r="O3" s="16" t="s">
        <v>80</v>
      </c>
      <c r="P3" s="16" t="s">
        <v>81</v>
      </c>
      <c r="Q3" s="16" t="s">
        <v>80</v>
      </c>
      <c r="R3" s="16" t="s">
        <v>81</v>
      </c>
      <c r="S3" s="16" t="s">
        <v>80</v>
      </c>
      <c r="T3" s="16" t="s">
        <v>81</v>
      </c>
      <c r="U3" s="11" t="s">
        <v>82</v>
      </c>
    </row>
    <row r="4" customHeight="1" spans="1:21">
      <c r="A4" s="7">
        <v>10320410</v>
      </c>
      <c r="B4" s="7" t="s">
        <v>58</v>
      </c>
      <c r="C4" s="7" t="str">
        <f t="array" ref="C4">_xlfn.XLOOKUP($A4,'WK 48'!$A:$A,'WK 48'!C:C,"")</f>
        <v>CSR</v>
      </c>
      <c r="D4" s="7" t="str">
        <f t="array" ref="D4">_xlfn.XLOOKUP($A4,'WK 48'!$A:$A,'WK 48'!D:D,"")</f>
        <v>Production</v>
      </c>
      <c r="E4" s="8" t="str">
        <f t="array" ref="E4">_xlfn.XLOOKUP($A4,'WK 48'!$A:$A,'WK 48'!E:E,"")</f>
        <v>FT</v>
      </c>
      <c r="F4" s="9">
        <f t="array" ref="F4">_xlfn.XLOOKUP($A4,'WK 48'!$A:$A,'WK 48'!F:F,"")</f>
        <v>3</v>
      </c>
      <c r="G4" s="8">
        <v>0.5</v>
      </c>
      <c r="H4" s="8">
        <v>0.875</v>
      </c>
      <c r="I4" s="8">
        <v>0.5</v>
      </c>
      <c r="J4" s="8">
        <v>0.875</v>
      </c>
      <c r="K4" s="8">
        <v>0.5</v>
      </c>
      <c r="L4" s="8">
        <v>0.875</v>
      </c>
      <c r="M4" s="8">
        <v>0.5</v>
      </c>
      <c r="N4" s="8">
        <v>0.875</v>
      </c>
      <c r="O4" s="8">
        <v>0.5</v>
      </c>
      <c r="P4" s="8">
        <v>0.875</v>
      </c>
      <c r="Q4" s="7" t="s">
        <v>23</v>
      </c>
      <c r="R4" s="7" t="s">
        <v>23</v>
      </c>
      <c r="S4" s="7" t="s">
        <v>23</v>
      </c>
      <c r="T4" s="7" t="s">
        <v>23</v>
      </c>
      <c r="U4" s="21">
        <f>IFERROR(__xludf.DUMMYFUNCTION("TO_PURE_NUMBER(SUM(FILTER(G4:T4, ISEVEN(COLUMN(G4:T4))))-SUM(FILTER(G4:T4, ISODD(COLUMN(G4:T4)))))*24"),45)</f>
        <v>45</v>
      </c>
    </row>
    <row r="5" customHeight="1" spans="1:21">
      <c r="A5" s="7">
        <v>10320415</v>
      </c>
      <c r="B5" s="7" t="s">
        <v>63</v>
      </c>
      <c r="C5" s="7" t="str">
        <f t="array" ref="C5">_xlfn.XLOOKUP($A5,'WK 48'!A:A,'WK 48'!C:C,"")</f>
        <v>CSR</v>
      </c>
      <c r="D5" s="7" t="str">
        <f t="array" ref="D5">_xlfn.XLOOKUP($A5,'WK 48'!$A:$A,'WK 48'!D:D,"")</f>
        <v>Production</v>
      </c>
      <c r="E5" s="8" t="str">
        <f t="array" ref="E5">_xlfn.XLOOKUP($A5,'WK 48'!$A:$A,'WK 48'!E:E,"")</f>
        <v>FT</v>
      </c>
      <c r="F5" s="9">
        <f t="array" ref="F5">_xlfn.XLOOKUP($A5,'WK 48'!$A:$A,'WK 48'!F:F,"")</f>
        <v>3</v>
      </c>
      <c r="G5" s="8">
        <v>0.375</v>
      </c>
      <c r="H5" s="8">
        <v>0.75</v>
      </c>
      <c r="I5" s="8">
        <v>0.375</v>
      </c>
      <c r="J5" s="8">
        <v>0.75</v>
      </c>
      <c r="K5" s="8">
        <v>0.375</v>
      </c>
      <c r="L5" s="8">
        <v>0.75</v>
      </c>
      <c r="M5" s="8">
        <v>0.375</v>
      </c>
      <c r="N5" s="8">
        <v>0.75</v>
      </c>
      <c r="O5" s="8">
        <v>0.375</v>
      </c>
      <c r="P5" s="8">
        <v>0.75</v>
      </c>
      <c r="Q5" s="7" t="s">
        <v>23</v>
      </c>
      <c r="R5" s="7" t="s">
        <v>23</v>
      </c>
      <c r="S5" s="7" t="s">
        <v>23</v>
      </c>
      <c r="T5" s="7" t="s">
        <v>23</v>
      </c>
      <c r="U5" s="21">
        <f>IFERROR(__xludf.DUMMYFUNCTION("TO_PURE_NUMBER(SUM(FILTER(G5:T5, ISEVEN(COLUMN(G5:T5))))-SUM(FILTER(G5:T5, ISODD(COLUMN(G5:T5)))))*24"),45)</f>
        <v>45</v>
      </c>
    </row>
    <row r="6" customHeight="1" spans="1:21">
      <c r="A6" s="7">
        <v>10317522</v>
      </c>
      <c r="B6" s="7" t="s">
        <v>31</v>
      </c>
      <c r="C6" s="7" t="str">
        <f t="array" ref="C6">_xlfn.XLOOKUP($A6,'WK 48'!A:A,'WK 48'!C:C,"")</f>
        <v>CSR</v>
      </c>
      <c r="D6" s="7" t="str">
        <f t="array" ref="D6">_xlfn.XLOOKUP($A6,'WK 48'!$A:$A,'WK 48'!D:D,"")</f>
        <v>Production</v>
      </c>
      <c r="E6" s="8" t="str">
        <f t="array" ref="E6">_xlfn.XLOOKUP($A6,'WK 48'!$A:$A,'WK 48'!E:E,"")</f>
        <v>FT</v>
      </c>
      <c r="F6" s="9">
        <f t="array" ref="F6">_xlfn.XLOOKUP($A6,'WK 48'!$A:$A,'WK 48'!F:F,"")</f>
        <v>2</v>
      </c>
      <c r="G6" s="8">
        <v>0.375</v>
      </c>
      <c r="H6" s="8">
        <v>0.791666666667879</v>
      </c>
      <c r="I6" s="8">
        <v>0.375</v>
      </c>
      <c r="J6" s="8">
        <v>0.791666666667879</v>
      </c>
      <c r="K6" s="8">
        <v>0.375</v>
      </c>
      <c r="L6" s="8">
        <v>0.791666666667879</v>
      </c>
      <c r="M6" s="8">
        <v>0.375</v>
      </c>
      <c r="N6" s="8">
        <v>0.791666666667879</v>
      </c>
      <c r="O6" s="7" t="s">
        <v>23</v>
      </c>
      <c r="P6" s="7" t="s">
        <v>23</v>
      </c>
      <c r="Q6" s="7" t="s">
        <v>23</v>
      </c>
      <c r="R6" s="7" t="s">
        <v>23</v>
      </c>
      <c r="S6" s="8">
        <v>0.458333333332121</v>
      </c>
      <c r="T6" s="8">
        <v>0.666666666667879</v>
      </c>
      <c r="U6" s="21">
        <f>IFERROR(__xludf.DUMMYFUNCTION("TO_PURE_NUMBER(SUM(FILTER(G6:T6, ISEVEN(COLUMN(G6:T6))))-SUM(FILTER(G6:T6, ISODD(COLUMN(G6:T6)))))*24"),45.0000000001746)</f>
        <v>45.0000000001746</v>
      </c>
    </row>
    <row r="7" customHeight="1" spans="1:21">
      <c r="A7" s="7">
        <v>10316549</v>
      </c>
      <c r="B7" s="7" t="s">
        <v>19</v>
      </c>
      <c r="C7" s="7" t="str">
        <f t="array" ref="C7">_xlfn.XLOOKUP($A7,'WK 48'!A:A,'WK 48'!C:C,"")</f>
        <v>CSR</v>
      </c>
      <c r="D7" s="7" t="str">
        <f t="array" ref="D7">_xlfn.XLOOKUP($A7,'WK 48'!$A:$A,'WK 48'!D:D,"")</f>
        <v>B2B</v>
      </c>
      <c r="E7" s="8" t="str">
        <f t="array" ref="E7">_xlfn.XLOOKUP($A7,'WK 48'!$A:$A,'WK 48'!E:E,"")</f>
        <v>FT</v>
      </c>
      <c r="F7" s="9">
        <f t="array" ref="F7">_xlfn.XLOOKUP($A7,'WK 48'!$A:$A,'WK 48'!F:F,"")</f>
        <v>1</v>
      </c>
      <c r="G7" s="8">
        <v>0.375</v>
      </c>
      <c r="H7" s="8">
        <v>0.75</v>
      </c>
      <c r="I7" s="8">
        <v>0.375</v>
      </c>
      <c r="J7" s="8">
        <v>0.75</v>
      </c>
      <c r="K7" s="8">
        <v>0.375</v>
      </c>
      <c r="L7" s="8">
        <v>0.75</v>
      </c>
      <c r="M7" s="8">
        <v>0.375</v>
      </c>
      <c r="N7" s="8">
        <v>0.75</v>
      </c>
      <c r="O7" s="8">
        <v>0.375</v>
      </c>
      <c r="P7" s="8">
        <v>0.75</v>
      </c>
      <c r="Q7" s="7" t="s">
        <v>23</v>
      </c>
      <c r="R7" s="7" t="s">
        <v>23</v>
      </c>
      <c r="S7" s="7" t="s">
        <v>23</v>
      </c>
      <c r="T7" s="7" t="s">
        <v>23</v>
      </c>
      <c r="U7" s="21">
        <f>IFERROR(__xludf.DUMMYFUNCTION("TO_PURE_NUMBER(SUM(FILTER(G7:T7, ISEVEN(COLUMN(G7:T7))))-SUM(FILTER(G7:T7, ISODD(COLUMN(G7:T7)))))*24"),45)</f>
        <v>45</v>
      </c>
    </row>
    <row r="8" customHeight="1" spans="1:21">
      <c r="A8" s="7">
        <v>10320413</v>
      </c>
      <c r="B8" s="7" t="s">
        <v>60</v>
      </c>
      <c r="C8" s="7" t="str">
        <f t="array" ref="C8">_xlfn.XLOOKUP($A8,'WK 48'!A:A,'WK 48'!C:C,"")</f>
        <v>CSR</v>
      </c>
      <c r="D8" s="7" t="str">
        <f t="array" ref="D8">_xlfn.XLOOKUP($A8,'WK 48'!$A:$A,'WK 48'!D:D,"")</f>
        <v>Production</v>
      </c>
      <c r="E8" s="8" t="str">
        <f t="array" ref="E8">_xlfn.XLOOKUP($A8,'WK 48'!$A:$A,'WK 48'!E:E,"")</f>
        <v>FT</v>
      </c>
      <c r="F8" s="9">
        <f t="array" ref="F8">_xlfn.XLOOKUP($A8,'WK 48'!$A:$A,'WK 48'!F:F,"")</f>
        <v>3</v>
      </c>
      <c r="G8" s="8">
        <v>0.375</v>
      </c>
      <c r="H8" s="8">
        <v>0.791666666667879</v>
      </c>
      <c r="I8" s="8">
        <v>0.375</v>
      </c>
      <c r="J8" s="8">
        <v>0.791666666667879</v>
      </c>
      <c r="K8" s="8">
        <v>0.375</v>
      </c>
      <c r="L8" s="8">
        <v>0.791666666667879</v>
      </c>
      <c r="M8" s="8">
        <v>0.375</v>
      </c>
      <c r="N8" s="8">
        <v>0.791666666667879</v>
      </c>
      <c r="O8" s="7" t="s">
        <v>23</v>
      </c>
      <c r="P8" s="7" t="s">
        <v>23</v>
      </c>
      <c r="Q8" s="7" t="s">
        <v>23</v>
      </c>
      <c r="R8" s="7" t="s">
        <v>23</v>
      </c>
      <c r="S8" s="8">
        <v>0.458333333332121</v>
      </c>
      <c r="T8" s="8">
        <v>0.666666666667879</v>
      </c>
      <c r="U8" s="21">
        <f>IFERROR(__xludf.DUMMYFUNCTION("TO_PURE_NUMBER(SUM(FILTER(G8:T8, ISEVEN(COLUMN(G8:T8))))-SUM(FILTER(G8:T8, ISODD(COLUMN(G8:T8)))))*24"),45.0000000001746)</f>
        <v>45.0000000001746</v>
      </c>
    </row>
    <row r="9" customHeight="1" spans="1:21">
      <c r="A9" s="7">
        <v>10320418</v>
      </c>
      <c r="B9" s="7" t="s">
        <v>68</v>
      </c>
      <c r="C9" s="7" t="str">
        <f t="array" ref="C9">_xlfn.XLOOKUP($A9,'WK 48'!A:A,'WK 48'!C:C,"")</f>
        <v>CSR</v>
      </c>
      <c r="D9" s="7" t="str">
        <f t="array" ref="D9">_xlfn.XLOOKUP($A9,'WK 48'!$A:$A,'WK 48'!D:D,"")</f>
        <v>Production</v>
      </c>
      <c r="E9" s="8" t="str">
        <f t="array" ref="E9">_xlfn.XLOOKUP($A9,'WK 48'!$A:$A,'WK 48'!E:E,"")</f>
        <v>FT</v>
      </c>
      <c r="F9" s="9">
        <f t="array" ref="F9">_xlfn.XLOOKUP($A9,'WK 48'!$A:$A,'WK 48'!F:F,"")</f>
        <v>3</v>
      </c>
      <c r="G9" s="8">
        <v>0.5</v>
      </c>
      <c r="H9" s="8">
        <v>0.875</v>
      </c>
      <c r="I9" s="8">
        <v>0.5</v>
      </c>
      <c r="J9" s="8">
        <v>0.875</v>
      </c>
      <c r="K9" s="8">
        <v>0.5</v>
      </c>
      <c r="L9" s="8">
        <v>0.875</v>
      </c>
      <c r="M9" s="8">
        <v>0.5</v>
      </c>
      <c r="N9" s="8">
        <v>0.875</v>
      </c>
      <c r="O9" s="7" t="s">
        <v>23</v>
      </c>
      <c r="P9" s="7" t="s">
        <v>23</v>
      </c>
      <c r="Q9" s="7" t="s">
        <v>23</v>
      </c>
      <c r="R9" s="7" t="s">
        <v>23</v>
      </c>
      <c r="S9" s="8">
        <v>0.458333333332121</v>
      </c>
      <c r="T9" s="8">
        <v>0.666666666667879</v>
      </c>
      <c r="U9" s="21">
        <f>IFERROR(__xludf.DUMMYFUNCTION("TO_PURE_NUMBER(SUM(FILTER(G9:T9, ISEVEN(COLUMN(G9:T9))))-SUM(FILTER(G9:T9, ISODD(COLUMN(G9:T9)))))*24"),41.0000000000582)</f>
        <v>41.0000000000582</v>
      </c>
    </row>
    <row r="10" customHeight="1" spans="1:21">
      <c r="A10" s="7">
        <v>10317147</v>
      </c>
      <c r="B10" s="7" t="s">
        <v>24</v>
      </c>
      <c r="C10" s="7" t="str">
        <f t="array" ref="C10">_xlfn.XLOOKUP($A10,'WK 48'!A:A,'WK 48'!C:C,"")</f>
        <v>CSR</v>
      </c>
      <c r="D10" s="7" t="str">
        <f t="array" ref="D10">_xlfn.XLOOKUP($A10,'WK 48'!$A:$A,'WK 48'!D:D,"")</f>
        <v>Production</v>
      </c>
      <c r="E10" s="8" t="str">
        <f t="array" ref="E10">_xlfn.XLOOKUP($A10,'WK 48'!$A:$A,'WK 48'!E:E,"")</f>
        <v>FT</v>
      </c>
      <c r="F10" s="9">
        <f t="array" ref="F10">_xlfn.XLOOKUP($A10,'WK 48'!$A:$A,'WK 48'!F:F,"")</f>
        <v>1</v>
      </c>
      <c r="G10" s="7" t="s">
        <v>23</v>
      </c>
      <c r="H10" s="7" t="s">
        <v>23</v>
      </c>
      <c r="I10" s="8">
        <v>0.375</v>
      </c>
      <c r="J10" s="8">
        <v>0.791666666667879</v>
      </c>
      <c r="K10" s="8">
        <v>0.375</v>
      </c>
      <c r="L10" s="8">
        <v>0.791666666667879</v>
      </c>
      <c r="M10" s="8">
        <v>0.375</v>
      </c>
      <c r="N10" s="8">
        <v>0.791666666667879</v>
      </c>
      <c r="O10" s="8">
        <v>0.375</v>
      </c>
      <c r="P10" s="8">
        <v>0.791666666667879</v>
      </c>
      <c r="Q10" s="8">
        <v>0.458333333332121</v>
      </c>
      <c r="R10" s="8">
        <v>0.666666666667879</v>
      </c>
      <c r="S10" s="7" t="s">
        <v>23</v>
      </c>
      <c r="T10" s="7" t="s">
        <v>23</v>
      </c>
      <c r="U10" s="21">
        <f>IFERROR(__xludf.DUMMYFUNCTION("TO_PURE_NUMBER(SUM(FILTER(G10:T10, ISEVEN(COLUMN(G10:T10))))-SUM(FILTER(G10:T10, ISODD(COLUMN(G10:T10)))))*24"),45.0000000001746)</f>
        <v>45.0000000001746</v>
      </c>
    </row>
    <row r="11" customHeight="1" spans="1:21">
      <c r="A11" s="7">
        <v>10272259</v>
      </c>
      <c r="B11" s="7" t="s">
        <v>32</v>
      </c>
      <c r="C11" s="7" t="str">
        <f t="array" ref="C11">_xlfn.XLOOKUP($A11,'WK 48'!A:A,'WK 48'!C:C,"")</f>
        <v>CSR</v>
      </c>
      <c r="D11" s="7" t="str">
        <f t="array" ref="D11">_xlfn.XLOOKUP($A11,'WK 48'!$A:$A,'WK 48'!D:D,"")</f>
        <v>Production</v>
      </c>
      <c r="E11" s="8" t="str">
        <f t="array" ref="E11">_xlfn.XLOOKUP($A11,'WK 48'!$A:$A,'WK 48'!E:E,"")</f>
        <v>FT</v>
      </c>
      <c r="F11" s="9">
        <f t="array" ref="F11">_xlfn.XLOOKUP($A11,'WK 48'!$A:$A,'WK 48'!F:F,"")</f>
        <v>2</v>
      </c>
      <c r="G11" s="8">
        <v>0.375</v>
      </c>
      <c r="H11" s="8">
        <v>0.75</v>
      </c>
      <c r="I11" s="7" t="s">
        <v>23</v>
      </c>
      <c r="J11" s="7" t="s">
        <v>23</v>
      </c>
      <c r="K11" s="7" t="s">
        <v>23</v>
      </c>
      <c r="L11" s="7" t="s">
        <v>23</v>
      </c>
      <c r="M11" s="8">
        <v>0.375</v>
      </c>
      <c r="N11" s="8">
        <v>0.75</v>
      </c>
      <c r="O11" s="8">
        <v>0.375</v>
      </c>
      <c r="P11" s="8">
        <v>0.75</v>
      </c>
      <c r="Q11" s="8">
        <v>0.458333333332121</v>
      </c>
      <c r="R11" s="8">
        <v>0.666666666667879</v>
      </c>
      <c r="S11" s="8">
        <v>0.458333333332121</v>
      </c>
      <c r="T11" s="8">
        <v>0.666666666667879</v>
      </c>
      <c r="U11" s="21">
        <f>IFERROR(__xludf.DUMMYFUNCTION("TO_PURE_NUMBER(SUM(FILTER(G11:T11, ISEVEN(COLUMN(G11:T11))))-SUM(FILTER(G11:T11, ISODD(COLUMN(G11:T11)))))*24"),37.0000000001164)</f>
        <v>37.0000000001164</v>
      </c>
    </row>
    <row r="12" customHeight="1" spans="1:21">
      <c r="A12" s="7">
        <v>10320412</v>
      </c>
      <c r="B12" s="7" t="s">
        <v>59</v>
      </c>
      <c r="C12" s="7" t="str">
        <f t="array" ref="C12">_xlfn.XLOOKUP($A12,'WK 48'!A:A,'WK 48'!C:C,"")</f>
        <v>CSR</v>
      </c>
      <c r="D12" s="7" t="str">
        <f t="array" ref="D12">_xlfn.XLOOKUP($A12,'WK 48'!$A:$A,'WK 48'!D:D,"")</f>
        <v>Production</v>
      </c>
      <c r="E12" s="8" t="str">
        <f t="array" ref="E12">_xlfn.XLOOKUP($A12,'WK 48'!$A:$A,'WK 48'!E:E,"")</f>
        <v>FT</v>
      </c>
      <c r="F12" s="9">
        <f t="array" ref="F12">_xlfn.XLOOKUP($A12,'WK 48'!$A:$A,'WK 48'!F:F,"")</f>
        <v>3</v>
      </c>
      <c r="G12" s="8">
        <v>0.375</v>
      </c>
      <c r="H12" s="8">
        <v>0.75</v>
      </c>
      <c r="I12" s="8">
        <v>0.375</v>
      </c>
      <c r="J12" s="8">
        <v>0.75</v>
      </c>
      <c r="K12" s="8">
        <v>0.375</v>
      </c>
      <c r="L12" s="8">
        <v>0.75</v>
      </c>
      <c r="M12" s="8">
        <v>0.375</v>
      </c>
      <c r="N12" s="8">
        <v>0.75</v>
      </c>
      <c r="O12" s="8">
        <v>0.375</v>
      </c>
      <c r="P12" s="8">
        <v>0.75</v>
      </c>
      <c r="Q12" s="7" t="s">
        <v>23</v>
      </c>
      <c r="R12" s="7" t="s">
        <v>23</v>
      </c>
      <c r="S12" s="7" t="s">
        <v>23</v>
      </c>
      <c r="T12" s="7" t="s">
        <v>23</v>
      </c>
      <c r="U12" s="21">
        <f>IFERROR(__xludf.DUMMYFUNCTION("TO_PURE_NUMBER(SUM(FILTER(G12:T12, ISEVEN(COLUMN(G12:T12))))-SUM(FILTER(G12:T12, ISODD(COLUMN(G12:T12)))))*24"),45)</f>
        <v>45</v>
      </c>
    </row>
    <row r="13" customHeight="1" spans="1:21">
      <c r="A13" s="7">
        <v>10316543</v>
      </c>
      <c r="B13" s="55" t="s">
        <v>41</v>
      </c>
      <c r="C13" s="7" t="str">
        <f t="array" ref="C13">_xlfn.XLOOKUP($A13,'WK 48'!A:A,'WK 48'!C:C,"")</f>
        <v>CSR</v>
      </c>
      <c r="D13" s="7" t="str">
        <f t="array" ref="D13">_xlfn.XLOOKUP($A13,'WK 48'!$A:$A,'WK 48'!D:D,"")</f>
        <v>Production</v>
      </c>
      <c r="E13" s="8" t="str">
        <f t="array" ref="E13">_xlfn.XLOOKUP($A13,'WK 48'!$A:$A,'WK 48'!E:E,"")</f>
        <v>FT</v>
      </c>
      <c r="F13" s="9">
        <f t="array" ref="F13">_xlfn.XLOOKUP($A13,'WK 48'!$A:$A,'WK 48'!F:F,"")</f>
        <v>1</v>
      </c>
      <c r="G13" s="8">
        <v>0.375</v>
      </c>
      <c r="H13" s="8">
        <v>0.75</v>
      </c>
      <c r="I13" s="8">
        <v>0.375</v>
      </c>
      <c r="J13" s="8">
        <v>0.75</v>
      </c>
      <c r="K13" s="8">
        <v>0.375</v>
      </c>
      <c r="L13" s="8">
        <v>0.75</v>
      </c>
      <c r="M13" s="7" t="s">
        <v>23</v>
      </c>
      <c r="N13" s="7" t="s">
        <v>23</v>
      </c>
      <c r="O13" s="7" t="s">
        <v>23</v>
      </c>
      <c r="P13" s="7" t="s">
        <v>23</v>
      </c>
      <c r="Q13" s="8">
        <v>0.458333333332121</v>
      </c>
      <c r="R13" s="8">
        <v>0.666666666667879</v>
      </c>
      <c r="S13" s="8">
        <v>0.458333333332121</v>
      </c>
      <c r="T13" s="8">
        <v>0.666666666667879</v>
      </c>
      <c r="U13" s="21">
        <f>IFERROR(__xludf.DUMMYFUNCTION("TO_PURE_NUMBER(SUM(FILTER(G13:T13, ISEVEN(COLUMN(G13:T13))))-SUM(FILTER(G13:T13, ISODD(COLUMN(G13:T13)))))*24"),37.0000000001164)</f>
        <v>37.0000000001164</v>
      </c>
    </row>
    <row r="14" customHeight="1" spans="1:21">
      <c r="A14" s="7">
        <v>10316618</v>
      </c>
      <c r="B14" s="7" t="s">
        <v>33</v>
      </c>
      <c r="C14" s="7" t="str">
        <f t="array" ref="C14">_xlfn.XLOOKUP($A14,'WK 48'!A:A,'WK 48'!C:C,"")</f>
        <v>CSR</v>
      </c>
      <c r="D14" s="7" t="str">
        <f t="array" ref="D14">_xlfn.XLOOKUP($A14,'WK 48'!$A:$A,'WK 48'!D:D,"")</f>
        <v>B2B</v>
      </c>
      <c r="E14" s="8" t="str">
        <f t="array" ref="E14">_xlfn.XLOOKUP($A14,'WK 48'!$A:$A,'WK 48'!E:E,"")</f>
        <v>FT</v>
      </c>
      <c r="F14" s="9">
        <f t="array" ref="F14">_xlfn.XLOOKUP($A14,'WK 48'!$A:$A,'WK 48'!F:F,"")</f>
        <v>1</v>
      </c>
      <c r="G14" s="8">
        <v>0.5</v>
      </c>
      <c r="H14" s="8">
        <v>0.875</v>
      </c>
      <c r="I14" s="8">
        <v>0.5</v>
      </c>
      <c r="J14" s="8">
        <v>0.875</v>
      </c>
      <c r="K14" s="8">
        <v>0.5</v>
      </c>
      <c r="L14" s="8">
        <v>0.875</v>
      </c>
      <c r="M14" s="8">
        <v>0.5</v>
      </c>
      <c r="N14" s="8">
        <v>0.875</v>
      </c>
      <c r="O14" s="8">
        <v>0.5</v>
      </c>
      <c r="P14" s="8">
        <v>0.875</v>
      </c>
      <c r="Q14" s="7" t="s">
        <v>23</v>
      </c>
      <c r="R14" s="7" t="s">
        <v>23</v>
      </c>
      <c r="S14" s="7" t="s">
        <v>23</v>
      </c>
      <c r="T14" s="7" t="s">
        <v>23</v>
      </c>
      <c r="U14" s="21">
        <f>IFERROR(__xludf.DUMMYFUNCTION("TO_PURE_NUMBER(SUM(FILTER(G14:T14, ISEVEN(COLUMN(G14:T14))))-SUM(FILTER(G14:T14, ISODD(COLUMN(G14:T14)))))*24"),45)</f>
        <v>45</v>
      </c>
    </row>
    <row r="15" customHeight="1" spans="1:21">
      <c r="A15" s="7">
        <v>10250963</v>
      </c>
      <c r="B15" s="7" t="s">
        <v>25</v>
      </c>
      <c r="C15" s="7" t="str">
        <f t="array" ref="C15">_xlfn.XLOOKUP($A15,'WK 48'!A:A,'WK 48'!C:C,"")</f>
        <v>CSR</v>
      </c>
      <c r="D15" s="7" t="str">
        <f t="array" ref="D15">_xlfn.XLOOKUP($A15,'WK 48'!$A:$A,'WK 48'!D:D,"")</f>
        <v>Production</v>
      </c>
      <c r="E15" s="8" t="str">
        <f t="array" ref="E15">_xlfn.XLOOKUP($A15,'WK 48'!$A:$A,'WK 48'!E:E,"")</f>
        <v>FT</v>
      </c>
      <c r="F15" s="9">
        <f t="array" ref="F15">_xlfn.XLOOKUP($A15,'WK 48'!$A:$A,'WK 48'!F:F,"")</f>
        <v>1</v>
      </c>
      <c r="G15" s="7" t="s">
        <v>23</v>
      </c>
      <c r="H15" s="7" t="s">
        <v>23</v>
      </c>
      <c r="I15" s="8">
        <v>0.375</v>
      </c>
      <c r="J15" s="8">
        <v>0.791666666667879</v>
      </c>
      <c r="K15" s="8">
        <v>0.375</v>
      </c>
      <c r="L15" s="8">
        <v>0.791666666667879</v>
      </c>
      <c r="M15" s="8">
        <v>0.375</v>
      </c>
      <c r="N15" s="8">
        <v>0.791666666667879</v>
      </c>
      <c r="O15" s="8">
        <v>0.375</v>
      </c>
      <c r="P15" s="8">
        <v>0.791666666667879</v>
      </c>
      <c r="Q15" s="8">
        <v>0.458333333332121</v>
      </c>
      <c r="R15" s="8">
        <v>0.666666666667879</v>
      </c>
      <c r="S15" s="7" t="s">
        <v>23</v>
      </c>
      <c r="T15" s="7" t="s">
        <v>23</v>
      </c>
      <c r="U15" s="21">
        <f>IFERROR(__xludf.DUMMYFUNCTION("TO_PURE_NUMBER(SUM(FILTER(G15:T15, ISEVEN(COLUMN(G15:T15))))-SUM(FILTER(G15:T15, ISODD(COLUMN(G15:T15)))))*24"),45.0000000001746)</f>
        <v>45.0000000001746</v>
      </c>
    </row>
    <row r="16" customHeight="1" spans="1:21">
      <c r="A16" s="7">
        <v>10252106</v>
      </c>
      <c r="B16" s="7" t="s">
        <v>43</v>
      </c>
      <c r="C16" s="7" t="str">
        <f t="array" ref="C16">_xlfn.XLOOKUP($A16,'WK 48'!A:A,'WK 48'!C:C,"")</f>
        <v>CSR</v>
      </c>
      <c r="D16" s="7" t="str">
        <f t="array" ref="D16">_xlfn.XLOOKUP($A16,'WK 48'!$A:$A,'WK 48'!D:D,"")</f>
        <v>Production</v>
      </c>
      <c r="E16" s="8" t="str">
        <f t="array" ref="E16">_xlfn.XLOOKUP($A16,'WK 48'!$A:$A,'WK 48'!E:E,"")</f>
        <v>FT</v>
      </c>
      <c r="F16" s="9">
        <f t="array" ref="F16">_xlfn.XLOOKUP($A16,'WK 48'!$A:$A,'WK 48'!F:F,"")</f>
        <v>2</v>
      </c>
      <c r="G16" s="8">
        <v>0.5</v>
      </c>
      <c r="H16" s="8">
        <v>0.875</v>
      </c>
      <c r="I16" s="7" t="s">
        <v>23</v>
      </c>
      <c r="J16" s="7" t="s">
        <v>23</v>
      </c>
      <c r="K16" s="7" t="s">
        <v>23</v>
      </c>
      <c r="L16" s="7" t="s">
        <v>23</v>
      </c>
      <c r="M16" s="8">
        <v>0.5</v>
      </c>
      <c r="N16" s="8">
        <v>0.875</v>
      </c>
      <c r="O16" s="8">
        <v>0.5</v>
      </c>
      <c r="P16" s="8">
        <v>0.875</v>
      </c>
      <c r="Q16" s="8">
        <v>0.458333333332121</v>
      </c>
      <c r="R16" s="8">
        <v>0.666666666667879</v>
      </c>
      <c r="S16" s="8">
        <v>0.458333333332121</v>
      </c>
      <c r="T16" s="8">
        <v>0.666666666667879</v>
      </c>
      <c r="U16" s="21">
        <f>IFERROR(__xludf.DUMMYFUNCTION("TO_PURE_NUMBER(SUM(FILTER(G16:T16, ISEVEN(COLUMN(G16:T16))))-SUM(FILTER(G16:T16, ISODD(COLUMN(G16:T16)))))*24"),37.0000000001164)</f>
        <v>37.0000000001164</v>
      </c>
    </row>
    <row r="17" customHeight="1" spans="1:21">
      <c r="A17" s="7">
        <v>10317520</v>
      </c>
      <c r="B17" s="7" t="s">
        <v>37</v>
      </c>
      <c r="C17" s="7" t="str">
        <f t="array" ref="C17">_xlfn.XLOOKUP($A17,'WK 48'!A:A,'WK 48'!C:C,"")</f>
        <v>CSR</v>
      </c>
      <c r="D17" s="7" t="str">
        <f t="array" ref="D17">_xlfn.XLOOKUP($A17,'WK 48'!$A:$A,'WK 48'!D:D,"")</f>
        <v>Production</v>
      </c>
      <c r="E17" s="8" t="str">
        <f t="array" ref="E17">_xlfn.XLOOKUP($A17,'WK 48'!$A:$A,'WK 48'!E:E,"")</f>
        <v>FT</v>
      </c>
      <c r="F17" s="9">
        <f t="array" ref="F17">_xlfn.XLOOKUP($A17,'WK 48'!$A:$A,'WK 48'!F:F,"")</f>
        <v>2</v>
      </c>
      <c r="G17" s="7" t="s">
        <v>23</v>
      </c>
      <c r="H17" s="7" t="s">
        <v>23</v>
      </c>
      <c r="I17" s="8">
        <v>0.333333333332121</v>
      </c>
      <c r="J17" s="8">
        <v>0.75</v>
      </c>
      <c r="K17" s="8">
        <v>0.333333333332121</v>
      </c>
      <c r="L17" s="8">
        <v>0.75</v>
      </c>
      <c r="M17" s="8">
        <v>0.333333333332121</v>
      </c>
      <c r="N17" s="8">
        <v>0.75</v>
      </c>
      <c r="O17" s="8">
        <v>0.375</v>
      </c>
      <c r="P17" s="8">
        <v>0.791666666667879</v>
      </c>
      <c r="Q17" s="8">
        <v>0.416666666667879</v>
      </c>
      <c r="R17" s="8">
        <v>0.625</v>
      </c>
      <c r="S17" s="7" t="s">
        <v>23</v>
      </c>
      <c r="T17" s="7" t="s">
        <v>23</v>
      </c>
      <c r="U17" s="21">
        <f>IFERROR(__xludf.DUMMYFUNCTION("TO_PURE_NUMBER(SUM(FILTER(G17:T17, ISEVEN(COLUMN(G17:T17))))-SUM(FILTER(G17:T17, ISODD(COLUMN(G17:T17)))))*24"),45.0000000000873)</f>
        <v>45.0000000000873</v>
      </c>
    </row>
    <row r="18" customHeight="1" spans="1:21">
      <c r="A18" s="7">
        <v>10320414</v>
      </c>
      <c r="B18" s="7" t="s">
        <v>62</v>
      </c>
      <c r="C18" s="7" t="str">
        <f t="array" ref="C18">_xlfn.XLOOKUP($A18,'WK 48'!A:A,'WK 48'!C:C,"")</f>
        <v>CSR</v>
      </c>
      <c r="D18" s="7" t="str">
        <f t="array" ref="D18">_xlfn.XLOOKUP($A18,'WK 48'!$A:$A,'WK 48'!D:D,"")</f>
        <v>Production</v>
      </c>
      <c r="E18" s="8" t="str">
        <f t="array" ref="E18">_xlfn.XLOOKUP($A18,'WK 48'!$A:$A,'WK 48'!E:E,"")</f>
        <v>FT</v>
      </c>
      <c r="F18" s="9">
        <f t="array" ref="F18">_xlfn.XLOOKUP($A18,'WK 48'!$A:$A,'WK 48'!F:F,"")</f>
        <v>3</v>
      </c>
      <c r="G18" s="7" t="s">
        <v>23</v>
      </c>
      <c r="H18" s="7" t="s">
        <v>23</v>
      </c>
      <c r="I18" s="8">
        <v>0.458333333332121</v>
      </c>
      <c r="J18" s="8">
        <v>0.875</v>
      </c>
      <c r="K18" s="8">
        <v>0.458333333332121</v>
      </c>
      <c r="L18" s="8">
        <v>0.875</v>
      </c>
      <c r="M18" s="8">
        <v>0.458333333332121</v>
      </c>
      <c r="N18" s="8">
        <v>0.875</v>
      </c>
      <c r="O18" s="8">
        <v>0.458333333332121</v>
      </c>
      <c r="P18" s="8">
        <v>0.875</v>
      </c>
      <c r="Q18" s="8">
        <v>0.458333333332121</v>
      </c>
      <c r="R18" s="8">
        <v>0.666666666667879</v>
      </c>
      <c r="S18" s="7" t="s">
        <v>23</v>
      </c>
      <c r="T18" s="7" t="s">
        <v>23</v>
      </c>
      <c r="U18" s="21">
        <f>IFERROR(__xludf.DUMMYFUNCTION("TO_PURE_NUMBER(SUM(FILTER(G18:T18, ISEVEN(COLUMN(G18:T18))))-SUM(FILTER(G18:T18, ISODD(COLUMN(G18:T18)))))*24"),45.0000000001746)</f>
        <v>45.0000000001746</v>
      </c>
    </row>
    <row r="19" customHeight="1" spans="1:21">
      <c r="A19" s="7">
        <v>10316681</v>
      </c>
      <c r="B19" s="7" t="s">
        <v>38</v>
      </c>
      <c r="C19" s="7" t="str">
        <f t="array" ref="C19">_xlfn.XLOOKUP($A19,'WK 48'!A:A,'WK 48'!C:C,"")</f>
        <v>Esc Mgr</v>
      </c>
      <c r="D19" s="7" t="str">
        <f t="array" ref="D19">_xlfn.XLOOKUP($A19,'WK 48'!$A:$A,'WK 48'!D:D,"")</f>
        <v>Production</v>
      </c>
      <c r="E19" s="8" t="str">
        <f t="array" ref="E19">_xlfn.XLOOKUP($A19,'WK 48'!$A:$A,'WK 48'!E:E,"")</f>
        <v>FT</v>
      </c>
      <c r="F19" s="9">
        <f t="array" ref="F19">_xlfn.XLOOKUP($A19,'WK 48'!$A:$A,'WK 48'!F:F,"")</f>
        <v>1</v>
      </c>
      <c r="G19" s="8">
        <v>0.5</v>
      </c>
      <c r="H19" s="8">
        <v>0.875</v>
      </c>
      <c r="I19" s="8">
        <v>0.5</v>
      </c>
      <c r="J19" s="8">
        <v>0.875</v>
      </c>
      <c r="K19" s="8">
        <v>0.5</v>
      </c>
      <c r="L19" s="8">
        <v>0.875</v>
      </c>
      <c r="M19" s="8">
        <v>0.5</v>
      </c>
      <c r="N19" s="8">
        <v>0.875</v>
      </c>
      <c r="O19" s="8">
        <v>0.5</v>
      </c>
      <c r="P19" s="8">
        <v>0.875</v>
      </c>
      <c r="Q19" s="7" t="s">
        <v>23</v>
      </c>
      <c r="R19" s="7" t="s">
        <v>23</v>
      </c>
      <c r="S19" s="7" t="s">
        <v>23</v>
      </c>
      <c r="T19" s="7" t="s">
        <v>23</v>
      </c>
      <c r="U19" s="21">
        <f>IFERROR(__xludf.DUMMYFUNCTION("TO_PURE_NUMBER(SUM(FILTER(G19:T19, ISEVEN(COLUMN(G19:T19))))-SUM(FILTER(G19:T19, ISODD(COLUMN(G19:T19)))))*24"),45)</f>
        <v>45</v>
      </c>
    </row>
    <row r="20" customHeight="1" spans="1:21">
      <c r="A20" s="7">
        <v>10316650</v>
      </c>
      <c r="B20" s="7" t="s">
        <v>39</v>
      </c>
      <c r="C20" s="7" t="str">
        <f t="array" ref="C20">_xlfn.XLOOKUP($A20,'WK 48'!A:A,'WK 48'!C:C,"")</f>
        <v>CSR</v>
      </c>
      <c r="D20" s="7" t="str">
        <f t="array" ref="D20">_xlfn.XLOOKUP($A20,'WK 48'!$A:$A,'WK 48'!D:D,"")</f>
        <v>Production</v>
      </c>
      <c r="E20" s="8" t="str">
        <f t="array" ref="E20">_xlfn.XLOOKUP($A20,'WK 48'!$A:$A,'WK 48'!E:E,"")</f>
        <v>FT</v>
      </c>
      <c r="F20" s="9">
        <f t="array" ref="F20">_xlfn.XLOOKUP($A20,'WK 48'!$A:$A,'WK 48'!F:F,"")</f>
        <v>2</v>
      </c>
      <c r="G20" s="8">
        <v>0.5</v>
      </c>
      <c r="H20" s="8">
        <v>0.875</v>
      </c>
      <c r="I20" s="8">
        <v>0.5</v>
      </c>
      <c r="J20" s="8">
        <v>0.875</v>
      </c>
      <c r="K20" s="8">
        <v>0.5</v>
      </c>
      <c r="L20" s="8">
        <v>0.875</v>
      </c>
      <c r="M20" s="8">
        <v>0.5</v>
      </c>
      <c r="N20" s="8">
        <v>0.875</v>
      </c>
      <c r="O20" s="8">
        <v>0.5</v>
      </c>
      <c r="P20" s="8">
        <v>0.875</v>
      </c>
      <c r="Q20" s="7" t="s">
        <v>23</v>
      </c>
      <c r="R20" s="7" t="s">
        <v>23</v>
      </c>
      <c r="S20" s="7" t="s">
        <v>23</v>
      </c>
      <c r="T20" s="7" t="s">
        <v>23</v>
      </c>
      <c r="U20" s="21">
        <f>IFERROR(__xludf.DUMMYFUNCTION("TO_PURE_NUMBER(SUM(FILTER(G20:T20, ISEVEN(COLUMN(G20:T20))))-SUM(FILTER(G20:T20, ISODD(COLUMN(G20:T20)))))*24"),45)</f>
        <v>45</v>
      </c>
    </row>
    <row r="21" customHeight="1" spans="1:21">
      <c r="A21" s="7">
        <v>10320416</v>
      </c>
      <c r="B21" s="7" t="s">
        <v>66</v>
      </c>
      <c r="C21" s="7" t="str">
        <f t="array" ref="C21">_xlfn.XLOOKUP($A21,'WK 48'!A:A,'WK 48'!C:C,"")</f>
        <v>CSR</v>
      </c>
      <c r="D21" s="7" t="str">
        <f t="array" ref="D21">_xlfn.XLOOKUP($A21,'WK 48'!$A:$A,'WK 48'!D:D,"")</f>
        <v>Production</v>
      </c>
      <c r="E21" s="8" t="str">
        <f t="array" ref="E21">_xlfn.XLOOKUP($A21,'WK 48'!$A:$A,'WK 48'!E:E,"")</f>
        <v>FT</v>
      </c>
      <c r="F21" s="9">
        <f t="array" ref="F21">_xlfn.XLOOKUP($A21,'WK 48'!$A:$A,'WK 48'!F:F,"")</f>
        <v>3</v>
      </c>
      <c r="G21" s="8">
        <v>0.375</v>
      </c>
      <c r="H21" s="8">
        <v>0.75</v>
      </c>
      <c r="I21" s="8">
        <v>0.375</v>
      </c>
      <c r="J21" s="8">
        <v>0.75</v>
      </c>
      <c r="K21" s="8">
        <v>0.375</v>
      </c>
      <c r="L21" s="8">
        <v>0.75</v>
      </c>
      <c r="M21" s="8">
        <v>0.375</v>
      </c>
      <c r="N21" s="8">
        <v>0.75</v>
      </c>
      <c r="O21" s="8">
        <v>0.375</v>
      </c>
      <c r="P21" s="8">
        <v>0.75</v>
      </c>
      <c r="Q21" s="7" t="s">
        <v>23</v>
      </c>
      <c r="R21" s="7" t="s">
        <v>23</v>
      </c>
      <c r="S21" s="7" t="s">
        <v>23</v>
      </c>
      <c r="T21" s="7" t="s">
        <v>23</v>
      </c>
      <c r="U21" s="21">
        <f>IFERROR(__xludf.DUMMYFUNCTION("TO_PURE_NUMBER(SUM(FILTER(G21:T21, ISEVEN(COLUMN(G21:T21))))-SUM(FILTER(G21:T21, ISODD(COLUMN(G21:T21)))))*24"),45)</f>
        <v>45</v>
      </c>
    </row>
    <row r="22" customHeight="1" spans="1:21">
      <c r="A22" s="7">
        <v>10316530</v>
      </c>
      <c r="B22" s="7" t="s">
        <v>26</v>
      </c>
      <c r="C22" s="7" t="str">
        <f t="array" ref="C22">_xlfn.XLOOKUP($A22,'WK 48'!A:A,'WK 48'!C:C,"")</f>
        <v>CSR</v>
      </c>
      <c r="D22" s="7" t="str">
        <f t="array" ref="D22">_xlfn.XLOOKUP($A22,'WK 48'!$A:$A,'WK 48'!D:D,"")</f>
        <v>Production</v>
      </c>
      <c r="E22" s="8" t="str">
        <f t="array" ref="E22">_xlfn.XLOOKUP($A22,'WK 48'!$A:$A,'WK 48'!E:E,"")</f>
        <v>FT</v>
      </c>
      <c r="F22" s="9">
        <f t="array" ref="F22">_xlfn.XLOOKUP($A22,'WK 48'!$A:$A,'WK 48'!F:F,"")</f>
        <v>1</v>
      </c>
      <c r="G22" s="7" t="s">
        <v>23</v>
      </c>
      <c r="H22" s="7" t="s">
        <v>23</v>
      </c>
      <c r="I22" s="8">
        <v>0.375</v>
      </c>
      <c r="J22" s="8">
        <v>0.791666666667879</v>
      </c>
      <c r="K22" s="8">
        <v>0.375</v>
      </c>
      <c r="L22" s="8">
        <v>0.791666666667879</v>
      </c>
      <c r="M22" s="8">
        <v>0.375</v>
      </c>
      <c r="N22" s="8">
        <v>0.791666666667879</v>
      </c>
      <c r="O22" s="8">
        <v>0.375</v>
      </c>
      <c r="P22" s="8">
        <v>0.791666666667879</v>
      </c>
      <c r="Q22" s="8">
        <v>0.458333333332121</v>
      </c>
      <c r="R22" s="8">
        <v>0.666666666667879</v>
      </c>
      <c r="S22" s="7" t="s">
        <v>23</v>
      </c>
      <c r="T22" s="7" t="s">
        <v>23</v>
      </c>
      <c r="U22" s="21">
        <f>IFERROR(__xludf.DUMMYFUNCTION("TO_PURE_NUMBER(SUM(FILTER(G22:T22, ISEVEN(COLUMN(G22:T22))))-SUM(FILTER(G22:T22, ISODD(COLUMN(G22:T22)))))*24"),45.0000000001746)</f>
        <v>45.0000000001746</v>
      </c>
    </row>
    <row r="23" customHeight="1" spans="1:21">
      <c r="A23" s="7">
        <v>10316680</v>
      </c>
      <c r="B23" s="7" t="s">
        <v>40</v>
      </c>
      <c r="C23" s="7" t="str">
        <f t="array" ref="C23">_xlfn.XLOOKUP($A23,'WK 48'!A:A,'WK 48'!C:C,"")</f>
        <v>CSR</v>
      </c>
      <c r="D23" s="7" t="str">
        <f t="array" ref="D23">_xlfn.XLOOKUP($A23,'WK 48'!$A:$A,'WK 48'!D:D,"")</f>
        <v>Production</v>
      </c>
      <c r="E23" s="8" t="str">
        <f t="array" ref="E23">_xlfn.XLOOKUP($A23,'WK 48'!$A:$A,'WK 48'!E:E,"")</f>
        <v>FT</v>
      </c>
      <c r="F23" s="9">
        <f t="array" ref="F23">_xlfn.XLOOKUP($A23,'WK 48'!$A:$A,'WK 48'!F:F,"")</f>
        <v>1</v>
      </c>
      <c r="G23" s="8">
        <v>0.375</v>
      </c>
      <c r="H23" s="8">
        <v>0.75</v>
      </c>
      <c r="I23" s="8">
        <v>0.375</v>
      </c>
      <c r="J23" s="8">
        <v>0.75</v>
      </c>
      <c r="K23" s="8">
        <v>0.375</v>
      </c>
      <c r="L23" s="8">
        <v>0.75</v>
      </c>
      <c r="M23" s="8">
        <v>0.375</v>
      </c>
      <c r="N23" s="8">
        <v>0.75</v>
      </c>
      <c r="O23" s="8">
        <v>0.375</v>
      </c>
      <c r="P23" s="8">
        <v>0.75</v>
      </c>
      <c r="Q23" s="7" t="s">
        <v>23</v>
      </c>
      <c r="R23" s="7" t="s">
        <v>23</v>
      </c>
      <c r="S23" s="7" t="s">
        <v>23</v>
      </c>
      <c r="T23" s="7" t="s">
        <v>23</v>
      </c>
      <c r="U23" s="21">
        <f>IFERROR(__xludf.DUMMYFUNCTION("TO_PURE_NUMBER(SUM(FILTER(G23:T23, ISEVEN(COLUMN(G23:T23))))-SUM(FILTER(G23:T23, ISODD(COLUMN(G23:T23)))))*24"),45)</f>
        <v>45</v>
      </c>
    </row>
    <row r="24" customHeight="1" spans="1:21">
      <c r="A24" s="7">
        <v>10317943</v>
      </c>
      <c r="B24" s="7" t="s">
        <v>27</v>
      </c>
      <c r="C24" s="7" t="str">
        <f t="array" ref="C24">_xlfn.XLOOKUP($A24,'WK 48'!A:A,'WK 48'!C:C,"")</f>
        <v>CSR</v>
      </c>
      <c r="D24" s="7" t="str">
        <f t="array" ref="D24">_xlfn.XLOOKUP($A24,'WK 48'!$A:$A,'WK 48'!D:D,"")</f>
        <v>Production</v>
      </c>
      <c r="E24" s="8" t="str">
        <f t="array" ref="E24">_xlfn.XLOOKUP($A24,'WK 48'!$A:$A,'WK 48'!E:E,"")</f>
        <v>FT</v>
      </c>
      <c r="F24" s="9">
        <f t="array" ref="F24">_xlfn.XLOOKUP($A24,'WK 48'!$A:$A,'WK 48'!F:F,"")</f>
        <v>2</v>
      </c>
      <c r="G24" s="8">
        <v>0.375</v>
      </c>
      <c r="H24" s="8">
        <v>0.75</v>
      </c>
      <c r="I24" s="8">
        <v>0.375</v>
      </c>
      <c r="J24" s="8">
        <v>0.75</v>
      </c>
      <c r="K24" s="8">
        <v>0.375</v>
      </c>
      <c r="L24" s="8">
        <v>0.75</v>
      </c>
      <c r="M24" s="8">
        <v>0.375</v>
      </c>
      <c r="N24" s="8">
        <v>0.75</v>
      </c>
      <c r="O24" s="8">
        <v>0.375</v>
      </c>
      <c r="P24" s="8">
        <v>0.75</v>
      </c>
      <c r="Q24" s="7" t="s">
        <v>23</v>
      </c>
      <c r="R24" s="7" t="s">
        <v>23</v>
      </c>
      <c r="S24" s="7" t="s">
        <v>23</v>
      </c>
      <c r="T24" s="7" t="s">
        <v>23</v>
      </c>
      <c r="U24" s="21">
        <f>IFERROR(__xludf.DUMMYFUNCTION("TO_PURE_NUMBER(SUM(FILTER(G24:T24, ISEVEN(COLUMN(G24:T24))))-SUM(FILTER(G24:T24, ISODD(COLUMN(G24:T24)))))*24"),45)</f>
        <v>45</v>
      </c>
    </row>
    <row r="25" customHeight="1" spans="1:21">
      <c r="A25" s="7">
        <v>10250966</v>
      </c>
      <c r="B25" s="7" t="s">
        <v>61</v>
      </c>
      <c r="C25" s="7" t="str">
        <f t="array" ref="C25">_xlfn.XLOOKUP($A25,'WK 48'!A:A,'WK 48'!C:C,"")</f>
        <v>CSR</v>
      </c>
      <c r="D25" s="7" t="str">
        <f t="array" ref="D25">_xlfn.XLOOKUP($A25,'WK 48'!$A:$A,'WK 48'!D:D,"")</f>
        <v>Production</v>
      </c>
      <c r="E25" s="8" t="str">
        <f t="array" ref="E25">_xlfn.XLOOKUP($A25,'WK 48'!$A:$A,'WK 48'!E:E,"")</f>
        <v>FT</v>
      </c>
      <c r="F25" s="9">
        <f t="array" ref="F25">_xlfn.XLOOKUP($A25,'WK 48'!$A:$A,'WK 48'!F:F,"")</f>
        <v>3</v>
      </c>
      <c r="G25" s="8">
        <v>0.375</v>
      </c>
      <c r="H25" s="8">
        <v>0.791666666667879</v>
      </c>
      <c r="I25" s="8">
        <v>0.375</v>
      </c>
      <c r="J25" s="8">
        <v>0.791666666667879</v>
      </c>
      <c r="K25" s="8">
        <v>0.375</v>
      </c>
      <c r="L25" s="8">
        <v>0.791666666667879</v>
      </c>
      <c r="M25" s="8">
        <v>0.375</v>
      </c>
      <c r="N25" s="8">
        <v>0.791666666667879</v>
      </c>
      <c r="O25" s="7" t="s">
        <v>23</v>
      </c>
      <c r="P25" s="7" t="s">
        <v>23</v>
      </c>
      <c r="Q25" s="7" t="s">
        <v>23</v>
      </c>
      <c r="R25" s="7" t="s">
        <v>23</v>
      </c>
      <c r="S25" s="8">
        <v>0.458333333332121</v>
      </c>
      <c r="T25" s="8">
        <v>0.666666666667879</v>
      </c>
      <c r="U25" s="21">
        <f>IFERROR(__xludf.DUMMYFUNCTION("TO_PURE_NUMBER(SUM(FILTER(G25:T25, ISEVEN(COLUMN(G25:T25))))-SUM(FILTER(G25:T25, ISODD(COLUMN(G25:T25)))))*24"),45.0000000001746)</f>
        <v>45.0000000001746</v>
      </c>
    </row>
    <row r="26" customHeight="1" spans="1:21">
      <c r="A26" s="7">
        <v>10316538</v>
      </c>
      <c r="B26" s="7" t="s">
        <v>44</v>
      </c>
      <c r="C26" s="7" t="str">
        <f t="array" ref="C26">_xlfn.XLOOKUP($A26,'WK 48'!A:A,'WK 48'!C:C,"")</f>
        <v>CSR</v>
      </c>
      <c r="D26" s="7" t="str">
        <f t="array" ref="D26">_xlfn.XLOOKUP($A26,'WK 48'!$A:$A,'WK 48'!D:D,"")</f>
        <v>Production</v>
      </c>
      <c r="E26" s="8" t="str">
        <f t="array" ref="E26">_xlfn.XLOOKUP($A26,'WK 48'!$A:$A,'WK 48'!E:E,"")</f>
        <v>FT</v>
      </c>
      <c r="F26" s="9">
        <f t="array" ref="F26">_xlfn.XLOOKUP($A26,'WK 48'!$A:$A,'WK 48'!F:F,"")</f>
        <v>1</v>
      </c>
      <c r="G26" s="8">
        <v>0.375</v>
      </c>
      <c r="H26" s="8">
        <v>0.75</v>
      </c>
      <c r="I26" s="8">
        <v>0.375</v>
      </c>
      <c r="J26" s="8">
        <v>0.75</v>
      </c>
      <c r="K26" s="8">
        <v>0.375</v>
      </c>
      <c r="L26" s="8">
        <v>0.75</v>
      </c>
      <c r="M26" s="7" t="s">
        <v>23</v>
      </c>
      <c r="N26" s="7" t="s">
        <v>23</v>
      </c>
      <c r="O26" s="7" t="s">
        <v>23</v>
      </c>
      <c r="P26" s="7" t="s">
        <v>23</v>
      </c>
      <c r="Q26" s="8">
        <v>0.458333333332121</v>
      </c>
      <c r="R26" s="8">
        <v>0.666666666667879</v>
      </c>
      <c r="S26" s="8">
        <v>0.458333333332121</v>
      </c>
      <c r="T26" s="8">
        <v>0.666666666667879</v>
      </c>
      <c r="U26" s="21">
        <f>IFERROR(__xludf.DUMMYFUNCTION("TO_PURE_NUMBER(SUM(FILTER(G26:T26, ISEVEN(COLUMN(G26:T26))))-SUM(FILTER(G26:T26, ISODD(COLUMN(G26:T26)))))*24"),37.0000000001164)</f>
        <v>37.0000000001164</v>
      </c>
    </row>
    <row r="27" customHeight="1" spans="1:21">
      <c r="A27" s="7">
        <v>10317153</v>
      </c>
      <c r="B27" s="7" t="s">
        <v>42</v>
      </c>
      <c r="C27" s="7" t="str">
        <f t="array" ref="C27">_xlfn.XLOOKUP($A27,'WK 48'!A:A,'WK 48'!C:C,"")</f>
        <v>CSR</v>
      </c>
      <c r="D27" s="7" t="str">
        <f t="array" ref="D27">_xlfn.XLOOKUP($A27,'WK 48'!$A:$A,'WK 48'!D:D,"")</f>
        <v>Production</v>
      </c>
      <c r="E27" s="8" t="str">
        <f t="array" ref="E27">_xlfn.XLOOKUP($A27,'WK 48'!$A:$A,'WK 48'!E:E,"")</f>
        <v>FT</v>
      </c>
      <c r="F27" s="9">
        <f t="array" ref="F27">_xlfn.XLOOKUP($A27,'WK 48'!$A:$A,'WK 48'!F:F,"")</f>
        <v>1</v>
      </c>
      <c r="G27" s="7" t="s">
        <v>23</v>
      </c>
      <c r="H27" s="7" t="s">
        <v>23</v>
      </c>
      <c r="I27" s="8">
        <v>0.458333333332121</v>
      </c>
      <c r="J27" s="8">
        <v>0.875</v>
      </c>
      <c r="K27" s="8">
        <v>0.458333333332121</v>
      </c>
      <c r="L27" s="8">
        <v>0.875</v>
      </c>
      <c r="M27" s="8">
        <v>0.458333333332121</v>
      </c>
      <c r="N27" s="8">
        <v>0.875</v>
      </c>
      <c r="O27" s="8">
        <v>0.458333333332121</v>
      </c>
      <c r="P27" s="8">
        <v>0.875</v>
      </c>
      <c r="Q27" s="8">
        <v>0.458333333332121</v>
      </c>
      <c r="R27" s="8">
        <v>0.666666666667879</v>
      </c>
      <c r="S27" s="7" t="s">
        <v>23</v>
      </c>
      <c r="T27" s="7" t="s">
        <v>23</v>
      </c>
      <c r="U27" s="21">
        <f>IFERROR(__xludf.DUMMYFUNCTION("TO_PURE_NUMBER(SUM(FILTER(G27:T27, ISEVEN(COLUMN(G27:T27))))-SUM(FILTER(G27:T27, ISODD(COLUMN(G27:T27)))))*24"),45.0000000001746)</f>
        <v>45.0000000001746</v>
      </c>
    </row>
    <row r="28" customHeight="1" spans="1:21">
      <c r="A28" s="7">
        <v>10317521</v>
      </c>
      <c r="B28" s="7" t="s">
        <v>28</v>
      </c>
      <c r="C28" s="7" t="str">
        <f t="array" ref="C28">_xlfn.XLOOKUP($A28,'WK 48'!A:A,'WK 48'!C:C,"")</f>
        <v>CSR</v>
      </c>
      <c r="D28" s="7" t="str">
        <f t="array" ref="D28">_xlfn.XLOOKUP($A28,'WK 48'!$A:$A,'WK 48'!D:D,"")</f>
        <v>Production</v>
      </c>
      <c r="E28" s="8" t="str">
        <f t="array" ref="E28">_xlfn.XLOOKUP($A28,'WK 48'!$A:$A,'WK 48'!E:E,"")</f>
        <v>FT</v>
      </c>
      <c r="F28" s="9">
        <f t="array" ref="F28">_xlfn.XLOOKUP($A28,'WK 48'!$A:$A,'WK 48'!F:F,"")</f>
        <v>2</v>
      </c>
      <c r="G28" s="7" t="s">
        <v>23</v>
      </c>
      <c r="H28" s="7" t="s">
        <v>23</v>
      </c>
      <c r="I28" s="8">
        <v>0.333333333332121</v>
      </c>
      <c r="J28" s="8">
        <v>0.75</v>
      </c>
      <c r="K28" s="8">
        <v>0.333333333332121</v>
      </c>
      <c r="L28" s="8">
        <v>0.75</v>
      </c>
      <c r="M28" s="8">
        <v>0.333333333332121</v>
      </c>
      <c r="N28" s="8">
        <v>0.75</v>
      </c>
      <c r="O28" s="8">
        <v>0.375</v>
      </c>
      <c r="P28" s="8">
        <v>0.791666666667879</v>
      </c>
      <c r="Q28" s="8">
        <v>0.416666666667879</v>
      </c>
      <c r="R28" s="8">
        <v>0.625</v>
      </c>
      <c r="S28" s="7" t="s">
        <v>23</v>
      </c>
      <c r="T28" s="7" t="s">
        <v>23</v>
      </c>
      <c r="U28" s="21">
        <f>IFERROR(__xludf.DUMMYFUNCTION("TO_PURE_NUMBER(SUM(FILTER(G28:T28, ISEVEN(COLUMN(G28:T28))))-SUM(FILTER(G28:T28, ISODD(COLUMN(G28:T28)))))*24"),45.0000000000873)</f>
        <v>45.0000000000873</v>
      </c>
    </row>
    <row r="29" customHeight="1" spans="1:21">
      <c r="A29" s="7">
        <v>10317517</v>
      </c>
      <c r="B29" s="7" t="s">
        <v>29</v>
      </c>
      <c r="C29" s="7" t="str">
        <f t="array" ref="C29">_xlfn.XLOOKUP($A29,'WK 48'!A:A,'WK 48'!C:C,"")</f>
        <v>CSR</v>
      </c>
      <c r="D29" s="7" t="str">
        <f t="array" ref="D29">_xlfn.XLOOKUP($A29,'WK 48'!$A:$A,'WK 48'!D:D,"")</f>
        <v>Production</v>
      </c>
      <c r="E29" s="8" t="str">
        <f t="array" ref="E29">_xlfn.XLOOKUP($A29,'WK 48'!$A:$A,'WK 48'!E:E,"")</f>
        <v>FT</v>
      </c>
      <c r="F29" s="9">
        <f t="array" ref="F29">_xlfn.XLOOKUP($A29,'WK 48'!$A:$A,'WK 48'!F:F,"")</f>
        <v>2</v>
      </c>
      <c r="G29" s="7" t="s">
        <v>23</v>
      </c>
      <c r="H29" s="7" t="s">
        <v>23</v>
      </c>
      <c r="I29" s="8">
        <v>0.458333333332121</v>
      </c>
      <c r="J29" s="8">
        <v>0.875</v>
      </c>
      <c r="K29" s="8">
        <v>0.458333333332121</v>
      </c>
      <c r="L29" s="8">
        <v>0.875</v>
      </c>
      <c r="M29" s="8">
        <v>0.458333333332121</v>
      </c>
      <c r="N29" s="8">
        <v>0.875</v>
      </c>
      <c r="O29" s="8">
        <v>0.458333333332121</v>
      </c>
      <c r="P29" s="8">
        <v>0.875</v>
      </c>
      <c r="Q29" s="8">
        <v>0.458333333332121</v>
      </c>
      <c r="R29" s="8">
        <v>0.666666666667879</v>
      </c>
      <c r="S29" s="7" t="s">
        <v>23</v>
      </c>
      <c r="T29" s="7" t="s">
        <v>23</v>
      </c>
      <c r="U29" s="21">
        <f>IFERROR(__xludf.DUMMYFUNCTION("TO_PURE_NUMBER(SUM(FILTER(G29:T29, ISEVEN(COLUMN(G29:T29))))-SUM(FILTER(G29:T29, ISODD(COLUMN(G29:T29)))))*24"),45.0000000001746)</f>
        <v>45.0000000001746</v>
      </c>
    </row>
    <row r="30" customHeight="1" spans="1:21">
      <c r="A30" s="7">
        <v>10274446</v>
      </c>
      <c r="B30" s="7" t="s">
        <v>88</v>
      </c>
      <c r="C30" s="7" t="str">
        <f t="array" ref="C30">_xlfn.XLOOKUP($A30,'WK 48'!A:A,'WK 48'!C:C,"")</f>
        <v>CSR</v>
      </c>
      <c r="D30" s="7" t="str">
        <f t="array" ref="D30">_xlfn.XLOOKUP($A30,'WK 48'!$A:$A,'WK 48'!D:D,"")</f>
        <v>Production</v>
      </c>
      <c r="E30" s="8" t="str">
        <f t="array" ref="E30">_xlfn.XLOOKUP($A30,'WK 48'!$A:$A,'WK 48'!E:E,"")</f>
        <v>FT</v>
      </c>
      <c r="F30" s="9">
        <f t="array" ref="F30">_xlfn.XLOOKUP($A30,'WK 48'!$A:$A,'WK 48'!F:F,"")</f>
        <v>2</v>
      </c>
      <c r="G30" s="8">
        <v>0.5</v>
      </c>
      <c r="H30" s="8">
        <v>0.875</v>
      </c>
      <c r="I30" s="8">
        <v>0.5</v>
      </c>
      <c r="J30" s="8">
        <v>0.875</v>
      </c>
      <c r="K30" s="8">
        <v>0.5</v>
      </c>
      <c r="L30" s="8">
        <v>0.875</v>
      </c>
      <c r="M30" s="7" t="s">
        <v>23</v>
      </c>
      <c r="N30" s="7" t="s">
        <v>23</v>
      </c>
      <c r="O30" s="7" t="s">
        <v>23</v>
      </c>
      <c r="P30" s="7" t="s">
        <v>23</v>
      </c>
      <c r="Q30" s="8">
        <v>0.458333333332121</v>
      </c>
      <c r="R30" s="8">
        <v>0.666666666667879</v>
      </c>
      <c r="S30" s="8">
        <v>0.458333333332121</v>
      </c>
      <c r="T30" s="8">
        <v>0.666666666667879</v>
      </c>
      <c r="U30" s="21">
        <f>IFERROR(__xludf.DUMMYFUNCTION("TO_PURE_NUMBER(SUM(FILTER(G30:T30, ISEVEN(COLUMN(G30:T30))))-SUM(FILTER(G30:T30, ISODD(COLUMN(G30:T30)))))*24"),37.0000000001164)</f>
        <v>37.0000000001164</v>
      </c>
    </row>
    <row r="31" customHeight="1" spans="1:21">
      <c r="A31" s="7">
        <v>10320407</v>
      </c>
      <c r="B31" s="7" t="s">
        <v>55</v>
      </c>
      <c r="C31" s="7" t="str">
        <f t="array" ref="C31">_xlfn.XLOOKUP($A31,'WK 48'!A:A,'WK 48'!C:C,"")</f>
        <v>CSR</v>
      </c>
      <c r="D31" s="7" t="str">
        <f t="array" ref="D31">_xlfn.XLOOKUP($A31,'WK 48'!$A:$A,'WK 48'!D:D,"")</f>
        <v>Production</v>
      </c>
      <c r="E31" s="8" t="str">
        <f t="array" ref="E31">_xlfn.XLOOKUP($A31,'WK 48'!$A:$A,'WK 48'!E:E,"")</f>
        <v>FT</v>
      </c>
      <c r="F31" s="9">
        <f t="array" ref="F31">_xlfn.XLOOKUP($A31,'WK 48'!$A:$A,'WK 48'!F:F,"")</f>
        <v>3</v>
      </c>
      <c r="G31" s="7" t="s">
        <v>23</v>
      </c>
      <c r="H31" s="7" t="s">
        <v>23</v>
      </c>
      <c r="I31" s="8">
        <v>0.458333333332121</v>
      </c>
      <c r="J31" s="8">
        <v>0.875</v>
      </c>
      <c r="K31" s="8">
        <v>0.458333333332121</v>
      </c>
      <c r="L31" s="8">
        <v>0.875</v>
      </c>
      <c r="M31" s="8">
        <v>0.458333333332121</v>
      </c>
      <c r="N31" s="8">
        <v>0.875</v>
      </c>
      <c r="O31" s="8">
        <v>0.458333333332121</v>
      </c>
      <c r="P31" s="8">
        <v>0.875</v>
      </c>
      <c r="Q31" s="8">
        <v>0.458333333332121</v>
      </c>
      <c r="R31" s="8">
        <v>0.666666666667879</v>
      </c>
      <c r="S31" s="7" t="s">
        <v>23</v>
      </c>
      <c r="T31" s="7" t="s">
        <v>23</v>
      </c>
      <c r="U31" s="21">
        <f>IFERROR(__xludf.DUMMYFUNCTION("TO_PURE_NUMBER(SUM(FILTER(G31:T31, ISEVEN(COLUMN(G31:T31))))-SUM(FILTER(G31:T31, ISODD(COLUMN(G31:T31)))))*24"),45.0000000001746)</f>
        <v>45.0000000001746</v>
      </c>
    </row>
    <row r="32" customHeight="1" spans="1:21">
      <c r="A32" s="7">
        <v>10320417</v>
      </c>
      <c r="B32" s="7" t="s">
        <v>67</v>
      </c>
      <c r="C32" s="7" t="str">
        <f t="array" ref="C32">_xlfn.XLOOKUP($A32,'WK 48'!A:A,'WK 48'!C:C,"")</f>
        <v>CSR</v>
      </c>
      <c r="D32" s="7" t="str">
        <f t="array" ref="D32">_xlfn.XLOOKUP($A32,'WK 48'!$A:$A,'WK 48'!D:D,"")</f>
        <v>Production</v>
      </c>
      <c r="E32" s="8" t="str">
        <f t="array" ref="E32">_xlfn.XLOOKUP($A32,'WK 48'!$A:$A,'WK 48'!E:E,"")</f>
        <v>FT</v>
      </c>
      <c r="F32" s="9">
        <f t="array" ref="F32">_xlfn.XLOOKUP($A32,'WK 48'!$A:$A,'WK 48'!F:F,"")</f>
        <v>3</v>
      </c>
      <c r="G32" s="8">
        <v>0.458333333332121</v>
      </c>
      <c r="H32" s="8">
        <v>0.875</v>
      </c>
      <c r="I32" s="8">
        <v>0.458333333332121</v>
      </c>
      <c r="J32" s="8">
        <v>0.875</v>
      </c>
      <c r="K32" s="8">
        <v>0.458333333332121</v>
      </c>
      <c r="L32" s="8">
        <v>0.875</v>
      </c>
      <c r="M32" s="8">
        <v>0.458333333332121</v>
      </c>
      <c r="N32" s="8">
        <v>0.875</v>
      </c>
      <c r="O32" s="7" t="s">
        <v>23</v>
      </c>
      <c r="P32" s="7" t="s">
        <v>23</v>
      </c>
      <c r="Q32" s="7" t="s">
        <v>23</v>
      </c>
      <c r="R32" s="7" t="s">
        <v>23</v>
      </c>
      <c r="S32" s="8">
        <v>0.458333333332121</v>
      </c>
      <c r="T32" s="8">
        <v>0.666666666667879</v>
      </c>
      <c r="U32" s="21">
        <f>IFERROR(__xludf.DUMMYFUNCTION("TO_PURE_NUMBER(SUM(FILTER(G32:T32, ISEVEN(COLUMN(G32:T32))))-SUM(FILTER(G32:T32, ISODD(COLUMN(G32:T32)))))*24"),45.0000000001746)</f>
        <v>45.0000000001746</v>
      </c>
    </row>
    <row r="33" customHeight="1" spans="1:21">
      <c r="A33" s="7">
        <v>10317154</v>
      </c>
      <c r="B33" s="7" t="s">
        <v>70</v>
      </c>
      <c r="C33" s="7" t="str">
        <f t="array" ref="C33">_xlfn.XLOOKUP($A33,'WK 48'!A:A,'WK 48'!C:C,"")</f>
        <v>CSR</v>
      </c>
      <c r="D33" s="7" t="str">
        <f t="array" ref="D33">_xlfn.XLOOKUP($A33,'WK 48'!$A:$A,'WK 48'!D:D,"")</f>
        <v>Production</v>
      </c>
      <c r="E33" s="8" t="str">
        <f t="array" ref="E33">_xlfn.XLOOKUP($A33,'WK 48'!$A:$A,'WK 48'!E:E,"")</f>
        <v>FT</v>
      </c>
      <c r="F33" s="9">
        <f t="array" ref="F33">_xlfn.XLOOKUP($A33,'WK 48'!$A:$A,'WK 48'!F:F,"")</f>
        <v>3</v>
      </c>
      <c r="G33" s="8">
        <v>0.458333333332121</v>
      </c>
      <c r="H33" s="8">
        <v>0.833333333332121</v>
      </c>
      <c r="I33" s="8">
        <v>0.458333333332121</v>
      </c>
      <c r="J33" s="8">
        <v>0.833333333332121</v>
      </c>
      <c r="K33" s="8">
        <v>0.458333333332121</v>
      </c>
      <c r="L33" s="8">
        <v>0.833333333332121</v>
      </c>
      <c r="M33" s="8">
        <v>0.458333333332121</v>
      </c>
      <c r="N33" s="8">
        <v>0.833333333332121</v>
      </c>
      <c r="O33" s="8">
        <v>0.458333333332121</v>
      </c>
      <c r="P33" s="8">
        <v>0.833333333332121</v>
      </c>
      <c r="Q33" s="7" t="s">
        <v>23</v>
      </c>
      <c r="R33" s="7" t="s">
        <v>23</v>
      </c>
      <c r="S33" s="7" t="s">
        <v>23</v>
      </c>
      <c r="T33" s="7" t="s">
        <v>23</v>
      </c>
      <c r="U33" s="21">
        <f>IFERROR(__xludf.DUMMYFUNCTION("TO_PURE_NUMBER(SUM(FILTER(G33:T33, ISEVEN(COLUMN(G33:T33))))-SUM(FILTER(G33:T33, ISODD(COLUMN(G33:T33)))))*24"),45)</f>
        <v>45</v>
      </c>
    </row>
    <row r="34" customHeight="1" spans="1:21">
      <c r="A34" s="7">
        <v>10320436</v>
      </c>
      <c r="B34" s="7" t="s">
        <v>90</v>
      </c>
      <c r="C34" s="7" t="str">
        <f t="array" ref="C34">_xlfn.XLOOKUP($A34,'WK 48'!A:A,'WK 48'!C:C,"")</f>
        <v>CSR</v>
      </c>
      <c r="D34" s="7" t="str">
        <f t="array" ref="D34">_xlfn.XLOOKUP($A34,'WK 48'!$A:$A,'WK 48'!D:D,"")</f>
        <v>Production</v>
      </c>
      <c r="E34" s="8" t="str">
        <f t="array" ref="E34">_xlfn.XLOOKUP($A34,'WK 48'!$A:$A,'WK 48'!E:E,"")</f>
        <v>FT</v>
      </c>
      <c r="F34" s="9">
        <f t="array" ref="F34">_xlfn.XLOOKUP($A34,'WK 48'!$A:$A,'WK 48'!F:F,"")</f>
        <v>3</v>
      </c>
      <c r="G34" s="8">
        <v>0.458333333332121</v>
      </c>
      <c r="H34" s="8">
        <v>0.875</v>
      </c>
      <c r="I34" s="8">
        <v>0.458333333332121</v>
      </c>
      <c r="J34" s="8">
        <v>0.875</v>
      </c>
      <c r="K34" s="8">
        <v>0.458333333332121</v>
      </c>
      <c r="L34" s="8">
        <v>0.875</v>
      </c>
      <c r="M34" s="8">
        <v>0.458333333332121</v>
      </c>
      <c r="N34" s="8">
        <v>0.875</v>
      </c>
      <c r="O34" s="7" t="s">
        <v>23</v>
      </c>
      <c r="P34" s="7" t="s">
        <v>23</v>
      </c>
      <c r="Q34" s="7" t="s">
        <v>23</v>
      </c>
      <c r="R34" s="7" t="s">
        <v>23</v>
      </c>
      <c r="S34" s="8">
        <v>0.458333333332121</v>
      </c>
      <c r="T34" s="8">
        <v>0.666666666667879</v>
      </c>
      <c r="U34" s="21">
        <f>IFERROR(__xludf.DUMMYFUNCTION("TO_PURE_NUMBER(SUM(FILTER(G34:T34, ISEVEN(COLUMN(G34:T34))))-SUM(FILTER(G34:T34, ISODD(COLUMN(G34:T34)))))*24"),45.0000000001746)</f>
        <v>45.0000000001746</v>
      </c>
    </row>
    <row r="35" customHeight="1" spans="1:21">
      <c r="A35" s="7">
        <v>10316546</v>
      </c>
      <c r="B35" s="7" t="s">
        <v>49</v>
      </c>
      <c r="C35" s="7" t="str">
        <f t="array" ref="C35">_xlfn.XLOOKUP($A35,'WK 48'!A:A,'WK 48'!C:C,"")</f>
        <v>CSR</v>
      </c>
      <c r="D35" s="7" t="str">
        <f t="array" ref="D35">_xlfn.XLOOKUP($A35,'WK 48'!$A:$A,'WK 48'!D:D,"")</f>
        <v>Production</v>
      </c>
      <c r="E35" s="8" t="str">
        <f t="array" ref="E35">_xlfn.XLOOKUP($A35,'WK 48'!$A:$A,'WK 48'!E:E,"")</f>
        <v>FT</v>
      </c>
      <c r="F35" s="9">
        <f t="array" ref="F35">_xlfn.XLOOKUP($A35,'WK 48'!$A:$A,'WK 48'!F:F,"")</f>
        <v>1</v>
      </c>
      <c r="G35" s="8">
        <v>0.375</v>
      </c>
      <c r="H35" s="8">
        <v>0.75</v>
      </c>
      <c r="I35" s="8">
        <v>0.375</v>
      </c>
      <c r="J35" s="8">
        <v>0.75</v>
      </c>
      <c r="K35" s="8">
        <v>0.375</v>
      </c>
      <c r="L35" s="8">
        <v>0.75</v>
      </c>
      <c r="M35" s="7" t="s">
        <v>23</v>
      </c>
      <c r="N35" s="7" t="s">
        <v>23</v>
      </c>
      <c r="O35" s="7" t="s">
        <v>23</v>
      </c>
      <c r="P35" s="7" t="s">
        <v>23</v>
      </c>
      <c r="Q35" s="8">
        <v>0.458333333332121</v>
      </c>
      <c r="R35" s="8">
        <v>0.666666666667879</v>
      </c>
      <c r="S35" s="8">
        <v>0.458333333332121</v>
      </c>
      <c r="T35" s="8">
        <v>0.666666666667879</v>
      </c>
      <c r="U35" s="21">
        <f>IFERROR(__xludf.DUMMYFUNCTION("TO_PURE_NUMBER(SUM(FILTER(G35:T35, ISEVEN(COLUMN(G35:T35))))-SUM(FILTER(G35:T35, ISODD(COLUMN(G35:T35)))))*24"),37.0000000001164)</f>
        <v>37.0000000001164</v>
      </c>
    </row>
    <row r="36" customHeight="1" spans="1:21">
      <c r="A36" s="7">
        <v>10293607</v>
      </c>
      <c r="B36" s="7" t="s">
        <v>65</v>
      </c>
      <c r="C36" s="7" t="str">
        <f t="array" ref="C36">_xlfn.XLOOKUP($A36,'WK 48'!A:A,'WK 48'!C:C,"")</f>
        <v>CSR</v>
      </c>
      <c r="D36" s="7" t="str">
        <f t="array" ref="D36">_xlfn.XLOOKUP($A36,'WK 48'!$A:$A,'WK 48'!D:D,"")</f>
        <v>Production</v>
      </c>
      <c r="E36" s="8" t="str">
        <f t="array" ref="E36">_xlfn.XLOOKUP($A36,'WK 48'!$A:$A,'WK 48'!E:E,"")</f>
        <v>FT</v>
      </c>
      <c r="F36" s="9">
        <f t="array" ref="F36">_xlfn.XLOOKUP($A36,'WK 48'!$A:$A,'WK 48'!F:F,"")</f>
        <v>3</v>
      </c>
      <c r="G36" s="8">
        <v>0.375</v>
      </c>
      <c r="H36" s="8">
        <v>0.791666666667879</v>
      </c>
      <c r="I36" s="8">
        <v>0.375</v>
      </c>
      <c r="J36" s="8">
        <v>0.791666666667879</v>
      </c>
      <c r="K36" s="8">
        <v>0.375</v>
      </c>
      <c r="L36" s="8">
        <v>0.791666666667879</v>
      </c>
      <c r="M36" s="8">
        <v>0.375</v>
      </c>
      <c r="N36" s="8">
        <v>0.791666666667879</v>
      </c>
      <c r="O36" s="7" t="s">
        <v>23</v>
      </c>
      <c r="P36" s="7" t="s">
        <v>23</v>
      </c>
      <c r="Q36" s="7" t="s">
        <v>23</v>
      </c>
      <c r="R36" s="7" t="s">
        <v>23</v>
      </c>
      <c r="S36" s="8">
        <v>0.458333333332121</v>
      </c>
      <c r="T36" s="8">
        <v>0.666666666667879</v>
      </c>
      <c r="U36" s="21">
        <f>IFERROR(__xludf.DUMMYFUNCTION("TO_PURE_NUMBER(SUM(FILTER(G36:T36, ISEVEN(COLUMN(G36:T36))))-SUM(FILTER(G36:T36, ISODD(COLUMN(G36:T36)))))*24"),45.0000000001746)</f>
        <v>45.0000000001746</v>
      </c>
    </row>
    <row r="37" customHeight="1" spans="1:21">
      <c r="A37" s="7">
        <v>10316545</v>
      </c>
      <c r="B37" s="7" t="s">
        <v>45</v>
      </c>
      <c r="C37" s="7" t="str">
        <f t="array" ref="C37">_xlfn.XLOOKUP($A37,'WK 48'!A:A,'WK 48'!C:C,"")</f>
        <v>CSR</v>
      </c>
      <c r="D37" s="7" t="str">
        <f t="array" ref="D37">_xlfn.XLOOKUP($A37,'WK 48'!$A:$A,'WK 48'!D:D,"")</f>
        <v>Production</v>
      </c>
      <c r="E37" s="8" t="str">
        <f t="array" ref="E37">_xlfn.XLOOKUP($A37,'WK 48'!$A:$A,'WK 48'!E:E,"")</f>
        <v>FT</v>
      </c>
      <c r="F37" s="9">
        <f t="array" ref="F37">_xlfn.XLOOKUP($A37,'WK 48'!$A:$A,'WK 48'!F:F,"")</f>
        <v>1</v>
      </c>
      <c r="G37" s="8">
        <v>0.5</v>
      </c>
      <c r="H37" s="8">
        <v>0.875</v>
      </c>
      <c r="I37" s="8">
        <v>0.5</v>
      </c>
      <c r="J37" s="8">
        <v>0.875</v>
      </c>
      <c r="K37" s="8">
        <v>0.5</v>
      </c>
      <c r="L37" s="8">
        <v>0.875</v>
      </c>
      <c r="M37" s="8">
        <v>0.5</v>
      </c>
      <c r="N37" s="8">
        <v>0.875</v>
      </c>
      <c r="O37" s="8">
        <v>0.5</v>
      </c>
      <c r="P37" s="8">
        <v>0.875</v>
      </c>
      <c r="Q37" s="7" t="s">
        <v>23</v>
      </c>
      <c r="R37" s="7" t="s">
        <v>23</v>
      </c>
      <c r="S37" s="7" t="s">
        <v>23</v>
      </c>
      <c r="T37" s="7" t="s">
        <v>23</v>
      </c>
      <c r="U37" s="21">
        <f>IFERROR(__xludf.DUMMYFUNCTION("TO_PURE_NUMBER(SUM(FILTER(G37:T37, ISEVEN(COLUMN(G37:T37))))-SUM(FILTER(G37:T37, ISODD(COLUMN(G37:T37)))))*24"),45)</f>
        <v>45</v>
      </c>
    </row>
    <row r="38" customHeight="1" spans="1:21">
      <c r="A38" s="7">
        <v>10316572</v>
      </c>
      <c r="B38" s="7" t="s">
        <v>46</v>
      </c>
      <c r="C38" s="7" t="str">
        <f t="array" ref="C38">_xlfn.XLOOKUP($A38,'WK 48'!A:A,'WK 48'!C:C,"")</f>
        <v>CSR</v>
      </c>
      <c r="D38" s="7" t="str">
        <f t="array" ref="D38">_xlfn.XLOOKUP($A38,'WK 48'!$A:$A,'WK 48'!D:D,"")</f>
        <v>Production</v>
      </c>
      <c r="E38" s="8" t="str">
        <f t="array" ref="E38">_xlfn.XLOOKUP($A38,'WK 48'!$A:$A,'WK 48'!E:E,"")</f>
        <v>FT</v>
      </c>
      <c r="F38" s="9">
        <f t="array" ref="F38">_xlfn.XLOOKUP($A38,'WK 48'!$A:$A,'WK 48'!F:F,"")</f>
        <v>2</v>
      </c>
      <c r="G38" s="8">
        <v>0.333333333332121</v>
      </c>
      <c r="H38" s="8">
        <v>0.75</v>
      </c>
      <c r="I38" s="8">
        <v>0.375</v>
      </c>
      <c r="J38" s="8">
        <v>0.791666666667879</v>
      </c>
      <c r="K38" s="8">
        <v>0.375</v>
      </c>
      <c r="L38" s="8">
        <v>0.791666666667879</v>
      </c>
      <c r="M38" s="8">
        <v>0.375</v>
      </c>
      <c r="N38" s="8">
        <v>0.791666666667879</v>
      </c>
      <c r="O38" s="7" t="s">
        <v>23</v>
      </c>
      <c r="P38" s="7" t="s">
        <v>23</v>
      </c>
      <c r="Q38" s="7" t="s">
        <v>23</v>
      </c>
      <c r="R38" s="7" t="s">
        <v>23</v>
      </c>
      <c r="S38" s="8">
        <v>0.416666666667879</v>
      </c>
      <c r="T38" s="8">
        <v>0.625</v>
      </c>
      <c r="U38" s="21">
        <f>IFERROR(__xludf.DUMMYFUNCTION("TO_PURE_NUMBER(SUM(FILTER(G38:T38, ISEVEN(COLUMN(G38:T38))))-SUM(FILTER(G38:T38, ISODD(COLUMN(G38:T38)))))*24"),45.0000000000873)</f>
        <v>45.0000000000873</v>
      </c>
    </row>
    <row r="39" customHeight="1" spans="1:21">
      <c r="A39" s="7">
        <v>10316685</v>
      </c>
      <c r="B39" s="7" t="s">
        <v>47</v>
      </c>
      <c r="C39" s="7" t="str">
        <f t="array" ref="C39">_xlfn.XLOOKUP($A39,'WK 48'!A:A,'WK 48'!C:C,"")</f>
        <v>Esc Mgr</v>
      </c>
      <c r="D39" s="7" t="str">
        <f t="array" ref="D39">_xlfn.XLOOKUP($A39,'WK 48'!$A:$A,'WK 48'!D:D,"")</f>
        <v>Production</v>
      </c>
      <c r="E39" s="8" t="str">
        <f t="array" ref="E39">_xlfn.XLOOKUP($A39,'WK 48'!$A:$A,'WK 48'!E:E,"")</f>
        <v>FT</v>
      </c>
      <c r="F39" s="9">
        <f t="array" ref="F39">_xlfn.XLOOKUP($A39,'WK 48'!$A:$A,'WK 48'!F:F,"")</f>
        <v>1</v>
      </c>
      <c r="G39" s="8">
        <v>0.375</v>
      </c>
      <c r="H39" s="8">
        <v>0.75</v>
      </c>
      <c r="I39" s="8">
        <v>0.375</v>
      </c>
      <c r="J39" s="8">
        <v>0.75</v>
      </c>
      <c r="K39" s="8">
        <v>0.375</v>
      </c>
      <c r="L39" s="8">
        <v>0.75</v>
      </c>
      <c r="M39" s="8">
        <v>0.375</v>
      </c>
      <c r="N39" s="8">
        <v>0.75</v>
      </c>
      <c r="O39" s="8">
        <v>0.375</v>
      </c>
      <c r="P39" s="8">
        <v>0.75</v>
      </c>
      <c r="Q39" s="7" t="s">
        <v>23</v>
      </c>
      <c r="R39" s="7" t="s">
        <v>23</v>
      </c>
      <c r="S39" s="7" t="s">
        <v>23</v>
      </c>
      <c r="T39" s="7" t="s">
        <v>23</v>
      </c>
      <c r="U39" s="21">
        <f>IFERROR(__xludf.DUMMYFUNCTION("TO_PURE_NUMBER(SUM(FILTER(G39:T39, ISEVEN(COLUMN(G39:T39))))-SUM(FILTER(G39:T39, ISODD(COLUMN(G39:T39)))))*24"),45)</f>
        <v>45</v>
      </c>
    </row>
    <row r="40" customHeight="1" spans="1:21">
      <c r="A40" s="7">
        <v>10320409</v>
      </c>
      <c r="B40" s="7" t="s">
        <v>57</v>
      </c>
      <c r="C40" s="7" t="str">
        <f t="array" ref="C40">_xlfn.XLOOKUP($A40,'WK 48'!A:A,'WK 48'!C:C,"")</f>
        <v>CSR</v>
      </c>
      <c r="D40" s="7" t="str">
        <f t="array" ref="D40">_xlfn.XLOOKUP($A40,'WK 48'!$A:$A,'WK 48'!D:D,"")</f>
        <v>Production</v>
      </c>
      <c r="E40" s="8" t="str">
        <f t="array" ref="E40">_xlfn.XLOOKUP($A40,'WK 48'!$A:$A,'WK 48'!E:E,"")</f>
        <v>FT</v>
      </c>
      <c r="F40" s="9">
        <f t="array" ref="F40">_xlfn.XLOOKUP($A40,'WK 48'!$A:$A,'WK 48'!F:F,"")</f>
        <v>3</v>
      </c>
      <c r="G40" s="8">
        <v>0.5</v>
      </c>
      <c r="H40" s="8">
        <v>0.875</v>
      </c>
      <c r="I40" s="8">
        <v>0.5</v>
      </c>
      <c r="J40" s="8">
        <v>0.875</v>
      </c>
      <c r="K40" s="8">
        <v>0.5</v>
      </c>
      <c r="L40" s="8">
        <v>0.875</v>
      </c>
      <c r="M40" s="7" t="s">
        <v>23</v>
      </c>
      <c r="N40" s="7" t="s">
        <v>23</v>
      </c>
      <c r="O40" s="7" t="s">
        <v>23</v>
      </c>
      <c r="P40" s="7" t="s">
        <v>23</v>
      </c>
      <c r="Q40" s="8">
        <v>0.458333333332121</v>
      </c>
      <c r="R40" s="8">
        <v>0.666666666667879</v>
      </c>
      <c r="S40" s="8">
        <v>0.458333333332121</v>
      </c>
      <c r="T40" s="8">
        <v>0.666666666667879</v>
      </c>
      <c r="U40" s="21">
        <f>IFERROR(__xludf.DUMMYFUNCTION("TO_PURE_NUMBER(SUM(FILTER(G40:T40, ISEVEN(COLUMN(G40:T40))))-SUM(FILTER(G40:T40, ISODD(COLUMN(G40:T40)))))*24"),37.0000000001164)</f>
        <v>37.0000000001164</v>
      </c>
    </row>
    <row r="41" customHeight="1" spans="1:21">
      <c r="A41" s="7">
        <v>10276839</v>
      </c>
      <c r="B41" s="7" t="s">
        <v>54</v>
      </c>
      <c r="C41" s="7" t="str">
        <f t="array" ref="C41">_xlfn.XLOOKUP($A41,'WK 48'!A:A,'WK 48'!C:C,"")</f>
        <v>CSR</v>
      </c>
      <c r="D41" s="7" t="str">
        <f t="array" ref="D41">_xlfn.XLOOKUP($A41,'WK 48'!$A:$A,'WK 48'!D:D,"")</f>
        <v>Production</v>
      </c>
      <c r="E41" s="8" t="str">
        <f t="array" ref="E41">_xlfn.XLOOKUP($A41,'WK 48'!$A:$A,'WK 48'!E:E,"")</f>
        <v>FT</v>
      </c>
      <c r="F41" s="9">
        <f t="array" ref="F41">_xlfn.XLOOKUP($A41,'WK 48'!$A:$A,'WK 48'!F:F,"")</f>
        <v>2</v>
      </c>
      <c r="G41" s="8">
        <v>0.458333333332121</v>
      </c>
      <c r="H41" s="8">
        <v>0.875</v>
      </c>
      <c r="I41" s="8">
        <v>0.458333333332121</v>
      </c>
      <c r="J41" s="8">
        <v>0.875</v>
      </c>
      <c r="K41" s="8">
        <v>0.458333333332121</v>
      </c>
      <c r="L41" s="8">
        <v>0.875</v>
      </c>
      <c r="M41" s="8">
        <v>0.458333333332121</v>
      </c>
      <c r="N41" s="8">
        <v>0.875</v>
      </c>
      <c r="O41" s="7" t="s">
        <v>23</v>
      </c>
      <c r="P41" s="7" t="s">
        <v>23</v>
      </c>
      <c r="Q41" s="7" t="s">
        <v>23</v>
      </c>
      <c r="R41" s="7" t="s">
        <v>23</v>
      </c>
      <c r="S41" s="8">
        <v>0.458333333332121</v>
      </c>
      <c r="T41" s="8">
        <v>0.666666666667879</v>
      </c>
      <c r="U41" s="21">
        <f>IFERROR(__xludf.DUMMYFUNCTION("TO_PURE_NUMBER(SUM(FILTER(G41:T41, ISEVEN(COLUMN(G41:T41))))-SUM(FILTER(G41:T41, ISODD(COLUMN(G41:T41)))))*24"),45.0000000001746)</f>
        <v>45.0000000001746</v>
      </c>
    </row>
    <row r="42" customHeight="1" spans="1:21">
      <c r="A42" s="7">
        <v>10320419</v>
      </c>
      <c r="B42" s="7" t="s">
        <v>69</v>
      </c>
      <c r="C42" s="7" t="str">
        <f t="array" ref="C42">_xlfn.XLOOKUP($A42,'WK 48'!A:A,'WK 48'!C:C,"")</f>
        <v>CSR</v>
      </c>
      <c r="D42" s="7" t="str">
        <f t="array" ref="D42">_xlfn.XLOOKUP($A42,'WK 48'!$A:$A,'WK 48'!D:D,"")</f>
        <v>Production</v>
      </c>
      <c r="E42" s="8" t="str">
        <f t="array" ref="E42">_xlfn.XLOOKUP($A42,'WK 48'!$A:$A,'WK 48'!E:E,"")</f>
        <v>FT</v>
      </c>
      <c r="F42" s="9">
        <f t="array" ref="F42">_xlfn.XLOOKUP($A42,'WK 48'!$A:$A,'WK 48'!F:F,"")</f>
        <v>3</v>
      </c>
      <c r="G42" s="7" t="s">
        <v>23</v>
      </c>
      <c r="H42" s="7" t="s">
        <v>23</v>
      </c>
      <c r="I42" s="8">
        <v>0.458333333332121</v>
      </c>
      <c r="J42" s="8">
        <v>0.875</v>
      </c>
      <c r="K42" s="8">
        <v>0.458333333332121</v>
      </c>
      <c r="L42" s="8">
        <v>0.875</v>
      </c>
      <c r="M42" s="8">
        <v>0.458333333332121</v>
      </c>
      <c r="N42" s="8">
        <v>0.875</v>
      </c>
      <c r="O42" s="8">
        <v>0.458333333332121</v>
      </c>
      <c r="P42" s="8">
        <v>0.875</v>
      </c>
      <c r="Q42" s="8">
        <v>0.458333333332121</v>
      </c>
      <c r="R42" s="8">
        <v>0.666666666667879</v>
      </c>
      <c r="S42" s="7" t="s">
        <v>23</v>
      </c>
      <c r="T42" s="7" t="s">
        <v>23</v>
      </c>
      <c r="U42" s="21">
        <f>IFERROR(__xludf.DUMMYFUNCTION("TO_PURE_NUMBER(SUM(FILTER(G42:T42, ISEVEN(COLUMN(G42:T42))))-SUM(FILTER(G42:T42, ISODD(COLUMN(G42:T42)))))*24"),45.0000000001746)</f>
        <v>45.0000000001746</v>
      </c>
    </row>
    <row r="43" customHeight="1" spans="1:21">
      <c r="A43" s="7">
        <v>10320408</v>
      </c>
      <c r="B43" s="55" t="s">
        <v>56</v>
      </c>
      <c r="C43" s="7" t="str">
        <f t="array" ref="C43">_xlfn.XLOOKUP($A43,'WK 48'!A:A,'WK 48'!C:C,"")</f>
        <v>CSR</v>
      </c>
      <c r="D43" s="7" t="str">
        <f t="array" ref="D43">_xlfn.XLOOKUP($A43,'WK 48'!$A:$A,'WK 48'!D:D,"")</f>
        <v>Production</v>
      </c>
      <c r="E43" s="8" t="str">
        <f t="array" ref="E43">_xlfn.XLOOKUP($A43,'WK 48'!$A:$A,'WK 48'!E:E,"")</f>
        <v>FT</v>
      </c>
      <c r="F43" s="9">
        <f t="array" ref="F43">_xlfn.XLOOKUP($A43,'WK 48'!$A:$A,'WK 48'!F:F,"")</f>
        <v>3</v>
      </c>
      <c r="G43" s="8">
        <v>0.666666666667879</v>
      </c>
      <c r="H43" s="8">
        <v>0.875</v>
      </c>
      <c r="I43" s="7" t="s">
        <v>23</v>
      </c>
      <c r="J43" s="7" t="s">
        <v>23</v>
      </c>
      <c r="K43" s="7" t="s">
        <v>23</v>
      </c>
      <c r="L43" s="7" t="s">
        <v>23</v>
      </c>
      <c r="M43" s="8">
        <v>0.666666666667879</v>
      </c>
      <c r="N43" s="8">
        <v>0.875</v>
      </c>
      <c r="O43" s="8">
        <v>0.666666666667879</v>
      </c>
      <c r="P43" s="8">
        <v>0.875</v>
      </c>
      <c r="Q43" s="8">
        <v>0.458333333332121</v>
      </c>
      <c r="R43" s="8">
        <v>0.666666666667879</v>
      </c>
      <c r="S43" s="8">
        <v>0.458333333332121</v>
      </c>
      <c r="T43" s="8">
        <v>0.666666666667879</v>
      </c>
      <c r="U43" s="21">
        <f>IFERROR(__xludf.DUMMYFUNCTION("TO_PURE_NUMBER(SUM(FILTER(G43:T43, ISEVEN(COLUMN(G43:T43))))-SUM(FILTER(G43:T43, ISODD(COLUMN(G43:T43)))))*24"),25.0000000000291)</f>
        <v>25.0000000000291</v>
      </c>
    </row>
    <row r="44" customHeight="1" spans="1:21">
      <c r="A44" s="7">
        <v>10316551</v>
      </c>
      <c r="B44" s="7" t="s">
        <v>87</v>
      </c>
      <c r="C44" s="7" t="str">
        <f t="array" ref="C44">_xlfn.XLOOKUP($A44,'WK 48'!A:A,'WK 48'!C:C,"")</f>
        <v>CSR</v>
      </c>
      <c r="D44" s="7" t="str">
        <f t="array" ref="D44">_xlfn.XLOOKUP($A44,'WK 48'!$A:$A,'WK 48'!D:D,"")</f>
        <v>Production</v>
      </c>
      <c r="E44" s="8" t="str">
        <f t="array" ref="E44">_xlfn.XLOOKUP($A44,'WK 48'!$A:$A,'WK 48'!E:E,"")</f>
        <v>FT</v>
      </c>
      <c r="F44" s="9">
        <f t="array" ref="F44">_xlfn.XLOOKUP($A44,'WK 48'!$A:$A,'WK 48'!F:F,"")</f>
        <v>1</v>
      </c>
      <c r="G44" s="8">
        <v>0.375</v>
      </c>
      <c r="H44" s="8">
        <v>0.791666666667879</v>
      </c>
      <c r="I44" s="8">
        <v>0.375</v>
      </c>
      <c r="J44" s="8">
        <v>0.791666666667879</v>
      </c>
      <c r="K44" s="8">
        <v>0.375</v>
      </c>
      <c r="L44" s="8">
        <v>0.791666666667879</v>
      </c>
      <c r="M44" s="8">
        <v>0.375</v>
      </c>
      <c r="N44" s="8">
        <v>0.791666666667879</v>
      </c>
      <c r="O44" s="7" t="s">
        <v>23</v>
      </c>
      <c r="P44" s="7" t="s">
        <v>23</v>
      </c>
      <c r="Q44" s="7" t="s">
        <v>23</v>
      </c>
      <c r="R44" s="7" t="s">
        <v>23</v>
      </c>
      <c r="S44" s="8">
        <v>0.458333333332121</v>
      </c>
      <c r="T44" s="8">
        <v>0.666666666667879</v>
      </c>
      <c r="U44" s="21">
        <f>IFERROR(__xludf.DUMMYFUNCTION("TO_PURE_NUMBER(SUM(FILTER(G44:T44, ISEVEN(COLUMN(G44:T44))))-SUM(FILTER(G44:T44, ISODD(COLUMN(G44:T44)))))*24"),45.0000000001746)</f>
        <v>45.0000000001746</v>
      </c>
    </row>
    <row r="45" customHeight="1" spans="1:21">
      <c r="A45" s="7">
        <v>10320435</v>
      </c>
      <c r="B45" s="7" t="s">
        <v>71</v>
      </c>
      <c r="C45" s="7" t="str">
        <f t="array" ref="C45">_xlfn.XLOOKUP($A45,'WK 48'!A:A,'WK 48'!C:C,"")</f>
        <v>CSR</v>
      </c>
      <c r="D45" s="7" t="str">
        <f t="array" ref="D45">_xlfn.XLOOKUP($A45,'WK 48'!$A:$A,'WK 48'!D:D,"")</f>
        <v>Production</v>
      </c>
      <c r="E45" s="8" t="str">
        <f t="array" ref="E45">_xlfn.XLOOKUP($A45,'WK 48'!$A:$A,'WK 48'!E:E,"")</f>
        <v>FT</v>
      </c>
      <c r="F45" s="9">
        <f t="array" ref="F45">_xlfn.XLOOKUP($A45,'WK 48'!$A:$A,'WK 48'!F:F,"")</f>
        <v>3</v>
      </c>
      <c r="G45" s="8">
        <v>0.5</v>
      </c>
      <c r="H45" s="8">
        <v>0.875</v>
      </c>
      <c r="I45" s="8">
        <v>0.5</v>
      </c>
      <c r="J45" s="8">
        <v>0.875</v>
      </c>
      <c r="K45" s="8">
        <v>0.5</v>
      </c>
      <c r="L45" s="8">
        <v>0.875</v>
      </c>
      <c r="M45" s="8">
        <v>0.5</v>
      </c>
      <c r="N45" s="8">
        <v>0.875</v>
      </c>
      <c r="O45" s="8">
        <v>0.5</v>
      </c>
      <c r="P45" s="8">
        <v>0.875</v>
      </c>
      <c r="Q45" s="7" t="s">
        <v>23</v>
      </c>
      <c r="R45" s="7" t="s">
        <v>23</v>
      </c>
      <c r="S45" s="7" t="s">
        <v>23</v>
      </c>
      <c r="T45" s="7" t="s">
        <v>23</v>
      </c>
      <c r="U45" s="21">
        <f>IFERROR(__xludf.DUMMYFUNCTION("TO_PURE_NUMBER(SUM(FILTER(G45:T45, ISEVEN(COLUMN(G45:T45))))-SUM(FILTER(G45:T45, ISODD(COLUMN(G45:T45)))))*24"),45)</f>
        <v>45</v>
      </c>
    </row>
    <row r="46" customHeight="1" spans="1:21">
      <c r="A46" s="7">
        <v>10316683</v>
      </c>
      <c r="B46" s="7" t="s">
        <v>51</v>
      </c>
      <c r="C46" s="7" t="str">
        <f t="array" ref="C46">_xlfn.XLOOKUP($A46,'WK 48'!A:A,'WK 48'!C:C,"")</f>
        <v>CSR</v>
      </c>
      <c r="D46" s="7" t="str">
        <f t="array" ref="D46">_xlfn.XLOOKUP($A46,'WK 48'!$A:$A,'WK 48'!D:D,"")</f>
        <v>Production</v>
      </c>
      <c r="E46" s="8" t="str">
        <f t="array" ref="E46">_xlfn.XLOOKUP($A46,'WK 48'!$A:$A,'WK 48'!E:E,"")</f>
        <v>FT</v>
      </c>
      <c r="F46" s="9">
        <f t="array" ref="F46">_xlfn.XLOOKUP($A46,'WK 48'!$A:$A,'WK 48'!F:F,"")</f>
        <v>1</v>
      </c>
      <c r="G46" s="8">
        <v>0.5</v>
      </c>
      <c r="H46" s="8">
        <v>0.875</v>
      </c>
      <c r="I46" s="8">
        <v>0.5</v>
      </c>
      <c r="J46" s="8">
        <v>0.875</v>
      </c>
      <c r="K46" s="8">
        <v>0.5</v>
      </c>
      <c r="L46" s="8">
        <v>0.875</v>
      </c>
      <c r="M46" s="8">
        <v>0.5</v>
      </c>
      <c r="N46" s="8">
        <v>0.875</v>
      </c>
      <c r="O46" s="8">
        <v>0.5</v>
      </c>
      <c r="P46" s="8">
        <v>0.875</v>
      </c>
      <c r="Q46" s="7" t="s">
        <v>23</v>
      </c>
      <c r="R46" s="7" t="s">
        <v>23</v>
      </c>
      <c r="S46" s="7" t="s">
        <v>23</v>
      </c>
      <c r="T46" s="7" t="s">
        <v>23</v>
      </c>
      <c r="U46" s="21">
        <f>IFERROR(__xludf.DUMMYFUNCTION("TO_PURE_NUMBER(SUM(FILTER(G46:T46, ISEVEN(COLUMN(G46:T46))))-SUM(FILTER(G46:T46, ISODD(COLUMN(G46:T46)))))*24"),45)</f>
        <v>45</v>
      </c>
    </row>
    <row r="47" customHeight="1" spans="1:21">
      <c r="A47" s="7">
        <v>10316540</v>
      </c>
      <c r="B47" s="7" t="s">
        <v>30</v>
      </c>
      <c r="C47" s="7" t="str">
        <f t="array" ref="C47">_xlfn.XLOOKUP($A47,'WK 48'!A:A,'WK 48'!C:C,"")</f>
        <v>CSR</v>
      </c>
      <c r="D47" s="7" t="str">
        <f t="array" ref="D47">_xlfn.XLOOKUP($A47,'WK 48'!$A:$A,'WK 48'!D:D,"")</f>
        <v>B2B</v>
      </c>
      <c r="E47" s="8" t="str">
        <f t="array" ref="E47">_xlfn.XLOOKUP($A47,'WK 48'!$A:$A,'WK 48'!E:E,"")</f>
        <v>FT</v>
      </c>
      <c r="F47" s="9">
        <f t="array" ref="F47">_xlfn.XLOOKUP($A47,'WK 48'!$A:$A,'WK 48'!F:F,"")</f>
        <v>1</v>
      </c>
      <c r="G47" s="8">
        <v>0.5</v>
      </c>
      <c r="H47" s="8">
        <v>0.875</v>
      </c>
      <c r="I47" s="8">
        <v>0.5</v>
      </c>
      <c r="J47" s="8">
        <v>0.875</v>
      </c>
      <c r="K47" s="8">
        <v>0.5</v>
      </c>
      <c r="L47" s="8">
        <v>0.875</v>
      </c>
      <c r="M47" s="8">
        <v>0.5</v>
      </c>
      <c r="N47" s="8">
        <v>0.875</v>
      </c>
      <c r="O47" s="8">
        <v>0.5</v>
      </c>
      <c r="P47" s="8">
        <v>0.875</v>
      </c>
      <c r="Q47" s="7" t="s">
        <v>23</v>
      </c>
      <c r="R47" s="7" t="s">
        <v>23</v>
      </c>
      <c r="S47" s="7" t="s">
        <v>23</v>
      </c>
      <c r="T47" s="7" t="s">
        <v>23</v>
      </c>
      <c r="U47" s="21">
        <f>IFERROR(__xludf.DUMMYFUNCTION("TO_PURE_NUMBER(SUM(FILTER(G47:T47, ISEVEN(COLUMN(G47:T47))))-SUM(FILTER(G47:T47, ISODD(COLUMN(G47:T47)))))*24"),45)</f>
        <v>45</v>
      </c>
    </row>
    <row r="48" customHeight="1" spans="1:21">
      <c r="A48" s="7">
        <v>10293627</v>
      </c>
      <c r="B48" s="7" t="s">
        <v>92</v>
      </c>
      <c r="C48" s="7" t="str">
        <f t="array" ref="C48">_xlfn.XLOOKUP($A48,'WK 48'!A:A,'WK 48'!C:C,"")</f>
        <v>CSR</v>
      </c>
      <c r="D48" s="7" t="str">
        <f t="array" ref="D48">_xlfn.XLOOKUP($A48,'WK 48'!$A:$A,'WK 48'!D:D,"")</f>
        <v>Production</v>
      </c>
      <c r="E48" s="8" t="str">
        <f t="array" ref="E48">_xlfn.XLOOKUP($A48,'WK 48'!$A:$A,'WK 48'!E:E,"")</f>
        <v>FT</v>
      </c>
      <c r="F48" s="9">
        <f t="array" ref="F48">_xlfn.XLOOKUP($A48,'WK 48'!$A:$A,'WK 48'!F:F,"")</f>
        <v>3</v>
      </c>
      <c r="G48" s="8">
        <v>0.458333333332121</v>
      </c>
      <c r="H48" s="8">
        <v>0.875</v>
      </c>
      <c r="I48" s="8">
        <v>0.458333333332121</v>
      </c>
      <c r="J48" s="8">
        <v>0.875</v>
      </c>
      <c r="K48" s="8">
        <v>0.458333333332121</v>
      </c>
      <c r="L48" s="8">
        <v>0.875</v>
      </c>
      <c r="M48" s="8">
        <v>0.458333333332121</v>
      </c>
      <c r="N48" s="8">
        <v>0.875</v>
      </c>
      <c r="O48" s="7" t="s">
        <v>23</v>
      </c>
      <c r="P48" s="7" t="s">
        <v>23</v>
      </c>
      <c r="Q48" s="7" t="s">
        <v>23</v>
      </c>
      <c r="R48" s="7" t="s">
        <v>23</v>
      </c>
      <c r="S48" s="8">
        <v>0.458333333332121</v>
      </c>
      <c r="T48" s="8">
        <v>0.666666666667879</v>
      </c>
      <c r="U48" s="21">
        <f>IFERROR(__xludf.DUMMYFUNCTION("TO_PURE_NUMBER(SUM(FILTER(G48:T48, ISEVEN(COLUMN(G48:T48))))-SUM(FILTER(G48:T48, ISODD(COLUMN(G48:T48)))))*24"),45.0000000001746)</f>
        <v>45.0000000001746</v>
      </c>
    </row>
    <row r="49" customHeight="1" spans="1:21">
      <c r="A49" s="7">
        <v>10295555</v>
      </c>
      <c r="B49" s="7" t="s">
        <v>34</v>
      </c>
      <c r="C49" s="7" t="str">
        <f t="array" ref="C49">_xlfn.XLOOKUP($A49,'WK 48'!A:A,'WK 48'!C:C,"")</f>
        <v>CSR</v>
      </c>
      <c r="D49" s="7" t="str">
        <f t="array" ref="D49">_xlfn.XLOOKUP($A49,'WK 48'!$A:$A,'WK 48'!D:D,"")</f>
        <v>Production</v>
      </c>
      <c r="E49" s="8" t="str">
        <f t="array" ref="E49">_xlfn.XLOOKUP($A49,'WK 48'!$A:$A,'WK 48'!E:E,"")</f>
        <v>PT</v>
      </c>
      <c r="F49" s="9">
        <f t="array" ref="F49">_xlfn.XLOOKUP($A49,'WK 48'!$A:$A,'WK 48'!F:F,"")</f>
        <v>2</v>
      </c>
      <c r="G49" s="8">
        <v>0.666666666667879</v>
      </c>
      <c r="H49" s="8">
        <v>0.875</v>
      </c>
      <c r="I49" s="8">
        <v>0.666666666667879</v>
      </c>
      <c r="J49" s="8">
        <v>0.875</v>
      </c>
      <c r="K49" s="8">
        <v>0.666666666667879</v>
      </c>
      <c r="L49" s="8">
        <v>0.875</v>
      </c>
      <c r="M49" s="7" t="s">
        <v>23</v>
      </c>
      <c r="N49" s="7" t="s">
        <v>23</v>
      </c>
      <c r="O49" s="7" t="s">
        <v>23</v>
      </c>
      <c r="P49" s="7" t="s">
        <v>23</v>
      </c>
      <c r="Q49" s="8">
        <v>0.458333333332121</v>
      </c>
      <c r="R49" s="8">
        <v>0.666666666667879</v>
      </c>
      <c r="S49" s="8">
        <v>0.458333333332121</v>
      </c>
      <c r="T49" s="8">
        <v>0.666666666667879</v>
      </c>
      <c r="U49" s="21">
        <f>IFERROR(__xludf.DUMMYFUNCTION("TO_PURE_NUMBER(SUM(FILTER(G49:T49, ISEVEN(COLUMN(G49:T49))))-SUM(FILTER(G49:T49, ISODD(COLUMN(G49:T49)))))*24"),25.0000000000291)</f>
        <v>25.0000000000291</v>
      </c>
    </row>
    <row r="50" customHeight="1" spans="1:21">
      <c r="A50" s="7">
        <v>10317151</v>
      </c>
      <c r="B50" s="7" t="s">
        <v>52</v>
      </c>
      <c r="C50" s="7" t="str">
        <f t="array" ref="C50">_xlfn.XLOOKUP($A50,'WK 48'!A:A,'WK 48'!C:C,"")</f>
        <v>CSR</v>
      </c>
      <c r="D50" s="7" t="str">
        <f t="array" ref="D50">_xlfn.XLOOKUP($A50,'WK 48'!$A:$A,'WK 48'!D:D,"")</f>
        <v>B2B</v>
      </c>
      <c r="E50" s="8" t="str">
        <f t="array" ref="E50">_xlfn.XLOOKUP($A50,'WK 48'!$A:$A,'WK 48'!E:E,"")</f>
        <v>FT</v>
      </c>
      <c r="F50" s="9">
        <f t="array" ref="F50">_xlfn.XLOOKUP($A50,'WK 48'!$A:$A,'WK 48'!F:F,"")</f>
        <v>1</v>
      </c>
      <c r="G50" s="8">
        <v>0.375</v>
      </c>
      <c r="H50" s="8">
        <v>0.75</v>
      </c>
      <c r="I50" s="8">
        <v>0.375</v>
      </c>
      <c r="J50" s="8">
        <v>0.75</v>
      </c>
      <c r="K50" s="8">
        <v>0.375</v>
      </c>
      <c r="L50" s="8">
        <v>0.75</v>
      </c>
      <c r="M50" s="8">
        <v>0.375</v>
      </c>
      <c r="N50" s="8">
        <v>0.75</v>
      </c>
      <c r="O50" s="8">
        <v>0.375</v>
      </c>
      <c r="P50" s="8">
        <v>0.75</v>
      </c>
      <c r="Q50" s="7" t="s">
        <v>23</v>
      </c>
      <c r="R50" s="7" t="s">
        <v>23</v>
      </c>
      <c r="S50" s="7" t="s">
        <v>23</v>
      </c>
      <c r="T50" s="7" t="s">
        <v>23</v>
      </c>
      <c r="U50" s="21">
        <f>IFERROR(__xludf.DUMMYFUNCTION("TO_PURE_NUMBER(SUM(FILTER(G50:T50, ISEVEN(COLUMN(G50:T50))))-SUM(FILTER(G50:T50, ISODD(COLUMN(G50:T50)))))*24"),45)</f>
        <v>45</v>
      </c>
    </row>
    <row r="51" customHeight="1" spans="1:21">
      <c r="A51" s="7">
        <v>10317524</v>
      </c>
      <c r="B51" s="7" t="s">
        <v>53</v>
      </c>
      <c r="C51" s="7" t="str">
        <f t="array" ref="C51">_xlfn.XLOOKUP($A51,'WK 48'!A:A,'WK 48'!C:C,"")</f>
        <v>CSR</v>
      </c>
      <c r="D51" s="7" t="str">
        <f t="array" ref="D51">_xlfn.XLOOKUP($A51,'WK 48'!$A:$A,'WK 48'!D:D,"")</f>
        <v>Production</v>
      </c>
      <c r="E51" s="8" t="str">
        <f t="array" ref="E51">_xlfn.XLOOKUP($A51,'WK 48'!$A:$A,'WK 48'!E:E,"")</f>
        <v>FT</v>
      </c>
      <c r="F51" s="9">
        <f t="array" ref="F51">_xlfn.XLOOKUP($A51,'WK 48'!$A:$A,'WK 48'!F:F,"")</f>
        <v>2</v>
      </c>
      <c r="G51" s="7" t="s">
        <v>23</v>
      </c>
      <c r="H51" s="7" t="s">
        <v>23</v>
      </c>
      <c r="I51" s="8">
        <v>0.375</v>
      </c>
      <c r="J51" s="8">
        <v>0.791666666667879</v>
      </c>
      <c r="K51" s="8">
        <v>0.375</v>
      </c>
      <c r="L51" s="8">
        <v>0.791666666667879</v>
      </c>
      <c r="M51" s="8">
        <v>0.375</v>
      </c>
      <c r="N51" s="8">
        <v>0.791666666667879</v>
      </c>
      <c r="O51" s="8">
        <v>0.375</v>
      </c>
      <c r="P51" s="8">
        <v>0.791666666667879</v>
      </c>
      <c r="Q51" s="8">
        <v>0.458333333332121</v>
      </c>
      <c r="R51" s="8">
        <v>0.666666666667879</v>
      </c>
      <c r="S51" s="7" t="s">
        <v>23</v>
      </c>
      <c r="T51" s="7" t="s">
        <v>23</v>
      </c>
      <c r="U51" s="21">
        <f>IFERROR(__xludf.DUMMYFUNCTION("TO_PURE_NUMBER(SUM(FILTER(G51:T51, ISEVEN(COLUMN(G51:T51))))-SUM(FILTER(G51:T51, ISODD(COLUMN(G51:T51)))))*24"),45.0000000001746)</f>
        <v>45.0000000001746</v>
      </c>
    </row>
    <row r="58" customHeight="1" spans="1:20">
      <c r="A58" s="22" t="s">
        <v>0</v>
      </c>
      <c r="B58" s="22" t="s">
        <v>1</v>
      </c>
      <c r="C58" s="22" t="s">
        <v>2</v>
      </c>
      <c r="D58" s="22" t="s">
        <v>3</v>
      </c>
      <c r="E58" s="22" t="s">
        <v>4</v>
      </c>
      <c r="F58" s="159" t="s">
        <v>5</v>
      </c>
      <c r="G58" s="24" t="s">
        <v>6</v>
      </c>
      <c r="H58" s="14"/>
      <c r="I58" s="24" t="s">
        <v>7</v>
      </c>
      <c r="J58" s="14"/>
      <c r="K58" s="24" t="s">
        <v>8</v>
      </c>
      <c r="L58" s="14"/>
      <c r="M58" s="24" t="s">
        <v>9</v>
      </c>
      <c r="N58" s="14"/>
      <c r="O58" s="24" t="s">
        <v>10</v>
      </c>
      <c r="P58" s="14"/>
      <c r="Q58" s="24" t="s">
        <v>11</v>
      </c>
      <c r="R58" s="14"/>
      <c r="S58" s="24" t="s">
        <v>12</v>
      </c>
      <c r="T58" s="14"/>
    </row>
    <row r="59" customHeight="1" spans="1:20">
      <c r="A59" s="15"/>
      <c r="B59" s="15"/>
      <c r="C59" s="15"/>
      <c r="D59" s="15"/>
      <c r="E59" s="15"/>
      <c r="F59" s="15"/>
      <c r="G59" s="160">
        <v>45628</v>
      </c>
      <c r="H59" s="14"/>
      <c r="I59" s="160">
        <v>45629</v>
      </c>
      <c r="J59" s="14"/>
      <c r="K59" s="160">
        <v>45630</v>
      </c>
      <c r="L59" s="14"/>
      <c r="M59" s="160">
        <v>45631</v>
      </c>
      <c r="N59" s="14"/>
      <c r="O59" s="160">
        <v>45632</v>
      </c>
      <c r="P59" s="14"/>
      <c r="Q59" s="160">
        <v>45633</v>
      </c>
      <c r="R59" s="14"/>
      <c r="S59" s="160">
        <v>45634</v>
      </c>
      <c r="T59" s="14"/>
    </row>
    <row r="60" customHeight="1" spans="1:21">
      <c r="A60" s="15"/>
      <c r="B60" s="15"/>
      <c r="C60" s="15"/>
      <c r="D60" s="15"/>
      <c r="E60" s="15"/>
      <c r="F60" s="15"/>
      <c r="G60" s="161" t="s">
        <v>80</v>
      </c>
      <c r="H60" s="161" t="s">
        <v>81</v>
      </c>
      <c r="I60" s="161" t="s">
        <v>80</v>
      </c>
      <c r="J60" s="161" t="s">
        <v>81</v>
      </c>
      <c r="K60" s="161" t="s">
        <v>80</v>
      </c>
      <c r="L60" s="161" t="s">
        <v>81</v>
      </c>
      <c r="M60" s="161" t="s">
        <v>80</v>
      </c>
      <c r="N60" s="161" t="s">
        <v>81</v>
      </c>
      <c r="O60" s="161" t="s">
        <v>80</v>
      </c>
      <c r="P60" s="161" t="s">
        <v>81</v>
      </c>
      <c r="Q60" s="161" t="s">
        <v>80</v>
      </c>
      <c r="R60" s="161" t="s">
        <v>81</v>
      </c>
      <c r="S60" s="161" t="s">
        <v>80</v>
      </c>
      <c r="T60" s="161" t="s">
        <v>81</v>
      </c>
      <c r="U60" s="161" t="s">
        <v>97</v>
      </c>
    </row>
    <row r="61" customHeight="1" spans="1:21">
      <c r="A61" s="114">
        <v>10320408</v>
      </c>
      <c r="B61" s="162" t="s">
        <v>56</v>
      </c>
      <c r="C61" s="114" t="str">
        <f t="array" ref="C61">_xlfn.XLOOKUP($A61,'WK 48'!A:A,'WK 48'!C:C,"")</f>
        <v>CSR</v>
      </c>
      <c r="D61" s="114" t="str">
        <f t="array" ref="D61">_xlfn.XLOOKUP($A61,'WK 48'!$A:$A,'WK 48'!D:D,"")</f>
        <v>Production</v>
      </c>
      <c r="E61" s="115" t="str">
        <f t="array" ref="E61">_xlfn.XLOOKUP($A61,'WK 48'!$A:$A,'WK 48'!E:E,"")</f>
        <v>FT</v>
      </c>
      <c r="F61" s="163">
        <f t="array" ref="F61">_xlfn.XLOOKUP($A61,'WK 48'!$A:$A,'WK 48'!F:F,"")</f>
        <v>3</v>
      </c>
      <c r="G61" s="164">
        <v>0.666666666667879</v>
      </c>
      <c r="H61" s="165">
        <v>0.875</v>
      </c>
      <c r="I61" s="114" t="s">
        <v>23</v>
      </c>
      <c r="J61" s="114" t="s">
        <v>23</v>
      </c>
      <c r="K61" s="114" t="s">
        <v>23</v>
      </c>
      <c r="L61" s="114" t="s">
        <v>23</v>
      </c>
      <c r="M61" s="164">
        <v>0.666666666667879</v>
      </c>
      <c r="N61" s="165">
        <v>0.875</v>
      </c>
      <c r="O61" s="164">
        <v>0.666666666667879</v>
      </c>
      <c r="P61" s="165">
        <v>0.875</v>
      </c>
      <c r="Q61" s="166">
        <v>0.458333333332121</v>
      </c>
      <c r="R61" s="164">
        <v>0.666666666667879</v>
      </c>
      <c r="S61" s="166">
        <v>0.458333333332121</v>
      </c>
      <c r="T61" s="164">
        <v>0.666666666667879</v>
      </c>
      <c r="U61" s="21">
        <f>IFERROR(__xludf.DUMMYFUNCTION("TO_PURE_NUMBER(SUM(FILTER(G61:T61, ISEVEN(COLUMN(G61:T61))))-SUM(FILTER(G61:T61, ISODD(COLUMN(G61:T61)))))*24"),25.0000000000291)</f>
        <v>25.0000000000291</v>
      </c>
    </row>
    <row r="62" customHeight="1" spans="1:21">
      <c r="A62" s="7">
        <v>10316543</v>
      </c>
      <c r="B62" s="55" t="s">
        <v>41</v>
      </c>
      <c r="C62" s="7" t="str">
        <f t="array" ref="C62">_xlfn.XLOOKUP($A62,'WK 48'!A:A,'WK 48'!C:C,"")</f>
        <v>CSR</v>
      </c>
      <c r="D62" s="7" t="str">
        <f t="array" ref="D62">_xlfn.XLOOKUP($A62,'WK 48'!$A:$A,'WK 48'!D:D,"")</f>
        <v>Production</v>
      </c>
      <c r="E62" s="8" t="str">
        <f t="array" ref="E62">_xlfn.XLOOKUP($A62,'WK 48'!$A:$A,'WK 48'!E:E,"")</f>
        <v>FT</v>
      </c>
      <c r="F62" s="9">
        <f t="array" ref="F62">_xlfn.XLOOKUP($A62,'WK 48'!$A:$A,'WK 48'!F:F,"")</f>
        <v>1</v>
      </c>
      <c r="G62" s="8">
        <v>0.375</v>
      </c>
      <c r="H62" s="8">
        <v>0.75</v>
      </c>
      <c r="I62" s="8">
        <v>0.375</v>
      </c>
      <c r="J62" s="8">
        <v>0.75</v>
      </c>
      <c r="K62" s="8">
        <v>0.375</v>
      </c>
      <c r="L62" s="8">
        <v>0.75</v>
      </c>
      <c r="M62" s="7" t="s">
        <v>23</v>
      </c>
      <c r="N62" s="7" t="s">
        <v>23</v>
      </c>
      <c r="O62" s="7" t="s">
        <v>23</v>
      </c>
      <c r="P62" s="7" t="s">
        <v>23</v>
      </c>
      <c r="Q62" s="8">
        <v>0.458333333332121</v>
      </c>
      <c r="R62" s="8">
        <v>0.666666666667879</v>
      </c>
      <c r="S62" s="8">
        <v>0.458333333332121</v>
      </c>
      <c r="T62" s="8">
        <v>0.666666666667879</v>
      </c>
      <c r="U62" s="21">
        <f>IFERROR(__xludf.DUMMYFUNCTION("TO_PURE_NUMBER(SUM(FILTER(G62:T62, ISEVEN(COLUMN(G62:T62))))-SUM(FILTER(G62:T62, ISODD(COLUMN(G62:T62)))))*24"),37.0000000001164)</f>
        <v>37.0000000001164</v>
      </c>
    </row>
    <row r="66" customHeight="1" spans="1:20">
      <c r="A66" s="22" t="s">
        <v>0</v>
      </c>
      <c r="B66" s="22" t="s">
        <v>1</v>
      </c>
      <c r="C66" s="22" t="s">
        <v>2</v>
      </c>
      <c r="D66" s="22" t="s">
        <v>3</v>
      </c>
      <c r="E66" s="22" t="s">
        <v>4</v>
      </c>
      <c r="F66" s="159" t="s">
        <v>5</v>
      </c>
      <c r="G66" s="24" t="s">
        <v>6</v>
      </c>
      <c r="H66" s="14"/>
      <c r="I66" s="24" t="s">
        <v>7</v>
      </c>
      <c r="J66" s="14"/>
      <c r="K66" s="24" t="s">
        <v>8</v>
      </c>
      <c r="L66" s="14"/>
      <c r="M66" s="24" t="s">
        <v>9</v>
      </c>
      <c r="N66" s="14"/>
      <c r="O66" s="24" t="s">
        <v>10</v>
      </c>
      <c r="P66" s="14"/>
      <c r="Q66" s="24" t="s">
        <v>11</v>
      </c>
      <c r="R66" s="14"/>
      <c r="S66" s="24" t="s">
        <v>12</v>
      </c>
      <c r="T66" s="14"/>
    </row>
    <row r="67" customHeight="1" spans="1:20">
      <c r="A67" s="15"/>
      <c r="B67" s="15"/>
      <c r="C67" s="15"/>
      <c r="D67" s="15"/>
      <c r="E67" s="15"/>
      <c r="F67" s="15"/>
      <c r="G67" s="160">
        <v>45628</v>
      </c>
      <c r="H67" s="14"/>
      <c r="I67" s="160">
        <v>45629</v>
      </c>
      <c r="J67" s="14"/>
      <c r="K67" s="160">
        <v>45630</v>
      </c>
      <c r="L67" s="14"/>
      <c r="M67" s="160">
        <v>45631</v>
      </c>
      <c r="N67" s="14"/>
      <c r="O67" s="160">
        <v>45632</v>
      </c>
      <c r="P67" s="14"/>
      <c r="Q67" s="160">
        <v>45633</v>
      </c>
      <c r="R67" s="14"/>
      <c r="S67" s="160">
        <v>45634</v>
      </c>
      <c r="T67" s="14"/>
    </row>
    <row r="68" customHeight="1" spans="1:21">
      <c r="A68" s="15"/>
      <c r="B68" s="15"/>
      <c r="C68" s="15"/>
      <c r="D68" s="15"/>
      <c r="E68" s="15"/>
      <c r="F68" s="15"/>
      <c r="G68" s="161" t="s">
        <v>80</v>
      </c>
      <c r="H68" s="161" t="s">
        <v>81</v>
      </c>
      <c r="I68" s="161" t="s">
        <v>80</v>
      </c>
      <c r="J68" s="161" t="s">
        <v>81</v>
      </c>
      <c r="K68" s="161" t="s">
        <v>80</v>
      </c>
      <c r="L68" s="161" t="s">
        <v>81</v>
      </c>
      <c r="M68" s="161" t="s">
        <v>80</v>
      </c>
      <c r="N68" s="161" t="s">
        <v>81</v>
      </c>
      <c r="O68" s="161" t="s">
        <v>80</v>
      </c>
      <c r="P68" s="161" t="s">
        <v>81</v>
      </c>
      <c r="Q68" s="161" t="s">
        <v>80</v>
      </c>
      <c r="R68" s="161" t="s">
        <v>81</v>
      </c>
      <c r="S68" s="161" t="s">
        <v>80</v>
      </c>
      <c r="T68" s="161" t="s">
        <v>81</v>
      </c>
      <c r="U68" s="161" t="s">
        <v>97</v>
      </c>
    </row>
    <row r="69" customHeight="1" spans="1:21">
      <c r="A69" s="114">
        <v>10320408</v>
      </c>
      <c r="B69" s="162" t="s">
        <v>56</v>
      </c>
      <c r="C69" s="114" t="str">
        <f t="array" ref="C69">_xlfn.XLOOKUP($A69,'WK 48'!A:A,'WK 48'!C:C,"")</f>
        <v>CSR</v>
      </c>
      <c r="D69" s="114" t="str">
        <f t="array" ref="D69">_xlfn.XLOOKUP($A69,'WK 48'!$A:$A,'WK 48'!D:D,"")</f>
        <v>Production</v>
      </c>
      <c r="E69" s="115" t="str">
        <f t="array" ref="E69">_xlfn.XLOOKUP($A69,'WK 48'!$A:$A,'WK 48'!E:E,"")</f>
        <v>FT</v>
      </c>
      <c r="F69" s="163">
        <f t="array" ref="F69">_xlfn.XLOOKUP($A69,'WK 48'!$A:$A,'WK 48'!F:F,"")</f>
        <v>3</v>
      </c>
      <c r="G69" s="54">
        <v>0.458333333333333</v>
      </c>
      <c r="H69" s="165">
        <v>0.833333333333333</v>
      </c>
      <c r="I69" s="54">
        <v>0.375</v>
      </c>
      <c r="J69" s="54">
        <v>0.75</v>
      </c>
      <c r="K69" s="54">
        <v>0.375</v>
      </c>
      <c r="L69" s="54">
        <v>0.75</v>
      </c>
      <c r="M69" s="54">
        <v>0.375</v>
      </c>
      <c r="N69" s="54">
        <v>0.75</v>
      </c>
      <c r="O69" s="21" t="s">
        <v>23</v>
      </c>
      <c r="P69" s="21" t="s">
        <v>23</v>
      </c>
      <c r="Q69" s="21" t="s">
        <v>23</v>
      </c>
      <c r="R69" s="21" t="s">
        <v>23</v>
      </c>
      <c r="S69" s="54">
        <v>0.458333333333333</v>
      </c>
      <c r="T69" s="54">
        <v>0.666666666666667</v>
      </c>
      <c r="U69" s="21">
        <f>IFERROR(__xludf.DUMMYFUNCTION("TO_PURE_NUMBER(SUM(FILTER(G69:T69, ISEVEN(COLUMN(G69:T69))))-SUM(FILTER(G69:T69, ISODD(COLUMN(G69:T69)))))*24"),41)</f>
        <v>41</v>
      </c>
    </row>
    <row r="70" customHeight="1" spans="1:21">
      <c r="A70" s="7">
        <v>10316543</v>
      </c>
      <c r="B70" s="55" t="s">
        <v>41</v>
      </c>
      <c r="C70" s="7" t="str">
        <f t="array" ref="C70">_xlfn.XLOOKUP($A70,'WK 48'!A:A,'WK 48'!C:C,"")</f>
        <v>CSR</v>
      </c>
      <c r="D70" s="7" t="str">
        <f t="array" ref="D70">_xlfn.XLOOKUP($A70,'WK 48'!$A:$A,'WK 48'!D:D,"")</f>
        <v>Production</v>
      </c>
      <c r="E70" s="8" t="str">
        <f t="array" ref="E70">_xlfn.XLOOKUP($A70,'WK 48'!$A:$A,'WK 48'!E:E,"")</f>
        <v>FT</v>
      </c>
      <c r="F70" s="9">
        <f t="array" ref="F70">_xlfn.XLOOKUP($A70,'WK 48'!$A:$A,'WK 48'!F:F,"")</f>
        <v>1</v>
      </c>
      <c r="G70" s="8">
        <v>0.375</v>
      </c>
      <c r="H70" s="8">
        <v>0.791666666667879</v>
      </c>
      <c r="I70" s="8">
        <v>0.458333333332121</v>
      </c>
      <c r="J70" s="8">
        <v>0.875</v>
      </c>
      <c r="K70" s="8">
        <v>0.458333333332121</v>
      </c>
      <c r="L70" s="8">
        <v>0.875</v>
      </c>
      <c r="M70" s="8">
        <v>0.458333333332121</v>
      </c>
      <c r="N70" s="8">
        <v>0.875</v>
      </c>
      <c r="O70" s="7" t="s">
        <v>23</v>
      </c>
      <c r="P70" s="7" t="s">
        <v>23</v>
      </c>
      <c r="Q70" s="7" t="s">
        <v>23</v>
      </c>
      <c r="R70" s="7" t="s">
        <v>23</v>
      </c>
      <c r="S70" s="8">
        <v>0.458333333332121</v>
      </c>
      <c r="T70" s="8">
        <v>0.666666666667879</v>
      </c>
      <c r="U70" s="21">
        <f>IFERROR(__xludf.DUMMYFUNCTION("TO_PURE_NUMBER(SUM(FILTER(G70:T70, ISEVEN(COLUMN(G70:T70))))-SUM(FILTER(G70:T70, ISODD(COLUMN(G70:T70)))))*24"),45.0000000001746)</f>
        <v>45.0000000001746</v>
      </c>
    </row>
  </sheetData>
  <mergeCells count="54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G58:H58"/>
    <mergeCell ref="I58:J58"/>
    <mergeCell ref="K58:L58"/>
    <mergeCell ref="M58:N58"/>
    <mergeCell ref="O58:P58"/>
    <mergeCell ref="Q58:R58"/>
    <mergeCell ref="S58:T58"/>
    <mergeCell ref="G59:H59"/>
    <mergeCell ref="I59:J59"/>
    <mergeCell ref="K59:L59"/>
    <mergeCell ref="M59:N59"/>
    <mergeCell ref="O59:P59"/>
    <mergeCell ref="Q59:R59"/>
    <mergeCell ref="S59:T59"/>
    <mergeCell ref="G66:H66"/>
    <mergeCell ref="I66:J66"/>
    <mergeCell ref="K66:L66"/>
    <mergeCell ref="M66:N66"/>
    <mergeCell ref="O66:P66"/>
    <mergeCell ref="Q66:R66"/>
    <mergeCell ref="S66:T66"/>
    <mergeCell ref="G67:H67"/>
    <mergeCell ref="I67:J67"/>
    <mergeCell ref="K67:L67"/>
    <mergeCell ref="M67:N67"/>
    <mergeCell ref="O67:P67"/>
    <mergeCell ref="Q67:R67"/>
    <mergeCell ref="S67:T67"/>
    <mergeCell ref="A58:A60"/>
    <mergeCell ref="A66:A68"/>
    <mergeCell ref="B58:B60"/>
    <mergeCell ref="B66:B68"/>
    <mergeCell ref="C58:C60"/>
    <mergeCell ref="C66:C68"/>
    <mergeCell ref="D58:D60"/>
    <mergeCell ref="D66:D68"/>
    <mergeCell ref="E58:E60"/>
    <mergeCell ref="E66:E68"/>
    <mergeCell ref="F58:F60"/>
    <mergeCell ref="F66:F68"/>
  </mergeCells>
  <conditionalFormatting sqref="G4:T51 G62:T62 G69:G70 I69:T70 H70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A86E8"/>
    <outlinePr summaryBelow="0" summaryRight="0"/>
  </sheetPr>
  <dimension ref="A1:BQ1088"/>
  <sheetViews>
    <sheetView workbookViewId="0">
      <selection activeCell="A1" sqref="A1:A3"/>
    </sheetView>
  </sheetViews>
  <sheetFormatPr defaultColWidth="12.6272727272727" defaultRowHeight="15.75" customHeight="1"/>
  <cols>
    <col min="1" max="1" width="8.38181818181818" customWidth="1"/>
    <col min="2" max="2" width="18.7545454545455" customWidth="1"/>
    <col min="3" max="3" width="7.12727272727273" customWidth="1"/>
    <col min="4" max="4" width="9" customWidth="1"/>
    <col min="5" max="6" width="4.75454545454545" customWidth="1"/>
    <col min="7" max="7" width="9.5" customWidth="1"/>
    <col min="8" max="8" width="8.5" customWidth="1"/>
    <col min="9" max="9" width="9.5" customWidth="1"/>
    <col min="10" max="10" width="8.5" customWidth="1"/>
    <col min="11" max="11" width="9.5" customWidth="1"/>
    <col min="12" max="12" width="8.5" customWidth="1"/>
    <col min="13" max="13" width="9.5" customWidth="1"/>
    <col min="14" max="14" width="8.5" customWidth="1"/>
    <col min="15" max="15" width="9.5" customWidth="1"/>
    <col min="16" max="16" width="8.5" customWidth="1"/>
    <col min="17" max="17" width="9.5" customWidth="1"/>
    <col min="18" max="18" width="8.5" customWidth="1"/>
    <col min="19" max="19" width="9.5" customWidth="1"/>
    <col min="20" max="20" width="8.5" customWidth="1"/>
    <col min="21" max="21" width="9.5" customWidth="1"/>
    <col min="22" max="22" width="8.5" customWidth="1"/>
    <col min="23" max="23" width="9.5" customWidth="1"/>
    <col min="24" max="24" width="8.5" customWidth="1"/>
    <col min="25" max="25" width="9.5" customWidth="1"/>
    <col min="26" max="26" width="8.5" customWidth="1"/>
    <col min="27" max="27" width="9.38181818181818" customWidth="1"/>
    <col min="28" max="28" width="8.5" customWidth="1"/>
    <col min="29" max="29" width="9.5" customWidth="1"/>
    <col min="30" max="30" width="8.5" customWidth="1"/>
    <col min="31" max="31" width="9.5" customWidth="1"/>
    <col min="32" max="32" width="8.5" customWidth="1"/>
    <col min="33" max="33" width="9.5" customWidth="1"/>
    <col min="34" max="34" width="8.5" customWidth="1"/>
    <col min="35" max="35" width="9.5" customWidth="1"/>
    <col min="36" max="36" width="8.5" customWidth="1"/>
    <col min="37" max="37" width="9.5" customWidth="1"/>
    <col min="38" max="38" width="8.5" customWidth="1"/>
    <col min="39" max="39" width="9.5" customWidth="1"/>
    <col min="40" max="40" width="8.5" customWidth="1"/>
    <col min="41" max="41" width="9.5" customWidth="1"/>
    <col min="42" max="42" width="8.5" customWidth="1"/>
    <col min="43" max="43" width="9.5" customWidth="1"/>
    <col min="44" max="44" width="8.5" customWidth="1"/>
    <col min="45" max="45" width="9.5" customWidth="1"/>
    <col min="46" max="46" width="8.5" customWidth="1"/>
    <col min="47" max="47" width="9.5" customWidth="1"/>
    <col min="48" max="48" width="8.5" customWidth="1"/>
    <col min="49" max="49" width="9.5" customWidth="1"/>
    <col min="50" max="50" width="8.5" customWidth="1"/>
    <col min="51" max="51" width="9.5" customWidth="1"/>
    <col min="52" max="52" width="8.5" customWidth="1"/>
    <col min="53" max="53" width="9.5" customWidth="1"/>
    <col min="54" max="54" width="8.5" customWidth="1"/>
    <col min="55" max="55" width="9.5" customWidth="1"/>
    <col min="56" max="56" width="8.5" customWidth="1"/>
    <col min="57" max="57" width="9.5" customWidth="1"/>
    <col min="58" max="58" width="8.5" customWidth="1"/>
    <col min="59" max="59" width="9.5" customWidth="1"/>
    <col min="60" max="60" width="8.5" customWidth="1"/>
    <col min="61" max="61" width="9.5" customWidth="1"/>
    <col min="62" max="62" width="8.5" customWidth="1"/>
    <col min="63" max="63" width="9.5" customWidth="1"/>
    <col min="64" max="64" width="8.5" customWidth="1"/>
    <col min="65" max="65" width="9.5" customWidth="1"/>
    <col min="66" max="66" width="8.5" customWidth="1"/>
    <col min="67" max="67" width="9.5" customWidth="1"/>
    <col min="68" max="68" width="8.5" customWidth="1"/>
  </cols>
  <sheetData>
    <row r="1" customHeight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>
        <v>45658</v>
      </c>
      <c r="H1" s="14"/>
      <c r="I1" s="3">
        <v>45659</v>
      </c>
      <c r="J1" s="14"/>
      <c r="K1" s="3">
        <v>45660</v>
      </c>
      <c r="L1" s="14"/>
      <c r="M1" s="3">
        <v>45661</v>
      </c>
      <c r="N1" s="14"/>
      <c r="O1" s="3">
        <v>45662</v>
      </c>
      <c r="P1" s="14"/>
      <c r="Q1" s="3">
        <v>45663</v>
      </c>
      <c r="R1" s="14"/>
      <c r="S1" s="3">
        <v>45664</v>
      </c>
      <c r="T1" s="14"/>
      <c r="U1" s="3">
        <v>45665</v>
      </c>
      <c r="V1" s="14"/>
      <c r="W1" s="3">
        <v>45666</v>
      </c>
      <c r="X1" s="14"/>
      <c r="Y1" s="3">
        <v>45667</v>
      </c>
      <c r="Z1" s="14"/>
      <c r="AA1" s="3">
        <v>45668</v>
      </c>
      <c r="AB1" s="14"/>
      <c r="AC1" s="3">
        <v>45669</v>
      </c>
      <c r="AD1" s="14"/>
      <c r="AE1" s="3">
        <v>45670</v>
      </c>
      <c r="AF1" s="14"/>
      <c r="AG1" s="3">
        <v>45671</v>
      </c>
      <c r="AH1" s="14"/>
      <c r="AI1" s="3">
        <v>45672</v>
      </c>
      <c r="AJ1" s="14"/>
      <c r="AK1" s="3">
        <v>45673</v>
      </c>
      <c r="AL1" s="14"/>
      <c r="AM1" s="3">
        <v>45674</v>
      </c>
      <c r="AN1" s="14"/>
      <c r="AO1" s="3">
        <v>45675</v>
      </c>
      <c r="AP1" s="14"/>
      <c r="AQ1" s="3">
        <v>45676</v>
      </c>
      <c r="AR1" s="14"/>
      <c r="AS1" s="3">
        <v>45677</v>
      </c>
      <c r="AT1" s="14"/>
      <c r="AU1" s="3">
        <v>45678</v>
      </c>
      <c r="AV1" s="14"/>
      <c r="AW1" s="3">
        <v>45679</v>
      </c>
      <c r="AX1" s="14"/>
      <c r="AY1" s="3">
        <v>45680</v>
      </c>
      <c r="AZ1" s="14"/>
      <c r="BA1" s="3">
        <v>45681</v>
      </c>
      <c r="BB1" s="14"/>
      <c r="BC1" s="3">
        <v>45682</v>
      </c>
      <c r="BD1" s="14"/>
      <c r="BE1" s="3">
        <v>45683</v>
      </c>
      <c r="BF1" s="14"/>
      <c r="BG1" s="3">
        <v>45684</v>
      </c>
      <c r="BH1" s="14"/>
      <c r="BI1" s="3">
        <v>45685</v>
      </c>
      <c r="BJ1" s="14"/>
      <c r="BK1" s="3">
        <v>45686</v>
      </c>
      <c r="BL1" s="14"/>
      <c r="BM1" s="3">
        <v>45687</v>
      </c>
      <c r="BN1" s="14"/>
      <c r="BO1" s="3">
        <v>45688</v>
      </c>
      <c r="BP1" s="14"/>
    </row>
    <row r="2" customHeight="1" spans="1:68">
      <c r="A2" s="15"/>
      <c r="B2" s="15"/>
      <c r="C2" s="15"/>
      <c r="D2" s="15"/>
      <c r="E2" s="15"/>
      <c r="F2" s="15"/>
      <c r="G2" s="16" t="s">
        <v>80</v>
      </c>
      <c r="H2" s="16" t="s">
        <v>81</v>
      </c>
      <c r="I2" s="16" t="s">
        <v>80</v>
      </c>
      <c r="J2" s="16" t="s">
        <v>81</v>
      </c>
      <c r="K2" s="16" t="s">
        <v>80</v>
      </c>
      <c r="L2" s="16" t="s">
        <v>81</v>
      </c>
      <c r="M2" s="16" t="s">
        <v>80</v>
      </c>
      <c r="N2" s="16" t="s">
        <v>81</v>
      </c>
      <c r="O2" s="16" t="s">
        <v>80</v>
      </c>
      <c r="P2" s="16" t="s">
        <v>81</v>
      </c>
      <c r="Q2" s="16" t="s">
        <v>80</v>
      </c>
      <c r="R2" s="16" t="s">
        <v>81</v>
      </c>
      <c r="S2" s="16" t="s">
        <v>80</v>
      </c>
      <c r="T2" s="16" t="s">
        <v>81</v>
      </c>
      <c r="U2" s="16" t="s">
        <v>80</v>
      </c>
      <c r="V2" s="16" t="s">
        <v>81</v>
      </c>
      <c r="W2" s="16" t="s">
        <v>80</v>
      </c>
      <c r="X2" s="16" t="s">
        <v>81</v>
      </c>
      <c r="Y2" s="16" t="s">
        <v>80</v>
      </c>
      <c r="Z2" s="16" t="s">
        <v>81</v>
      </c>
      <c r="AA2" s="16" t="s">
        <v>80</v>
      </c>
      <c r="AB2" s="16" t="s">
        <v>81</v>
      </c>
      <c r="AC2" s="16" t="s">
        <v>80</v>
      </c>
      <c r="AD2" s="16" t="s">
        <v>81</v>
      </c>
      <c r="AE2" s="16" t="s">
        <v>80</v>
      </c>
      <c r="AF2" s="16" t="s">
        <v>81</v>
      </c>
      <c r="AG2" s="16" t="s">
        <v>80</v>
      </c>
      <c r="AH2" s="16" t="s">
        <v>81</v>
      </c>
      <c r="AI2" s="16" t="s">
        <v>80</v>
      </c>
      <c r="AJ2" s="16" t="s">
        <v>81</v>
      </c>
      <c r="AK2" s="16" t="s">
        <v>80</v>
      </c>
      <c r="AL2" s="16" t="s">
        <v>81</v>
      </c>
      <c r="AM2" s="16" t="s">
        <v>80</v>
      </c>
      <c r="AN2" s="16" t="s">
        <v>81</v>
      </c>
      <c r="AO2" s="16" t="s">
        <v>80</v>
      </c>
      <c r="AP2" s="16" t="s">
        <v>81</v>
      </c>
      <c r="AQ2" s="16" t="s">
        <v>80</v>
      </c>
      <c r="AR2" s="16" t="s">
        <v>81</v>
      </c>
      <c r="AS2" s="16" t="s">
        <v>80</v>
      </c>
      <c r="AT2" s="16" t="s">
        <v>81</v>
      </c>
      <c r="AU2" s="16" t="s">
        <v>80</v>
      </c>
      <c r="AV2" s="16" t="s">
        <v>81</v>
      </c>
      <c r="AW2" s="16" t="s">
        <v>80</v>
      </c>
      <c r="AX2" s="16" t="s">
        <v>81</v>
      </c>
      <c r="AY2" s="16" t="s">
        <v>80</v>
      </c>
      <c r="AZ2" s="16" t="s">
        <v>81</v>
      </c>
      <c r="BA2" s="16" t="s">
        <v>80</v>
      </c>
      <c r="BB2" s="16" t="s">
        <v>81</v>
      </c>
      <c r="BC2" s="16" t="s">
        <v>80</v>
      </c>
      <c r="BD2" s="16" t="s">
        <v>81</v>
      </c>
      <c r="BE2" s="16" t="s">
        <v>80</v>
      </c>
      <c r="BF2" s="16" t="s">
        <v>81</v>
      </c>
      <c r="BG2" s="16" t="s">
        <v>80</v>
      </c>
      <c r="BH2" s="16" t="s">
        <v>81</v>
      </c>
      <c r="BI2" s="16" t="s">
        <v>80</v>
      </c>
      <c r="BJ2" s="16" t="s">
        <v>81</v>
      </c>
      <c r="BK2" s="16" t="s">
        <v>80</v>
      </c>
      <c r="BL2" s="16" t="s">
        <v>81</v>
      </c>
      <c r="BM2" s="16" t="s">
        <v>80</v>
      </c>
      <c r="BN2" s="16" t="s">
        <v>81</v>
      </c>
      <c r="BO2" s="16" t="s">
        <v>80</v>
      </c>
      <c r="BP2" s="16" t="s">
        <v>81</v>
      </c>
    </row>
    <row r="3" customHeight="1" spans="1:68">
      <c r="A3" s="5"/>
      <c r="B3" s="5"/>
      <c r="C3" s="5"/>
      <c r="D3" s="5"/>
      <c r="E3" s="5"/>
      <c r="F3" s="5"/>
      <c r="G3" s="6" t="s">
        <v>8</v>
      </c>
      <c r="H3" s="14"/>
      <c r="I3" s="6" t="s">
        <v>9</v>
      </c>
      <c r="J3" s="14"/>
      <c r="K3" s="6" t="s">
        <v>10</v>
      </c>
      <c r="L3" s="14"/>
      <c r="M3" s="6" t="s">
        <v>11</v>
      </c>
      <c r="N3" s="14"/>
      <c r="O3" s="6" t="s">
        <v>12</v>
      </c>
      <c r="P3" s="14"/>
      <c r="Q3" s="6" t="s">
        <v>6</v>
      </c>
      <c r="R3" s="14"/>
      <c r="S3" s="6" t="s">
        <v>7</v>
      </c>
      <c r="T3" s="14"/>
      <c r="U3" s="6" t="s">
        <v>8</v>
      </c>
      <c r="V3" s="14"/>
      <c r="W3" s="6" t="s">
        <v>9</v>
      </c>
      <c r="X3" s="14"/>
      <c r="Y3" s="6" t="s">
        <v>10</v>
      </c>
      <c r="Z3" s="14"/>
      <c r="AA3" s="6" t="s">
        <v>11</v>
      </c>
      <c r="AB3" s="14"/>
      <c r="AC3" s="6" t="s">
        <v>12</v>
      </c>
      <c r="AD3" s="14"/>
      <c r="AE3" s="6" t="s">
        <v>6</v>
      </c>
      <c r="AF3" s="14"/>
      <c r="AG3" s="6" t="s">
        <v>7</v>
      </c>
      <c r="AH3" s="14"/>
      <c r="AI3" s="6" t="s">
        <v>8</v>
      </c>
      <c r="AJ3" s="14"/>
      <c r="AK3" s="6" t="s">
        <v>9</v>
      </c>
      <c r="AL3" s="14"/>
      <c r="AM3" s="6" t="s">
        <v>10</v>
      </c>
      <c r="AN3" s="14"/>
      <c r="AO3" s="6" t="s">
        <v>11</v>
      </c>
      <c r="AP3" s="14"/>
      <c r="AQ3" s="6" t="s">
        <v>12</v>
      </c>
      <c r="AR3" s="14"/>
      <c r="AS3" s="6" t="s">
        <v>6</v>
      </c>
      <c r="AT3" s="14"/>
      <c r="AU3" s="6" t="s">
        <v>7</v>
      </c>
      <c r="AV3" s="14"/>
      <c r="AW3" s="6" t="s">
        <v>8</v>
      </c>
      <c r="AX3" s="14"/>
      <c r="AY3" s="6" t="s">
        <v>9</v>
      </c>
      <c r="AZ3" s="14"/>
      <c r="BA3" s="6" t="s">
        <v>10</v>
      </c>
      <c r="BB3" s="14"/>
      <c r="BC3" s="6" t="s">
        <v>11</v>
      </c>
      <c r="BD3" s="14"/>
      <c r="BE3" s="6" t="s">
        <v>12</v>
      </c>
      <c r="BF3" s="14"/>
      <c r="BG3" s="6" t="s">
        <v>6</v>
      </c>
      <c r="BH3" s="14"/>
      <c r="BI3" s="6" t="s">
        <v>7</v>
      </c>
      <c r="BJ3" s="14"/>
      <c r="BK3" s="6" t="s">
        <v>8</v>
      </c>
      <c r="BL3" s="14"/>
      <c r="BM3" s="6" t="s">
        <v>9</v>
      </c>
      <c r="BN3" s="14"/>
      <c r="BO3" s="6" t="s">
        <v>10</v>
      </c>
      <c r="BP3" s="14"/>
    </row>
    <row r="4" customHeight="1" spans="1:69">
      <c r="A4" s="7">
        <v>10320410</v>
      </c>
      <c r="B4" s="8" t="s">
        <v>58</v>
      </c>
      <c r="C4" s="7" t="s">
        <v>20</v>
      </c>
      <c r="D4" s="7" t="s">
        <v>21</v>
      </c>
      <c r="E4" s="8" t="s">
        <v>22</v>
      </c>
      <c r="F4" s="9">
        <v>3</v>
      </c>
      <c r="G4" s="8">
        <v>0.5</v>
      </c>
      <c r="H4" s="8">
        <v>0.875</v>
      </c>
      <c r="I4" s="8">
        <v>0.5</v>
      </c>
      <c r="J4" s="8">
        <v>0.875</v>
      </c>
      <c r="K4" s="8">
        <v>0.5</v>
      </c>
      <c r="L4" s="8">
        <v>0.875</v>
      </c>
      <c r="M4" s="156" t="s">
        <v>23</v>
      </c>
      <c r="N4" s="156" t="s">
        <v>23</v>
      </c>
      <c r="O4" s="156" t="s">
        <v>23</v>
      </c>
      <c r="P4" s="156" t="s">
        <v>23</v>
      </c>
      <c r="Q4" s="8">
        <v>0.375</v>
      </c>
      <c r="R4" s="8">
        <v>0.75</v>
      </c>
      <c r="S4" s="8">
        <v>0.375</v>
      </c>
      <c r="T4" s="8">
        <v>0.75</v>
      </c>
      <c r="U4" s="8">
        <v>0.375</v>
      </c>
      <c r="V4" s="8">
        <v>0.75</v>
      </c>
      <c r="W4" s="8">
        <v>0.375</v>
      </c>
      <c r="X4" s="8">
        <v>0.75</v>
      </c>
      <c r="Y4" s="8">
        <v>0.375</v>
      </c>
      <c r="Z4" s="8">
        <v>0.75</v>
      </c>
      <c r="AA4" s="156" t="s">
        <v>23</v>
      </c>
      <c r="AB4" s="156" t="s">
        <v>23</v>
      </c>
      <c r="AC4" s="156" t="s">
        <v>23</v>
      </c>
      <c r="AD4" s="156" t="s">
        <v>23</v>
      </c>
      <c r="AE4" s="8">
        <v>0.5</v>
      </c>
      <c r="AF4" s="8">
        <v>0.875</v>
      </c>
      <c r="AG4" s="8">
        <v>0.5</v>
      </c>
      <c r="AH4" s="8">
        <v>0.875</v>
      </c>
      <c r="AI4" s="8">
        <v>0.5</v>
      </c>
      <c r="AJ4" s="8">
        <v>0.875</v>
      </c>
      <c r="AK4" s="8">
        <v>0.5</v>
      </c>
      <c r="AL4" s="8">
        <v>0.875</v>
      </c>
      <c r="AM4" s="8">
        <v>0.5</v>
      </c>
      <c r="AN4" s="8">
        <v>0.875</v>
      </c>
      <c r="AO4" s="156" t="s">
        <v>23</v>
      </c>
      <c r="AP4" s="156" t="s">
        <v>23</v>
      </c>
      <c r="AQ4" s="156" t="s">
        <v>23</v>
      </c>
      <c r="AR4" s="156" t="s">
        <v>23</v>
      </c>
      <c r="AS4" s="8">
        <v>0.375</v>
      </c>
      <c r="AT4" s="8">
        <v>0.75</v>
      </c>
      <c r="AU4" s="8">
        <v>0.375</v>
      </c>
      <c r="AV4" s="8">
        <v>0.75</v>
      </c>
      <c r="AW4" s="8">
        <v>0.375</v>
      </c>
      <c r="AX4" s="8">
        <v>0.75</v>
      </c>
      <c r="AY4" s="8">
        <v>0.375</v>
      </c>
      <c r="AZ4" s="8">
        <v>0.75</v>
      </c>
      <c r="BA4" s="8">
        <v>0.375</v>
      </c>
      <c r="BB4" s="8">
        <v>0.75</v>
      </c>
      <c r="BC4" s="156" t="s">
        <v>23</v>
      </c>
      <c r="BD4" s="156" t="s">
        <v>23</v>
      </c>
      <c r="BE4" s="156" t="s">
        <v>23</v>
      </c>
      <c r="BF4" s="156" t="s">
        <v>23</v>
      </c>
      <c r="BG4" s="8">
        <v>0.5</v>
      </c>
      <c r="BH4" s="8">
        <v>0.875</v>
      </c>
      <c r="BI4" s="8">
        <v>0.5</v>
      </c>
      <c r="BJ4" s="8">
        <v>0.875</v>
      </c>
      <c r="BK4" s="8">
        <v>0.5</v>
      </c>
      <c r="BL4" s="8">
        <v>0.875</v>
      </c>
      <c r="BM4" s="8">
        <v>0.5</v>
      </c>
      <c r="BN4" s="8">
        <v>0.875</v>
      </c>
      <c r="BO4" s="8">
        <v>0.5</v>
      </c>
      <c r="BP4" s="8">
        <v>0.875</v>
      </c>
      <c r="BQ4" s="21">
        <f>IFERROR(__xludf.DUMMYFUNCTION("TO_PURE_NUMBER(SUM(FILTER(I4:BP4, ISEVEN(COLUMN(I4:BP4))))-SUM(FILTER(I4:BP4, ISODD(COLUMN(I4:BP4)))))*24"),198)</f>
        <v>198</v>
      </c>
    </row>
    <row r="5" customHeight="1" spans="1:69">
      <c r="A5" s="7">
        <v>10320415</v>
      </c>
      <c r="B5" s="8" t="s">
        <v>63</v>
      </c>
      <c r="C5" s="7" t="s">
        <v>20</v>
      </c>
      <c r="D5" s="7" t="s">
        <v>21</v>
      </c>
      <c r="E5" s="8" t="s">
        <v>22</v>
      </c>
      <c r="F5" s="9">
        <v>3</v>
      </c>
      <c r="G5" s="8">
        <v>0.375</v>
      </c>
      <c r="H5" s="8">
        <v>0.791666666666667</v>
      </c>
      <c r="I5" s="8">
        <v>0.375</v>
      </c>
      <c r="J5" s="8">
        <v>0.791666666666667</v>
      </c>
      <c r="K5" s="156" t="s">
        <v>23</v>
      </c>
      <c r="L5" s="156" t="s">
        <v>23</v>
      </c>
      <c r="M5" s="156" t="s">
        <v>23</v>
      </c>
      <c r="N5" s="156" t="s">
        <v>23</v>
      </c>
      <c r="O5" s="8">
        <v>0.458333333333333</v>
      </c>
      <c r="P5" s="8">
        <v>0.666666666666667</v>
      </c>
      <c r="Q5" s="8">
        <v>0.458333333333333</v>
      </c>
      <c r="R5" s="8">
        <v>0.875</v>
      </c>
      <c r="S5" s="8">
        <v>0.458333333333333</v>
      </c>
      <c r="T5" s="8">
        <v>0.875</v>
      </c>
      <c r="U5" s="8">
        <v>0.458333333333333</v>
      </c>
      <c r="V5" s="8">
        <v>0.875</v>
      </c>
      <c r="W5" s="8">
        <v>0.458333333333333</v>
      </c>
      <c r="X5" s="8">
        <v>0.875</v>
      </c>
      <c r="Y5" s="156" t="s">
        <v>23</v>
      </c>
      <c r="Z5" s="156" t="s">
        <v>23</v>
      </c>
      <c r="AA5" s="156" t="s">
        <v>23</v>
      </c>
      <c r="AB5" s="156" t="s">
        <v>23</v>
      </c>
      <c r="AC5" s="8">
        <v>0.458333333333333</v>
      </c>
      <c r="AD5" s="8">
        <v>0.666666666666667</v>
      </c>
      <c r="AE5" s="8">
        <v>0.375</v>
      </c>
      <c r="AF5" s="8">
        <v>0.791666666666667</v>
      </c>
      <c r="AG5" s="8">
        <v>0.375</v>
      </c>
      <c r="AH5" s="8">
        <v>0.791666666666667</v>
      </c>
      <c r="AI5" s="8">
        <v>0.375</v>
      </c>
      <c r="AJ5" s="8">
        <v>0.791666666666667</v>
      </c>
      <c r="AK5" s="8">
        <v>0.375</v>
      </c>
      <c r="AL5" s="8">
        <v>0.791666666666667</v>
      </c>
      <c r="AM5" s="156" t="s">
        <v>23</v>
      </c>
      <c r="AN5" s="156" t="s">
        <v>23</v>
      </c>
      <c r="AO5" s="156" t="s">
        <v>23</v>
      </c>
      <c r="AP5" s="156" t="s">
        <v>23</v>
      </c>
      <c r="AQ5" s="8">
        <v>0.458333333333333</v>
      </c>
      <c r="AR5" s="8">
        <v>0.666666666666667</v>
      </c>
      <c r="AS5" s="8">
        <v>0.458333333333333</v>
      </c>
      <c r="AT5" s="8">
        <v>0.875</v>
      </c>
      <c r="AU5" s="8">
        <v>0.458333333333333</v>
      </c>
      <c r="AV5" s="8">
        <v>0.875</v>
      </c>
      <c r="AW5" s="8">
        <v>0.458333333333333</v>
      </c>
      <c r="AX5" s="8">
        <v>0.875</v>
      </c>
      <c r="AY5" s="8">
        <v>0.458333333333333</v>
      </c>
      <c r="AZ5" s="8">
        <v>0.875</v>
      </c>
      <c r="BA5" s="156" t="s">
        <v>23</v>
      </c>
      <c r="BB5" s="156" t="s">
        <v>23</v>
      </c>
      <c r="BC5" s="156" t="s">
        <v>23</v>
      </c>
      <c r="BD5" s="156" t="s">
        <v>23</v>
      </c>
      <c r="BE5" s="8">
        <v>0.458333333333333</v>
      </c>
      <c r="BF5" s="8">
        <v>0.666666666666667</v>
      </c>
      <c r="BG5" s="8">
        <v>0.375</v>
      </c>
      <c r="BH5" s="8">
        <v>0.791666666666667</v>
      </c>
      <c r="BI5" s="8">
        <v>0.375</v>
      </c>
      <c r="BJ5" s="8">
        <v>0.791666666666667</v>
      </c>
      <c r="BK5" s="8">
        <v>0.375</v>
      </c>
      <c r="BL5" s="8">
        <v>0.791666666666667</v>
      </c>
      <c r="BM5" s="8">
        <v>0.375</v>
      </c>
      <c r="BN5" s="8">
        <v>0.791666666666667</v>
      </c>
      <c r="BO5" s="156" t="s">
        <v>23</v>
      </c>
      <c r="BP5" s="156" t="s">
        <v>23</v>
      </c>
      <c r="BQ5" s="21">
        <f>IFERROR(__xludf.DUMMYFUNCTION("TO_PURE_NUMBER(SUM(FILTER(I5:BP5, ISEVEN(COLUMN(I5:BP5))))-SUM(FILTER(I5:BP5, ISODD(COLUMN(I5:BP5)))))*24"),190)</f>
        <v>190</v>
      </c>
    </row>
    <row r="6" customHeight="1" spans="1:69">
      <c r="A6" s="7">
        <v>10317522</v>
      </c>
      <c r="B6" s="8" t="s">
        <v>31</v>
      </c>
      <c r="C6" s="7" t="s">
        <v>20</v>
      </c>
      <c r="D6" s="7" t="s">
        <v>21</v>
      </c>
      <c r="E6" s="8" t="s">
        <v>22</v>
      </c>
      <c r="F6" s="9">
        <v>2</v>
      </c>
      <c r="G6" s="8">
        <v>0.375</v>
      </c>
      <c r="H6" s="8">
        <v>0.75</v>
      </c>
      <c r="I6" s="8">
        <v>0.375</v>
      </c>
      <c r="J6" s="8">
        <v>0.75</v>
      </c>
      <c r="K6" s="8">
        <v>0.375</v>
      </c>
      <c r="L6" s="8">
        <v>0.75</v>
      </c>
      <c r="M6" s="156" t="s">
        <v>23</v>
      </c>
      <c r="N6" s="156" t="s">
        <v>23</v>
      </c>
      <c r="O6" s="156" t="s">
        <v>23</v>
      </c>
      <c r="P6" s="156" t="s">
        <v>23</v>
      </c>
      <c r="Q6" s="8">
        <v>0.458333333333333</v>
      </c>
      <c r="R6" s="8">
        <v>0.875</v>
      </c>
      <c r="S6" s="8">
        <v>0.458333333333333</v>
      </c>
      <c r="T6" s="8">
        <v>0.875</v>
      </c>
      <c r="U6" s="8">
        <v>0.458333333333333</v>
      </c>
      <c r="V6" s="8">
        <v>0.875</v>
      </c>
      <c r="W6" s="8">
        <v>0.458333333333333</v>
      </c>
      <c r="X6" s="8">
        <v>0.875</v>
      </c>
      <c r="Y6" s="156" t="s">
        <v>23</v>
      </c>
      <c r="Z6" s="156" t="s">
        <v>23</v>
      </c>
      <c r="AA6" s="156" t="s">
        <v>23</v>
      </c>
      <c r="AB6" s="156" t="s">
        <v>23</v>
      </c>
      <c r="AC6" s="8">
        <v>0.458333333333333</v>
      </c>
      <c r="AD6" s="8">
        <v>0.666666666666667</v>
      </c>
      <c r="AE6" s="8">
        <v>0.375</v>
      </c>
      <c r="AF6" s="8">
        <v>0.791666666666667</v>
      </c>
      <c r="AG6" s="8">
        <v>0.375</v>
      </c>
      <c r="AH6" s="8">
        <v>0.791666666666667</v>
      </c>
      <c r="AI6" s="8">
        <v>0.375</v>
      </c>
      <c r="AJ6" s="8">
        <v>0.791666666666667</v>
      </c>
      <c r="AK6" s="8">
        <v>0.375</v>
      </c>
      <c r="AL6" s="8">
        <v>0.791666666666667</v>
      </c>
      <c r="AM6" s="156" t="s">
        <v>23</v>
      </c>
      <c r="AN6" s="156" t="s">
        <v>23</v>
      </c>
      <c r="AO6" s="156" t="s">
        <v>23</v>
      </c>
      <c r="AP6" s="156" t="s">
        <v>23</v>
      </c>
      <c r="AQ6" s="8">
        <v>0.458333333333333</v>
      </c>
      <c r="AR6" s="8">
        <v>0.666666666666667</v>
      </c>
      <c r="AS6" s="8">
        <v>0.458333333333333</v>
      </c>
      <c r="AT6" s="8">
        <v>0.875</v>
      </c>
      <c r="AU6" s="8">
        <v>0.458333333333333</v>
      </c>
      <c r="AV6" s="8">
        <v>0.875</v>
      </c>
      <c r="AW6" s="8">
        <v>0.458333333333333</v>
      </c>
      <c r="AX6" s="8">
        <v>0.875</v>
      </c>
      <c r="AY6" s="8">
        <v>0.458333333333333</v>
      </c>
      <c r="AZ6" s="8">
        <v>0.875</v>
      </c>
      <c r="BA6" s="156" t="s">
        <v>23</v>
      </c>
      <c r="BB6" s="156" t="s">
        <v>23</v>
      </c>
      <c r="BC6" s="156" t="s">
        <v>23</v>
      </c>
      <c r="BD6" s="156" t="s">
        <v>23</v>
      </c>
      <c r="BE6" s="8">
        <v>0.458333333333333</v>
      </c>
      <c r="BF6" s="8">
        <v>0.666666666666667</v>
      </c>
      <c r="BG6" s="8">
        <v>0.375</v>
      </c>
      <c r="BH6" s="8">
        <v>0.791666666666667</v>
      </c>
      <c r="BI6" s="8">
        <v>0.375</v>
      </c>
      <c r="BJ6" s="8">
        <v>0.791666666666667</v>
      </c>
      <c r="BK6" s="8">
        <v>0.375</v>
      </c>
      <c r="BL6" s="8">
        <v>0.791666666666667</v>
      </c>
      <c r="BM6" s="8">
        <v>0.375</v>
      </c>
      <c r="BN6" s="8">
        <v>0.791666666666667</v>
      </c>
      <c r="BO6" s="156" t="s">
        <v>23</v>
      </c>
      <c r="BP6" s="156" t="s">
        <v>23</v>
      </c>
      <c r="BQ6" s="21">
        <f>IFERROR(__xludf.DUMMYFUNCTION("TO_PURE_NUMBER(SUM(FILTER(I6:BP6, ISEVEN(COLUMN(I6:BP6))))-SUM(FILTER(I6:BP6, ISODD(COLUMN(I6:BP6)))))*24"),193)</f>
        <v>193</v>
      </c>
    </row>
    <row r="7" customHeight="1" spans="1:69">
      <c r="A7" s="7">
        <v>10316549</v>
      </c>
      <c r="B7" s="8" t="s">
        <v>19</v>
      </c>
      <c r="C7" s="7" t="s">
        <v>20</v>
      </c>
      <c r="D7" s="7" t="s">
        <v>86</v>
      </c>
      <c r="E7" s="8" t="s">
        <v>22</v>
      </c>
      <c r="F7" s="9">
        <v>1</v>
      </c>
      <c r="G7" s="8">
        <v>0.375</v>
      </c>
      <c r="H7" s="8">
        <v>0.75</v>
      </c>
      <c r="I7" s="8">
        <v>0.375</v>
      </c>
      <c r="J7" s="8">
        <v>0.75</v>
      </c>
      <c r="K7" s="8">
        <v>0.375</v>
      </c>
      <c r="L7" s="8">
        <v>0.75</v>
      </c>
      <c r="M7" s="156" t="s">
        <v>23</v>
      </c>
      <c r="N7" s="156" t="s">
        <v>23</v>
      </c>
      <c r="O7" s="156" t="s">
        <v>23</v>
      </c>
      <c r="P7" s="156" t="s">
        <v>23</v>
      </c>
      <c r="Q7" s="8">
        <v>0.375</v>
      </c>
      <c r="R7" s="8">
        <v>0.75</v>
      </c>
      <c r="S7" s="8">
        <v>0.375</v>
      </c>
      <c r="T7" s="8">
        <v>0.75</v>
      </c>
      <c r="U7" s="8">
        <v>0.375</v>
      </c>
      <c r="V7" s="8">
        <v>0.75</v>
      </c>
      <c r="W7" s="8">
        <v>0.375</v>
      </c>
      <c r="X7" s="8">
        <v>0.75</v>
      </c>
      <c r="Y7" s="8">
        <v>0.375</v>
      </c>
      <c r="Z7" s="8">
        <v>0.75</v>
      </c>
      <c r="AA7" s="156" t="s">
        <v>23</v>
      </c>
      <c r="AB7" s="156" t="s">
        <v>23</v>
      </c>
      <c r="AC7" s="156" t="s">
        <v>23</v>
      </c>
      <c r="AD7" s="156" t="s">
        <v>23</v>
      </c>
      <c r="AE7" s="8">
        <v>0.5</v>
      </c>
      <c r="AF7" s="8">
        <v>0.875</v>
      </c>
      <c r="AG7" s="8">
        <v>0.5</v>
      </c>
      <c r="AH7" s="8">
        <v>0.875</v>
      </c>
      <c r="AI7" s="8">
        <v>0.5</v>
      </c>
      <c r="AJ7" s="8">
        <v>0.875</v>
      </c>
      <c r="AK7" s="8">
        <v>0.5</v>
      </c>
      <c r="AL7" s="8">
        <v>0.875</v>
      </c>
      <c r="AM7" s="8">
        <v>0.5</v>
      </c>
      <c r="AN7" s="8">
        <v>0.875</v>
      </c>
      <c r="AO7" s="156" t="s">
        <v>23</v>
      </c>
      <c r="AP7" s="156" t="s">
        <v>23</v>
      </c>
      <c r="AQ7" s="156" t="s">
        <v>23</v>
      </c>
      <c r="AR7" s="156" t="s">
        <v>23</v>
      </c>
      <c r="AS7" s="8">
        <v>0.375</v>
      </c>
      <c r="AT7" s="8">
        <v>0.75</v>
      </c>
      <c r="AU7" s="8">
        <v>0.375</v>
      </c>
      <c r="AV7" s="8">
        <v>0.75</v>
      </c>
      <c r="AW7" s="8">
        <v>0.375</v>
      </c>
      <c r="AX7" s="8">
        <v>0.75</v>
      </c>
      <c r="AY7" s="8">
        <v>0.375</v>
      </c>
      <c r="AZ7" s="8">
        <v>0.75</v>
      </c>
      <c r="BA7" s="8">
        <v>0.375</v>
      </c>
      <c r="BB7" s="8">
        <v>0.75</v>
      </c>
      <c r="BC7" s="156" t="s">
        <v>23</v>
      </c>
      <c r="BD7" s="156" t="s">
        <v>23</v>
      </c>
      <c r="BE7" s="156" t="s">
        <v>23</v>
      </c>
      <c r="BF7" s="156" t="s">
        <v>23</v>
      </c>
      <c r="BG7" s="8">
        <v>0.5</v>
      </c>
      <c r="BH7" s="8">
        <v>0.875</v>
      </c>
      <c r="BI7" s="8">
        <v>0.5</v>
      </c>
      <c r="BJ7" s="8">
        <v>0.875</v>
      </c>
      <c r="BK7" s="8">
        <v>0.5</v>
      </c>
      <c r="BL7" s="8">
        <v>0.875</v>
      </c>
      <c r="BM7" s="8">
        <v>0.5</v>
      </c>
      <c r="BN7" s="8">
        <v>0.875</v>
      </c>
      <c r="BO7" s="8">
        <v>0.5</v>
      </c>
      <c r="BP7" s="8">
        <v>0.875</v>
      </c>
      <c r="BQ7" s="21">
        <f>IFERROR(__xludf.DUMMYFUNCTION("TO_PURE_NUMBER(SUM(FILTER(I7:BP7, ISEVEN(COLUMN(I7:BP7))))-SUM(FILTER(I7:BP7, ISODD(COLUMN(I7:BP7)))))*24"),198)</f>
        <v>198</v>
      </c>
    </row>
    <row r="8" customHeight="1" spans="1:69">
      <c r="A8" s="7">
        <v>10320413</v>
      </c>
      <c r="B8" s="8" t="s">
        <v>60</v>
      </c>
      <c r="C8" s="7" t="s">
        <v>20</v>
      </c>
      <c r="D8" s="7" t="s">
        <v>21</v>
      </c>
      <c r="E8" s="8" t="s">
        <v>22</v>
      </c>
      <c r="F8" s="9">
        <v>3</v>
      </c>
      <c r="G8" s="8">
        <v>0.375</v>
      </c>
      <c r="H8" s="8">
        <v>0.75</v>
      </c>
      <c r="I8" s="8">
        <v>0.375</v>
      </c>
      <c r="J8" s="8">
        <v>0.75</v>
      </c>
      <c r="K8" s="8">
        <v>0.375</v>
      </c>
      <c r="L8" s="8">
        <v>0.75</v>
      </c>
      <c r="M8" s="156" t="s">
        <v>23</v>
      </c>
      <c r="N8" s="156" t="s">
        <v>23</v>
      </c>
      <c r="O8" s="156" t="s">
        <v>23</v>
      </c>
      <c r="P8" s="156" t="s">
        <v>23</v>
      </c>
      <c r="Q8" s="8">
        <v>0.458333333333333</v>
      </c>
      <c r="R8" s="8">
        <v>0.875</v>
      </c>
      <c r="S8" s="8">
        <v>0.458333333333333</v>
      </c>
      <c r="T8" s="8">
        <v>0.875</v>
      </c>
      <c r="U8" s="8">
        <v>0.458333333333333</v>
      </c>
      <c r="V8" s="8">
        <v>0.875</v>
      </c>
      <c r="W8" s="8">
        <v>0.458333333333333</v>
      </c>
      <c r="X8" s="8">
        <v>0.875</v>
      </c>
      <c r="Y8" s="156" t="s">
        <v>23</v>
      </c>
      <c r="Z8" s="156" t="s">
        <v>23</v>
      </c>
      <c r="AA8" s="156" t="s">
        <v>23</v>
      </c>
      <c r="AB8" s="156" t="s">
        <v>23</v>
      </c>
      <c r="AC8" s="8">
        <v>0.458333333333333</v>
      </c>
      <c r="AD8" s="8">
        <v>0.666666666666667</v>
      </c>
      <c r="AE8" s="8">
        <v>0.375</v>
      </c>
      <c r="AF8" s="8">
        <v>0.791666666666667</v>
      </c>
      <c r="AG8" s="8">
        <v>0.375</v>
      </c>
      <c r="AH8" s="8">
        <v>0.791666666666667</v>
      </c>
      <c r="AI8" s="8">
        <v>0.375</v>
      </c>
      <c r="AJ8" s="8">
        <v>0.791666666666667</v>
      </c>
      <c r="AK8" s="8">
        <v>0.375</v>
      </c>
      <c r="AL8" s="8">
        <v>0.791666666666667</v>
      </c>
      <c r="AM8" s="156" t="s">
        <v>23</v>
      </c>
      <c r="AN8" s="156" t="s">
        <v>23</v>
      </c>
      <c r="AO8" s="156" t="s">
        <v>23</v>
      </c>
      <c r="AP8" s="156" t="s">
        <v>23</v>
      </c>
      <c r="AQ8" s="8">
        <v>0.458333333333333</v>
      </c>
      <c r="AR8" s="8">
        <v>0.666666666666667</v>
      </c>
      <c r="AS8" s="8">
        <v>0.458333333333333</v>
      </c>
      <c r="AT8" s="8">
        <v>0.875</v>
      </c>
      <c r="AU8" s="8">
        <v>0.458333333333333</v>
      </c>
      <c r="AV8" s="8">
        <v>0.875</v>
      </c>
      <c r="AW8" s="8">
        <v>0.458333333333333</v>
      </c>
      <c r="AX8" s="8">
        <v>0.875</v>
      </c>
      <c r="AY8" s="8">
        <v>0.458333333333333</v>
      </c>
      <c r="AZ8" s="8">
        <v>0.875</v>
      </c>
      <c r="BA8" s="156" t="s">
        <v>23</v>
      </c>
      <c r="BB8" s="156" t="s">
        <v>23</v>
      </c>
      <c r="BC8" s="156" t="s">
        <v>23</v>
      </c>
      <c r="BD8" s="156" t="s">
        <v>23</v>
      </c>
      <c r="BE8" s="8">
        <v>0.458333333333333</v>
      </c>
      <c r="BF8" s="8">
        <v>0.666666666666667</v>
      </c>
      <c r="BG8" s="8">
        <v>0.375</v>
      </c>
      <c r="BH8" s="8">
        <v>0.791666666666667</v>
      </c>
      <c r="BI8" s="8">
        <v>0.375</v>
      </c>
      <c r="BJ8" s="8">
        <v>0.791666666666667</v>
      </c>
      <c r="BK8" s="8">
        <v>0.375</v>
      </c>
      <c r="BL8" s="8">
        <v>0.791666666666667</v>
      </c>
      <c r="BM8" s="8">
        <v>0.375</v>
      </c>
      <c r="BN8" s="8">
        <v>0.791666666666667</v>
      </c>
      <c r="BO8" s="156" t="s">
        <v>23</v>
      </c>
      <c r="BP8" s="156" t="s">
        <v>23</v>
      </c>
      <c r="BQ8" s="21">
        <f>IFERROR(__xludf.DUMMYFUNCTION("TO_PURE_NUMBER(SUM(FILTER(I8:BP8, ISEVEN(COLUMN(I8:BP8))))-SUM(FILTER(I8:BP8, ISODD(COLUMN(I8:BP8)))))*24"),193)</f>
        <v>193</v>
      </c>
    </row>
    <row r="9" customHeight="1" spans="1:69">
      <c r="A9" s="7">
        <v>10320408</v>
      </c>
      <c r="B9" s="8" t="s">
        <v>56</v>
      </c>
      <c r="C9" s="7" t="s">
        <v>20</v>
      </c>
      <c r="D9" s="7" t="s">
        <v>21</v>
      </c>
      <c r="E9" s="8" t="s">
        <v>22</v>
      </c>
      <c r="F9" s="9">
        <v>3</v>
      </c>
      <c r="G9" s="156" t="s">
        <v>23</v>
      </c>
      <c r="H9" s="156" t="s">
        <v>23</v>
      </c>
      <c r="I9" s="8">
        <v>0.666666666666667</v>
      </c>
      <c r="J9" s="8">
        <v>0.875</v>
      </c>
      <c r="K9" s="8">
        <v>0.666666666666667</v>
      </c>
      <c r="L9" s="8">
        <v>0.875</v>
      </c>
      <c r="M9" s="8">
        <v>0.458333333333333</v>
      </c>
      <c r="N9" s="8">
        <v>0.666666666666667</v>
      </c>
      <c r="O9" s="8">
        <v>0.458333333333333</v>
      </c>
      <c r="P9" s="8">
        <v>0.666666666666667</v>
      </c>
      <c r="Q9" s="8">
        <v>0.375</v>
      </c>
      <c r="R9" s="8">
        <v>0.75</v>
      </c>
      <c r="S9" s="8">
        <v>0.375</v>
      </c>
      <c r="T9" s="8">
        <v>0.75</v>
      </c>
      <c r="U9" s="8">
        <v>0.375</v>
      </c>
      <c r="V9" s="8">
        <v>0.75</v>
      </c>
      <c r="W9" s="8">
        <v>0.375</v>
      </c>
      <c r="X9" s="8">
        <v>0.75</v>
      </c>
      <c r="Y9" s="156" t="s">
        <v>23</v>
      </c>
      <c r="Z9" s="156" t="s">
        <v>23</v>
      </c>
      <c r="AA9" s="156" t="s">
        <v>23</v>
      </c>
      <c r="AB9" s="156" t="s">
        <v>23</v>
      </c>
      <c r="AC9" s="8">
        <v>0.458333333333333</v>
      </c>
      <c r="AD9" s="8">
        <v>0.666666666666667</v>
      </c>
      <c r="AE9" s="8">
        <v>0.5</v>
      </c>
      <c r="AF9" s="8">
        <v>0.875</v>
      </c>
      <c r="AG9" s="8">
        <v>0.5</v>
      </c>
      <c r="AH9" s="8">
        <v>0.875</v>
      </c>
      <c r="AI9" s="8">
        <v>0.5</v>
      </c>
      <c r="AJ9" s="8">
        <v>0.875</v>
      </c>
      <c r="AK9" s="8">
        <v>0.5</v>
      </c>
      <c r="AL9" s="8">
        <v>0.875</v>
      </c>
      <c r="AM9" s="156" t="s">
        <v>23</v>
      </c>
      <c r="AN9" s="156" t="s">
        <v>23</v>
      </c>
      <c r="AO9" s="156" t="s">
        <v>23</v>
      </c>
      <c r="AP9" s="156" t="s">
        <v>23</v>
      </c>
      <c r="AQ9" s="8">
        <v>0.458333333333333</v>
      </c>
      <c r="AR9" s="8">
        <v>0.666666666666667</v>
      </c>
      <c r="AS9" s="8">
        <v>0.375</v>
      </c>
      <c r="AT9" s="8">
        <v>0.75</v>
      </c>
      <c r="AU9" s="8">
        <v>0.375</v>
      </c>
      <c r="AV9" s="8">
        <v>0.75</v>
      </c>
      <c r="AW9" s="8">
        <v>0.375</v>
      </c>
      <c r="AX9" s="8">
        <v>0.75</v>
      </c>
      <c r="AY9" s="8">
        <v>0.375</v>
      </c>
      <c r="AZ9" s="8">
        <v>0.75</v>
      </c>
      <c r="BA9" s="156" t="s">
        <v>23</v>
      </c>
      <c r="BB9" s="156" t="s">
        <v>23</v>
      </c>
      <c r="BC9" s="156" t="s">
        <v>23</v>
      </c>
      <c r="BD9" s="156" t="s">
        <v>23</v>
      </c>
      <c r="BE9" s="8">
        <v>0.458333333333333</v>
      </c>
      <c r="BF9" s="8">
        <v>0.666666666666667</v>
      </c>
      <c r="BG9" s="8">
        <v>0.5</v>
      </c>
      <c r="BH9" s="8">
        <v>0.875</v>
      </c>
      <c r="BI9" s="8">
        <v>0.5</v>
      </c>
      <c r="BJ9" s="8">
        <v>0.875</v>
      </c>
      <c r="BK9" s="8">
        <v>0.5</v>
      </c>
      <c r="BL9" s="8">
        <v>0.875</v>
      </c>
      <c r="BM9" s="8">
        <v>0.5</v>
      </c>
      <c r="BN9" s="8">
        <v>0.875</v>
      </c>
      <c r="BO9" s="156" t="s">
        <v>23</v>
      </c>
      <c r="BP9" s="156" t="s">
        <v>23</v>
      </c>
      <c r="BQ9" s="21">
        <f>IFERROR(__xludf.DUMMYFUNCTION("TO_PURE_NUMBER(SUM(FILTER(I9:BP9, ISEVEN(COLUMN(I9:BP9))))-SUM(FILTER(I9:BP9, ISODD(COLUMN(I9:BP9)))))*24"),178.999999999999)</f>
        <v>178.999999999999</v>
      </c>
    </row>
    <row r="10" customHeight="1" spans="1:69">
      <c r="A10" s="7">
        <v>10317147</v>
      </c>
      <c r="B10" s="8" t="s">
        <v>24</v>
      </c>
      <c r="C10" s="7" t="s">
        <v>20</v>
      </c>
      <c r="D10" s="7" t="s">
        <v>21</v>
      </c>
      <c r="E10" s="8" t="s">
        <v>22</v>
      </c>
      <c r="F10" s="9">
        <v>1</v>
      </c>
      <c r="G10" s="8">
        <v>0.375</v>
      </c>
      <c r="H10" s="8">
        <v>0.791666666666667</v>
      </c>
      <c r="I10" s="8">
        <v>0.375</v>
      </c>
      <c r="J10" s="8">
        <v>0.791666666666667</v>
      </c>
      <c r="K10" s="8">
        <v>0.375</v>
      </c>
      <c r="L10" s="8">
        <v>0.791666666666667</v>
      </c>
      <c r="M10" s="8">
        <v>0.458333333333333</v>
      </c>
      <c r="N10" s="8">
        <v>0.666666666666667</v>
      </c>
      <c r="O10" s="156" t="s">
        <v>23</v>
      </c>
      <c r="P10" s="156" t="s">
        <v>23</v>
      </c>
      <c r="Q10" s="156" t="s">
        <v>23</v>
      </c>
      <c r="R10" s="156" t="s">
        <v>23</v>
      </c>
      <c r="S10" s="8">
        <v>0.458333333333333</v>
      </c>
      <c r="T10" s="8">
        <v>0.875</v>
      </c>
      <c r="U10" s="8">
        <v>0.458333333333333</v>
      </c>
      <c r="V10" s="8">
        <v>0.875</v>
      </c>
      <c r="W10" s="8">
        <v>0.458333333333333</v>
      </c>
      <c r="X10" s="8">
        <v>0.875</v>
      </c>
      <c r="Y10" s="8">
        <v>0.458333333333333</v>
      </c>
      <c r="Z10" s="8">
        <v>0.875</v>
      </c>
      <c r="AA10" s="8">
        <v>0.458333333333333</v>
      </c>
      <c r="AB10" s="8">
        <v>0.666666666666667</v>
      </c>
      <c r="AC10" s="156" t="s">
        <v>23</v>
      </c>
      <c r="AD10" s="156" t="s">
        <v>23</v>
      </c>
      <c r="AE10" s="156" t="s">
        <v>23</v>
      </c>
      <c r="AF10" s="156" t="s">
        <v>23</v>
      </c>
      <c r="AG10" s="8">
        <v>0.375</v>
      </c>
      <c r="AH10" s="8">
        <v>0.791666666666667</v>
      </c>
      <c r="AI10" s="8">
        <v>0.375</v>
      </c>
      <c r="AJ10" s="8">
        <v>0.791666666666667</v>
      </c>
      <c r="AK10" s="8">
        <v>0.375</v>
      </c>
      <c r="AL10" s="8">
        <v>0.791666666666667</v>
      </c>
      <c r="AM10" s="8">
        <v>0.375</v>
      </c>
      <c r="AN10" s="8">
        <v>0.791666666666667</v>
      </c>
      <c r="AO10" s="158" t="s">
        <v>36</v>
      </c>
      <c r="AP10" s="158" t="s">
        <v>36</v>
      </c>
      <c r="AQ10" s="156" t="s">
        <v>23</v>
      </c>
      <c r="AR10" s="156" t="s">
        <v>23</v>
      </c>
      <c r="AS10" s="156" t="s">
        <v>23</v>
      </c>
      <c r="AT10" s="156" t="s">
        <v>23</v>
      </c>
      <c r="AU10" s="8">
        <v>0.458333333333333</v>
      </c>
      <c r="AV10" s="8">
        <v>0.875</v>
      </c>
      <c r="AW10" s="8">
        <v>0.458333333333333</v>
      </c>
      <c r="AX10" s="8">
        <v>0.875</v>
      </c>
      <c r="AY10" s="8">
        <v>0.458333333333333</v>
      </c>
      <c r="AZ10" s="8">
        <v>0.875</v>
      </c>
      <c r="BA10" s="8">
        <v>0.458333333333333</v>
      </c>
      <c r="BB10" s="8">
        <v>0.875</v>
      </c>
      <c r="BC10" s="8">
        <v>0.458333333333333</v>
      </c>
      <c r="BD10" s="8">
        <v>0.666666666666667</v>
      </c>
      <c r="BE10" s="156" t="s">
        <v>23</v>
      </c>
      <c r="BF10" s="156" t="s">
        <v>23</v>
      </c>
      <c r="BG10" s="156" t="s">
        <v>23</v>
      </c>
      <c r="BH10" s="156" t="s">
        <v>23</v>
      </c>
      <c r="BI10" s="8">
        <v>0.375</v>
      </c>
      <c r="BJ10" s="8">
        <v>0.791666666666667</v>
      </c>
      <c r="BK10" s="8">
        <v>0.375</v>
      </c>
      <c r="BL10" s="8">
        <v>0.791666666666667</v>
      </c>
      <c r="BM10" s="8">
        <v>0.375</v>
      </c>
      <c r="BN10" s="8">
        <v>0.791666666666667</v>
      </c>
      <c r="BO10" s="8">
        <v>0.375</v>
      </c>
      <c r="BP10" s="8">
        <v>0.791666666666667</v>
      </c>
      <c r="BQ10" s="21">
        <f>IFERROR(__xludf.DUMMYFUNCTION("TO_PURE_NUMBER(SUM(FILTER(I10:BP10, ISEVEN(COLUMN(I10:BP10))))-SUM(FILTER(I10:BP10, ISODD(COLUMN(I10:BP10)))))*24"),195)</f>
        <v>195</v>
      </c>
    </row>
    <row r="11" customHeight="1" spans="1:69">
      <c r="A11" s="7">
        <v>10272259</v>
      </c>
      <c r="B11" s="8" t="s">
        <v>32</v>
      </c>
      <c r="C11" s="7" t="s">
        <v>20</v>
      </c>
      <c r="D11" s="7" t="s">
        <v>21</v>
      </c>
      <c r="E11" s="8" t="s">
        <v>22</v>
      </c>
      <c r="F11" s="9">
        <v>2</v>
      </c>
      <c r="G11" s="156" t="s">
        <v>23</v>
      </c>
      <c r="H11" s="156" t="s">
        <v>23</v>
      </c>
      <c r="I11" s="8">
        <v>0.375</v>
      </c>
      <c r="J11" s="8">
        <v>0.75</v>
      </c>
      <c r="K11" s="8">
        <v>0.375</v>
      </c>
      <c r="L11" s="8">
        <v>0.75</v>
      </c>
      <c r="M11" s="8">
        <v>0.458333333333333</v>
      </c>
      <c r="N11" s="8">
        <v>0.666666666666667</v>
      </c>
      <c r="O11" s="8">
        <v>0.416666666666667</v>
      </c>
      <c r="P11" s="8">
        <v>0.625</v>
      </c>
      <c r="Q11" s="8">
        <v>0.333333333333333</v>
      </c>
      <c r="R11" s="8">
        <v>0.708333333333333</v>
      </c>
      <c r="S11" s="156" t="s">
        <v>23</v>
      </c>
      <c r="T11" s="156" t="s">
        <v>23</v>
      </c>
      <c r="U11" s="156" t="s">
        <v>23</v>
      </c>
      <c r="V11" s="156" t="s">
        <v>23</v>
      </c>
      <c r="W11" s="7" t="s">
        <v>36</v>
      </c>
      <c r="X11" s="7" t="s">
        <v>36</v>
      </c>
      <c r="Y11" s="7" t="s">
        <v>36</v>
      </c>
      <c r="Z11" s="7" t="s">
        <v>36</v>
      </c>
      <c r="AA11" s="7" t="s">
        <v>36</v>
      </c>
      <c r="AB11" s="7" t="s">
        <v>36</v>
      </c>
      <c r="AC11" s="8">
        <v>0.416666666666667</v>
      </c>
      <c r="AD11" s="8">
        <v>0.625</v>
      </c>
      <c r="AE11" s="8">
        <v>0.333333333333333</v>
      </c>
      <c r="AF11" s="8">
        <v>0.708333333333333</v>
      </c>
      <c r="AG11" s="156" t="s">
        <v>23</v>
      </c>
      <c r="AH11" s="156" t="s">
        <v>23</v>
      </c>
      <c r="AI11" s="156" t="s">
        <v>23</v>
      </c>
      <c r="AJ11" s="156" t="s">
        <v>23</v>
      </c>
      <c r="AK11" s="8">
        <v>0.375</v>
      </c>
      <c r="AL11" s="8">
        <v>0.75</v>
      </c>
      <c r="AM11" s="8">
        <v>0.375</v>
      </c>
      <c r="AN11" s="8">
        <v>0.75</v>
      </c>
      <c r="AO11" s="8">
        <v>0.458333333333333</v>
      </c>
      <c r="AP11" s="8">
        <v>0.666666666666667</v>
      </c>
      <c r="AQ11" s="8">
        <v>0.416666666666667</v>
      </c>
      <c r="AR11" s="8">
        <v>0.625</v>
      </c>
      <c r="AS11" s="8">
        <v>0.333333333333333</v>
      </c>
      <c r="AT11" s="8">
        <v>0.708333333333333</v>
      </c>
      <c r="AU11" s="156" t="s">
        <v>23</v>
      </c>
      <c r="AV11" s="156" t="s">
        <v>23</v>
      </c>
      <c r="AW11" s="156" t="s">
        <v>23</v>
      </c>
      <c r="AX11" s="156" t="s">
        <v>23</v>
      </c>
      <c r="AY11" s="8">
        <v>0.5</v>
      </c>
      <c r="AZ11" s="8">
        <v>0.875</v>
      </c>
      <c r="BA11" s="8">
        <v>0.5</v>
      </c>
      <c r="BB11" s="8">
        <v>0.875</v>
      </c>
      <c r="BC11" s="8">
        <v>0.458333333333333</v>
      </c>
      <c r="BD11" s="8">
        <v>0.666666666666667</v>
      </c>
      <c r="BE11" s="8">
        <v>0.416666666666667</v>
      </c>
      <c r="BF11" s="8">
        <v>0.625</v>
      </c>
      <c r="BG11" s="8">
        <v>0.333333333333333</v>
      </c>
      <c r="BH11" s="8">
        <v>0.708333333333333</v>
      </c>
      <c r="BI11" s="156" t="s">
        <v>23</v>
      </c>
      <c r="BJ11" s="156" t="s">
        <v>23</v>
      </c>
      <c r="BK11" s="156" t="s">
        <v>23</v>
      </c>
      <c r="BL11" s="156" t="s">
        <v>23</v>
      </c>
      <c r="BM11" s="8">
        <v>0.375</v>
      </c>
      <c r="BN11" s="8">
        <v>0.75</v>
      </c>
      <c r="BO11" s="8">
        <v>0.375</v>
      </c>
      <c r="BP11" s="8">
        <v>0.75</v>
      </c>
      <c r="BQ11" s="21">
        <f>IFERROR(__xludf.DUMMYFUNCTION("TO_PURE_NUMBER(SUM(FILTER(I11:BP11, ISEVEN(COLUMN(I11:BP11))))-SUM(FILTER(I11:BP11, ISODD(COLUMN(I11:BP11)))))*24"),143)</f>
        <v>143</v>
      </c>
    </row>
    <row r="12" customHeight="1" spans="1:69">
      <c r="A12" s="7">
        <v>10320412</v>
      </c>
      <c r="B12" s="8" t="s">
        <v>59</v>
      </c>
      <c r="C12" s="7" t="s">
        <v>20</v>
      </c>
      <c r="D12" s="7" t="s">
        <v>21</v>
      </c>
      <c r="E12" s="8" t="s">
        <v>22</v>
      </c>
      <c r="F12" s="9">
        <v>3</v>
      </c>
      <c r="G12" s="8">
        <v>0.375</v>
      </c>
      <c r="H12" s="8">
        <v>0.75</v>
      </c>
      <c r="I12" s="8">
        <v>0.375</v>
      </c>
      <c r="J12" s="8">
        <v>0.75</v>
      </c>
      <c r="K12" s="8">
        <v>0.375</v>
      </c>
      <c r="L12" s="8">
        <v>0.75</v>
      </c>
      <c r="M12" s="156" t="s">
        <v>23</v>
      </c>
      <c r="N12" s="156" t="s">
        <v>23</v>
      </c>
      <c r="O12" s="156" t="s">
        <v>23</v>
      </c>
      <c r="P12" s="156" t="s">
        <v>23</v>
      </c>
      <c r="Q12" s="8">
        <v>0.5</v>
      </c>
      <c r="R12" s="8">
        <v>0.875</v>
      </c>
      <c r="S12" s="8">
        <v>0.5</v>
      </c>
      <c r="T12" s="8">
        <v>0.875</v>
      </c>
      <c r="U12" s="8">
        <v>0.5</v>
      </c>
      <c r="V12" s="8">
        <v>0.875</v>
      </c>
      <c r="W12" s="8">
        <v>0.5</v>
      </c>
      <c r="X12" s="8">
        <v>0.875</v>
      </c>
      <c r="Y12" s="8">
        <v>0.5</v>
      </c>
      <c r="Z12" s="8">
        <v>0.875</v>
      </c>
      <c r="AA12" s="156" t="s">
        <v>23</v>
      </c>
      <c r="AB12" s="156" t="s">
        <v>23</v>
      </c>
      <c r="AC12" s="156" t="s">
        <v>23</v>
      </c>
      <c r="AD12" s="156" t="s">
        <v>23</v>
      </c>
      <c r="AE12" s="8">
        <v>0.375</v>
      </c>
      <c r="AF12" s="8">
        <v>0.75</v>
      </c>
      <c r="AG12" s="8">
        <v>0.375</v>
      </c>
      <c r="AH12" s="8">
        <v>0.75</v>
      </c>
      <c r="AI12" s="8">
        <v>0.375</v>
      </c>
      <c r="AJ12" s="8">
        <v>0.75</v>
      </c>
      <c r="AK12" s="8">
        <v>0.375</v>
      </c>
      <c r="AL12" s="8">
        <v>0.75</v>
      </c>
      <c r="AM12" s="8">
        <v>0.375</v>
      </c>
      <c r="AN12" s="8">
        <v>0.75</v>
      </c>
      <c r="AO12" s="156" t="s">
        <v>23</v>
      </c>
      <c r="AP12" s="156" t="s">
        <v>23</v>
      </c>
      <c r="AQ12" s="156" t="s">
        <v>23</v>
      </c>
      <c r="AR12" s="156" t="s">
        <v>23</v>
      </c>
      <c r="AS12" s="8">
        <v>0.5</v>
      </c>
      <c r="AT12" s="8">
        <v>0.875</v>
      </c>
      <c r="AU12" s="8">
        <v>0.5</v>
      </c>
      <c r="AV12" s="8">
        <v>0.875</v>
      </c>
      <c r="AW12" s="8">
        <v>0.5</v>
      </c>
      <c r="AX12" s="8">
        <v>0.875</v>
      </c>
      <c r="AY12" s="8">
        <v>0.5</v>
      </c>
      <c r="AZ12" s="8">
        <v>0.875</v>
      </c>
      <c r="BA12" s="8">
        <v>0.5</v>
      </c>
      <c r="BB12" s="8">
        <v>0.875</v>
      </c>
      <c r="BC12" s="156" t="s">
        <v>23</v>
      </c>
      <c r="BD12" s="156" t="s">
        <v>23</v>
      </c>
      <c r="BE12" s="156" t="s">
        <v>23</v>
      </c>
      <c r="BF12" s="156" t="s">
        <v>23</v>
      </c>
      <c r="BG12" s="8">
        <v>0.375</v>
      </c>
      <c r="BH12" s="8">
        <v>0.75</v>
      </c>
      <c r="BI12" s="8">
        <v>0.375</v>
      </c>
      <c r="BJ12" s="8">
        <v>0.75</v>
      </c>
      <c r="BK12" s="8">
        <v>0.375</v>
      </c>
      <c r="BL12" s="8">
        <v>0.75</v>
      </c>
      <c r="BM12" s="8">
        <v>0.375</v>
      </c>
      <c r="BN12" s="8">
        <v>0.75</v>
      </c>
      <c r="BO12" s="8">
        <v>0.375</v>
      </c>
      <c r="BP12" s="8">
        <v>0.75</v>
      </c>
      <c r="BQ12" s="21">
        <f>IFERROR(__xludf.DUMMYFUNCTION("TO_PURE_NUMBER(SUM(FILTER(I12:BP12, ISEVEN(COLUMN(I12:BP12))))-SUM(FILTER(I12:BP12, ISODD(COLUMN(I12:BP12)))))*24"),198)</f>
        <v>198</v>
      </c>
    </row>
    <row r="13" customHeight="1" spans="1:69">
      <c r="A13" s="7">
        <v>10320418</v>
      </c>
      <c r="B13" s="8" t="s">
        <v>68</v>
      </c>
      <c r="C13" s="7" t="s">
        <v>20</v>
      </c>
      <c r="D13" s="7" t="s">
        <v>21</v>
      </c>
      <c r="E13" s="8" t="s">
        <v>22</v>
      </c>
      <c r="F13" s="9">
        <v>3</v>
      </c>
      <c r="G13" s="8">
        <v>0.5</v>
      </c>
      <c r="H13" s="8">
        <v>0.875</v>
      </c>
      <c r="I13" s="8">
        <v>0.5</v>
      </c>
      <c r="J13" s="8">
        <v>0.875</v>
      </c>
      <c r="K13" s="156" t="s">
        <v>23</v>
      </c>
      <c r="L13" s="156" t="s">
        <v>23</v>
      </c>
      <c r="M13" s="156" t="s">
        <v>23</v>
      </c>
      <c r="N13" s="156" t="s">
        <v>23</v>
      </c>
      <c r="O13" s="8">
        <v>0.458333333333333</v>
      </c>
      <c r="P13" s="8">
        <v>0.666666666666667</v>
      </c>
      <c r="Q13" s="8">
        <v>0.375</v>
      </c>
      <c r="R13" s="8">
        <v>0.75</v>
      </c>
      <c r="S13" s="8">
        <v>0.375</v>
      </c>
      <c r="T13" s="8">
        <v>0.75</v>
      </c>
      <c r="U13" s="8">
        <v>0.375</v>
      </c>
      <c r="V13" s="8">
        <v>0.75</v>
      </c>
      <c r="W13" s="8">
        <v>0.375</v>
      </c>
      <c r="X13" s="8">
        <v>0.75</v>
      </c>
      <c r="Y13" s="156" t="s">
        <v>23</v>
      </c>
      <c r="Z13" s="156" t="s">
        <v>23</v>
      </c>
      <c r="AA13" s="156" t="s">
        <v>23</v>
      </c>
      <c r="AB13" s="156" t="s">
        <v>23</v>
      </c>
      <c r="AC13" s="8">
        <v>0.458333333333333</v>
      </c>
      <c r="AD13" s="8">
        <v>0.666666666666667</v>
      </c>
      <c r="AE13" s="8">
        <v>0.5</v>
      </c>
      <c r="AF13" s="8">
        <v>0.875</v>
      </c>
      <c r="AG13" s="8">
        <v>0.5</v>
      </c>
      <c r="AH13" s="8">
        <v>0.875</v>
      </c>
      <c r="AI13" s="8">
        <v>0.5</v>
      </c>
      <c r="AJ13" s="8">
        <v>0.875</v>
      </c>
      <c r="AK13" s="8">
        <v>0.5</v>
      </c>
      <c r="AL13" s="8">
        <v>0.875</v>
      </c>
      <c r="AM13" s="156" t="s">
        <v>23</v>
      </c>
      <c r="AN13" s="156" t="s">
        <v>23</v>
      </c>
      <c r="AO13" s="156" t="s">
        <v>23</v>
      </c>
      <c r="AP13" s="156" t="s">
        <v>23</v>
      </c>
      <c r="AQ13" s="8">
        <v>0.458333333333333</v>
      </c>
      <c r="AR13" s="8">
        <v>0.666666666666667</v>
      </c>
      <c r="AS13" s="8">
        <v>0.375</v>
      </c>
      <c r="AT13" s="8">
        <v>0.75</v>
      </c>
      <c r="AU13" s="8">
        <v>0.375</v>
      </c>
      <c r="AV13" s="8">
        <v>0.75</v>
      </c>
      <c r="AW13" s="8">
        <v>0.375</v>
      </c>
      <c r="AX13" s="8">
        <v>0.75</v>
      </c>
      <c r="AY13" s="8">
        <v>0.375</v>
      </c>
      <c r="AZ13" s="8">
        <v>0.75</v>
      </c>
      <c r="BA13" s="156" t="s">
        <v>23</v>
      </c>
      <c r="BB13" s="156" t="s">
        <v>23</v>
      </c>
      <c r="BC13" s="156" t="s">
        <v>23</v>
      </c>
      <c r="BD13" s="156" t="s">
        <v>23</v>
      </c>
      <c r="BE13" s="8">
        <v>0.458333333333333</v>
      </c>
      <c r="BF13" s="8">
        <v>0.666666666666667</v>
      </c>
      <c r="BG13" s="8">
        <v>0.5</v>
      </c>
      <c r="BH13" s="8">
        <v>0.875</v>
      </c>
      <c r="BI13" s="8">
        <v>0.5</v>
      </c>
      <c r="BJ13" s="8">
        <v>0.875</v>
      </c>
      <c r="BK13" s="8">
        <v>0.5</v>
      </c>
      <c r="BL13" s="8">
        <v>0.875</v>
      </c>
      <c r="BM13" s="8">
        <v>0.5</v>
      </c>
      <c r="BN13" s="8">
        <v>0.875</v>
      </c>
      <c r="BO13" s="156" t="s">
        <v>23</v>
      </c>
      <c r="BP13" s="156" t="s">
        <v>23</v>
      </c>
      <c r="BQ13" s="21">
        <f>IFERROR(__xludf.DUMMYFUNCTION("TO_PURE_NUMBER(SUM(FILTER(I13:BP13, ISEVEN(COLUMN(I13:BP13))))-SUM(FILTER(I13:BP13, ISODD(COLUMN(I13:BP13)))))*24"),172.999999999999)</f>
        <v>172.999999999999</v>
      </c>
    </row>
    <row r="14" customHeight="1" spans="1:69">
      <c r="A14" s="7">
        <v>10316618</v>
      </c>
      <c r="B14" s="8" t="s">
        <v>33</v>
      </c>
      <c r="C14" s="7" t="s">
        <v>20</v>
      </c>
      <c r="D14" s="7" t="s">
        <v>86</v>
      </c>
      <c r="E14" s="8" t="s">
        <v>22</v>
      </c>
      <c r="F14" s="9">
        <v>1</v>
      </c>
      <c r="G14" s="8">
        <v>0.5</v>
      </c>
      <c r="H14" s="8">
        <v>0.875</v>
      </c>
      <c r="I14" s="8">
        <v>0.5</v>
      </c>
      <c r="J14" s="8">
        <v>0.875</v>
      </c>
      <c r="K14" s="8">
        <v>0.5</v>
      </c>
      <c r="L14" s="8">
        <v>0.875</v>
      </c>
      <c r="M14" s="156" t="s">
        <v>23</v>
      </c>
      <c r="N14" s="156" t="s">
        <v>23</v>
      </c>
      <c r="O14" s="156" t="s">
        <v>23</v>
      </c>
      <c r="P14" s="156" t="s">
        <v>23</v>
      </c>
      <c r="Q14" s="8">
        <v>0.5</v>
      </c>
      <c r="R14" s="8">
        <v>0.875</v>
      </c>
      <c r="S14" s="8">
        <v>0.5</v>
      </c>
      <c r="T14" s="8">
        <v>0.875</v>
      </c>
      <c r="U14" s="8">
        <v>0.5</v>
      </c>
      <c r="V14" s="8">
        <v>0.875</v>
      </c>
      <c r="W14" s="8">
        <v>0.5</v>
      </c>
      <c r="X14" s="8">
        <v>0.875</v>
      </c>
      <c r="Y14" s="8">
        <v>0.5</v>
      </c>
      <c r="Z14" s="8">
        <v>0.875</v>
      </c>
      <c r="AA14" s="156" t="s">
        <v>23</v>
      </c>
      <c r="AB14" s="156" t="s">
        <v>23</v>
      </c>
      <c r="AC14" s="156" t="s">
        <v>23</v>
      </c>
      <c r="AD14" s="156" t="s">
        <v>23</v>
      </c>
      <c r="AE14" s="8">
        <v>0.375</v>
      </c>
      <c r="AF14" s="8">
        <v>0.75</v>
      </c>
      <c r="AG14" s="8">
        <v>0.375</v>
      </c>
      <c r="AH14" s="8">
        <v>0.75</v>
      </c>
      <c r="AI14" s="8">
        <v>0.375</v>
      </c>
      <c r="AJ14" s="8">
        <v>0.75</v>
      </c>
      <c r="AK14" s="8">
        <v>0.375</v>
      </c>
      <c r="AL14" s="8">
        <v>0.75</v>
      </c>
      <c r="AM14" s="8">
        <v>0.375</v>
      </c>
      <c r="AN14" s="8">
        <v>0.75</v>
      </c>
      <c r="AO14" s="156" t="s">
        <v>23</v>
      </c>
      <c r="AP14" s="156" t="s">
        <v>23</v>
      </c>
      <c r="AQ14" s="156" t="s">
        <v>23</v>
      </c>
      <c r="AR14" s="156" t="s">
        <v>23</v>
      </c>
      <c r="AS14" s="8">
        <v>0.5</v>
      </c>
      <c r="AT14" s="8">
        <v>0.875</v>
      </c>
      <c r="AU14" s="8">
        <v>0.5</v>
      </c>
      <c r="AV14" s="8">
        <v>0.875</v>
      </c>
      <c r="AW14" s="8">
        <v>0.5</v>
      </c>
      <c r="AX14" s="8">
        <v>0.875</v>
      </c>
      <c r="AY14" s="8">
        <v>0.5</v>
      </c>
      <c r="AZ14" s="8">
        <v>0.875</v>
      </c>
      <c r="BA14" s="8">
        <v>0.5</v>
      </c>
      <c r="BB14" s="8">
        <v>0.875</v>
      </c>
      <c r="BC14" s="156" t="s">
        <v>23</v>
      </c>
      <c r="BD14" s="156" t="s">
        <v>23</v>
      </c>
      <c r="BE14" s="156" t="s">
        <v>23</v>
      </c>
      <c r="BF14" s="156" t="s">
        <v>23</v>
      </c>
      <c r="BG14" s="8">
        <v>0.375</v>
      </c>
      <c r="BH14" s="8">
        <v>0.75</v>
      </c>
      <c r="BI14" s="8">
        <v>0.375</v>
      </c>
      <c r="BJ14" s="8">
        <v>0.75</v>
      </c>
      <c r="BK14" s="8">
        <v>0.375</v>
      </c>
      <c r="BL14" s="8">
        <v>0.75</v>
      </c>
      <c r="BM14" s="8">
        <v>0.375</v>
      </c>
      <c r="BN14" s="8">
        <v>0.75</v>
      </c>
      <c r="BO14" s="8">
        <v>0.375</v>
      </c>
      <c r="BP14" s="8">
        <v>0.75</v>
      </c>
      <c r="BQ14" s="21">
        <f>IFERROR(__xludf.DUMMYFUNCTION("TO_PURE_NUMBER(SUM(FILTER(I14:BP14, ISEVEN(COLUMN(I14:BP14))))-SUM(FILTER(I14:BP14, ISODD(COLUMN(I14:BP14)))))*24"),198)</f>
        <v>198</v>
      </c>
    </row>
    <row r="15" customHeight="1" spans="1:69">
      <c r="A15" s="7">
        <v>10250963</v>
      </c>
      <c r="B15" s="8" t="s">
        <v>25</v>
      </c>
      <c r="C15" s="7" t="s">
        <v>20</v>
      </c>
      <c r="D15" s="7" t="s">
        <v>21</v>
      </c>
      <c r="E15" s="8" t="s">
        <v>22</v>
      </c>
      <c r="F15" s="9">
        <v>1</v>
      </c>
      <c r="G15" s="8">
        <v>0.416666666666667</v>
      </c>
      <c r="H15" s="8">
        <v>0.833333333333333</v>
      </c>
      <c r="I15" s="8">
        <v>0.416666666666667</v>
      </c>
      <c r="J15" s="8">
        <v>0.833333333333333</v>
      </c>
      <c r="K15" s="8">
        <v>0.416666666666667</v>
      </c>
      <c r="L15" s="8">
        <v>0.833333333333333</v>
      </c>
      <c r="M15" s="8">
        <v>0.458333333333333</v>
      </c>
      <c r="N15" s="8">
        <v>0.666666666666667</v>
      </c>
      <c r="O15" s="156" t="s">
        <v>23</v>
      </c>
      <c r="P15" s="156" t="s">
        <v>23</v>
      </c>
      <c r="Q15" s="8">
        <v>0.5</v>
      </c>
      <c r="R15" s="8">
        <v>0.875</v>
      </c>
      <c r="S15" s="8">
        <v>0.5</v>
      </c>
      <c r="T15" s="8">
        <v>0.875</v>
      </c>
      <c r="U15" s="8">
        <v>0.5</v>
      </c>
      <c r="V15" s="8">
        <v>0.875</v>
      </c>
      <c r="W15" s="8">
        <v>0.5</v>
      </c>
      <c r="X15" s="8">
        <v>0.875</v>
      </c>
      <c r="Y15" s="8">
        <v>0.5</v>
      </c>
      <c r="Z15" s="8">
        <v>0.875</v>
      </c>
      <c r="AA15" s="156" t="s">
        <v>23</v>
      </c>
      <c r="AB15" s="156" t="s">
        <v>23</v>
      </c>
      <c r="AC15" s="156" t="s">
        <v>23</v>
      </c>
      <c r="AD15" s="156" t="s">
        <v>23</v>
      </c>
      <c r="AE15" s="8">
        <v>0.375</v>
      </c>
      <c r="AF15" s="8">
        <v>0.75</v>
      </c>
      <c r="AG15" s="8">
        <v>0.375</v>
      </c>
      <c r="AH15" s="8">
        <v>0.75</v>
      </c>
      <c r="AI15" s="8">
        <v>0.375</v>
      </c>
      <c r="AJ15" s="8">
        <v>0.75</v>
      </c>
      <c r="AK15" s="8">
        <v>0.375</v>
      </c>
      <c r="AL15" s="8">
        <v>0.75</v>
      </c>
      <c r="AM15" s="8">
        <v>0.375</v>
      </c>
      <c r="AN15" s="8">
        <v>0.75</v>
      </c>
      <c r="AO15" s="156" t="s">
        <v>23</v>
      </c>
      <c r="AP15" s="156" t="s">
        <v>23</v>
      </c>
      <c r="AQ15" s="156" t="s">
        <v>23</v>
      </c>
      <c r="AR15" s="156" t="s">
        <v>23</v>
      </c>
      <c r="AS15" s="8">
        <v>0.5</v>
      </c>
      <c r="AT15" s="8">
        <v>0.875</v>
      </c>
      <c r="AU15" s="8">
        <v>0.5</v>
      </c>
      <c r="AV15" s="8">
        <v>0.875</v>
      </c>
      <c r="AW15" s="8">
        <v>0.5</v>
      </c>
      <c r="AX15" s="8">
        <v>0.875</v>
      </c>
      <c r="AY15" s="8">
        <v>0.5</v>
      </c>
      <c r="AZ15" s="8">
        <v>0.875</v>
      </c>
      <c r="BA15" s="8">
        <v>0.5</v>
      </c>
      <c r="BB15" s="8">
        <v>0.875</v>
      </c>
      <c r="BC15" s="156" t="s">
        <v>23</v>
      </c>
      <c r="BD15" s="156" t="s">
        <v>23</v>
      </c>
      <c r="BE15" s="156" t="s">
        <v>23</v>
      </c>
      <c r="BF15" s="156" t="s">
        <v>23</v>
      </c>
      <c r="BG15" s="8">
        <v>0.375</v>
      </c>
      <c r="BH15" s="8">
        <v>0.75</v>
      </c>
      <c r="BI15" s="8">
        <v>0.375</v>
      </c>
      <c r="BJ15" s="8">
        <v>0.75</v>
      </c>
      <c r="BK15" s="8">
        <v>0.375</v>
      </c>
      <c r="BL15" s="8">
        <v>0.75</v>
      </c>
      <c r="BM15" s="8">
        <v>0.375</v>
      </c>
      <c r="BN15" s="8">
        <v>0.75</v>
      </c>
      <c r="BO15" s="8">
        <v>0.375</v>
      </c>
      <c r="BP15" s="8">
        <v>0.75</v>
      </c>
      <c r="BQ15" s="21">
        <f>IFERROR(__xludf.DUMMYFUNCTION("TO_PURE_NUMBER(SUM(FILTER(I15:BP15, ISEVEN(COLUMN(I15:BP15))))-SUM(FILTER(I15:BP15, ISODD(COLUMN(I15:BP15)))))*24"),205)</f>
        <v>205</v>
      </c>
    </row>
    <row r="16" customHeight="1" spans="1:69">
      <c r="A16" s="7">
        <v>10295555</v>
      </c>
      <c r="B16" s="8" t="s">
        <v>34</v>
      </c>
      <c r="C16" s="7" t="s">
        <v>20</v>
      </c>
      <c r="D16" s="7" t="s">
        <v>21</v>
      </c>
      <c r="E16" s="8" t="s">
        <v>35</v>
      </c>
      <c r="F16" s="9">
        <v>2</v>
      </c>
      <c r="G16" s="156" t="s">
        <v>23</v>
      </c>
      <c r="H16" s="156" t="s">
        <v>23</v>
      </c>
      <c r="I16" s="8">
        <v>0.666666666666667</v>
      </c>
      <c r="J16" s="8">
        <v>0.875</v>
      </c>
      <c r="K16" s="8">
        <v>0.666666666666667</v>
      </c>
      <c r="L16" s="8">
        <v>0.875</v>
      </c>
      <c r="M16" s="8">
        <v>0.458333333333333</v>
      </c>
      <c r="N16" s="8">
        <v>0.666666666666667</v>
      </c>
      <c r="O16" s="8">
        <v>0.458333333333333</v>
      </c>
      <c r="P16" s="8">
        <v>0.666666666666667</v>
      </c>
      <c r="Q16" s="8">
        <v>0.666666666666667</v>
      </c>
      <c r="R16" s="8">
        <v>0.875</v>
      </c>
      <c r="S16" s="8">
        <v>0.666666666666667</v>
      </c>
      <c r="T16" s="8">
        <v>0.875</v>
      </c>
      <c r="U16" s="156" t="s">
        <v>23</v>
      </c>
      <c r="V16" s="156" t="s">
        <v>23</v>
      </c>
      <c r="W16" s="156" t="s">
        <v>23</v>
      </c>
      <c r="X16" s="156" t="s">
        <v>23</v>
      </c>
      <c r="Y16" s="8">
        <v>0.666666666666667</v>
      </c>
      <c r="Z16" s="8">
        <v>0.875</v>
      </c>
      <c r="AA16" s="8">
        <v>0.458333333333333</v>
      </c>
      <c r="AB16" s="8">
        <v>0.666666666666667</v>
      </c>
      <c r="AC16" s="8">
        <v>0.458333333333333</v>
      </c>
      <c r="AD16" s="8">
        <v>0.666666666666667</v>
      </c>
      <c r="AE16" s="8">
        <v>0.375</v>
      </c>
      <c r="AF16" s="8">
        <v>0.583333333333333</v>
      </c>
      <c r="AG16" s="8">
        <v>0.375</v>
      </c>
      <c r="AH16" s="8">
        <v>0.583333333333333</v>
      </c>
      <c r="AI16" s="156" t="s">
        <v>23</v>
      </c>
      <c r="AJ16" s="156" t="s">
        <v>23</v>
      </c>
      <c r="AK16" s="156" t="s">
        <v>23</v>
      </c>
      <c r="AL16" s="156" t="s">
        <v>23</v>
      </c>
      <c r="AM16" s="8">
        <v>0.375</v>
      </c>
      <c r="AN16" s="8">
        <v>0.583333333333333</v>
      </c>
      <c r="AO16" s="8">
        <v>0.458333333333333</v>
      </c>
      <c r="AP16" s="8">
        <v>0.666666666666667</v>
      </c>
      <c r="AQ16" s="8">
        <v>0.458333333333333</v>
      </c>
      <c r="AR16" s="8">
        <v>0.666666666666667</v>
      </c>
      <c r="AS16" s="8">
        <v>0.666666666666667</v>
      </c>
      <c r="AT16" s="8">
        <v>0.875</v>
      </c>
      <c r="AU16" s="8">
        <v>0.666666666666667</v>
      </c>
      <c r="AV16" s="8">
        <v>0.875</v>
      </c>
      <c r="AW16" s="156" t="s">
        <v>23</v>
      </c>
      <c r="AX16" s="156" t="s">
        <v>23</v>
      </c>
      <c r="AY16" s="156" t="s">
        <v>23</v>
      </c>
      <c r="AZ16" s="156" t="s">
        <v>23</v>
      </c>
      <c r="BA16" s="8">
        <v>0.666666666666667</v>
      </c>
      <c r="BB16" s="8">
        <v>0.875</v>
      </c>
      <c r="BC16" s="8">
        <v>0.458333333333333</v>
      </c>
      <c r="BD16" s="8">
        <v>0.666666666666667</v>
      </c>
      <c r="BE16" s="8">
        <v>0.458333333333333</v>
      </c>
      <c r="BF16" s="8">
        <v>0.666666666666667</v>
      </c>
      <c r="BG16" s="8">
        <v>0.375</v>
      </c>
      <c r="BH16" s="8">
        <v>0.583333333333333</v>
      </c>
      <c r="BI16" s="8">
        <v>0.375</v>
      </c>
      <c r="BJ16" s="8">
        <v>0.583333333333333</v>
      </c>
      <c r="BK16" s="156" t="s">
        <v>23</v>
      </c>
      <c r="BL16" s="156" t="s">
        <v>23</v>
      </c>
      <c r="BM16" s="156" t="s">
        <v>23</v>
      </c>
      <c r="BN16" s="156" t="s">
        <v>23</v>
      </c>
      <c r="BO16" s="8">
        <v>0.375</v>
      </c>
      <c r="BP16" s="8">
        <v>0.583333333333333</v>
      </c>
      <c r="BQ16" s="21">
        <f>IFERROR(__xludf.DUMMYFUNCTION("TO_PURE_NUMBER(SUM(FILTER(I16:BP16, ISEVEN(COLUMN(I16:BP16))))-SUM(FILTER(I16:BP16, ISODD(COLUMN(I16:BP16)))))*24"),110)</f>
        <v>110</v>
      </c>
    </row>
    <row r="17" customHeight="1" spans="1:69">
      <c r="A17" s="7">
        <v>10317520</v>
      </c>
      <c r="B17" s="8" t="s">
        <v>37</v>
      </c>
      <c r="C17" s="7" t="s">
        <v>20</v>
      </c>
      <c r="D17" s="7" t="s">
        <v>21</v>
      </c>
      <c r="E17" s="8" t="s">
        <v>22</v>
      </c>
      <c r="F17" s="9">
        <v>2</v>
      </c>
      <c r="G17" s="8">
        <v>0.375</v>
      </c>
      <c r="H17" s="8">
        <v>0.791666666666667</v>
      </c>
      <c r="I17" s="8">
        <v>0.333333333333333</v>
      </c>
      <c r="J17" s="8">
        <v>0.75</v>
      </c>
      <c r="K17" s="8">
        <v>0.333333333333333</v>
      </c>
      <c r="L17" s="8">
        <v>0.75</v>
      </c>
      <c r="M17" s="8">
        <v>0.416666666666667</v>
      </c>
      <c r="N17" s="8">
        <v>0.625</v>
      </c>
      <c r="O17" s="156" t="s">
        <v>23</v>
      </c>
      <c r="P17" s="156" t="s">
        <v>23</v>
      </c>
      <c r="Q17" s="156" t="s">
        <v>23</v>
      </c>
      <c r="R17" s="156" t="s">
        <v>23</v>
      </c>
      <c r="S17" s="8">
        <v>0.333333333333333</v>
      </c>
      <c r="T17" s="8">
        <v>0.75</v>
      </c>
      <c r="U17" s="8">
        <v>0.333333333333333</v>
      </c>
      <c r="V17" s="8">
        <v>0.75</v>
      </c>
      <c r="W17" s="8">
        <v>0.333333333333333</v>
      </c>
      <c r="X17" s="8">
        <v>0.75</v>
      </c>
      <c r="Y17" s="8">
        <v>0.333333333333333</v>
      </c>
      <c r="Z17" s="8">
        <v>0.75</v>
      </c>
      <c r="AA17" s="8">
        <v>0.416666666666667</v>
      </c>
      <c r="AB17" s="8">
        <v>0.625</v>
      </c>
      <c r="AC17" s="156" t="s">
        <v>23</v>
      </c>
      <c r="AD17" s="156" t="s">
        <v>23</v>
      </c>
      <c r="AE17" s="156" t="s">
        <v>23</v>
      </c>
      <c r="AF17" s="156" t="s">
        <v>23</v>
      </c>
      <c r="AG17" s="8">
        <v>0.333333333333333</v>
      </c>
      <c r="AH17" s="8">
        <v>0.75</v>
      </c>
      <c r="AI17" s="8">
        <v>0.333333333333333</v>
      </c>
      <c r="AJ17" s="8">
        <v>0.75</v>
      </c>
      <c r="AK17" s="8">
        <v>0.333333333333333</v>
      </c>
      <c r="AL17" s="8">
        <v>0.75</v>
      </c>
      <c r="AM17" s="8">
        <v>0.333333333333333</v>
      </c>
      <c r="AN17" s="8">
        <v>0.75</v>
      </c>
      <c r="AO17" s="8">
        <v>0.416666666666667</v>
      </c>
      <c r="AP17" s="8">
        <v>0.625</v>
      </c>
      <c r="AQ17" s="156" t="s">
        <v>23</v>
      </c>
      <c r="AR17" s="156" t="s">
        <v>23</v>
      </c>
      <c r="AS17" s="156" t="s">
        <v>23</v>
      </c>
      <c r="AT17" s="156" t="s">
        <v>23</v>
      </c>
      <c r="AU17" s="8">
        <v>0.333333333333333</v>
      </c>
      <c r="AV17" s="8">
        <v>0.75</v>
      </c>
      <c r="AW17" s="8">
        <v>0.333333333333333</v>
      </c>
      <c r="AX17" s="8">
        <v>0.75</v>
      </c>
      <c r="AY17" s="8">
        <v>0.333333333333333</v>
      </c>
      <c r="AZ17" s="8">
        <v>0.75</v>
      </c>
      <c r="BA17" s="8">
        <v>0.333333333333333</v>
      </c>
      <c r="BB17" s="8">
        <v>0.75</v>
      </c>
      <c r="BC17" s="8">
        <v>0.416666666666667</v>
      </c>
      <c r="BD17" s="8">
        <v>0.625</v>
      </c>
      <c r="BE17" s="156" t="s">
        <v>23</v>
      </c>
      <c r="BF17" s="156" t="s">
        <v>23</v>
      </c>
      <c r="BG17" s="156" t="s">
        <v>23</v>
      </c>
      <c r="BH17" s="156" t="s">
        <v>23</v>
      </c>
      <c r="BI17" s="8">
        <v>0.333333333333333</v>
      </c>
      <c r="BJ17" s="8">
        <v>0.75</v>
      </c>
      <c r="BK17" s="8">
        <v>0.333333333333333</v>
      </c>
      <c r="BL17" s="8">
        <v>0.75</v>
      </c>
      <c r="BM17" s="8">
        <v>0.333333333333333</v>
      </c>
      <c r="BN17" s="8">
        <v>0.75</v>
      </c>
      <c r="BO17" s="8">
        <v>0.333333333333333</v>
      </c>
      <c r="BP17" s="8">
        <v>0.75</v>
      </c>
      <c r="BQ17" s="21">
        <f>IFERROR(__xludf.DUMMYFUNCTION("TO_PURE_NUMBER(SUM(FILTER(I17:BP17, ISEVEN(COLUMN(I17:BP17))))-SUM(FILTER(I17:BP17, ISODD(COLUMN(I17:BP17)))))*24"),200)</f>
        <v>200</v>
      </c>
    </row>
    <row r="18" customHeight="1" spans="1:69">
      <c r="A18" s="7">
        <v>10320414</v>
      </c>
      <c r="B18" s="8" t="s">
        <v>62</v>
      </c>
      <c r="C18" s="7" t="s">
        <v>20</v>
      </c>
      <c r="D18" s="7" t="s">
        <v>21</v>
      </c>
      <c r="E18" s="8" t="s">
        <v>22</v>
      </c>
      <c r="F18" s="9">
        <v>3</v>
      </c>
      <c r="G18" s="8">
        <v>0.458333333333333</v>
      </c>
      <c r="H18" s="8">
        <v>0.875</v>
      </c>
      <c r="I18" s="8">
        <v>0.458333333333333</v>
      </c>
      <c r="J18" s="8">
        <v>0.875</v>
      </c>
      <c r="K18" s="8">
        <v>0.458333333333333</v>
      </c>
      <c r="L18" s="8">
        <v>0.875</v>
      </c>
      <c r="M18" s="8">
        <v>0.458333333333333</v>
      </c>
      <c r="N18" s="8">
        <v>0.666666666666667</v>
      </c>
      <c r="O18" s="156" t="s">
        <v>23</v>
      </c>
      <c r="P18" s="156" t="s">
        <v>23</v>
      </c>
      <c r="Q18" s="156" t="s">
        <v>23</v>
      </c>
      <c r="R18" s="156" t="s">
        <v>23</v>
      </c>
      <c r="S18" s="8">
        <v>0.375</v>
      </c>
      <c r="T18" s="8">
        <v>0.791666666666667</v>
      </c>
      <c r="U18" s="8">
        <v>0.375</v>
      </c>
      <c r="V18" s="8">
        <v>0.791666666666667</v>
      </c>
      <c r="W18" s="8">
        <v>0.375</v>
      </c>
      <c r="X18" s="8">
        <v>0.791666666666667</v>
      </c>
      <c r="Y18" s="8">
        <v>0.375</v>
      </c>
      <c r="Z18" s="8">
        <v>0.791666666666667</v>
      </c>
      <c r="AA18" s="8">
        <v>0.458333333333333</v>
      </c>
      <c r="AB18" s="8">
        <v>0.666666666666667</v>
      </c>
      <c r="AC18" s="156" t="s">
        <v>23</v>
      </c>
      <c r="AD18" s="156" t="s">
        <v>23</v>
      </c>
      <c r="AE18" s="156" t="s">
        <v>23</v>
      </c>
      <c r="AF18" s="156" t="s">
        <v>23</v>
      </c>
      <c r="AG18" s="8">
        <v>0.458333333333333</v>
      </c>
      <c r="AH18" s="8">
        <v>0.875</v>
      </c>
      <c r="AI18" s="8">
        <v>0.458333333333333</v>
      </c>
      <c r="AJ18" s="8">
        <v>0.875</v>
      </c>
      <c r="AK18" s="8">
        <v>0.458333333333333</v>
      </c>
      <c r="AL18" s="8">
        <v>0.875</v>
      </c>
      <c r="AM18" s="8">
        <v>0.458333333333333</v>
      </c>
      <c r="AN18" s="8">
        <v>0.875</v>
      </c>
      <c r="AO18" s="8">
        <v>0.458333333333333</v>
      </c>
      <c r="AP18" s="8">
        <v>0.666666666666667</v>
      </c>
      <c r="AQ18" s="156" t="s">
        <v>23</v>
      </c>
      <c r="AR18" s="156" t="s">
        <v>23</v>
      </c>
      <c r="AS18" s="156" t="s">
        <v>23</v>
      </c>
      <c r="AT18" s="156" t="s">
        <v>23</v>
      </c>
      <c r="AU18" s="8">
        <v>0.375</v>
      </c>
      <c r="AV18" s="8">
        <v>0.791666666666667</v>
      </c>
      <c r="AW18" s="8">
        <v>0.375</v>
      </c>
      <c r="AX18" s="8">
        <v>0.791666666666667</v>
      </c>
      <c r="AY18" s="8">
        <v>0.375</v>
      </c>
      <c r="AZ18" s="8">
        <v>0.791666666666667</v>
      </c>
      <c r="BA18" s="8">
        <v>0.375</v>
      </c>
      <c r="BB18" s="8">
        <v>0.791666666666667</v>
      </c>
      <c r="BC18" s="8">
        <v>0.458333333333333</v>
      </c>
      <c r="BD18" s="8">
        <v>0.666666666666667</v>
      </c>
      <c r="BE18" s="156" t="s">
        <v>23</v>
      </c>
      <c r="BF18" s="156" t="s">
        <v>23</v>
      </c>
      <c r="BG18" s="156" t="s">
        <v>23</v>
      </c>
      <c r="BH18" s="156" t="s">
        <v>23</v>
      </c>
      <c r="BI18" s="8">
        <v>0.458333333333333</v>
      </c>
      <c r="BJ18" s="8">
        <v>0.875</v>
      </c>
      <c r="BK18" s="8">
        <v>0.458333333333333</v>
      </c>
      <c r="BL18" s="8">
        <v>0.875</v>
      </c>
      <c r="BM18" s="8">
        <v>0.458333333333333</v>
      </c>
      <c r="BN18" s="8">
        <v>0.875</v>
      </c>
      <c r="BO18" s="8">
        <v>0.458333333333333</v>
      </c>
      <c r="BP18" s="8">
        <v>0.875</v>
      </c>
      <c r="BQ18" s="21">
        <f>IFERROR(__xludf.DUMMYFUNCTION("TO_PURE_NUMBER(SUM(FILTER(I18:BP18, ISEVEN(COLUMN(I18:BP18))))-SUM(FILTER(I18:BP18, ISODD(COLUMN(I18:BP18)))))*24"),199.999999999999)</f>
        <v>199.999999999999</v>
      </c>
    </row>
    <row r="19" customHeight="1" spans="1:69">
      <c r="A19" s="7">
        <v>10316681</v>
      </c>
      <c r="B19" s="8" t="s">
        <v>38</v>
      </c>
      <c r="C19" s="7" t="s">
        <v>89</v>
      </c>
      <c r="D19" s="7" t="s">
        <v>21</v>
      </c>
      <c r="E19" s="8" t="s">
        <v>22</v>
      </c>
      <c r="F19" s="9">
        <v>1</v>
      </c>
      <c r="G19" s="8">
        <v>0.5</v>
      </c>
      <c r="H19" s="8">
        <v>0.875</v>
      </c>
      <c r="I19" s="8">
        <v>0.5</v>
      </c>
      <c r="J19" s="8">
        <v>0.875</v>
      </c>
      <c r="K19" s="8">
        <v>0.5</v>
      </c>
      <c r="L19" s="8">
        <v>0.875</v>
      </c>
      <c r="M19" s="156" t="s">
        <v>23</v>
      </c>
      <c r="N19" s="156" t="s">
        <v>23</v>
      </c>
      <c r="O19" s="156" t="s">
        <v>23</v>
      </c>
      <c r="P19" s="156" t="s">
        <v>23</v>
      </c>
      <c r="Q19" s="8">
        <v>0.375</v>
      </c>
      <c r="R19" s="8">
        <v>0.75</v>
      </c>
      <c r="S19" s="8">
        <v>0.375</v>
      </c>
      <c r="T19" s="8">
        <v>0.75</v>
      </c>
      <c r="U19" s="8">
        <v>0.375</v>
      </c>
      <c r="V19" s="8">
        <v>0.75</v>
      </c>
      <c r="W19" s="8">
        <v>0.375</v>
      </c>
      <c r="X19" s="8">
        <v>0.75</v>
      </c>
      <c r="Y19" s="8">
        <v>0.375</v>
      </c>
      <c r="Z19" s="8">
        <v>0.75</v>
      </c>
      <c r="AA19" s="156" t="s">
        <v>23</v>
      </c>
      <c r="AB19" s="156" t="s">
        <v>23</v>
      </c>
      <c r="AC19" s="156" t="s">
        <v>23</v>
      </c>
      <c r="AD19" s="156" t="s">
        <v>23</v>
      </c>
      <c r="AE19" s="8">
        <v>0.5</v>
      </c>
      <c r="AF19" s="8">
        <v>0.875</v>
      </c>
      <c r="AG19" s="8">
        <v>0.5</v>
      </c>
      <c r="AH19" s="8">
        <v>0.875</v>
      </c>
      <c r="AI19" s="8">
        <v>0.5</v>
      </c>
      <c r="AJ19" s="8">
        <v>0.875</v>
      </c>
      <c r="AK19" s="8">
        <v>0.5</v>
      </c>
      <c r="AL19" s="8">
        <v>0.875</v>
      </c>
      <c r="AM19" s="8">
        <v>0.5</v>
      </c>
      <c r="AN19" s="8">
        <v>0.875</v>
      </c>
      <c r="AO19" s="156" t="s">
        <v>23</v>
      </c>
      <c r="AP19" s="156" t="s">
        <v>23</v>
      </c>
      <c r="AQ19" s="156" t="s">
        <v>23</v>
      </c>
      <c r="AR19" s="156" t="s">
        <v>23</v>
      </c>
      <c r="AS19" s="8">
        <v>0.375</v>
      </c>
      <c r="AT19" s="8">
        <v>0.75</v>
      </c>
      <c r="AU19" s="8">
        <v>0.375</v>
      </c>
      <c r="AV19" s="8">
        <v>0.75</v>
      </c>
      <c r="AW19" s="8">
        <v>0.375</v>
      </c>
      <c r="AX19" s="8">
        <v>0.75</v>
      </c>
      <c r="AY19" s="8">
        <v>0.375</v>
      </c>
      <c r="AZ19" s="8">
        <v>0.75</v>
      </c>
      <c r="BA19" s="8">
        <v>0.375</v>
      </c>
      <c r="BB19" s="8">
        <v>0.75</v>
      </c>
      <c r="BC19" s="156" t="s">
        <v>23</v>
      </c>
      <c r="BD19" s="156" t="s">
        <v>23</v>
      </c>
      <c r="BE19" s="156" t="s">
        <v>23</v>
      </c>
      <c r="BF19" s="156" t="s">
        <v>23</v>
      </c>
      <c r="BG19" s="8">
        <v>0.5</v>
      </c>
      <c r="BH19" s="8">
        <v>0.875</v>
      </c>
      <c r="BI19" s="8">
        <v>0.5</v>
      </c>
      <c r="BJ19" s="8">
        <v>0.875</v>
      </c>
      <c r="BK19" s="8">
        <v>0.5</v>
      </c>
      <c r="BL19" s="8">
        <v>0.875</v>
      </c>
      <c r="BM19" s="8">
        <v>0.5</v>
      </c>
      <c r="BN19" s="8">
        <v>0.875</v>
      </c>
      <c r="BO19" s="8">
        <v>0.5</v>
      </c>
      <c r="BP19" s="8">
        <v>0.875</v>
      </c>
      <c r="BQ19" s="21">
        <f>IFERROR(__xludf.DUMMYFUNCTION("TO_PURE_NUMBER(SUM(FILTER(I19:BP19, ISEVEN(COLUMN(I19:BP19))))-SUM(FILTER(I19:BP19, ISODD(COLUMN(I19:BP19)))))*24"),198)</f>
        <v>198</v>
      </c>
    </row>
    <row r="20" customHeight="1" spans="1:69">
      <c r="A20" s="7">
        <v>10316650</v>
      </c>
      <c r="B20" s="8" t="s">
        <v>39</v>
      </c>
      <c r="C20" s="7" t="s">
        <v>20</v>
      </c>
      <c r="D20" s="7" t="s">
        <v>21</v>
      </c>
      <c r="E20" s="8" t="s">
        <v>22</v>
      </c>
      <c r="F20" s="9">
        <v>2</v>
      </c>
      <c r="G20" s="8">
        <v>0.5</v>
      </c>
      <c r="H20" s="8">
        <v>0.875</v>
      </c>
      <c r="I20" s="8">
        <v>0.5</v>
      </c>
      <c r="J20" s="8">
        <v>0.875</v>
      </c>
      <c r="K20" s="8">
        <v>0.5</v>
      </c>
      <c r="L20" s="8">
        <v>0.875</v>
      </c>
      <c r="M20" s="156" t="s">
        <v>23</v>
      </c>
      <c r="N20" s="156" t="s">
        <v>23</v>
      </c>
      <c r="O20" s="156" t="s">
        <v>23</v>
      </c>
      <c r="P20" s="156" t="s">
        <v>23</v>
      </c>
      <c r="Q20" s="8">
        <v>0.375</v>
      </c>
      <c r="R20" s="8">
        <v>0.791666666666667</v>
      </c>
      <c r="S20" s="8">
        <v>0.375</v>
      </c>
      <c r="T20" s="8">
        <v>0.791666666666667</v>
      </c>
      <c r="U20" s="8">
        <v>0.375</v>
      </c>
      <c r="V20" s="8">
        <v>0.791666666666667</v>
      </c>
      <c r="W20" s="8">
        <v>0.375</v>
      </c>
      <c r="X20" s="8">
        <v>0.791666666666667</v>
      </c>
      <c r="Y20" s="156" t="s">
        <v>23</v>
      </c>
      <c r="Z20" s="156" t="s">
        <v>23</v>
      </c>
      <c r="AA20" s="156" t="s">
        <v>23</v>
      </c>
      <c r="AB20" s="156" t="s">
        <v>23</v>
      </c>
      <c r="AC20" s="8">
        <v>0.458333333333333</v>
      </c>
      <c r="AD20" s="8">
        <v>0.666666666666667</v>
      </c>
      <c r="AE20" s="8">
        <v>0.458333333333333</v>
      </c>
      <c r="AF20" s="8">
        <v>0.875</v>
      </c>
      <c r="AG20" s="8">
        <v>0.458333333333333</v>
      </c>
      <c r="AH20" s="8">
        <v>0.875</v>
      </c>
      <c r="AI20" s="8">
        <v>0.458333333333333</v>
      </c>
      <c r="AJ20" s="8">
        <v>0.875</v>
      </c>
      <c r="AK20" s="8">
        <v>0.458333333333333</v>
      </c>
      <c r="AL20" s="8">
        <v>0.875</v>
      </c>
      <c r="AM20" s="156" t="s">
        <v>23</v>
      </c>
      <c r="AN20" s="156" t="s">
        <v>23</v>
      </c>
      <c r="AO20" s="156" t="s">
        <v>23</v>
      </c>
      <c r="AP20" s="156" t="s">
        <v>23</v>
      </c>
      <c r="AQ20" s="8">
        <v>0.458333333333333</v>
      </c>
      <c r="AR20" s="8">
        <v>0.666666666666667</v>
      </c>
      <c r="AS20" s="8">
        <v>0.375</v>
      </c>
      <c r="AT20" s="8">
        <v>0.791666666666667</v>
      </c>
      <c r="AU20" s="8">
        <v>0.375</v>
      </c>
      <c r="AV20" s="8">
        <v>0.791666666666667</v>
      </c>
      <c r="AW20" s="8">
        <v>0.375</v>
      </c>
      <c r="AX20" s="8">
        <v>0.791666666666667</v>
      </c>
      <c r="AY20" s="8">
        <v>0.375</v>
      </c>
      <c r="AZ20" s="8">
        <v>0.791666666666667</v>
      </c>
      <c r="BA20" s="156" t="s">
        <v>23</v>
      </c>
      <c r="BB20" s="156" t="s">
        <v>23</v>
      </c>
      <c r="BC20" s="156" t="s">
        <v>23</v>
      </c>
      <c r="BD20" s="156" t="s">
        <v>23</v>
      </c>
      <c r="BE20" s="8">
        <v>0.458333333333333</v>
      </c>
      <c r="BF20" s="8">
        <v>0.666666666666667</v>
      </c>
      <c r="BG20" s="8">
        <v>0.458333333333333</v>
      </c>
      <c r="BH20" s="8">
        <v>0.875</v>
      </c>
      <c r="BI20" s="8">
        <v>0.458333333333333</v>
      </c>
      <c r="BJ20" s="8">
        <v>0.875</v>
      </c>
      <c r="BK20" s="8">
        <v>0.458333333333333</v>
      </c>
      <c r="BL20" s="8">
        <v>0.875</v>
      </c>
      <c r="BM20" s="8">
        <v>0.458333333333333</v>
      </c>
      <c r="BN20" s="8">
        <v>0.875</v>
      </c>
      <c r="BO20" s="156" t="s">
        <v>23</v>
      </c>
      <c r="BP20" s="156" t="s">
        <v>23</v>
      </c>
      <c r="BQ20" s="21">
        <f>IFERROR(__xludf.DUMMYFUNCTION("TO_PURE_NUMBER(SUM(FILTER(I20:BP20, ISEVEN(COLUMN(I20:BP20))))-SUM(FILTER(I20:BP20, ISODD(COLUMN(I20:BP20)))))*24"),192.999999999999)</f>
        <v>192.999999999999</v>
      </c>
    </row>
    <row r="21" customHeight="1" spans="1:69">
      <c r="A21" s="7">
        <v>10320416</v>
      </c>
      <c r="B21" s="8" t="s">
        <v>66</v>
      </c>
      <c r="C21" s="7" t="s">
        <v>20</v>
      </c>
      <c r="D21" s="7" t="s">
        <v>21</v>
      </c>
      <c r="E21" s="8" t="s">
        <v>22</v>
      </c>
      <c r="F21" s="9">
        <v>3</v>
      </c>
      <c r="G21" s="8">
        <v>0.375</v>
      </c>
      <c r="H21" s="8">
        <v>0.75</v>
      </c>
      <c r="I21" s="8">
        <v>0.375</v>
      </c>
      <c r="J21" s="8">
        <v>0.75</v>
      </c>
      <c r="K21" s="8">
        <v>0.375</v>
      </c>
      <c r="L21" s="8">
        <v>0.75</v>
      </c>
      <c r="M21" s="156" t="s">
        <v>23</v>
      </c>
      <c r="N21" s="156" t="s">
        <v>23</v>
      </c>
      <c r="O21" s="156" t="s">
        <v>23</v>
      </c>
      <c r="P21" s="156" t="s">
        <v>23</v>
      </c>
      <c r="Q21" s="8">
        <v>0.5</v>
      </c>
      <c r="R21" s="8">
        <v>0.875</v>
      </c>
      <c r="S21" s="8">
        <v>0.5</v>
      </c>
      <c r="T21" s="8">
        <v>0.875</v>
      </c>
      <c r="U21" s="8">
        <v>0.5</v>
      </c>
      <c r="V21" s="8">
        <v>0.875</v>
      </c>
      <c r="W21" s="8">
        <v>0.5</v>
      </c>
      <c r="X21" s="8">
        <v>0.875</v>
      </c>
      <c r="Y21" s="8">
        <v>0.5</v>
      </c>
      <c r="Z21" s="8">
        <v>0.875</v>
      </c>
      <c r="AA21" s="156" t="s">
        <v>23</v>
      </c>
      <c r="AB21" s="156" t="s">
        <v>23</v>
      </c>
      <c r="AC21" s="156" t="s">
        <v>23</v>
      </c>
      <c r="AD21" s="156" t="s">
        <v>23</v>
      </c>
      <c r="AE21" s="8">
        <v>0.375</v>
      </c>
      <c r="AF21" s="8">
        <v>0.75</v>
      </c>
      <c r="AG21" s="8">
        <v>0.375</v>
      </c>
      <c r="AH21" s="8">
        <v>0.75</v>
      </c>
      <c r="AI21" s="8">
        <v>0.375</v>
      </c>
      <c r="AJ21" s="8">
        <v>0.75</v>
      </c>
      <c r="AK21" s="8">
        <v>0.375</v>
      </c>
      <c r="AL21" s="8">
        <v>0.75</v>
      </c>
      <c r="AM21" s="8">
        <v>0.375</v>
      </c>
      <c r="AN21" s="8">
        <v>0.75</v>
      </c>
      <c r="AO21" s="156" t="s">
        <v>23</v>
      </c>
      <c r="AP21" s="156" t="s">
        <v>23</v>
      </c>
      <c r="AQ21" s="156" t="s">
        <v>23</v>
      </c>
      <c r="AR21" s="156" t="s">
        <v>23</v>
      </c>
      <c r="AS21" s="8">
        <v>0.5</v>
      </c>
      <c r="AT21" s="8">
        <v>0.875</v>
      </c>
      <c r="AU21" s="8">
        <v>0.5</v>
      </c>
      <c r="AV21" s="8">
        <v>0.875</v>
      </c>
      <c r="AW21" s="8">
        <v>0.5</v>
      </c>
      <c r="AX21" s="8">
        <v>0.875</v>
      </c>
      <c r="AY21" s="8">
        <v>0.5</v>
      </c>
      <c r="AZ21" s="8">
        <v>0.875</v>
      </c>
      <c r="BA21" s="8">
        <v>0.5</v>
      </c>
      <c r="BB21" s="8">
        <v>0.875</v>
      </c>
      <c r="BC21" s="156" t="s">
        <v>23</v>
      </c>
      <c r="BD21" s="156" t="s">
        <v>23</v>
      </c>
      <c r="BE21" s="156" t="s">
        <v>23</v>
      </c>
      <c r="BF21" s="156" t="s">
        <v>23</v>
      </c>
      <c r="BG21" s="8">
        <v>0.375</v>
      </c>
      <c r="BH21" s="8">
        <v>0.75</v>
      </c>
      <c r="BI21" s="8">
        <v>0.375</v>
      </c>
      <c r="BJ21" s="8">
        <v>0.75</v>
      </c>
      <c r="BK21" s="8">
        <v>0.375</v>
      </c>
      <c r="BL21" s="8">
        <v>0.75</v>
      </c>
      <c r="BM21" s="8">
        <v>0.375</v>
      </c>
      <c r="BN21" s="8">
        <v>0.75</v>
      </c>
      <c r="BO21" s="8">
        <v>0.375</v>
      </c>
      <c r="BP21" s="8">
        <v>0.75</v>
      </c>
      <c r="BQ21" s="21">
        <f>IFERROR(__xludf.DUMMYFUNCTION("TO_PURE_NUMBER(SUM(FILTER(I21:BP21, ISEVEN(COLUMN(I21:BP21))))-SUM(FILTER(I21:BP21, ISODD(COLUMN(I21:BP21)))))*24"),198)</f>
        <v>198</v>
      </c>
    </row>
    <row r="22" customHeight="1" spans="1:69">
      <c r="A22" s="7">
        <v>10316530</v>
      </c>
      <c r="B22" s="8" t="s">
        <v>26</v>
      </c>
      <c r="C22" s="7" t="s">
        <v>20</v>
      </c>
      <c r="D22" s="7" t="s">
        <v>21</v>
      </c>
      <c r="E22" s="8" t="s">
        <v>22</v>
      </c>
      <c r="F22" s="9">
        <v>1</v>
      </c>
      <c r="G22" s="8">
        <v>0.375</v>
      </c>
      <c r="H22" s="8">
        <v>0.791666666666667</v>
      </c>
      <c r="I22" s="8">
        <v>0.375</v>
      </c>
      <c r="J22" s="8">
        <v>0.791666666666667</v>
      </c>
      <c r="K22" s="8">
        <v>0.375</v>
      </c>
      <c r="L22" s="8">
        <v>0.791666666666667</v>
      </c>
      <c r="M22" s="8">
        <v>0.458333333333333</v>
      </c>
      <c r="N22" s="8">
        <v>0.666666666666667</v>
      </c>
      <c r="O22" s="156" t="s">
        <v>23</v>
      </c>
      <c r="P22" s="156" t="s">
        <v>23</v>
      </c>
      <c r="Q22" s="8">
        <v>0.5</v>
      </c>
      <c r="R22" s="8">
        <v>0.875</v>
      </c>
      <c r="S22" s="8">
        <v>0.5</v>
      </c>
      <c r="T22" s="8">
        <v>0.875</v>
      </c>
      <c r="U22" s="8">
        <v>0.5</v>
      </c>
      <c r="V22" s="8">
        <v>0.875</v>
      </c>
      <c r="W22" s="8">
        <v>0.5</v>
      </c>
      <c r="X22" s="8">
        <v>0.875</v>
      </c>
      <c r="Y22" s="8">
        <v>0.5</v>
      </c>
      <c r="Z22" s="8">
        <v>0.875</v>
      </c>
      <c r="AA22" s="156" t="s">
        <v>23</v>
      </c>
      <c r="AB22" s="156" t="s">
        <v>23</v>
      </c>
      <c r="AC22" s="156" t="s">
        <v>23</v>
      </c>
      <c r="AD22" s="156" t="s">
        <v>23</v>
      </c>
      <c r="AE22" s="8">
        <v>0.375</v>
      </c>
      <c r="AF22" s="8">
        <v>0.75</v>
      </c>
      <c r="AG22" s="8">
        <v>0.375</v>
      </c>
      <c r="AH22" s="8">
        <v>0.75</v>
      </c>
      <c r="AI22" s="8">
        <v>0.375</v>
      </c>
      <c r="AJ22" s="8">
        <v>0.75</v>
      </c>
      <c r="AK22" s="8">
        <v>0.375</v>
      </c>
      <c r="AL22" s="8">
        <v>0.75</v>
      </c>
      <c r="AM22" s="8">
        <v>0.375</v>
      </c>
      <c r="AN22" s="8">
        <v>0.75</v>
      </c>
      <c r="AO22" s="156" t="s">
        <v>23</v>
      </c>
      <c r="AP22" s="156" t="s">
        <v>23</v>
      </c>
      <c r="AQ22" s="156" t="s">
        <v>23</v>
      </c>
      <c r="AR22" s="156" t="s">
        <v>23</v>
      </c>
      <c r="AS22" s="8">
        <v>0.5</v>
      </c>
      <c r="AT22" s="8">
        <v>0.875</v>
      </c>
      <c r="AU22" s="8">
        <v>0.5</v>
      </c>
      <c r="AV22" s="8">
        <v>0.875</v>
      </c>
      <c r="AW22" s="8">
        <v>0.5</v>
      </c>
      <c r="AX22" s="8">
        <v>0.875</v>
      </c>
      <c r="AY22" s="8">
        <v>0.5</v>
      </c>
      <c r="AZ22" s="8">
        <v>0.875</v>
      </c>
      <c r="BA22" s="8">
        <v>0.5</v>
      </c>
      <c r="BB22" s="8">
        <v>0.875</v>
      </c>
      <c r="BC22" s="156" t="s">
        <v>23</v>
      </c>
      <c r="BD22" s="156" t="s">
        <v>23</v>
      </c>
      <c r="BE22" s="156" t="s">
        <v>23</v>
      </c>
      <c r="BF22" s="156" t="s">
        <v>23</v>
      </c>
      <c r="BG22" s="8">
        <v>0.375</v>
      </c>
      <c r="BH22" s="8">
        <v>0.75</v>
      </c>
      <c r="BI22" s="8">
        <v>0.375</v>
      </c>
      <c r="BJ22" s="8">
        <v>0.75</v>
      </c>
      <c r="BK22" s="8">
        <v>0.375</v>
      </c>
      <c r="BL22" s="8">
        <v>0.75</v>
      </c>
      <c r="BM22" s="8">
        <v>0.375</v>
      </c>
      <c r="BN22" s="8">
        <v>0.75</v>
      </c>
      <c r="BO22" s="8">
        <v>0.375</v>
      </c>
      <c r="BP22" s="8">
        <v>0.75</v>
      </c>
      <c r="BQ22" s="21">
        <f>IFERROR(__xludf.DUMMYFUNCTION("TO_PURE_NUMBER(SUM(FILTER(I22:BP22, ISEVEN(COLUMN(I22:BP22))))-SUM(FILTER(I22:BP22, ISODD(COLUMN(I22:BP22)))))*24"),205)</f>
        <v>205</v>
      </c>
    </row>
    <row r="23" customHeight="1" spans="1:69">
      <c r="A23" s="7">
        <v>10316680</v>
      </c>
      <c r="B23" s="8" t="s">
        <v>40</v>
      </c>
      <c r="C23" s="7" t="s">
        <v>20</v>
      </c>
      <c r="D23" s="7" t="s">
        <v>21</v>
      </c>
      <c r="E23" s="8" t="s">
        <v>22</v>
      </c>
      <c r="F23" s="9">
        <v>1</v>
      </c>
      <c r="G23" s="8">
        <v>0.375</v>
      </c>
      <c r="H23" s="8">
        <v>0.75</v>
      </c>
      <c r="I23" s="8">
        <v>0.375</v>
      </c>
      <c r="J23" s="8">
        <v>0.75</v>
      </c>
      <c r="K23" s="8">
        <v>0.375</v>
      </c>
      <c r="L23" s="8">
        <v>0.75</v>
      </c>
      <c r="M23" s="156" t="s">
        <v>23</v>
      </c>
      <c r="N23" s="156" t="s">
        <v>23</v>
      </c>
      <c r="O23" s="156" t="s">
        <v>23</v>
      </c>
      <c r="P23" s="156" t="s">
        <v>23</v>
      </c>
      <c r="Q23" s="8">
        <v>0.5</v>
      </c>
      <c r="R23" s="8">
        <v>0.875</v>
      </c>
      <c r="S23" s="8">
        <v>0.5</v>
      </c>
      <c r="T23" s="8">
        <v>0.875</v>
      </c>
      <c r="U23" s="8">
        <v>0.5</v>
      </c>
      <c r="V23" s="8">
        <v>0.875</v>
      </c>
      <c r="W23" s="8">
        <v>0.5</v>
      </c>
      <c r="X23" s="8">
        <v>0.875</v>
      </c>
      <c r="Y23" s="8">
        <v>0.5</v>
      </c>
      <c r="Z23" s="8">
        <v>0.875</v>
      </c>
      <c r="AA23" s="156" t="s">
        <v>23</v>
      </c>
      <c r="AB23" s="156" t="s">
        <v>23</v>
      </c>
      <c r="AC23" s="156" t="s">
        <v>23</v>
      </c>
      <c r="AD23" s="156" t="s">
        <v>23</v>
      </c>
      <c r="AE23" s="8">
        <v>0.375</v>
      </c>
      <c r="AF23" s="8">
        <v>0.75</v>
      </c>
      <c r="AG23" s="8">
        <v>0.375</v>
      </c>
      <c r="AH23" s="8">
        <v>0.75</v>
      </c>
      <c r="AI23" s="8">
        <v>0.375</v>
      </c>
      <c r="AJ23" s="8">
        <v>0.75</v>
      </c>
      <c r="AK23" s="8">
        <v>0.375</v>
      </c>
      <c r="AL23" s="8">
        <v>0.75</v>
      </c>
      <c r="AM23" s="8">
        <v>0.375</v>
      </c>
      <c r="AN23" s="8">
        <v>0.75</v>
      </c>
      <c r="AO23" s="156" t="s">
        <v>23</v>
      </c>
      <c r="AP23" s="156" t="s">
        <v>23</v>
      </c>
      <c r="AQ23" s="156" t="s">
        <v>23</v>
      </c>
      <c r="AR23" s="156" t="s">
        <v>23</v>
      </c>
      <c r="AS23" s="8">
        <v>0.5</v>
      </c>
      <c r="AT23" s="8">
        <v>0.875</v>
      </c>
      <c r="AU23" s="8">
        <v>0.5</v>
      </c>
      <c r="AV23" s="8">
        <v>0.875</v>
      </c>
      <c r="AW23" s="8">
        <v>0.5</v>
      </c>
      <c r="AX23" s="8">
        <v>0.875</v>
      </c>
      <c r="AY23" s="8">
        <v>0.5</v>
      </c>
      <c r="AZ23" s="8">
        <v>0.875</v>
      </c>
      <c r="BA23" s="8">
        <v>0.5</v>
      </c>
      <c r="BB23" s="8">
        <v>0.875</v>
      </c>
      <c r="BC23" s="156" t="s">
        <v>23</v>
      </c>
      <c r="BD23" s="156" t="s">
        <v>23</v>
      </c>
      <c r="BE23" s="156" t="s">
        <v>23</v>
      </c>
      <c r="BF23" s="156" t="s">
        <v>23</v>
      </c>
      <c r="BG23" s="8">
        <v>0.375</v>
      </c>
      <c r="BH23" s="8">
        <v>0.75</v>
      </c>
      <c r="BI23" s="8">
        <v>0.375</v>
      </c>
      <c r="BJ23" s="8">
        <v>0.75</v>
      </c>
      <c r="BK23" s="8">
        <v>0.375</v>
      </c>
      <c r="BL23" s="8">
        <v>0.75</v>
      </c>
      <c r="BM23" s="8">
        <v>0.375</v>
      </c>
      <c r="BN23" s="8">
        <v>0.75</v>
      </c>
      <c r="BO23" s="8">
        <v>0.375</v>
      </c>
      <c r="BP23" s="8">
        <v>0.75</v>
      </c>
      <c r="BQ23" s="21">
        <f>IFERROR(__xludf.DUMMYFUNCTION("TO_PURE_NUMBER(SUM(FILTER(I23:BP23, ISEVEN(COLUMN(I23:BP23))))-SUM(FILTER(I23:BP23, ISODD(COLUMN(I23:BP23)))))*24"),198)</f>
        <v>198</v>
      </c>
    </row>
    <row r="24" customHeight="1" spans="1:69">
      <c r="A24" s="7">
        <v>10317943</v>
      </c>
      <c r="B24" s="8" t="s">
        <v>27</v>
      </c>
      <c r="C24" s="7" t="s">
        <v>20</v>
      </c>
      <c r="D24" s="7" t="s">
        <v>21</v>
      </c>
      <c r="E24" s="8" t="s">
        <v>22</v>
      </c>
      <c r="F24" s="9">
        <v>2</v>
      </c>
      <c r="G24" s="7" t="s">
        <v>36</v>
      </c>
      <c r="H24" s="7" t="s">
        <v>36</v>
      </c>
      <c r="I24" s="8">
        <v>0.416666666666667</v>
      </c>
      <c r="J24" s="8">
        <v>0.833333333333333</v>
      </c>
      <c r="K24" s="156" t="s">
        <v>23</v>
      </c>
      <c r="L24" s="156" t="s">
        <v>23</v>
      </c>
      <c r="M24" s="156" t="s">
        <v>23</v>
      </c>
      <c r="N24" s="156" t="s">
        <v>23</v>
      </c>
      <c r="O24" s="8">
        <v>0.458333333333333</v>
      </c>
      <c r="P24" s="8">
        <v>0.666666666666667</v>
      </c>
      <c r="Q24" s="8">
        <v>0.458333333333333</v>
      </c>
      <c r="R24" s="8">
        <v>0.875</v>
      </c>
      <c r="S24" s="8">
        <v>0.458333333333333</v>
      </c>
      <c r="T24" s="8">
        <v>0.875</v>
      </c>
      <c r="U24" s="8">
        <v>0.458333333333333</v>
      </c>
      <c r="V24" s="8">
        <v>0.875</v>
      </c>
      <c r="W24" s="8">
        <v>0.458333333333333</v>
      </c>
      <c r="X24" s="8">
        <v>0.875</v>
      </c>
      <c r="Y24" s="156" t="s">
        <v>23</v>
      </c>
      <c r="Z24" s="156" t="s">
        <v>23</v>
      </c>
      <c r="AA24" s="156" t="s">
        <v>23</v>
      </c>
      <c r="AB24" s="156" t="s">
        <v>23</v>
      </c>
      <c r="AC24" s="8">
        <v>0.458333333333333</v>
      </c>
      <c r="AD24" s="8">
        <v>0.666666666666667</v>
      </c>
      <c r="AE24" s="8">
        <v>0.375</v>
      </c>
      <c r="AF24" s="8">
        <v>0.791666666666667</v>
      </c>
      <c r="AG24" s="8">
        <v>0.375</v>
      </c>
      <c r="AH24" s="8">
        <v>0.791666666666667</v>
      </c>
      <c r="AI24" s="8">
        <v>0.375</v>
      </c>
      <c r="AJ24" s="8">
        <v>0.791666666666667</v>
      </c>
      <c r="AK24" s="8">
        <v>0.375</v>
      </c>
      <c r="AL24" s="8">
        <v>0.791666666666667</v>
      </c>
      <c r="AM24" s="156" t="s">
        <v>23</v>
      </c>
      <c r="AN24" s="156" t="s">
        <v>23</v>
      </c>
      <c r="AO24" s="156" t="s">
        <v>23</v>
      </c>
      <c r="AP24" s="156" t="s">
        <v>23</v>
      </c>
      <c r="AQ24" s="8">
        <v>0.458333333333333</v>
      </c>
      <c r="AR24" s="8">
        <v>0.666666666666667</v>
      </c>
      <c r="AS24" s="8">
        <v>0.458333333333333</v>
      </c>
      <c r="AT24" s="8">
        <v>0.875</v>
      </c>
      <c r="AU24" s="8">
        <v>0.458333333333333</v>
      </c>
      <c r="AV24" s="8">
        <v>0.875</v>
      </c>
      <c r="AW24" s="8">
        <v>0.458333333333333</v>
      </c>
      <c r="AX24" s="8">
        <v>0.875</v>
      </c>
      <c r="AY24" s="8">
        <v>0.458333333333333</v>
      </c>
      <c r="AZ24" s="8">
        <v>0.875</v>
      </c>
      <c r="BA24" s="156" t="s">
        <v>23</v>
      </c>
      <c r="BB24" s="156" t="s">
        <v>23</v>
      </c>
      <c r="BC24" s="156" t="s">
        <v>23</v>
      </c>
      <c r="BD24" s="156" t="s">
        <v>23</v>
      </c>
      <c r="BE24" s="8">
        <v>0.458333333333333</v>
      </c>
      <c r="BF24" s="8">
        <v>0.666666666666667</v>
      </c>
      <c r="BG24" s="8">
        <v>0.375</v>
      </c>
      <c r="BH24" s="8">
        <v>0.791666666666667</v>
      </c>
      <c r="BI24" s="8">
        <v>0.375</v>
      </c>
      <c r="BJ24" s="8">
        <v>0.791666666666667</v>
      </c>
      <c r="BK24" s="8">
        <v>0.375</v>
      </c>
      <c r="BL24" s="8">
        <v>0.791666666666667</v>
      </c>
      <c r="BM24" s="8">
        <v>0.375</v>
      </c>
      <c r="BN24" s="8">
        <v>0.791666666666667</v>
      </c>
      <c r="BO24" s="156" t="s">
        <v>23</v>
      </c>
      <c r="BP24" s="156" t="s">
        <v>23</v>
      </c>
      <c r="BQ24" s="21">
        <f>IFERROR(__xludf.DUMMYFUNCTION("TO_PURE_NUMBER(SUM(FILTER(I24:BP24, ISEVEN(COLUMN(I24:BP24))))-SUM(FILTER(I24:BP24, ISODD(COLUMN(I24:BP24)))))*24"),190)</f>
        <v>190</v>
      </c>
    </row>
    <row r="25" customHeight="1" spans="1:69">
      <c r="A25" s="7">
        <v>10250966</v>
      </c>
      <c r="B25" s="8" t="s">
        <v>61</v>
      </c>
      <c r="C25" s="7" t="s">
        <v>20</v>
      </c>
      <c r="D25" s="7" t="s">
        <v>21</v>
      </c>
      <c r="E25" s="8" t="s">
        <v>22</v>
      </c>
      <c r="F25" s="9">
        <v>3</v>
      </c>
      <c r="G25" s="8">
        <v>0.375</v>
      </c>
      <c r="H25" s="8">
        <v>0.791666666666667</v>
      </c>
      <c r="I25" s="8">
        <v>0.375</v>
      </c>
      <c r="J25" s="8">
        <v>0.791666666666667</v>
      </c>
      <c r="K25" s="156" t="s">
        <v>23</v>
      </c>
      <c r="L25" s="156" t="s">
        <v>23</v>
      </c>
      <c r="M25" s="156" t="s">
        <v>23</v>
      </c>
      <c r="N25" s="156" t="s">
        <v>23</v>
      </c>
      <c r="O25" s="8">
        <v>0.458333333333333</v>
      </c>
      <c r="P25" s="8">
        <v>0.666666666666667</v>
      </c>
      <c r="Q25" s="8">
        <v>0.458333333333333</v>
      </c>
      <c r="R25" s="8">
        <v>0.875</v>
      </c>
      <c r="S25" s="8">
        <v>0.458333333333333</v>
      </c>
      <c r="T25" s="8">
        <v>0.875</v>
      </c>
      <c r="U25" s="8">
        <v>0.458333333333333</v>
      </c>
      <c r="V25" s="8">
        <v>0.875</v>
      </c>
      <c r="W25" s="8">
        <v>0.458333333333333</v>
      </c>
      <c r="X25" s="8">
        <v>0.875</v>
      </c>
      <c r="Y25" s="156" t="s">
        <v>23</v>
      </c>
      <c r="Z25" s="156" t="s">
        <v>23</v>
      </c>
      <c r="AA25" s="156" t="s">
        <v>23</v>
      </c>
      <c r="AB25" s="156" t="s">
        <v>23</v>
      </c>
      <c r="AC25" s="8">
        <v>0.458333333333333</v>
      </c>
      <c r="AD25" s="8">
        <v>0.666666666666667</v>
      </c>
      <c r="AE25" s="8">
        <v>0.458333333333333</v>
      </c>
      <c r="AF25" s="8">
        <v>0.875</v>
      </c>
      <c r="AG25" s="8">
        <v>0.458333333333333</v>
      </c>
      <c r="AH25" s="8">
        <v>0.875</v>
      </c>
      <c r="AI25" s="8">
        <v>0.458333333333333</v>
      </c>
      <c r="AJ25" s="8">
        <v>0.875</v>
      </c>
      <c r="AK25" s="8">
        <v>0.458333333333333</v>
      </c>
      <c r="AL25" s="8">
        <v>0.875</v>
      </c>
      <c r="AM25" s="156" t="s">
        <v>23</v>
      </c>
      <c r="AN25" s="156" t="s">
        <v>23</v>
      </c>
      <c r="AO25" s="156" t="s">
        <v>23</v>
      </c>
      <c r="AP25" s="156" t="s">
        <v>23</v>
      </c>
      <c r="AQ25" s="8">
        <v>0.458333333333333</v>
      </c>
      <c r="AR25" s="8">
        <v>0.666666666666667</v>
      </c>
      <c r="AS25" s="8">
        <v>0.458333333333333</v>
      </c>
      <c r="AT25" s="8">
        <v>0.875</v>
      </c>
      <c r="AU25" s="8">
        <v>0.458333333333333</v>
      </c>
      <c r="AV25" s="8">
        <v>0.875</v>
      </c>
      <c r="AW25" s="8">
        <v>0.458333333333333</v>
      </c>
      <c r="AX25" s="8">
        <v>0.875</v>
      </c>
      <c r="AY25" s="8">
        <v>0.458333333333333</v>
      </c>
      <c r="AZ25" s="8">
        <v>0.875</v>
      </c>
      <c r="BA25" s="156" t="s">
        <v>23</v>
      </c>
      <c r="BB25" s="156" t="s">
        <v>23</v>
      </c>
      <c r="BC25" s="156" t="s">
        <v>23</v>
      </c>
      <c r="BD25" s="156" t="s">
        <v>23</v>
      </c>
      <c r="BE25" s="8">
        <v>0.458333333333333</v>
      </c>
      <c r="BF25" s="8">
        <v>0.666666666666667</v>
      </c>
      <c r="BG25" s="8">
        <v>0.375</v>
      </c>
      <c r="BH25" s="8">
        <v>0.791666666666667</v>
      </c>
      <c r="BI25" s="8">
        <v>0.375</v>
      </c>
      <c r="BJ25" s="8">
        <v>0.791666666666667</v>
      </c>
      <c r="BK25" s="8">
        <v>0.375</v>
      </c>
      <c r="BL25" s="8">
        <v>0.791666666666667</v>
      </c>
      <c r="BM25" s="8">
        <v>0.375</v>
      </c>
      <c r="BN25" s="8">
        <v>0.791666666666667</v>
      </c>
      <c r="BO25" s="156" t="s">
        <v>23</v>
      </c>
      <c r="BP25" s="156" t="s">
        <v>23</v>
      </c>
      <c r="BQ25" s="21">
        <f>IFERROR(__xludf.DUMMYFUNCTION("TO_PURE_NUMBER(SUM(FILTER(I25:BP25, ISEVEN(COLUMN(I25:BP25))))-SUM(FILTER(I25:BP25, ISODD(COLUMN(I25:BP25)))))*24"),190)</f>
        <v>190</v>
      </c>
    </row>
    <row r="26" customHeight="1" spans="1:69">
      <c r="A26" s="7">
        <v>10316543</v>
      </c>
      <c r="B26" s="8" t="s">
        <v>41</v>
      </c>
      <c r="C26" s="7" t="s">
        <v>20</v>
      </c>
      <c r="D26" s="7" t="s">
        <v>21</v>
      </c>
      <c r="E26" s="8" t="s">
        <v>22</v>
      </c>
      <c r="F26" s="9">
        <v>1</v>
      </c>
      <c r="G26" s="156" t="s">
        <v>23</v>
      </c>
      <c r="H26" s="156" t="s">
        <v>23</v>
      </c>
      <c r="I26" s="8">
        <v>0.375</v>
      </c>
      <c r="J26" s="8">
        <v>0.75</v>
      </c>
      <c r="K26" s="8">
        <v>0.375</v>
      </c>
      <c r="L26" s="8">
        <v>0.75</v>
      </c>
      <c r="M26" s="8">
        <v>0.458333333333333</v>
      </c>
      <c r="N26" s="8">
        <v>0.666666666666667</v>
      </c>
      <c r="O26" s="8">
        <v>0.458333333333333</v>
      </c>
      <c r="P26" s="8">
        <v>0.666666666666667</v>
      </c>
      <c r="Q26" s="8">
        <v>0.458333333333333</v>
      </c>
      <c r="R26" s="8">
        <v>0.875</v>
      </c>
      <c r="S26" s="8">
        <v>0.458333333333333</v>
      </c>
      <c r="T26" s="8">
        <v>0.875</v>
      </c>
      <c r="U26" s="8">
        <v>0.458333333333333</v>
      </c>
      <c r="V26" s="8">
        <v>0.875</v>
      </c>
      <c r="W26" s="8">
        <v>0.458333333333333</v>
      </c>
      <c r="X26" s="8">
        <v>0.875</v>
      </c>
      <c r="Y26" s="156" t="s">
        <v>23</v>
      </c>
      <c r="Z26" s="156" t="s">
        <v>23</v>
      </c>
      <c r="AA26" s="156" t="s">
        <v>23</v>
      </c>
      <c r="AB26" s="156" t="s">
        <v>23</v>
      </c>
      <c r="AC26" s="8">
        <v>0.458333333333333</v>
      </c>
      <c r="AD26" s="8">
        <v>0.666666666666667</v>
      </c>
      <c r="AE26" s="8">
        <v>0.375</v>
      </c>
      <c r="AF26" s="8">
        <v>0.791666666666667</v>
      </c>
      <c r="AG26" s="8">
        <v>0.375</v>
      </c>
      <c r="AH26" s="8">
        <v>0.791666666666667</v>
      </c>
      <c r="AI26" s="8">
        <v>0.375</v>
      </c>
      <c r="AJ26" s="8">
        <v>0.791666666666667</v>
      </c>
      <c r="AK26" s="8">
        <v>0.375</v>
      </c>
      <c r="AL26" s="8">
        <v>0.791666666666667</v>
      </c>
      <c r="AM26" s="156" t="s">
        <v>23</v>
      </c>
      <c r="AN26" s="156" t="s">
        <v>23</v>
      </c>
      <c r="AO26" s="156" t="s">
        <v>23</v>
      </c>
      <c r="AP26" s="156" t="s">
        <v>23</v>
      </c>
      <c r="AQ26" s="8">
        <v>0.458333333333333</v>
      </c>
      <c r="AR26" s="8">
        <v>0.666666666666667</v>
      </c>
      <c r="AS26" s="8">
        <v>0.458333333333333</v>
      </c>
      <c r="AT26" s="8">
        <v>0.875</v>
      </c>
      <c r="AU26" s="8">
        <v>0.458333333333333</v>
      </c>
      <c r="AV26" s="8">
        <v>0.875</v>
      </c>
      <c r="AW26" s="8">
        <v>0.458333333333333</v>
      </c>
      <c r="AX26" s="8">
        <v>0.875</v>
      </c>
      <c r="AY26" s="8">
        <v>0.458333333333333</v>
      </c>
      <c r="AZ26" s="8">
        <v>0.875</v>
      </c>
      <c r="BA26" s="156" t="s">
        <v>23</v>
      </c>
      <c r="BB26" s="156" t="s">
        <v>23</v>
      </c>
      <c r="BC26" s="156" t="s">
        <v>23</v>
      </c>
      <c r="BD26" s="156" t="s">
        <v>23</v>
      </c>
      <c r="BE26" s="8">
        <v>0.458333333333333</v>
      </c>
      <c r="BF26" s="8">
        <v>0.666666666666667</v>
      </c>
      <c r="BG26" s="8">
        <v>0.375</v>
      </c>
      <c r="BH26" s="8">
        <v>0.791666666666667</v>
      </c>
      <c r="BI26" s="8">
        <v>0.375</v>
      </c>
      <c r="BJ26" s="8">
        <v>0.791666666666667</v>
      </c>
      <c r="BK26" s="8">
        <v>0.375</v>
      </c>
      <c r="BL26" s="8">
        <v>0.791666666666667</v>
      </c>
      <c r="BM26" s="8">
        <v>0.375</v>
      </c>
      <c r="BN26" s="8">
        <v>0.791666666666667</v>
      </c>
      <c r="BO26" s="156" t="s">
        <v>23</v>
      </c>
      <c r="BP26" s="156" t="s">
        <v>23</v>
      </c>
      <c r="BQ26" s="21">
        <f>IFERROR(__xludf.DUMMYFUNCTION("TO_PURE_NUMBER(SUM(FILTER(I26:BP26, ISEVEN(COLUMN(I26:BP26))))-SUM(FILTER(I26:BP26, ISODD(COLUMN(I26:BP26)))))*24"),203)</f>
        <v>203</v>
      </c>
    </row>
    <row r="27" customHeight="1" spans="1:69">
      <c r="A27" s="7">
        <v>10317153</v>
      </c>
      <c r="B27" s="8" t="s">
        <v>42</v>
      </c>
      <c r="C27" s="7" t="s">
        <v>20</v>
      </c>
      <c r="D27" s="7" t="s">
        <v>21</v>
      </c>
      <c r="E27" s="8" t="s">
        <v>22</v>
      </c>
      <c r="F27" s="9">
        <v>1</v>
      </c>
      <c r="G27" s="8">
        <v>0.458333333333333</v>
      </c>
      <c r="H27" s="8">
        <v>0.875</v>
      </c>
      <c r="I27" s="8">
        <v>0.458333333333333</v>
      </c>
      <c r="J27" s="8">
        <v>0.875</v>
      </c>
      <c r="K27" s="8">
        <v>0.458333333333333</v>
      </c>
      <c r="L27" s="8">
        <v>0.875</v>
      </c>
      <c r="M27" s="8">
        <v>0.458333333333333</v>
      </c>
      <c r="N27" s="8">
        <v>0.666666666666667</v>
      </c>
      <c r="O27" s="156" t="s">
        <v>23</v>
      </c>
      <c r="P27" s="156" t="s">
        <v>23</v>
      </c>
      <c r="Q27" s="8">
        <v>0.375</v>
      </c>
      <c r="R27" s="8">
        <v>0.75</v>
      </c>
      <c r="S27" s="8">
        <v>0.375</v>
      </c>
      <c r="T27" s="8">
        <v>0.75</v>
      </c>
      <c r="U27" s="8">
        <v>0.375</v>
      </c>
      <c r="V27" s="8">
        <v>0.75</v>
      </c>
      <c r="W27" s="8">
        <v>0.375</v>
      </c>
      <c r="X27" s="8">
        <v>0.75</v>
      </c>
      <c r="Y27" s="8">
        <v>0.375</v>
      </c>
      <c r="Z27" s="8">
        <v>0.75</v>
      </c>
      <c r="AA27" s="156" t="s">
        <v>23</v>
      </c>
      <c r="AB27" s="156" t="s">
        <v>23</v>
      </c>
      <c r="AC27" s="156" t="s">
        <v>23</v>
      </c>
      <c r="AD27" s="156" t="s">
        <v>23</v>
      </c>
      <c r="AE27" s="8">
        <v>0.5</v>
      </c>
      <c r="AF27" s="8">
        <v>0.875</v>
      </c>
      <c r="AG27" s="8">
        <v>0.5</v>
      </c>
      <c r="AH27" s="8">
        <v>0.875</v>
      </c>
      <c r="AI27" s="8">
        <v>0.5</v>
      </c>
      <c r="AJ27" s="8">
        <v>0.875</v>
      </c>
      <c r="AK27" s="8">
        <v>0.5</v>
      </c>
      <c r="AL27" s="8">
        <v>0.875</v>
      </c>
      <c r="AM27" s="8">
        <v>0.5</v>
      </c>
      <c r="AN27" s="8">
        <v>0.875</v>
      </c>
      <c r="AO27" s="156" t="s">
        <v>23</v>
      </c>
      <c r="AP27" s="156" t="s">
        <v>23</v>
      </c>
      <c r="AQ27" s="156" t="s">
        <v>23</v>
      </c>
      <c r="AR27" s="156" t="s">
        <v>23</v>
      </c>
      <c r="AS27" s="8">
        <v>0.375</v>
      </c>
      <c r="AT27" s="8">
        <v>0.75</v>
      </c>
      <c r="AU27" s="8">
        <v>0.375</v>
      </c>
      <c r="AV27" s="8">
        <v>0.75</v>
      </c>
      <c r="AW27" s="8">
        <v>0.375</v>
      </c>
      <c r="AX27" s="8">
        <v>0.75</v>
      </c>
      <c r="AY27" s="8">
        <v>0.375</v>
      </c>
      <c r="AZ27" s="8">
        <v>0.75</v>
      </c>
      <c r="BA27" s="8">
        <v>0.375</v>
      </c>
      <c r="BB27" s="8">
        <v>0.75</v>
      </c>
      <c r="BC27" s="156" t="s">
        <v>23</v>
      </c>
      <c r="BD27" s="156" t="s">
        <v>23</v>
      </c>
      <c r="BE27" s="156" t="s">
        <v>23</v>
      </c>
      <c r="BF27" s="156" t="s">
        <v>23</v>
      </c>
      <c r="BG27" s="8">
        <v>0.5</v>
      </c>
      <c r="BH27" s="8">
        <v>0.875</v>
      </c>
      <c r="BI27" s="8">
        <v>0.5</v>
      </c>
      <c r="BJ27" s="8">
        <v>0.875</v>
      </c>
      <c r="BK27" s="8">
        <v>0.5</v>
      </c>
      <c r="BL27" s="8">
        <v>0.875</v>
      </c>
      <c r="BM27" s="8">
        <v>0.5</v>
      </c>
      <c r="BN27" s="8">
        <v>0.875</v>
      </c>
      <c r="BO27" s="8">
        <v>0.5</v>
      </c>
      <c r="BP27" s="8">
        <v>0.875</v>
      </c>
      <c r="BQ27" s="21">
        <f>IFERROR(__xludf.DUMMYFUNCTION("TO_PURE_NUMBER(SUM(FILTER(I27:BP27, ISEVEN(COLUMN(I27:BP27))))-SUM(FILTER(I27:BP27, ISODD(COLUMN(I27:BP27)))))*24"),204.999999999999)</f>
        <v>204.999999999999</v>
      </c>
    </row>
    <row r="28" customHeight="1" spans="1:69">
      <c r="A28" s="7">
        <v>10317521</v>
      </c>
      <c r="B28" s="8" t="s">
        <v>28</v>
      </c>
      <c r="C28" s="7" t="s">
        <v>20</v>
      </c>
      <c r="D28" s="7" t="s">
        <v>21</v>
      </c>
      <c r="E28" s="8" t="s">
        <v>22</v>
      </c>
      <c r="F28" s="9">
        <v>2</v>
      </c>
      <c r="G28" s="8">
        <v>0.375</v>
      </c>
      <c r="H28" s="8">
        <v>0.791666666666667</v>
      </c>
      <c r="I28" s="8">
        <v>0.333333333333333</v>
      </c>
      <c r="J28" s="8">
        <v>0.75</v>
      </c>
      <c r="K28" s="8">
        <v>0.333333333333333</v>
      </c>
      <c r="L28" s="8">
        <v>0.75</v>
      </c>
      <c r="M28" s="8">
        <v>0.416666666666667</v>
      </c>
      <c r="N28" s="8">
        <v>0.625</v>
      </c>
      <c r="O28" s="156" t="s">
        <v>23</v>
      </c>
      <c r="P28" s="156" t="s">
        <v>23</v>
      </c>
      <c r="Q28" s="156" t="s">
        <v>23</v>
      </c>
      <c r="R28" s="156" t="s">
        <v>23</v>
      </c>
      <c r="S28" s="8">
        <v>0.333333333333333</v>
      </c>
      <c r="T28" s="8">
        <v>0.75</v>
      </c>
      <c r="U28" s="8">
        <v>0.333333333333333</v>
      </c>
      <c r="V28" s="8">
        <v>0.75</v>
      </c>
      <c r="W28" s="8">
        <v>0.333333333333333</v>
      </c>
      <c r="X28" s="8">
        <v>0.75</v>
      </c>
      <c r="Y28" s="8">
        <v>0.333333333333333</v>
      </c>
      <c r="Z28" s="8">
        <v>0.75</v>
      </c>
      <c r="AA28" s="8">
        <v>0.416666666666667</v>
      </c>
      <c r="AB28" s="8">
        <v>0.625</v>
      </c>
      <c r="AC28" s="156" t="s">
        <v>23</v>
      </c>
      <c r="AD28" s="156" t="s">
        <v>23</v>
      </c>
      <c r="AE28" s="156" t="s">
        <v>23</v>
      </c>
      <c r="AF28" s="156" t="s">
        <v>23</v>
      </c>
      <c r="AG28" s="8">
        <v>0.333333333333333</v>
      </c>
      <c r="AH28" s="8">
        <v>0.75</v>
      </c>
      <c r="AI28" s="8">
        <v>0.333333333333333</v>
      </c>
      <c r="AJ28" s="8">
        <v>0.75</v>
      </c>
      <c r="AK28" s="8">
        <v>0.333333333333333</v>
      </c>
      <c r="AL28" s="8">
        <v>0.75</v>
      </c>
      <c r="AM28" s="8">
        <v>0.333333333333333</v>
      </c>
      <c r="AN28" s="8">
        <v>0.75</v>
      </c>
      <c r="AO28" s="8">
        <v>0.416666666666667</v>
      </c>
      <c r="AP28" s="8">
        <v>0.625</v>
      </c>
      <c r="AQ28" s="156" t="s">
        <v>23</v>
      </c>
      <c r="AR28" s="156" t="s">
        <v>23</v>
      </c>
      <c r="AS28" s="156" t="s">
        <v>23</v>
      </c>
      <c r="AT28" s="156" t="s">
        <v>23</v>
      </c>
      <c r="AU28" s="8">
        <v>0.333333333333333</v>
      </c>
      <c r="AV28" s="8">
        <v>0.75</v>
      </c>
      <c r="AW28" s="8">
        <v>0.333333333333333</v>
      </c>
      <c r="AX28" s="8">
        <v>0.75</v>
      </c>
      <c r="AY28" s="8">
        <v>0.333333333333333</v>
      </c>
      <c r="AZ28" s="8">
        <v>0.75</v>
      </c>
      <c r="BA28" s="8">
        <v>0.333333333333333</v>
      </c>
      <c r="BB28" s="8">
        <v>0.75</v>
      </c>
      <c r="BC28" s="8">
        <v>0.416666666666667</v>
      </c>
      <c r="BD28" s="8">
        <v>0.625</v>
      </c>
      <c r="BE28" s="156" t="s">
        <v>23</v>
      </c>
      <c r="BF28" s="156" t="s">
        <v>23</v>
      </c>
      <c r="BG28" s="156" t="s">
        <v>23</v>
      </c>
      <c r="BH28" s="156" t="s">
        <v>23</v>
      </c>
      <c r="BI28" s="8">
        <v>0.333333333333333</v>
      </c>
      <c r="BJ28" s="8">
        <v>0.75</v>
      </c>
      <c r="BK28" s="8">
        <v>0.333333333333333</v>
      </c>
      <c r="BL28" s="8">
        <v>0.75</v>
      </c>
      <c r="BM28" s="8">
        <v>0.333333333333333</v>
      </c>
      <c r="BN28" s="8">
        <v>0.75</v>
      </c>
      <c r="BO28" s="8">
        <v>0.333333333333333</v>
      </c>
      <c r="BP28" s="8">
        <v>0.75</v>
      </c>
      <c r="BQ28" s="21">
        <f>IFERROR(__xludf.DUMMYFUNCTION("TO_PURE_NUMBER(SUM(FILTER(I28:BP28, ISEVEN(COLUMN(I28:BP28))))-SUM(FILTER(I28:BP28, ISODD(COLUMN(I28:BP28)))))*24"),200)</f>
        <v>200</v>
      </c>
    </row>
    <row r="29" customHeight="1" spans="1:69">
      <c r="A29" s="7">
        <v>10317517</v>
      </c>
      <c r="B29" s="8" t="s">
        <v>29</v>
      </c>
      <c r="C29" s="7" t="s">
        <v>20</v>
      </c>
      <c r="D29" s="7" t="s">
        <v>21</v>
      </c>
      <c r="E29" s="8" t="s">
        <v>22</v>
      </c>
      <c r="F29" s="9">
        <v>2</v>
      </c>
      <c r="G29" s="8">
        <v>0.458333333333333</v>
      </c>
      <c r="H29" s="8">
        <v>0.875</v>
      </c>
      <c r="I29" s="8">
        <v>0.458333333333333</v>
      </c>
      <c r="J29" s="8">
        <v>0.875</v>
      </c>
      <c r="K29" s="8">
        <v>0.458333333333333</v>
      </c>
      <c r="L29" s="8">
        <v>0.875</v>
      </c>
      <c r="M29" s="8">
        <v>0.458333333333333</v>
      </c>
      <c r="N29" s="8">
        <v>0.666666666666667</v>
      </c>
      <c r="O29" s="156" t="s">
        <v>23</v>
      </c>
      <c r="P29" s="156" t="s">
        <v>23</v>
      </c>
      <c r="Q29" s="8">
        <v>0.375</v>
      </c>
      <c r="R29" s="8">
        <v>0.75</v>
      </c>
      <c r="S29" s="8">
        <v>0.375</v>
      </c>
      <c r="T29" s="8">
        <v>0.75</v>
      </c>
      <c r="U29" s="8">
        <v>0.375</v>
      </c>
      <c r="V29" s="8">
        <v>0.75</v>
      </c>
      <c r="W29" s="8">
        <v>0.375</v>
      </c>
      <c r="X29" s="8">
        <v>0.75</v>
      </c>
      <c r="Y29" s="8">
        <v>0.375</v>
      </c>
      <c r="Z29" s="8">
        <v>0.75</v>
      </c>
      <c r="AA29" s="156" t="s">
        <v>23</v>
      </c>
      <c r="AB29" s="156" t="s">
        <v>23</v>
      </c>
      <c r="AC29" s="156" t="s">
        <v>23</v>
      </c>
      <c r="AD29" s="156" t="s">
        <v>23</v>
      </c>
      <c r="AE29" s="8">
        <v>0.5</v>
      </c>
      <c r="AF29" s="8">
        <v>0.875</v>
      </c>
      <c r="AG29" s="8">
        <v>0.5</v>
      </c>
      <c r="AH29" s="8">
        <v>0.875</v>
      </c>
      <c r="AI29" s="8">
        <v>0.5</v>
      </c>
      <c r="AJ29" s="8">
        <v>0.875</v>
      </c>
      <c r="AK29" s="8">
        <v>0.5</v>
      </c>
      <c r="AL29" s="8">
        <v>0.875</v>
      </c>
      <c r="AM29" s="8">
        <v>0.5</v>
      </c>
      <c r="AN29" s="8">
        <v>0.875</v>
      </c>
      <c r="AO29" s="156" t="s">
        <v>23</v>
      </c>
      <c r="AP29" s="156" t="s">
        <v>23</v>
      </c>
      <c r="AQ29" s="156" t="s">
        <v>23</v>
      </c>
      <c r="AR29" s="156" t="s">
        <v>23</v>
      </c>
      <c r="AS29" s="8">
        <v>0.375</v>
      </c>
      <c r="AT29" s="8">
        <v>0.75</v>
      </c>
      <c r="AU29" s="8">
        <v>0.375</v>
      </c>
      <c r="AV29" s="8">
        <v>0.75</v>
      </c>
      <c r="AW29" s="8">
        <v>0.375</v>
      </c>
      <c r="AX29" s="8">
        <v>0.75</v>
      </c>
      <c r="AY29" s="8">
        <v>0.375</v>
      </c>
      <c r="AZ29" s="8">
        <v>0.75</v>
      </c>
      <c r="BA29" s="8">
        <v>0.375</v>
      </c>
      <c r="BB29" s="8">
        <v>0.75</v>
      </c>
      <c r="BC29" s="156" t="s">
        <v>23</v>
      </c>
      <c r="BD29" s="156" t="s">
        <v>23</v>
      </c>
      <c r="BE29" s="156" t="s">
        <v>23</v>
      </c>
      <c r="BF29" s="156" t="s">
        <v>23</v>
      </c>
      <c r="BG29" s="8">
        <v>0.5</v>
      </c>
      <c r="BH29" s="8">
        <v>0.875</v>
      </c>
      <c r="BI29" s="8">
        <v>0.5</v>
      </c>
      <c r="BJ29" s="8">
        <v>0.875</v>
      </c>
      <c r="BK29" s="8">
        <v>0.5</v>
      </c>
      <c r="BL29" s="8">
        <v>0.875</v>
      </c>
      <c r="BM29" s="8">
        <v>0.5</v>
      </c>
      <c r="BN29" s="8">
        <v>0.875</v>
      </c>
      <c r="BO29" s="8">
        <v>0.5</v>
      </c>
      <c r="BP29" s="8">
        <v>0.875</v>
      </c>
      <c r="BQ29" s="21">
        <f>IFERROR(__xludf.DUMMYFUNCTION("TO_PURE_NUMBER(SUM(FILTER(I29:BP29, ISEVEN(COLUMN(I29:BP29))))-SUM(FILTER(I29:BP29, ISODD(COLUMN(I29:BP29)))))*24"),204.999999999999)</f>
        <v>204.999999999999</v>
      </c>
    </row>
    <row r="30" customHeight="1" spans="1:69">
      <c r="A30" s="7">
        <v>10252106</v>
      </c>
      <c r="B30" s="8" t="s">
        <v>43</v>
      </c>
      <c r="C30" s="7" t="s">
        <v>20</v>
      </c>
      <c r="D30" s="7" t="s">
        <v>21</v>
      </c>
      <c r="E30" s="8" t="s">
        <v>22</v>
      </c>
      <c r="F30" s="9">
        <v>2</v>
      </c>
      <c r="G30" s="156" t="s">
        <v>23</v>
      </c>
      <c r="H30" s="156" t="s">
        <v>23</v>
      </c>
      <c r="I30" s="8">
        <v>0.5</v>
      </c>
      <c r="J30" s="8">
        <v>0.875</v>
      </c>
      <c r="K30" s="7" t="s">
        <v>36</v>
      </c>
      <c r="L30" s="7" t="s">
        <v>36</v>
      </c>
      <c r="M30" s="7" t="s">
        <v>36</v>
      </c>
      <c r="N30" s="7" t="s">
        <v>36</v>
      </c>
      <c r="O30" s="8">
        <v>0.458333333333333</v>
      </c>
      <c r="P30" s="8">
        <v>0.666666666666667</v>
      </c>
      <c r="Q30" s="8">
        <v>0.375</v>
      </c>
      <c r="R30" s="8">
        <v>0.75</v>
      </c>
      <c r="S30" s="156" t="s">
        <v>23</v>
      </c>
      <c r="T30" s="156" t="s">
        <v>23</v>
      </c>
      <c r="U30" s="156" t="s">
        <v>23</v>
      </c>
      <c r="V30" s="156" t="s">
        <v>23</v>
      </c>
      <c r="W30" s="8">
        <v>0.375</v>
      </c>
      <c r="X30" s="8">
        <v>0.75</v>
      </c>
      <c r="Y30" s="114" t="s">
        <v>36</v>
      </c>
      <c r="Z30" s="114" t="s">
        <v>36</v>
      </c>
      <c r="AA30" s="114" t="s">
        <v>36</v>
      </c>
      <c r="AB30" s="114" t="s">
        <v>36</v>
      </c>
      <c r="AC30" s="8">
        <v>0.458333333333333</v>
      </c>
      <c r="AD30" s="8">
        <v>0.666666666666667</v>
      </c>
      <c r="AE30" s="8">
        <v>0.5</v>
      </c>
      <c r="AF30" s="8">
        <v>0.875</v>
      </c>
      <c r="AG30" s="156" t="s">
        <v>23</v>
      </c>
      <c r="AH30" s="156" t="s">
        <v>23</v>
      </c>
      <c r="AI30" s="156" t="s">
        <v>23</v>
      </c>
      <c r="AJ30" s="156" t="s">
        <v>23</v>
      </c>
      <c r="AK30" s="8">
        <v>0.5</v>
      </c>
      <c r="AL30" s="8">
        <v>0.875</v>
      </c>
      <c r="AM30" s="8">
        <v>0.5</v>
      </c>
      <c r="AN30" s="8">
        <v>0.875</v>
      </c>
      <c r="AO30" s="8">
        <v>0.458333333333333</v>
      </c>
      <c r="AP30" s="8">
        <v>0.666666666666667</v>
      </c>
      <c r="AQ30" s="8">
        <v>0.458333333333333</v>
      </c>
      <c r="AR30" s="8">
        <v>0.666666666666667</v>
      </c>
      <c r="AS30" s="8">
        <v>0.375</v>
      </c>
      <c r="AT30" s="8">
        <v>0.75</v>
      </c>
      <c r="AU30" s="156" t="s">
        <v>23</v>
      </c>
      <c r="AV30" s="156" t="s">
        <v>23</v>
      </c>
      <c r="AW30" s="156" t="s">
        <v>23</v>
      </c>
      <c r="AX30" s="156" t="s">
        <v>23</v>
      </c>
      <c r="AY30" s="8">
        <v>0.375</v>
      </c>
      <c r="AZ30" s="8">
        <v>0.75</v>
      </c>
      <c r="BA30" s="8">
        <v>0.375</v>
      </c>
      <c r="BB30" s="8">
        <v>0.75</v>
      </c>
      <c r="BC30" s="8">
        <v>0.458333333333333</v>
      </c>
      <c r="BD30" s="8">
        <v>0.666666666666667</v>
      </c>
      <c r="BE30" s="8">
        <v>0.458333333333333</v>
      </c>
      <c r="BF30" s="8">
        <v>0.666666666666667</v>
      </c>
      <c r="BG30" s="8">
        <v>0.5</v>
      </c>
      <c r="BH30" s="8">
        <v>0.875</v>
      </c>
      <c r="BI30" s="156" t="s">
        <v>23</v>
      </c>
      <c r="BJ30" s="156" t="s">
        <v>23</v>
      </c>
      <c r="BK30" s="156" t="s">
        <v>23</v>
      </c>
      <c r="BL30" s="156" t="s">
        <v>23</v>
      </c>
      <c r="BM30" s="8">
        <v>0.5</v>
      </c>
      <c r="BN30" s="8">
        <v>0.875</v>
      </c>
      <c r="BO30" s="8">
        <v>0.5</v>
      </c>
      <c r="BP30" s="8">
        <v>0.875</v>
      </c>
      <c r="BQ30" s="21">
        <f>IFERROR(__xludf.DUMMYFUNCTION("TO_PURE_NUMBER(SUM(FILTER(I30:BP30, ISEVEN(COLUMN(I30:BP30))))-SUM(FILTER(I30:BP30, ISODD(COLUMN(I30:BP30)))))*24"),138)</f>
        <v>138</v>
      </c>
    </row>
    <row r="31" customHeight="1" spans="1:69">
      <c r="A31" s="7">
        <v>10320407</v>
      </c>
      <c r="B31" s="8" t="s">
        <v>55</v>
      </c>
      <c r="C31" s="7" t="s">
        <v>20</v>
      </c>
      <c r="D31" s="7" t="s">
        <v>21</v>
      </c>
      <c r="E31" s="8" t="s">
        <v>22</v>
      </c>
      <c r="F31" s="9">
        <v>3</v>
      </c>
      <c r="G31" s="8">
        <v>0.458333333333333</v>
      </c>
      <c r="H31" s="8">
        <v>0.875</v>
      </c>
      <c r="I31" s="8">
        <v>0.458333333333333</v>
      </c>
      <c r="J31" s="8">
        <v>0.875</v>
      </c>
      <c r="K31" s="8">
        <v>0.458333333333333</v>
      </c>
      <c r="L31" s="8">
        <v>0.875</v>
      </c>
      <c r="M31" s="8">
        <v>0.458333333333333</v>
      </c>
      <c r="N31" s="8">
        <v>0.666666666666667</v>
      </c>
      <c r="O31" s="156" t="s">
        <v>23</v>
      </c>
      <c r="P31" s="156" t="s">
        <v>23</v>
      </c>
      <c r="Q31" s="156" t="s">
        <v>23</v>
      </c>
      <c r="R31" s="156" t="s">
        <v>23</v>
      </c>
      <c r="S31" s="8">
        <v>0.375</v>
      </c>
      <c r="T31" s="8">
        <v>0.791666666666667</v>
      </c>
      <c r="U31" s="8">
        <v>0.375</v>
      </c>
      <c r="V31" s="8">
        <v>0.791666666666667</v>
      </c>
      <c r="W31" s="8">
        <v>0.375</v>
      </c>
      <c r="X31" s="8">
        <v>0.791666666666667</v>
      </c>
      <c r="Y31" s="8">
        <v>0.375</v>
      </c>
      <c r="Z31" s="8">
        <v>0.791666666666667</v>
      </c>
      <c r="AA31" s="8">
        <v>0.458333333333333</v>
      </c>
      <c r="AB31" s="8">
        <v>0.666666666666667</v>
      </c>
      <c r="AC31" s="156" t="s">
        <v>23</v>
      </c>
      <c r="AD31" s="156" t="s">
        <v>23</v>
      </c>
      <c r="AE31" s="156" t="s">
        <v>23</v>
      </c>
      <c r="AF31" s="156" t="s">
        <v>23</v>
      </c>
      <c r="AG31" s="8">
        <v>0.458333333333333</v>
      </c>
      <c r="AH31" s="8">
        <v>0.875</v>
      </c>
      <c r="AI31" s="8">
        <v>0.458333333333333</v>
      </c>
      <c r="AJ31" s="8">
        <v>0.875</v>
      </c>
      <c r="AK31" s="8">
        <v>0.458333333333333</v>
      </c>
      <c r="AL31" s="8">
        <v>0.875</v>
      </c>
      <c r="AM31" s="8">
        <v>0.458333333333333</v>
      </c>
      <c r="AN31" s="8">
        <v>0.875</v>
      </c>
      <c r="AO31" s="8">
        <v>0.458333333333333</v>
      </c>
      <c r="AP31" s="8">
        <v>0.666666666666667</v>
      </c>
      <c r="AQ31" s="156" t="s">
        <v>23</v>
      </c>
      <c r="AR31" s="156" t="s">
        <v>23</v>
      </c>
      <c r="AS31" s="156" t="s">
        <v>23</v>
      </c>
      <c r="AT31" s="156" t="s">
        <v>23</v>
      </c>
      <c r="AU31" s="8">
        <v>0.375</v>
      </c>
      <c r="AV31" s="8">
        <v>0.791666666666667</v>
      </c>
      <c r="AW31" s="8">
        <v>0.375</v>
      </c>
      <c r="AX31" s="8">
        <v>0.791666666666667</v>
      </c>
      <c r="AY31" s="8">
        <v>0.375</v>
      </c>
      <c r="AZ31" s="8">
        <v>0.791666666666667</v>
      </c>
      <c r="BA31" s="8">
        <v>0.375</v>
      </c>
      <c r="BB31" s="8">
        <v>0.791666666666667</v>
      </c>
      <c r="BC31" s="8">
        <v>0.458333333333333</v>
      </c>
      <c r="BD31" s="8">
        <v>0.666666666666667</v>
      </c>
      <c r="BE31" s="156" t="s">
        <v>23</v>
      </c>
      <c r="BF31" s="156" t="s">
        <v>23</v>
      </c>
      <c r="BG31" s="156" t="s">
        <v>23</v>
      </c>
      <c r="BH31" s="156" t="s">
        <v>23</v>
      </c>
      <c r="BI31" s="8">
        <v>0.458333333333333</v>
      </c>
      <c r="BJ31" s="8">
        <v>0.875</v>
      </c>
      <c r="BK31" s="8">
        <v>0.458333333333333</v>
      </c>
      <c r="BL31" s="8">
        <v>0.875</v>
      </c>
      <c r="BM31" s="8">
        <v>0.458333333333333</v>
      </c>
      <c r="BN31" s="8">
        <v>0.875</v>
      </c>
      <c r="BO31" s="8">
        <v>0.458333333333333</v>
      </c>
      <c r="BP31" s="8">
        <v>0.875</v>
      </c>
      <c r="BQ31" s="21">
        <f>IFERROR(__xludf.DUMMYFUNCTION("TO_PURE_NUMBER(SUM(FILTER(I31:BP31, ISEVEN(COLUMN(I31:BP31))))-SUM(FILTER(I31:BP31, ISODD(COLUMN(I31:BP31)))))*24"),199.999999999999)</f>
        <v>199.999999999999</v>
      </c>
    </row>
    <row r="32" customHeight="1" spans="1:69">
      <c r="A32" s="7">
        <v>10320417</v>
      </c>
      <c r="B32" s="8" t="s">
        <v>67</v>
      </c>
      <c r="C32" s="7" t="s">
        <v>20</v>
      </c>
      <c r="D32" s="7" t="s">
        <v>21</v>
      </c>
      <c r="E32" s="8" t="s">
        <v>22</v>
      </c>
      <c r="F32" s="9">
        <v>3</v>
      </c>
      <c r="G32" s="8">
        <v>0.458333333333333</v>
      </c>
      <c r="H32" s="8">
        <v>0.875</v>
      </c>
      <c r="I32" s="8">
        <v>0.458333333333333</v>
      </c>
      <c r="J32" s="8">
        <v>0.875</v>
      </c>
      <c r="K32" s="156" t="s">
        <v>23</v>
      </c>
      <c r="L32" s="156" t="s">
        <v>23</v>
      </c>
      <c r="M32" s="156" t="s">
        <v>23</v>
      </c>
      <c r="N32" s="156" t="s">
        <v>23</v>
      </c>
      <c r="O32" s="8">
        <v>0.458333333333333</v>
      </c>
      <c r="P32" s="8">
        <v>0.666666666666667</v>
      </c>
      <c r="Q32" s="8">
        <v>0.375</v>
      </c>
      <c r="R32" s="8">
        <v>0.791666666666667</v>
      </c>
      <c r="S32" s="8">
        <v>0.375</v>
      </c>
      <c r="T32" s="8">
        <v>0.791666666666667</v>
      </c>
      <c r="U32" s="8">
        <v>0.375</v>
      </c>
      <c r="V32" s="8">
        <v>0.791666666666667</v>
      </c>
      <c r="W32" s="8">
        <v>0.375</v>
      </c>
      <c r="X32" s="8">
        <v>0.791666666666667</v>
      </c>
      <c r="Y32" s="156" t="s">
        <v>23</v>
      </c>
      <c r="Z32" s="156" t="s">
        <v>23</v>
      </c>
      <c r="AA32" s="156" t="s">
        <v>23</v>
      </c>
      <c r="AB32" s="156" t="s">
        <v>23</v>
      </c>
      <c r="AC32" s="8">
        <v>0.458333333333333</v>
      </c>
      <c r="AD32" s="8">
        <v>0.666666666666667</v>
      </c>
      <c r="AE32" s="8">
        <v>0.458333333333333</v>
      </c>
      <c r="AF32" s="8">
        <v>0.875</v>
      </c>
      <c r="AG32" s="8">
        <v>0.458333333333333</v>
      </c>
      <c r="AH32" s="8">
        <v>0.875</v>
      </c>
      <c r="AI32" s="8">
        <v>0.458333333333333</v>
      </c>
      <c r="AJ32" s="8">
        <v>0.875</v>
      </c>
      <c r="AK32" s="8">
        <v>0.458333333333333</v>
      </c>
      <c r="AL32" s="8">
        <v>0.875</v>
      </c>
      <c r="AM32" s="156" t="s">
        <v>23</v>
      </c>
      <c r="AN32" s="156" t="s">
        <v>23</v>
      </c>
      <c r="AO32" s="156" t="s">
        <v>23</v>
      </c>
      <c r="AP32" s="156" t="s">
        <v>23</v>
      </c>
      <c r="AQ32" s="8">
        <v>0.458333333333333</v>
      </c>
      <c r="AR32" s="8">
        <v>0.666666666666667</v>
      </c>
      <c r="AS32" s="8">
        <v>0.375</v>
      </c>
      <c r="AT32" s="8">
        <v>0.791666666666667</v>
      </c>
      <c r="AU32" s="8">
        <v>0.375</v>
      </c>
      <c r="AV32" s="8">
        <v>0.791666666666667</v>
      </c>
      <c r="AW32" s="8">
        <v>0.375</v>
      </c>
      <c r="AX32" s="8">
        <v>0.791666666666667</v>
      </c>
      <c r="AY32" s="8">
        <v>0.375</v>
      </c>
      <c r="AZ32" s="8">
        <v>0.791666666666667</v>
      </c>
      <c r="BA32" s="156" t="s">
        <v>23</v>
      </c>
      <c r="BB32" s="156" t="s">
        <v>23</v>
      </c>
      <c r="BC32" s="156" t="s">
        <v>23</v>
      </c>
      <c r="BD32" s="156" t="s">
        <v>23</v>
      </c>
      <c r="BE32" s="8">
        <v>0.458333333333333</v>
      </c>
      <c r="BF32" s="8">
        <v>0.666666666666667</v>
      </c>
      <c r="BG32" s="8">
        <v>0.458333333333333</v>
      </c>
      <c r="BH32" s="8">
        <v>0.875</v>
      </c>
      <c r="BI32" s="8">
        <v>0.458333333333333</v>
      </c>
      <c r="BJ32" s="8">
        <v>0.875</v>
      </c>
      <c r="BK32" s="8">
        <v>0.458333333333333</v>
      </c>
      <c r="BL32" s="8">
        <v>0.875</v>
      </c>
      <c r="BM32" s="8">
        <v>0.458333333333333</v>
      </c>
      <c r="BN32" s="8">
        <v>0.875</v>
      </c>
      <c r="BO32" s="156" t="s">
        <v>23</v>
      </c>
      <c r="BP32" s="156" t="s">
        <v>23</v>
      </c>
      <c r="BQ32" s="21">
        <f>IFERROR(__xludf.DUMMYFUNCTION("TO_PURE_NUMBER(SUM(FILTER(I32:BP32, ISEVEN(COLUMN(I32:BP32))))-SUM(FILTER(I32:BP32, ISODD(COLUMN(I32:BP32)))))*24"),189.999999999999)</f>
        <v>189.999999999999</v>
      </c>
    </row>
    <row r="33" customHeight="1" spans="1:69">
      <c r="A33" s="7">
        <v>10317154</v>
      </c>
      <c r="B33" s="8" t="s">
        <v>70</v>
      </c>
      <c r="C33" s="7" t="s">
        <v>20</v>
      </c>
      <c r="D33" s="7" t="s">
        <v>21</v>
      </c>
      <c r="E33" s="8" t="s">
        <v>22</v>
      </c>
      <c r="F33" s="9">
        <v>3</v>
      </c>
      <c r="G33" s="8">
        <v>0.416666666666667</v>
      </c>
      <c r="H33" s="8">
        <v>0.833333333333333</v>
      </c>
      <c r="I33" s="8">
        <v>0.416666666666667</v>
      </c>
      <c r="J33" s="8">
        <v>0.833333333333333</v>
      </c>
      <c r="K33" s="156" t="s">
        <v>23</v>
      </c>
      <c r="L33" s="156" t="s">
        <v>23</v>
      </c>
      <c r="M33" s="156" t="s">
        <v>23</v>
      </c>
      <c r="N33" s="156" t="s">
        <v>23</v>
      </c>
      <c r="O33" s="8">
        <v>0.416666666666667</v>
      </c>
      <c r="P33" s="8">
        <v>0.625</v>
      </c>
      <c r="Q33" s="8">
        <v>0.333333333333333</v>
      </c>
      <c r="R33" s="8">
        <v>0.75</v>
      </c>
      <c r="S33" s="8">
        <v>0.333333333333333</v>
      </c>
      <c r="T33" s="8">
        <v>0.75</v>
      </c>
      <c r="U33" s="8">
        <v>0.333333333333333</v>
      </c>
      <c r="V33" s="8">
        <v>0.75</v>
      </c>
      <c r="W33" s="8">
        <v>0.333333333333333</v>
      </c>
      <c r="X33" s="8">
        <v>0.75</v>
      </c>
      <c r="Y33" s="156" t="s">
        <v>23</v>
      </c>
      <c r="Z33" s="156" t="s">
        <v>23</v>
      </c>
      <c r="AA33" s="156" t="s">
        <v>23</v>
      </c>
      <c r="AB33" s="156" t="s">
        <v>23</v>
      </c>
      <c r="AC33" s="8">
        <v>0.416666666666667</v>
      </c>
      <c r="AD33" s="8">
        <v>0.625</v>
      </c>
      <c r="AE33" s="8">
        <v>0.416666666666667</v>
      </c>
      <c r="AF33" s="8">
        <v>0.833333333333333</v>
      </c>
      <c r="AG33" s="8">
        <v>0.416666666666667</v>
      </c>
      <c r="AH33" s="8">
        <v>0.833333333333333</v>
      </c>
      <c r="AI33" s="8">
        <v>0.416666666666667</v>
      </c>
      <c r="AJ33" s="8">
        <v>0.833333333333333</v>
      </c>
      <c r="AK33" s="8">
        <v>0.416666666666667</v>
      </c>
      <c r="AL33" s="8">
        <v>0.833333333333333</v>
      </c>
      <c r="AM33" s="156" t="s">
        <v>23</v>
      </c>
      <c r="AN33" s="156" t="s">
        <v>23</v>
      </c>
      <c r="AO33" s="156" t="s">
        <v>23</v>
      </c>
      <c r="AP33" s="156" t="s">
        <v>23</v>
      </c>
      <c r="AQ33" s="8">
        <v>0.416666666666667</v>
      </c>
      <c r="AR33" s="8">
        <v>0.625</v>
      </c>
      <c r="AS33" s="8">
        <v>0.333333333333333</v>
      </c>
      <c r="AT33" s="8">
        <v>0.75</v>
      </c>
      <c r="AU33" s="8">
        <v>0.333333333333333</v>
      </c>
      <c r="AV33" s="8">
        <v>0.75</v>
      </c>
      <c r="AW33" s="8">
        <v>0.333333333333333</v>
      </c>
      <c r="AX33" s="8">
        <v>0.75</v>
      </c>
      <c r="AY33" s="8">
        <v>0.333333333333333</v>
      </c>
      <c r="AZ33" s="8">
        <v>0.75</v>
      </c>
      <c r="BA33" s="156" t="s">
        <v>23</v>
      </c>
      <c r="BB33" s="156" t="s">
        <v>23</v>
      </c>
      <c r="BC33" s="156" t="s">
        <v>23</v>
      </c>
      <c r="BD33" s="156" t="s">
        <v>23</v>
      </c>
      <c r="BE33" s="8">
        <v>0.416666666666667</v>
      </c>
      <c r="BF33" s="8">
        <v>0.625</v>
      </c>
      <c r="BG33" s="8">
        <v>0.416666666666667</v>
      </c>
      <c r="BH33" s="8">
        <v>0.833333333333333</v>
      </c>
      <c r="BI33" s="8">
        <v>0.416666666666667</v>
      </c>
      <c r="BJ33" s="8">
        <v>0.833333333333333</v>
      </c>
      <c r="BK33" s="8">
        <v>0.416666666666667</v>
      </c>
      <c r="BL33" s="8">
        <v>0.833333333333333</v>
      </c>
      <c r="BM33" s="8">
        <v>0.416666666666667</v>
      </c>
      <c r="BN33" s="8">
        <v>0.833333333333333</v>
      </c>
      <c r="BO33" s="156" t="s">
        <v>23</v>
      </c>
      <c r="BP33" s="156" t="s">
        <v>23</v>
      </c>
      <c r="BQ33" s="21">
        <f>IFERROR(__xludf.DUMMYFUNCTION("TO_PURE_NUMBER(SUM(FILTER(I33:BP33, ISEVEN(COLUMN(I33:BP33))))-SUM(FILTER(I33:BP33, ISODD(COLUMN(I33:BP33)))))*24"),190)</f>
        <v>190</v>
      </c>
    </row>
    <row r="34" customHeight="1" spans="1:69">
      <c r="A34" s="7">
        <v>10320436</v>
      </c>
      <c r="B34" s="8" t="s">
        <v>90</v>
      </c>
      <c r="C34" s="7" t="s">
        <v>20</v>
      </c>
      <c r="D34" s="7" t="s">
        <v>21</v>
      </c>
      <c r="E34" s="8" t="s">
        <v>22</v>
      </c>
      <c r="F34" s="9">
        <v>3</v>
      </c>
      <c r="G34" s="8">
        <v>0.458333333333333</v>
      </c>
      <c r="H34" s="8">
        <v>0.875</v>
      </c>
      <c r="I34" s="8">
        <v>0.458333333333333</v>
      </c>
      <c r="J34" s="8">
        <v>0.875</v>
      </c>
      <c r="K34" s="156" t="s">
        <v>23</v>
      </c>
      <c r="L34" s="156" t="s">
        <v>23</v>
      </c>
      <c r="M34" s="156" t="s">
        <v>23</v>
      </c>
      <c r="N34" s="156" t="s">
        <v>23</v>
      </c>
      <c r="O34" s="8">
        <v>0.458333333333333</v>
      </c>
      <c r="P34" s="8">
        <v>0.666666666666667</v>
      </c>
      <c r="Q34" s="8">
        <v>0.375</v>
      </c>
      <c r="R34" s="8">
        <v>0.791666666666667</v>
      </c>
      <c r="S34" s="8">
        <v>0.375</v>
      </c>
      <c r="T34" s="8">
        <v>0.791666666666667</v>
      </c>
      <c r="U34" s="8">
        <v>0.375</v>
      </c>
      <c r="V34" s="8">
        <v>0.791666666666667</v>
      </c>
      <c r="W34" s="8">
        <v>0.375</v>
      </c>
      <c r="X34" s="8">
        <v>0.791666666666667</v>
      </c>
      <c r="Y34" s="156" t="s">
        <v>23</v>
      </c>
      <c r="Z34" s="156" t="s">
        <v>23</v>
      </c>
      <c r="AA34" s="156" t="s">
        <v>23</v>
      </c>
      <c r="AB34" s="156" t="s">
        <v>23</v>
      </c>
      <c r="AC34" s="8">
        <v>0.458333333333333</v>
      </c>
      <c r="AD34" s="8">
        <v>0.666666666666667</v>
      </c>
      <c r="AE34" s="8">
        <v>0.458333333333333</v>
      </c>
      <c r="AF34" s="8">
        <v>0.875</v>
      </c>
      <c r="AG34" s="8">
        <v>0.458333333333333</v>
      </c>
      <c r="AH34" s="8">
        <v>0.875</v>
      </c>
      <c r="AI34" s="8">
        <v>0.458333333333333</v>
      </c>
      <c r="AJ34" s="8">
        <v>0.875</v>
      </c>
      <c r="AK34" s="8">
        <v>0.458333333333333</v>
      </c>
      <c r="AL34" s="8">
        <v>0.875</v>
      </c>
      <c r="AM34" s="156" t="s">
        <v>23</v>
      </c>
      <c r="AN34" s="156" t="s">
        <v>23</v>
      </c>
      <c r="AO34" s="156" t="s">
        <v>23</v>
      </c>
      <c r="AP34" s="156" t="s">
        <v>23</v>
      </c>
      <c r="AQ34" s="8">
        <v>0.458333333333333</v>
      </c>
      <c r="AR34" s="8">
        <v>0.666666666666667</v>
      </c>
      <c r="AS34" s="8">
        <v>0.375</v>
      </c>
      <c r="AT34" s="8">
        <v>0.791666666666667</v>
      </c>
      <c r="AU34" s="8">
        <v>0.375</v>
      </c>
      <c r="AV34" s="8">
        <v>0.791666666666667</v>
      </c>
      <c r="AW34" s="8">
        <v>0.375</v>
      </c>
      <c r="AX34" s="8">
        <v>0.791666666666667</v>
      </c>
      <c r="AY34" s="8">
        <v>0.375</v>
      </c>
      <c r="AZ34" s="8">
        <v>0.791666666666667</v>
      </c>
      <c r="BA34" s="156" t="s">
        <v>23</v>
      </c>
      <c r="BB34" s="156" t="s">
        <v>23</v>
      </c>
      <c r="BC34" s="156" t="s">
        <v>23</v>
      </c>
      <c r="BD34" s="156" t="s">
        <v>23</v>
      </c>
      <c r="BE34" s="8">
        <v>0.458333333333333</v>
      </c>
      <c r="BF34" s="8">
        <v>0.666666666666667</v>
      </c>
      <c r="BG34" s="8">
        <v>0.458333333333333</v>
      </c>
      <c r="BH34" s="8">
        <v>0.875</v>
      </c>
      <c r="BI34" s="8">
        <v>0.458333333333333</v>
      </c>
      <c r="BJ34" s="8">
        <v>0.875</v>
      </c>
      <c r="BK34" s="8">
        <v>0.458333333333333</v>
      </c>
      <c r="BL34" s="8">
        <v>0.875</v>
      </c>
      <c r="BM34" s="8">
        <v>0.458333333333333</v>
      </c>
      <c r="BN34" s="8">
        <v>0.875</v>
      </c>
      <c r="BO34" s="156" t="s">
        <v>23</v>
      </c>
      <c r="BP34" s="156" t="s">
        <v>23</v>
      </c>
      <c r="BQ34" s="21">
        <f>IFERROR(__xludf.DUMMYFUNCTION("TO_PURE_NUMBER(SUM(FILTER(I34:BP34, ISEVEN(COLUMN(I34:BP34))))-SUM(FILTER(I34:BP34, ISODD(COLUMN(I34:BP34)))))*24"),189.999999999999)</f>
        <v>189.999999999999</v>
      </c>
    </row>
    <row r="35" customHeight="1" spans="1:69">
      <c r="A35" s="7">
        <v>10316538</v>
      </c>
      <c r="B35" s="8" t="s">
        <v>44</v>
      </c>
      <c r="C35" s="7" t="s">
        <v>20</v>
      </c>
      <c r="D35" s="7" t="s">
        <v>21</v>
      </c>
      <c r="E35" s="8" t="s">
        <v>22</v>
      </c>
      <c r="F35" s="9">
        <v>1</v>
      </c>
      <c r="G35" s="156" t="s">
        <v>23</v>
      </c>
      <c r="H35" s="156" t="s">
        <v>23</v>
      </c>
      <c r="I35" s="8">
        <v>0.375</v>
      </c>
      <c r="J35" s="8">
        <v>0.75</v>
      </c>
      <c r="K35" s="8">
        <v>0.375</v>
      </c>
      <c r="L35" s="8">
        <v>0.75</v>
      </c>
      <c r="M35" s="8">
        <v>0.458333333333333</v>
      </c>
      <c r="N35" s="8">
        <v>0.666666666666667</v>
      </c>
      <c r="O35" s="8">
        <v>0.458333333333333</v>
      </c>
      <c r="P35" s="8">
        <v>0.666666666666667</v>
      </c>
      <c r="Q35" s="8">
        <v>0.5</v>
      </c>
      <c r="R35" s="8">
        <v>0.875</v>
      </c>
      <c r="S35" s="8">
        <v>0.5</v>
      </c>
      <c r="T35" s="8">
        <v>0.875</v>
      </c>
      <c r="U35" s="156" t="s">
        <v>23</v>
      </c>
      <c r="V35" s="156" t="s">
        <v>23</v>
      </c>
      <c r="W35" s="156" t="s">
        <v>23</v>
      </c>
      <c r="X35" s="156" t="s">
        <v>23</v>
      </c>
      <c r="Y35" s="8">
        <v>0.5</v>
      </c>
      <c r="Z35" s="8">
        <v>0.875</v>
      </c>
      <c r="AA35" s="8">
        <v>0.458333333333333</v>
      </c>
      <c r="AB35" s="8">
        <v>0.666666666666667</v>
      </c>
      <c r="AC35" s="8">
        <v>0.458333333333333</v>
      </c>
      <c r="AD35" s="8">
        <v>0.666666666666667</v>
      </c>
      <c r="AE35" s="8">
        <v>0.375</v>
      </c>
      <c r="AF35" s="8">
        <v>0.75</v>
      </c>
      <c r="AG35" s="8">
        <v>0.375</v>
      </c>
      <c r="AH35" s="8">
        <v>0.75</v>
      </c>
      <c r="AI35" s="156" t="s">
        <v>23</v>
      </c>
      <c r="AJ35" s="156" t="s">
        <v>23</v>
      </c>
      <c r="AK35" s="156" t="s">
        <v>23</v>
      </c>
      <c r="AL35" s="156" t="s">
        <v>23</v>
      </c>
      <c r="AM35" s="8">
        <v>0.375</v>
      </c>
      <c r="AN35" s="8">
        <v>0.75</v>
      </c>
      <c r="AO35" s="8">
        <v>0.458333333333333</v>
      </c>
      <c r="AP35" s="8">
        <v>0.666666666666667</v>
      </c>
      <c r="AQ35" s="8">
        <v>0.458333333333333</v>
      </c>
      <c r="AR35" s="8">
        <v>0.666666666666667</v>
      </c>
      <c r="AS35" s="8">
        <v>0.5</v>
      </c>
      <c r="AT35" s="8">
        <v>0.875</v>
      </c>
      <c r="AU35" s="8">
        <v>0.5</v>
      </c>
      <c r="AV35" s="8">
        <v>0.875</v>
      </c>
      <c r="AW35" s="156" t="s">
        <v>23</v>
      </c>
      <c r="AX35" s="156" t="s">
        <v>23</v>
      </c>
      <c r="AY35" s="156" t="s">
        <v>23</v>
      </c>
      <c r="AZ35" s="156" t="s">
        <v>23</v>
      </c>
      <c r="BA35" s="7" t="s">
        <v>36</v>
      </c>
      <c r="BB35" s="7" t="s">
        <v>36</v>
      </c>
      <c r="BC35" s="8">
        <v>0.458333333333333</v>
      </c>
      <c r="BD35" s="8">
        <v>0.666666666666667</v>
      </c>
      <c r="BE35" s="8">
        <v>0.458333333333333</v>
      </c>
      <c r="BF35" s="8">
        <v>0.666666666666667</v>
      </c>
      <c r="BG35" s="8">
        <v>0.375</v>
      </c>
      <c r="BH35" s="8">
        <v>0.75</v>
      </c>
      <c r="BI35" s="8">
        <v>0.375</v>
      </c>
      <c r="BJ35" s="8">
        <v>0.75</v>
      </c>
      <c r="BK35" s="156" t="s">
        <v>23</v>
      </c>
      <c r="BL35" s="156" t="s">
        <v>23</v>
      </c>
      <c r="BM35" s="156" t="s">
        <v>23</v>
      </c>
      <c r="BN35" s="156" t="s">
        <v>23</v>
      </c>
      <c r="BO35" s="8">
        <v>0.375</v>
      </c>
      <c r="BP35" s="8">
        <v>0.75</v>
      </c>
      <c r="BQ35" s="21">
        <f>IFERROR(__xludf.DUMMYFUNCTION("TO_PURE_NUMBER(SUM(FILTER(I35:BP35, ISEVEN(COLUMN(I35:BP35))))-SUM(FILTER(I35:BP35, ISODD(COLUMN(I35:BP35)))))*24"),157)</f>
        <v>157</v>
      </c>
    </row>
    <row r="36" customHeight="1" spans="1:69">
      <c r="A36" s="7">
        <v>10293607</v>
      </c>
      <c r="B36" s="8" t="s">
        <v>65</v>
      </c>
      <c r="C36" s="7" t="s">
        <v>20</v>
      </c>
      <c r="D36" s="7" t="s">
        <v>21</v>
      </c>
      <c r="E36" s="8" t="s">
        <v>22</v>
      </c>
      <c r="F36" s="9">
        <v>3</v>
      </c>
      <c r="G36" s="7"/>
      <c r="H36" s="7"/>
      <c r="I36" s="8">
        <v>0.375</v>
      </c>
      <c r="J36" s="8">
        <v>0.791666666666667</v>
      </c>
      <c r="K36" s="156" t="s">
        <v>23</v>
      </c>
      <c r="L36" s="156" t="s">
        <v>23</v>
      </c>
      <c r="M36" s="156" t="s">
        <v>23</v>
      </c>
      <c r="N36" s="156" t="s">
        <v>23</v>
      </c>
      <c r="O36" s="8">
        <v>0.458333333333333</v>
      </c>
      <c r="P36" s="8">
        <v>0.666666666666667</v>
      </c>
      <c r="Q36" s="8">
        <v>0.458333333333333</v>
      </c>
      <c r="R36" s="8">
        <v>0.875</v>
      </c>
      <c r="S36" s="8">
        <v>0.458333333333333</v>
      </c>
      <c r="T36" s="8">
        <v>0.875</v>
      </c>
      <c r="U36" s="8">
        <v>0.458333333333333</v>
      </c>
      <c r="V36" s="8">
        <v>0.875</v>
      </c>
      <c r="W36" s="8">
        <v>0.458333333333333</v>
      </c>
      <c r="X36" s="8">
        <v>0.875</v>
      </c>
      <c r="Y36" s="156" t="s">
        <v>23</v>
      </c>
      <c r="Z36" s="156" t="s">
        <v>23</v>
      </c>
      <c r="AA36" s="156" t="s">
        <v>23</v>
      </c>
      <c r="AB36" s="156" t="s">
        <v>23</v>
      </c>
      <c r="AC36" s="8">
        <v>0.458333333333333</v>
      </c>
      <c r="AD36" s="8">
        <v>0.666666666666667</v>
      </c>
      <c r="AE36" s="8">
        <v>0.375</v>
      </c>
      <c r="AF36" s="8">
        <v>0.791666666666667</v>
      </c>
      <c r="AG36" s="8">
        <v>0.375</v>
      </c>
      <c r="AH36" s="8">
        <v>0.791666666666667</v>
      </c>
      <c r="AI36" s="8">
        <v>0.375</v>
      </c>
      <c r="AJ36" s="8">
        <v>0.791666666666667</v>
      </c>
      <c r="AK36" s="8">
        <v>0.375</v>
      </c>
      <c r="AL36" s="8">
        <v>0.791666666666667</v>
      </c>
      <c r="AM36" s="156" t="s">
        <v>23</v>
      </c>
      <c r="AN36" s="156" t="s">
        <v>23</v>
      </c>
      <c r="AO36" s="156" t="s">
        <v>23</v>
      </c>
      <c r="AP36" s="156" t="s">
        <v>23</v>
      </c>
      <c r="AQ36" s="8">
        <v>0.458333333333333</v>
      </c>
      <c r="AR36" s="8">
        <v>0.666666666666667</v>
      </c>
      <c r="AS36" s="8">
        <v>0.458333333333333</v>
      </c>
      <c r="AT36" s="8">
        <v>0.875</v>
      </c>
      <c r="AU36" s="8">
        <v>0.458333333333333</v>
      </c>
      <c r="AV36" s="8">
        <v>0.875</v>
      </c>
      <c r="AW36" s="8">
        <v>0.458333333333333</v>
      </c>
      <c r="AX36" s="8">
        <v>0.875</v>
      </c>
      <c r="AY36" s="8">
        <v>0.458333333333333</v>
      </c>
      <c r="AZ36" s="8">
        <v>0.875</v>
      </c>
      <c r="BA36" s="156" t="s">
        <v>23</v>
      </c>
      <c r="BB36" s="156" t="s">
        <v>23</v>
      </c>
      <c r="BC36" s="156" t="s">
        <v>23</v>
      </c>
      <c r="BD36" s="156" t="s">
        <v>23</v>
      </c>
      <c r="BE36" s="8">
        <v>0.458333333333333</v>
      </c>
      <c r="BF36" s="8">
        <v>0.666666666666667</v>
      </c>
      <c r="BG36" s="8">
        <v>0.458333333333333</v>
      </c>
      <c r="BH36" s="8">
        <v>0.875</v>
      </c>
      <c r="BI36" s="8">
        <v>0.458333333333333</v>
      </c>
      <c r="BJ36" s="8">
        <v>0.875</v>
      </c>
      <c r="BK36" s="8">
        <v>0.458333333333333</v>
      </c>
      <c r="BL36" s="8">
        <v>0.875</v>
      </c>
      <c r="BM36" s="8">
        <v>0.458333333333333</v>
      </c>
      <c r="BN36" s="8">
        <v>0.875</v>
      </c>
      <c r="BO36" s="156" t="s">
        <v>23</v>
      </c>
      <c r="BP36" s="156" t="s">
        <v>23</v>
      </c>
      <c r="BQ36" s="21">
        <f>IFERROR(__xludf.DUMMYFUNCTION("TO_PURE_NUMBER(SUM(FILTER(I36:BP36, ISEVEN(COLUMN(I36:BP36))))-SUM(FILTER(I36:BP36, ISODD(COLUMN(I36:BP36)))))*24"),190)</f>
        <v>190</v>
      </c>
    </row>
    <row r="37" customHeight="1" spans="1:69">
      <c r="A37" s="7">
        <v>10316545</v>
      </c>
      <c r="B37" s="8" t="s">
        <v>45</v>
      </c>
      <c r="C37" s="7" t="s">
        <v>20</v>
      </c>
      <c r="D37" s="7" t="s">
        <v>21</v>
      </c>
      <c r="E37" s="8" t="s">
        <v>22</v>
      </c>
      <c r="F37" s="9">
        <v>1</v>
      </c>
      <c r="G37" s="8">
        <v>0.5</v>
      </c>
      <c r="H37" s="8">
        <v>0.875</v>
      </c>
      <c r="I37" s="8">
        <v>0.5</v>
      </c>
      <c r="J37" s="8">
        <v>0.875</v>
      </c>
      <c r="K37" s="8">
        <v>0.5</v>
      </c>
      <c r="L37" s="8">
        <v>0.875</v>
      </c>
      <c r="M37" s="156" t="s">
        <v>23</v>
      </c>
      <c r="N37" s="156" t="s">
        <v>23</v>
      </c>
      <c r="O37" s="156" t="s">
        <v>23</v>
      </c>
      <c r="P37" s="156" t="s">
        <v>23</v>
      </c>
      <c r="Q37" s="8">
        <v>0.375</v>
      </c>
      <c r="R37" s="8">
        <v>0.75</v>
      </c>
      <c r="S37" s="8">
        <v>0.375</v>
      </c>
      <c r="T37" s="8">
        <v>0.75</v>
      </c>
      <c r="U37" s="8">
        <v>0.375</v>
      </c>
      <c r="V37" s="8">
        <v>0.75</v>
      </c>
      <c r="W37" s="8">
        <v>0.375</v>
      </c>
      <c r="X37" s="8">
        <v>0.75</v>
      </c>
      <c r="Y37" s="8">
        <v>0.375</v>
      </c>
      <c r="Z37" s="8">
        <v>0.75</v>
      </c>
      <c r="AA37" s="156" t="s">
        <v>23</v>
      </c>
      <c r="AB37" s="156" t="s">
        <v>23</v>
      </c>
      <c r="AC37" s="156" t="s">
        <v>23</v>
      </c>
      <c r="AD37" s="156" t="s">
        <v>23</v>
      </c>
      <c r="AE37" s="8">
        <v>0.5</v>
      </c>
      <c r="AF37" s="8">
        <v>0.875</v>
      </c>
      <c r="AG37" s="8">
        <v>0.5</v>
      </c>
      <c r="AH37" s="8">
        <v>0.875</v>
      </c>
      <c r="AI37" s="8">
        <v>0.5</v>
      </c>
      <c r="AJ37" s="8">
        <v>0.875</v>
      </c>
      <c r="AK37" s="8">
        <v>0.5</v>
      </c>
      <c r="AL37" s="8">
        <v>0.875</v>
      </c>
      <c r="AM37" s="8">
        <v>0.5</v>
      </c>
      <c r="AN37" s="8">
        <v>0.875</v>
      </c>
      <c r="AO37" s="156" t="s">
        <v>23</v>
      </c>
      <c r="AP37" s="156" t="s">
        <v>23</v>
      </c>
      <c r="AQ37" s="156" t="s">
        <v>23</v>
      </c>
      <c r="AR37" s="156" t="s">
        <v>23</v>
      </c>
      <c r="AS37" s="8">
        <v>0.375</v>
      </c>
      <c r="AT37" s="8">
        <v>0.75</v>
      </c>
      <c r="AU37" s="8">
        <v>0.375</v>
      </c>
      <c r="AV37" s="8">
        <v>0.75</v>
      </c>
      <c r="AW37" s="8">
        <v>0.375</v>
      </c>
      <c r="AX37" s="8">
        <v>0.75</v>
      </c>
      <c r="AY37" s="8">
        <v>0.375</v>
      </c>
      <c r="AZ37" s="8">
        <v>0.75</v>
      </c>
      <c r="BA37" s="8">
        <v>0.375</v>
      </c>
      <c r="BB37" s="8">
        <v>0.75</v>
      </c>
      <c r="BC37" s="156" t="s">
        <v>23</v>
      </c>
      <c r="BD37" s="156" t="s">
        <v>23</v>
      </c>
      <c r="BE37" s="156" t="s">
        <v>23</v>
      </c>
      <c r="BF37" s="156" t="s">
        <v>23</v>
      </c>
      <c r="BG37" s="8">
        <v>0.5</v>
      </c>
      <c r="BH37" s="8">
        <v>0.875</v>
      </c>
      <c r="BI37" s="8">
        <v>0.5</v>
      </c>
      <c r="BJ37" s="8">
        <v>0.875</v>
      </c>
      <c r="BK37" s="8">
        <v>0.5</v>
      </c>
      <c r="BL37" s="8">
        <v>0.875</v>
      </c>
      <c r="BM37" s="8">
        <v>0.5</v>
      </c>
      <c r="BN37" s="8">
        <v>0.875</v>
      </c>
      <c r="BO37" s="8">
        <v>0.5</v>
      </c>
      <c r="BP37" s="8">
        <v>0.875</v>
      </c>
      <c r="BQ37" s="21">
        <f>IFERROR(__xludf.DUMMYFUNCTION("TO_PURE_NUMBER(SUM(FILTER(I37:BP37, ISEVEN(COLUMN(I37:BP37))))-SUM(FILTER(I37:BP37, ISODD(COLUMN(I37:BP37)))))*24"),198)</f>
        <v>198</v>
      </c>
    </row>
    <row r="38" customHeight="1" spans="1:69">
      <c r="A38" s="7">
        <v>10316572</v>
      </c>
      <c r="B38" s="8" t="s">
        <v>46</v>
      </c>
      <c r="C38" s="7" t="s">
        <v>20</v>
      </c>
      <c r="D38" s="7" t="s">
        <v>21</v>
      </c>
      <c r="E38" s="8" t="s">
        <v>22</v>
      </c>
      <c r="F38" s="9">
        <v>2</v>
      </c>
      <c r="G38" s="8">
        <v>0.375</v>
      </c>
      <c r="H38" s="8">
        <v>0.791666666666667</v>
      </c>
      <c r="I38" s="8">
        <v>0.375</v>
      </c>
      <c r="J38" s="8">
        <v>0.791666666666667</v>
      </c>
      <c r="K38" s="156" t="s">
        <v>23</v>
      </c>
      <c r="L38" s="156" t="s">
        <v>23</v>
      </c>
      <c r="M38" s="156" t="s">
        <v>23</v>
      </c>
      <c r="N38" s="156" t="s">
        <v>23</v>
      </c>
      <c r="O38" s="8">
        <v>0.416666666666667</v>
      </c>
      <c r="P38" s="8">
        <v>0.625</v>
      </c>
      <c r="Q38" s="8">
        <v>0.333333333333333</v>
      </c>
      <c r="R38" s="8">
        <v>0.75</v>
      </c>
      <c r="S38" s="8">
        <v>0.375</v>
      </c>
      <c r="T38" s="8">
        <v>0.791666666666667</v>
      </c>
      <c r="U38" s="8">
        <v>0.375</v>
      </c>
      <c r="V38" s="8">
        <v>0.791666666666667</v>
      </c>
      <c r="W38" s="8">
        <v>0.375</v>
      </c>
      <c r="X38" s="8">
        <v>0.791666666666667</v>
      </c>
      <c r="Y38" s="156" t="s">
        <v>23</v>
      </c>
      <c r="Z38" s="156" t="s">
        <v>23</v>
      </c>
      <c r="AA38" s="156" t="s">
        <v>23</v>
      </c>
      <c r="AB38" s="156" t="s">
        <v>23</v>
      </c>
      <c r="AC38" s="8">
        <v>0.416666666666667</v>
      </c>
      <c r="AD38" s="8">
        <v>0.625</v>
      </c>
      <c r="AE38" s="8">
        <v>0.333333333333333</v>
      </c>
      <c r="AF38" s="8">
        <v>0.75</v>
      </c>
      <c r="AG38" s="8">
        <v>0.375</v>
      </c>
      <c r="AH38" s="8">
        <v>0.791666666666667</v>
      </c>
      <c r="AI38" s="8">
        <v>0.375</v>
      </c>
      <c r="AJ38" s="8">
        <v>0.791666666666667</v>
      </c>
      <c r="AK38" s="8">
        <v>0.375</v>
      </c>
      <c r="AL38" s="8">
        <v>0.791666666666667</v>
      </c>
      <c r="AM38" s="156" t="s">
        <v>23</v>
      </c>
      <c r="AN38" s="156" t="s">
        <v>23</v>
      </c>
      <c r="AO38" s="156" t="s">
        <v>23</v>
      </c>
      <c r="AP38" s="156" t="s">
        <v>23</v>
      </c>
      <c r="AQ38" s="8">
        <v>0.416666666666667</v>
      </c>
      <c r="AR38" s="8">
        <v>0.625</v>
      </c>
      <c r="AS38" s="8">
        <v>0.333333333333333</v>
      </c>
      <c r="AT38" s="8">
        <v>0.75</v>
      </c>
      <c r="AU38" s="8">
        <v>0.375</v>
      </c>
      <c r="AV38" s="8">
        <v>0.791666666666667</v>
      </c>
      <c r="AW38" s="8">
        <v>0.375</v>
      </c>
      <c r="AX38" s="8">
        <v>0.791666666666667</v>
      </c>
      <c r="AY38" s="8">
        <v>0.375</v>
      </c>
      <c r="AZ38" s="8">
        <v>0.791666666666667</v>
      </c>
      <c r="BA38" s="156" t="s">
        <v>23</v>
      </c>
      <c r="BB38" s="156" t="s">
        <v>23</v>
      </c>
      <c r="BC38" s="156" t="s">
        <v>23</v>
      </c>
      <c r="BD38" s="156" t="s">
        <v>23</v>
      </c>
      <c r="BE38" s="8">
        <v>0.416666666666667</v>
      </c>
      <c r="BF38" s="8">
        <v>0.625</v>
      </c>
      <c r="BG38" s="8">
        <v>0.333333333333333</v>
      </c>
      <c r="BH38" s="8">
        <v>0.75</v>
      </c>
      <c r="BI38" s="8">
        <v>0.375</v>
      </c>
      <c r="BJ38" s="8">
        <v>0.791666666666667</v>
      </c>
      <c r="BK38" s="8">
        <v>0.375</v>
      </c>
      <c r="BL38" s="8">
        <v>0.791666666666667</v>
      </c>
      <c r="BM38" s="8">
        <v>0.375</v>
      </c>
      <c r="BN38" s="8">
        <v>0.791666666666667</v>
      </c>
      <c r="BO38" s="156" t="s">
        <v>23</v>
      </c>
      <c r="BP38" s="156" t="s">
        <v>23</v>
      </c>
      <c r="BQ38" s="21">
        <f>IFERROR(__xludf.DUMMYFUNCTION("TO_PURE_NUMBER(SUM(FILTER(I38:BP38, ISEVEN(COLUMN(I38:BP38))))-SUM(FILTER(I38:BP38, ISODD(COLUMN(I38:BP38)))))*24"),189.999999999999)</f>
        <v>189.999999999999</v>
      </c>
    </row>
    <row r="39" customHeight="1" spans="1:69">
      <c r="A39" s="7">
        <v>10316685</v>
      </c>
      <c r="B39" s="8" t="s">
        <v>47</v>
      </c>
      <c r="C39" s="7" t="s">
        <v>89</v>
      </c>
      <c r="D39" s="7" t="s">
        <v>21</v>
      </c>
      <c r="E39" s="8" t="s">
        <v>22</v>
      </c>
      <c r="F39" s="9">
        <v>1</v>
      </c>
      <c r="G39" s="8">
        <v>0.375</v>
      </c>
      <c r="H39" s="8">
        <v>0.75</v>
      </c>
      <c r="I39" s="8">
        <v>0.375</v>
      </c>
      <c r="J39" s="8">
        <v>0.75</v>
      </c>
      <c r="K39" s="8">
        <v>0.375</v>
      </c>
      <c r="L39" s="8">
        <v>0.75</v>
      </c>
      <c r="M39" s="156" t="s">
        <v>23</v>
      </c>
      <c r="N39" s="156" t="s">
        <v>23</v>
      </c>
      <c r="O39" s="156" t="s">
        <v>23</v>
      </c>
      <c r="P39" s="156" t="s">
        <v>23</v>
      </c>
      <c r="Q39" s="8">
        <v>0.5</v>
      </c>
      <c r="R39" s="8">
        <v>0.875</v>
      </c>
      <c r="S39" s="8">
        <v>0.5</v>
      </c>
      <c r="T39" s="8">
        <v>0.875</v>
      </c>
      <c r="U39" s="8">
        <v>0.5</v>
      </c>
      <c r="V39" s="8">
        <v>0.875</v>
      </c>
      <c r="W39" s="8">
        <v>0.5</v>
      </c>
      <c r="X39" s="8">
        <v>0.875</v>
      </c>
      <c r="Y39" s="8">
        <v>0.5</v>
      </c>
      <c r="Z39" s="8">
        <v>0.875</v>
      </c>
      <c r="AA39" s="156" t="s">
        <v>23</v>
      </c>
      <c r="AB39" s="156" t="s">
        <v>23</v>
      </c>
      <c r="AC39" s="156" t="s">
        <v>23</v>
      </c>
      <c r="AD39" s="156" t="s">
        <v>23</v>
      </c>
      <c r="AE39" s="8">
        <v>0.375</v>
      </c>
      <c r="AF39" s="8">
        <v>0.75</v>
      </c>
      <c r="AG39" s="8">
        <v>0.375</v>
      </c>
      <c r="AH39" s="8">
        <v>0.75</v>
      </c>
      <c r="AI39" s="8">
        <v>0.375</v>
      </c>
      <c r="AJ39" s="8">
        <v>0.75</v>
      </c>
      <c r="AK39" s="8">
        <v>0.375</v>
      </c>
      <c r="AL39" s="8">
        <v>0.75</v>
      </c>
      <c r="AM39" s="8">
        <v>0.375</v>
      </c>
      <c r="AN39" s="8">
        <v>0.75</v>
      </c>
      <c r="AO39" s="156" t="s">
        <v>23</v>
      </c>
      <c r="AP39" s="156" t="s">
        <v>23</v>
      </c>
      <c r="AQ39" s="156" t="s">
        <v>23</v>
      </c>
      <c r="AR39" s="156" t="s">
        <v>23</v>
      </c>
      <c r="AS39" s="8">
        <v>0.5</v>
      </c>
      <c r="AT39" s="8">
        <v>0.875</v>
      </c>
      <c r="AU39" s="8">
        <v>0.5</v>
      </c>
      <c r="AV39" s="8">
        <v>0.875</v>
      </c>
      <c r="AW39" s="8">
        <v>0.5</v>
      </c>
      <c r="AX39" s="8">
        <v>0.875</v>
      </c>
      <c r="AY39" s="8">
        <v>0.5</v>
      </c>
      <c r="AZ39" s="8">
        <v>0.875</v>
      </c>
      <c r="BA39" s="8">
        <v>0.5</v>
      </c>
      <c r="BB39" s="8">
        <v>0.875</v>
      </c>
      <c r="BC39" s="156" t="s">
        <v>23</v>
      </c>
      <c r="BD39" s="156" t="s">
        <v>23</v>
      </c>
      <c r="BE39" s="156" t="s">
        <v>23</v>
      </c>
      <c r="BF39" s="156" t="s">
        <v>23</v>
      </c>
      <c r="BG39" s="8">
        <v>0.375</v>
      </c>
      <c r="BH39" s="8">
        <v>0.75</v>
      </c>
      <c r="BI39" s="8">
        <v>0.375</v>
      </c>
      <c r="BJ39" s="8">
        <v>0.75</v>
      </c>
      <c r="BK39" s="8">
        <v>0.375</v>
      </c>
      <c r="BL39" s="8">
        <v>0.75</v>
      </c>
      <c r="BM39" s="8">
        <v>0.375</v>
      </c>
      <c r="BN39" s="8">
        <v>0.75</v>
      </c>
      <c r="BO39" s="8">
        <v>0.375</v>
      </c>
      <c r="BP39" s="8">
        <v>0.75</v>
      </c>
      <c r="BQ39" s="21">
        <f>IFERROR(__xludf.DUMMYFUNCTION("TO_PURE_NUMBER(SUM(FILTER(I39:BP39, ISEVEN(COLUMN(I39:BP39))))-SUM(FILTER(I39:BP39, ISODD(COLUMN(I39:BP39)))))*24"),198)</f>
        <v>198</v>
      </c>
    </row>
    <row r="40" customHeight="1" spans="1:69">
      <c r="A40" s="7">
        <v>10274446</v>
      </c>
      <c r="B40" s="8" t="s">
        <v>88</v>
      </c>
      <c r="C40" s="7" t="s">
        <v>20</v>
      </c>
      <c r="D40" s="7" t="s">
        <v>21</v>
      </c>
      <c r="E40" s="8" t="s">
        <v>22</v>
      </c>
      <c r="F40" s="9">
        <v>2</v>
      </c>
      <c r="G40" s="156" t="s">
        <v>23</v>
      </c>
      <c r="H40" s="156" t="s">
        <v>23</v>
      </c>
      <c r="I40" s="8">
        <v>0.5</v>
      </c>
      <c r="J40" s="8">
        <v>0.875</v>
      </c>
      <c r="K40" s="8">
        <v>0.5</v>
      </c>
      <c r="L40" s="8">
        <v>0.875</v>
      </c>
      <c r="M40" s="8">
        <v>0.458333333333333</v>
      </c>
      <c r="N40" s="8">
        <v>0.666666666666667</v>
      </c>
      <c r="O40" s="8">
        <v>0.458333333333333</v>
      </c>
      <c r="P40" s="8">
        <v>0.666666666666667</v>
      </c>
      <c r="Q40" s="8">
        <v>0.375</v>
      </c>
      <c r="R40" s="8">
        <v>0.75</v>
      </c>
      <c r="S40" s="8">
        <v>0.375</v>
      </c>
      <c r="T40" s="8">
        <v>0.75</v>
      </c>
      <c r="U40" s="156" t="s">
        <v>23</v>
      </c>
      <c r="V40" s="156" t="s">
        <v>23</v>
      </c>
      <c r="W40" s="156" t="s">
        <v>23</v>
      </c>
      <c r="X40" s="156" t="s">
        <v>23</v>
      </c>
      <c r="Y40" s="8">
        <v>0.375</v>
      </c>
      <c r="Z40" s="8">
        <v>0.75</v>
      </c>
      <c r="AA40" s="8">
        <v>0.458333333333333</v>
      </c>
      <c r="AB40" s="8">
        <v>0.666666666666667</v>
      </c>
      <c r="AC40" s="8">
        <v>0.458333333333333</v>
      </c>
      <c r="AD40" s="8">
        <v>0.666666666666667</v>
      </c>
      <c r="AE40" s="8">
        <v>0.5</v>
      </c>
      <c r="AF40" s="8">
        <v>0.875</v>
      </c>
      <c r="AG40" s="8">
        <v>0.5</v>
      </c>
      <c r="AH40" s="8">
        <v>0.875</v>
      </c>
      <c r="AI40" s="156" t="s">
        <v>23</v>
      </c>
      <c r="AJ40" s="156" t="s">
        <v>23</v>
      </c>
      <c r="AK40" s="156" t="s">
        <v>23</v>
      </c>
      <c r="AL40" s="156" t="s">
        <v>23</v>
      </c>
      <c r="AM40" s="8">
        <v>0.5</v>
      </c>
      <c r="AN40" s="8">
        <v>0.875</v>
      </c>
      <c r="AO40" s="8">
        <v>0.458333333333333</v>
      </c>
      <c r="AP40" s="8">
        <v>0.666666666666667</v>
      </c>
      <c r="AQ40" s="8">
        <v>0.458333333333333</v>
      </c>
      <c r="AR40" s="8">
        <v>0.666666666666667</v>
      </c>
      <c r="AS40" s="8">
        <v>0.375</v>
      </c>
      <c r="AT40" s="8">
        <v>0.75</v>
      </c>
      <c r="AU40" s="8">
        <v>0.375</v>
      </c>
      <c r="AV40" s="8">
        <v>0.75</v>
      </c>
      <c r="AW40" s="156" t="s">
        <v>23</v>
      </c>
      <c r="AX40" s="156" t="s">
        <v>23</v>
      </c>
      <c r="AY40" s="156" t="s">
        <v>23</v>
      </c>
      <c r="AZ40" s="156" t="s">
        <v>23</v>
      </c>
      <c r="BA40" s="8">
        <v>0.375</v>
      </c>
      <c r="BB40" s="8">
        <v>0.75</v>
      </c>
      <c r="BC40" s="8">
        <v>0.458333333333333</v>
      </c>
      <c r="BD40" s="8">
        <v>0.666666666666667</v>
      </c>
      <c r="BE40" s="8">
        <v>0.458333333333333</v>
      </c>
      <c r="BF40" s="8">
        <v>0.666666666666667</v>
      </c>
      <c r="BG40" s="8">
        <v>0.5</v>
      </c>
      <c r="BH40" s="8">
        <v>0.875</v>
      </c>
      <c r="BI40" s="8">
        <v>0.5</v>
      </c>
      <c r="BJ40" s="8">
        <v>0.875</v>
      </c>
      <c r="BK40" s="156" t="s">
        <v>23</v>
      </c>
      <c r="BL40" s="156" t="s">
        <v>23</v>
      </c>
      <c r="BM40" s="156" t="s">
        <v>23</v>
      </c>
      <c r="BN40" s="156" t="s">
        <v>23</v>
      </c>
      <c r="BO40" s="8">
        <v>0.5</v>
      </c>
      <c r="BP40" s="8">
        <v>0.875</v>
      </c>
      <c r="BQ40" s="21">
        <f>IFERROR(__xludf.DUMMYFUNCTION("TO_PURE_NUMBER(SUM(FILTER(I40:BP40, ISEVEN(COLUMN(I40:BP40))))-SUM(FILTER(I40:BP40, ISODD(COLUMN(I40:BP40)))))*24"),166)</f>
        <v>166</v>
      </c>
    </row>
    <row r="41" customHeight="1" spans="1:69">
      <c r="A41" s="7">
        <v>10276839</v>
      </c>
      <c r="B41" s="8" t="s">
        <v>54</v>
      </c>
      <c r="C41" s="7" t="s">
        <v>20</v>
      </c>
      <c r="D41" s="7" t="s">
        <v>21</v>
      </c>
      <c r="E41" s="8" t="s">
        <v>22</v>
      </c>
      <c r="F41" s="9">
        <v>2</v>
      </c>
      <c r="G41" s="8">
        <v>0.458333333333333</v>
      </c>
      <c r="H41" s="8">
        <v>0.875</v>
      </c>
      <c r="I41" s="8">
        <v>0.458333333333333</v>
      </c>
      <c r="J41" s="8">
        <v>0.875</v>
      </c>
      <c r="K41" s="156" t="s">
        <v>23</v>
      </c>
      <c r="L41" s="156" t="s">
        <v>23</v>
      </c>
      <c r="M41" s="156" t="s">
        <v>23</v>
      </c>
      <c r="N41" s="156" t="s">
        <v>23</v>
      </c>
      <c r="O41" s="8">
        <v>0.458333333333333</v>
      </c>
      <c r="P41" s="8">
        <v>0.666666666666667</v>
      </c>
      <c r="Q41" s="8">
        <v>0.458333333333333</v>
      </c>
      <c r="R41" s="8">
        <v>0.875</v>
      </c>
      <c r="S41" s="8">
        <v>0.458333333333333</v>
      </c>
      <c r="T41" s="8">
        <v>0.875</v>
      </c>
      <c r="U41" s="8">
        <v>0.458333333333333</v>
      </c>
      <c r="V41" s="8">
        <v>0.875</v>
      </c>
      <c r="W41" s="8">
        <v>0.458333333333333</v>
      </c>
      <c r="X41" s="8">
        <v>0.875</v>
      </c>
      <c r="Y41" s="156" t="s">
        <v>23</v>
      </c>
      <c r="Z41" s="156" t="s">
        <v>23</v>
      </c>
      <c r="AA41" s="156" t="s">
        <v>23</v>
      </c>
      <c r="AB41" s="156" t="s">
        <v>23</v>
      </c>
      <c r="AC41" s="8">
        <v>0.458333333333333</v>
      </c>
      <c r="AD41" s="8">
        <v>0.666666666666667</v>
      </c>
      <c r="AE41" s="8">
        <v>0.375</v>
      </c>
      <c r="AF41" s="8">
        <v>0.791666666666667</v>
      </c>
      <c r="AG41" s="8">
        <v>0.375</v>
      </c>
      <c r="AH41" s="8">
        <v>0.791666666666667</v>
      </c>
      <c r="AI41" s="8">
        <v>0.375</v>
      </c>
      <c r="AJ41" s="8">
        <v>0.791666666666667</v>
      </c>
      <c r="AK41" s="8">
        <v>0.375</v>
      </c>
      <c r="AL41" s="8">
        <v>0.791666666666667</v>
      </c>
      <c r="AM41" s="156" t="s">
        <v>23</v>
      </c>
      <c r="AN41" s="156" t="s">
        <v>23</v>
      </c>
      <c r="AO41" s="156" t="s">
        <v>23</v>
      </c>
      <c r="AP41" s="156" t="s">
        <v>23</v>
      </c>
      <c r="AQ41" s="8">
        <v>0.458333333333333</v>
      </c>
      <c r="AR41" s="8">
        <v>0.666666666666667</v>
      </c>
      <c r="AS41" s="8">
        <v>0.458333333333333</v>
      </c>
      <c r="AT41" s="8">
        <v>0.875</v>
      </c>
      <c r="AU41" s="8">
        <v>0.458333333333333</v>
      </c>
      <c r="AV41" s="8">
        <v>0.875</v>
      </c>
      <c r="AW41" s="8">
        <v>0.458333333333333</v>
      </c>
      <c r="AX41" s="8">
        <v>0.875</v>
      </c>
      <c r="AY41" s="8">
        <v>0.458333333333333</v>
      </c>
      <c r="AZ41" s="8">
        <v>0.875</v>
      </c>
      <c r="BA41" s="156" t="s">
        <v>23</v>
      </c>
      <c r="BB41" s="156" t="s">
        <v>23</v>
      </c>
      <c r="BC41" s="156" t="s">
        <v>23</v>
      </c>
      <c r="BD41" s="156" t="s">
        <v>23</v>
      </c>
      <c r="BE41" s="8">
        <v>0.458333333333333</v>
      </c>
      <c r="BF41" s="8">
        <v>0.666666666666667</v>
      </c>
      <c r="BG41" s="8">
        <v>0.458333333333333</v>
      </c>
      <c r="BH41" s="8">
        <v>0.875</v>
      </c>
      <c r="BI41" s="8">
        <v>0.458333333333333</v>
      </c>
      <c r="BJ41" s="8">
        <v>0.875</v>
      </c>
      <c r="BK41" s="8">
        <v>0.458333333333333</v>
      </c>
      <c r="BL41" s="8">
        <v>0.875</v>
      </c>
      <c r="BM41" s="8">
        <v>0.458333333333333</v>
      </c>
      <c r="BN41" s="8">
        <v>0.875</v>
      </c>
      <c r="BO41" s="156" t="s">
        <v>23</v>
      </c>
      <c r="BP41" s="156" t="s">
        <v>23</v>
      </c>
      <c r="BQ41" s="21">
        <f>IFERROR(__xludf.DUMMYFUNCTION("TO_PURE_NUMBER(SUM(FILTER(I41:BP41, ISEVEN(COLUMN(I41:BP41))))-SUM(FILTER(I41:BP41, ISODD(COLUMN(I41:BP41)))))*24"),190)</f>
        <v>190</v>
      </c>
    </row>
    <row r="42" customHeight="1" spans="1:69">
      <c r="A42" s="7">
        <v>10320419</v>
      </c>
      <c r="B42" s="8" t="s">
        <v>69</v>
      </c>
      <c r="C42" s="7" t="s">
        <v>20</v>
      </c>
      <c r="D42" s="7" t="s">
        <v>21</v>
      </c>
      <c r="E42" s="8" t="s">
        <v>22</v>
      </c>
      <c r="F42" s="9">
        <v>3</v>
      </c>
      <c r="G42" s="8">
        <v>0.458333333333333</v>
      </c>
      <c r="H42" s="8">
        <v>0.875</v>
      </c>
      <c r="I42" s="8">
        <v>0.458333333333333</v>
      </c>
      <c r="J42" s="8">
        <v>0.875</v>
      </c>
      <c r="K42" s="8">
        <v>0.458333333333333</v>
      </c>
      <c r="L42" s="8">
        <v>0.875</v>
      </c>
      <c r="M42" s="8">
        <v>0.458333333333333</v>
      </c>
      <c r="N42" s="8">
        <v>0.666666666666667</v>
      </c>
      <c r="O42" s="156" t="s">
        <v>23</v>
      </c>
      <c r="P42" s="156" t="s">
        <v>23</v>
      </c>
      <c r="Q42" s="156" t="s">
        <v>23</v>
      </c>
      <c r="R42" s="156" t="s">
        <v>23</v>
      </c>
      <c r="S42" s="8">
        <v>0.375</v>
      </c>
      <c r="T42" s="8">
        <v>0.791666666666667</v>
      </c>
      <c r="U42" s="8">
        <v>0.375</v>
      </c>
      <c r="V42" s="8">
        <v>0.791666666666667</v>
      </c>
      <c r="W42" s="8">
        <v>0.375</v>
      </c>
      <c r="X42" s="8">
        <v>0.791666666666667</v>
      </c>
      <c r="Y42" s="8">
        <v>0.375</v>
      </c>
      <c r="Z42" s="8">
        <v>0.791666666666667</v>
      </c>
      <c r="AA42" s="8">
        <v>0.458333333333333</v>
      </c>
      <c r="AB42" s="8">
        <v>0.666666666666667</v>
      </c>
      <c r="AC42" s="156" t="s">
        <v>23</v>
      </c>
      <c r="AD42" s="156" t="s">
        <v>23</v>
      </c>
      <c r="AE42" s="156" t="s">
        <v>23</v>
      </c>
      <c r="AF42" s="156" t="s">
        <v>23</v>
      </c>
      <c r="AG42" s="8">
        <v>0.458333333333333</v>
      </c>
      <c r="AH42" s="8">
        <v>0.875</v>
      </c>
      <c r="AI42" s="8">
        <v>0.458333333333333</v>
      </c>
      <c r="AJ42" s="8">
        <v>0.875</v>
      </c>
      <c r="AK42" s="8">
        <v>0.458333333333333</v>
      </c>
      <c r="AL42" s="8">
        <v>0.875</v>
      </c>
      <c r="AM42" s="8">
        <v>0.458333333333333</v>
      </c>
      <c r="AN42" s="8">
        <v>0.875</v>
      </c>
      <c r="AO42" s="8">
        <v>0.458333333333333</v>
      </c>
      <c r="AP42" s="8">
        <v>0.666666666666667</v>
      </c>
      <c r="AQ42" s="156" t="s">
        <v>23</v>
      </c>
      <c r="AR42" s="156" t="s">
        <v>23</v>
      </c>
      <c r="AS42" s="156" t="s">
        <v>23</v>
      </c>
      <c r="AT42" s="156" t="s">
        <v>23</v>
      </c>
      <c r="AU42" s="8">
        <v>0.375</v>
      </c>
      <c r="AV42" s="8">
        <v>0.791666666666667</v>
      </c>
      <c r="AW42" s="8">
        <v>0.375</v>
      </c>
      <c r="AX42" s="8">
        <v>0.791666666666667</v>
      </c>
      <c r="AY42" s="8">
        <v>0.375</v>
      </c>
      <c r="AZ42" s="8">
        <v>0.791666666666667</v>
      </c>
      <c r="BA42" s="8">
        <v>0.375</v>
      </c>
      <c r="BB42" s="8">
        <v>0.791666666666667</v>
      </c>
      <c r="BC42" s="8">
        <v>0.458333333333333</v>
      </c>
      <c r="BD42" s="8">
        <v>0.666666666666667</v>
      </c>
      <c r="BE42" s="156" t="s">
        <v>23</v>
      </c>
      <c r="BF42" s="156" t="s">
        <v>23</v>
      </c>
      <c r="BG42" s="156" t="s">
        <v>23</v>
      </c>
      <c r="BH42" s="156" t="s">
        <v>23</v>
      </c>
      <c r="BI42" s="8">
        <v>0.458333333333333</v>
      </c>
      <c r="BJ42" s="8">
        <v>0.875</v>
      </c>
      <c r="BK42" s="8">
        <v>0.458333333333333</v>
      </c>
      <c r="BL42" s="8">
        <v>0.875</v>
      </c>
      <c r="BM42" s="8">
        <v>0.458333333333333</v>
      </c>
      <c r="BN42" s="8">
        <v>0.875</v>
      </c>
      <c r="BO42" s="8">
        <v>0.458333333333333</v>
      </c>
      <c r="BP42" s="8">
        <v>0.875</v>
      </c>
      <c r="BQ42" s="21">
        <f>IFERROR(__xludf.DUMMYFUNCTION("TO_PURE_NUMBER(SUM(FILTER(I42:BP42, ISEVEN(COLUMN(I42:BP42))))-SUM(FILTER(I42:BP42, ISODD(COLUMN(I42:BP42)))))*24"),199.999999999999)</f>
        <v>199.999999999999</v>
      </c>
    </row>
    <row r="43" customHeight="1" spans="1:69">
      <c r="A43" s="7">
        <v>10316546</v>
      </c>
      <c r="B43" s="8" t="s">
        <v>49</v>
      </c>
      <c r="C43" s="7" t="s">
        <v>20</v>
      </c>
      <c r="D43" s="7" t="s">
        <v>21</v>
      </c>
      <c r="E43" s="8" t="s">
        <v>22</v>
      </c>
      <c r="F43" s="9">
        <v>1</v>
      </c>
      <c r="G43" s="156" t="s">
        <v>23</v>
      </c>
      <c r="H43" s="156" t="s">
        <v>23</v>
      </c>
      <c r="I43" s="8">
        <v>0.375</v>
      </c>
      <c r="J43" s="8">
        <v>0.75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156"/>
      <c r="V43" s="156"/>
      <c r="W43" s="156"/>
      <c r="X43" s="156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156"/>
      <c r="AJ43" s="156"/>
      <c r="AK43" s="156"/>
      <c r="AL43" s="156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156"/>
      <c r="AX43" s="156"/>
      <c r="AY43" s="156"/>
      <c r="AZ43" s="156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156"/>
      <c r="BL43" s="156"/>
      <c r="BM43" s="156"/>
      <c r="BN43" s="156"/>
      <c r="BO43" s="8"/>
      <c r="BP43" s="8"/>
      <c r="BQ43" s="21"/>
    </row>
    <row r="44" customHeight="1" spans="1:69">
      <c r="A44" s="7">
        <v>10316551</v>
      </c>
      <c r="B44" s="8" t="s">
        <v>87</v>
      </c>
      <c r="C44" s="7" t="s">
        <v>20</v>
      </c>
      <c r="D44" s="7" t="s">
        <v>21</v>
      </c>
      <c r="E44" s="8" t="s">
        <v>22</v>
      </c>
      <c r="F44" s="9">
        <v>1</v>
      </c>
      <c r="G44" s="8">
        <v>0.375</v>
      </c>
      <c r="H44" s="8">
        <v>0.791666666666667</v>
      </c>
      <c r="I44" s="8">
        <v>0.375</v>
      </c>
      <c r="J44" s="8">
        <v>0.791666666666667</v>
      </c>
      <c r="K44" s="156" t="s">
        <v>23</v>
      </c>
      <c r="L44" s="156" t="s">
        <v>23</v>
      </c>
      <c r="M44" s="156" t="s">
        <v>23</v>
      </c>
      <c r="N44" s="156" t="s">
        <v>23</v>
      </c>
      <c r="O44" s="8">
        <v>0.458333333333333</v>
      </c>
      <c r="P44" s="8">
        <v>0.666666666666667</v>
      </c>
      <c r="Q44" s="8">
        <v>0.458333333333333</v>
      </c>
      <c r="R44" s="8">
        <v>0.875</v>
      </c>
      <c r="S44" s="8">
        <v>0.458333333333333</v>
      </c>
      <c r="T44" s="8">
        <v>0.875</v>
      </c>
      <c r="U44" s="8">
        <v>0.458333333333333</v>
      </c>
      <c r="V44" s="8">
        <v>0.875</v>
      </c>
      <c r="W44" s="8">
        <v>0.458333333333333</v>
      </c>
      <c r="X44" s="8">
        <v>0.875</v>
      </c>
      <c r="Y44" s="156" t="s">
        <v>23</v>
      </c>
      <c r="Z44" s="156" t="s">
        <v>23</v>
      </c>
      <c r="AA44" s="156" t="s">
        <v>23</v>
      </c>
      <c r="AB44" s="156" t="s">
        <v>23</v>
      </c>
      <c r="AC44" s="8">
        <v>0.458333333333333</v>
      </c>
      <c r="AD44" s="8">
        <v>0.666666666666667</v>
      </c>
      <c r="AE44" s="8">
        <v>0.375</v>
      </c>
      <c r="AF44" s="8">
        <v>0.791666666666667</v>
      </c>
      <c r="AG44" s="8">
        <v>0.375</v>
      </c>
      <c r="AH44" s="8">
        <v>0.791666666666667</v>
      </c>
      <c r="AI44" s="8">
        <v>0.375</v>
      </c>
      <c r="AJ44" s="8">
        <v>0.791666666666667</v>
      </c>
      <c r="AK44" s="8">
        <v>0.375</v>
      </c>
      <c r="AL44" s="8">
        <v>0.791666666666667</v>
      </c>
      <c r="AM44" s="156" t="s">
        <v>23</v>
      </c>
      <c r="AN44" s="156" t="s">
        <v>23</v>
      </c>
      <c r="AO44" s="156" t="s">
        <v>23</v>
      </c>
      <c r="AP44" s="156" t="s">
        <v>23</v>
      </c>
      <c r="AQ44" s="8">
        <v>0.458333333333333</v>
      </c>
      <c r="AR44" s="8">
        <v>0.666666666666667</v>
      </c>
      <c r="AS44" s="8">
        <v>0.458333333333333</v>
      </c>
      <c r="AT44" s="8">
        <v>0.875</v>
      </c>
      <c r="AU44" s="8">
        <v>0.458333333333333</v>
      </c>
      <c r="AV44" s="8">
        <v>0.875</v>
      </c>
      <c r="AW44" s="8">
        <v>0.458333333333333</v>
      </c>
      <c r="AX44" s="8">
        <v>0.875</v>
      </c>
      <c r="AY44" s="8">
        <v>0.458333333333333</v>
      </c>
      <c r="AZ44" s="8">
        <v>0.875</v>
      </c>
      <c r="BA44" s="156" t="s">
        <v>23</v>
      </c>
      <c r="BB44" s="156" t="s">
        <v>23</v>
      </c>
      <c r="BC44" s="156" t="s">
        <v>23</v>
      </c>
      <c r="BD44" s="156" t="s">
        <v>23</v>
      </c>
      <c r="BE44" s="8">
        <v>0.458333333333333</v>
      </c>
      <c r="BF44" s="8">
        <v>0.666666666666667</v>
      </c>
      <c r="BG44" s="8">
        <v>0.375</v>
      </c>
      <c r="BH44" s="8">
        <v>0.791666666666667</v>
      </c>
      <c r="BI44" s="8">
        <v>0.375</v>
      </c>
      <c r="BJ44" s="8">
        <v>0.791666666666667</v>
      </c>
      <c r="BK44" s="8">
        <v>0.375</v>
      </c>
      <c r="BL44" s="8">
        <v>0.791666666666667</v>
      </c>
      <c r="BM44" s="8">
        <v>0.375</v>
      </c>
      <c r="BN44" s="8">
        <v>0.791666666666667</v>
      </c>
      <c r="BO44" s="156" t="s">
        <v>23</v>
      </c>
      <c r="BP44" s="156" t="s">
        <v>23</v>
      </c>
      <c r="BQ44" s="21">
        <f>IFERROR(__xludf.DUMMYFUNCTION("TO_PURE_NUMBER(SUM(FILTER(I44:BP44, ISEVEN(COLUMN(I44:BP44))))-SUM(FILTER(I44:BP44, ISODD(COLUMN(I44:BP44)))))*24"),190)</f>
        <v>190</v>
      </c>
    </row>
    <row r="45" customHeight="1" spans="1:69">
      <c r="A45" s="7">
        <v>10320435</v>
      </c>
      <c r="B45" s="8" t="s">
        <v>71</v>
      </c>
      <c r="C45" s="7" t="s">
        <v>20</v>
      </c>
      <c r="D45" s="7" t="s">
        <v>21</v>
      </c>
      <c r="E45" s="8" t="s">
        <v>22</v>
      </c>
      <c r="F45" s="9">
        <v>3</v>
      </c>
      <c r="G45" s="8">
        <v>0.5</v>
      </c>
      <c r="H45" s="8">
        <v>0.875</v>
      </c>
      <c r="I45" s="8">
        <v>0.5</v>
      </c>
      <c r="J45" s="8">
        <v>0.875</v>
      </c>
      <c r="K45" s="8">
        <v>0.5</v>
      </c>
      <c r="L45" s="8">
        <v>0.875</v>
      </c>
      <c r="M45" s="156" t="s">
        <v>23</v>
      </c>
      <c r="N45" s="156" t="s">
        <v>23</v>
      </c>
      <c r="O45" s="156" t="s">
        <v>23</v>
      </c>
      <c r="P45" s="156" t="s">
        <v>23</v>
      </c>
      <c r="Q45" s="8">
        <v>0.375</v>
      </c>
      <c r="R45" s="8">
        <v>0.75</v>
      </c>
      <c r="S45" s="8">
        <v>0.375</v>
      </c>
      <c r="T45" s="8">
        <v>0.75</v>
      </c>
      <c r="U45" s="8">
        <v>0.375</v>
      </c>
      <c r="V45" s="8">
        <v>0.75</v>
      </c>
      <c r="W45" s="8">
        <v>0.375</v>
      </c>
      <c r="X45" s="8">
        <v>0.75</v>
      </c>
      <c r="Y45" s="8">
        <v>0.375</v>
      </c>
      <c r="Z45" s="8">
        <v>0.75</v>
      </c>
      <c r="AA45" s="156" t="s">
        <v>23</v>
      </c>
      <c r="AB45" s="156" t="s">
        <v>23</v>
      </c>
      <c r="AC45" s="156" t="s">
        <v>23</v>
      </c>
      <c r="AD45" s="156" t="s">
        <v>23</v>
      </c>
      <c r="AE45" s="8">
        <v>0.5</v>
      </c>
      <c r="AF45" s="8">
        <v>0.875</v>
      </c>
      <c r="AG45" s="8">
        <v>0.5</v>
      </c>
      <c r="AH45" s="8">
        <v>0.875</v>
      </c>
      <c r="AI45" s="8">
        <v>0.5</v>
      </c>
      <c r="AJ45" s="8">
        <v>0.875</v>
      </c>
      <c r="AK45" s="8">
        <v>0.5</v>
      </c>
      <c r="AL45" s="8">
        <v>0.875</v>
      </c>
      <c r="AM45" s="8">
        <v>0.5</v>
      </c>
      <c r="AN45" s="8">
        <v>0.875</v>
      </c>
      <c r="AO45" s="156" t="s">
        <v>23</v>
      </c>
      <c r="AP45" s="156" t="s">
        <v>23</v>
      </c>
      <c r="AQ45" s="156" t="s">
        <v>23</v>
      </c>
      <c r="AR45" s="156" t="s">
        <v>23</v>
      </c>
      <c r="AS45" s="8">
        <v>0.375</v>
      </c>
      <c r="AT45" s="8">
        <v>0.75</v>
      </c>
      <c r="AU45" s="8">
        <v>0.375</v>
      </c>
      <c r="AV45" s="8">
        <v>0.75</v>
      </c>
      <c r="AW45" s="8">
        <v>0.375</v>
      </c>
      <c r="AX45" s="8">
        <v>0.75</v>
      </c>
      <c r="AY45" s="8">
        <v>0.375</v>
      </c>
      <c r="AZ45" s="8">
        <v>0.75</v>
      </c>
      <c r="BA45" s="8">
        <v>0.375</v>
      </c>
      <c r="BB45" s="8">
        <v>0.75</v>
      </c>
      <c r="BC45" s="156" t="s">
        <v>23</v>
      </c>
      <c r="BD45" s="156" t="s">
        <v>23</v>
      </c>
      <c r="BE45" s="156" t="s">
        <v>23</v>
      </c>
      <c r="BF45" s="156" t="s">
        <v>23</v>
      </c>
      <c r="BG45" s="8">
        <v>0.5</v>
      </c>
      <c r="BH45" s="8">
        <v>0.875</v>
      </c>
      <c r="BI45" s="8">
        <v>0.5</v>
      </c>
      <c r="BJ45" s="8">
        <v>0.875</v>
      </c>
      <c r="BK45" s="8">
        <v>0.5</v>
      </c>
      <c r="BL45" s="8">
        <v>0.875</v>
      </c>
      <c r="BM45" s="8">
        <v>0.5</v>
      </c>
      <c r="BN45" s="8">
        <v>0.875</v>
      </c>
      <c r="BO45" s="8">
        <v>0.5</v>
      </c>
      <c r="BP45" s="8">
        <v>0.875</v>
      </c>
      <c r="BQ45" s="21">
        <f>IFERROR(__xludf.DUMMYFUNCTION("TO_PURE_NUMBER(SUM(FILTER(I45:BP45, ISEVEN(COLUMN(I45:BP45))))-SUM(FILTER(I45:BP45, ISODD(COLUMN(I45:BP45)))))*24"),198)</f>
        <v>198</v>
      </c>
    </row>
    <row r="46" customHeight="1" spans="1:69">
      <c r="A46" s="7">
        <v>10316683</v>
      </c>
      <c r="B46" s="8" t="s">
        <v>51</v>
      </c>
      <c r="C46" s="7" t="s">
        <v>20</v>
      </c>
      <c r="D46" s="7" t="s">
        <v>21</v>
      </c>
      <c r="E46" s="8" t="s">
        <v>22</v>
      </c>
      <c r="F46" s="9">
        <v>1</v>
      </c>
      <c r="G46" s="8">
        <v>0.5</v>
      </c>
      <c r="H46" s="8">
        <v>0.875</v>
      </c>
      <c r="I46" s="8">
        <v>0.5</v>
      </c>
      <c r="J46" s="8">
        <v>0.875</v>
      </c>
      <c r="K46" s="8">
        <v>0.5</v>
      </c>
      <c r="L46" s="8">
        <v>0.875</v>
      </c>
      <c r="M46" s="156" t="s">
        <v>23</v>
      </c>
      <c r="N46" s="156" t="s">
        <v>23</v>
      </c>
      <c r="O46" s="156" t="s">
        <v>23</v>
      </c>
      <c r="P46" s="156" t="s">
        <v>23</v>
      </c>
      <c r="Q46" s="8">
        <v>0.375</v>
      </c>
      <c r="R46" s="8">
        <v>0.75</v>
      </c>
      <c r="S46" s="8">
        <v>0.375</v>
      </c>
      <c r="T46" s="8">
        <v>0.75</v>
      </c>
      <c r="U46" s="8">
        <v>0.375</v>
      </c>
      <c r="V46" s="8">
        <v>0.75</v>
      </c>
      <c r="W46" s="8">
        <v>0.375</v>
      </c>
      <c r="X46" s="8">
        <v>0.75</v>
      </c>
      <c r="Y46" s="8">
        <v>0.375</v>
      </c>
      <c r="Z46" s="8">
        <v>0.75</v>
      </c>
      <c r="AA46" s="156" t="s">
        <v>23</v>
      </c>
      <c r="AB46" s="156" t="s">
        <v>23</v>
      </c>
      <c r="AC46" s="156" t="s">
        <v>23</v>
      </c>
      <c r="AD46" s="156" t="s">
        <v>23</v>
      </c>
      <c r="AE46" s="8">
        <v>0.5</v>
      </c>
      <c r="AF46" s="8">
        <v>0.875</v>
      </c>
      <c r="AG46" s="8">
        <v>0.5</v>
      </c>
      <c r="AH46" s="8">
        <v>0.875</v>
      </c>
      <c r="AI46" s="8">
        <v>0.5</v>
      </c>
      <c r="AJ46" s="8">
        <v>0.875</v>
      </c>
      <c r="AK46" s="8">
        <v>0.5</v>
      </c>
      <c r="AL46" s="8">
        <v>0.875</v>
      </c>
      <c r="AM46" s="8">
        <v>0.5</v>
      </c>
      <c r="AN46" s="8">
        <v>0.875</v>
      </c>
      <c r="AO46" s="156" t="s">
        <v>23</v>
      </c>
      <c r="AP46" s="156" t="s">
        <v>23</v>
      </c>
      <c r="AQ46" s="156" t="s">
        <v>23</v>
      </c>
      <c r="AR46" s="156" t="s">
        <v>23</v>
      </c>
      <c r="AS46" s="8">
        <v>0.375</v>
      </c>
      <c r="AT46" s="8">
        <v>0.75</v>
      </c>
      <c r="AU46" s="8">
        <v>0.375</v>
      </c>
      <c r="AV46" s="8">
        <v>0.75</v>
      </c>
      <c r="AW46" s="8">
        <v>0.375</v>
      </c>
      <c r="AX46" s="8">
        <v>0.75</v>
      </c>
      <c r="AY46" s="8">
        <v>0.375</v>
      </c>
      <c r="AZ46" s="8">
        <v>0.75</v>
      </c>
      <c r="BA46" s="8">
        <v>0.375</v>
      </c>
      <c r="BB46" s="8">
        <v>0.75</v>
      </c>
      <c r="BC46" s="156" t="s">
        <v>23</v>
      </c>
      <c r="BD46" s="156" t="s">
        <v>23</v>
      </c>
      <c r="BE46" s="156" t="s">
        <v>23</v>
      </c>
      <c r="BF46" s="156" t="s">
        <v>23</v>
      </c>
      <c r="BG46" s="8">
        <v>0.5</v>
      </c>
      <c r="BH46" s="8">
        <v>0.875</v>
      </c>
      <c r="BI46" s="8">
        <v>0.5</v>
      </c>
      <c r="BJ46" s="8">
        <v>0.875</v>
      </c>
      <c r="BK46" s="8">
        <v>0.5</v>
      </c>
      <c r="BL46" s="8">
        <v>0.875</v>
      </c>
      <c r="BM46" s="8">
        <v>0.5</v>
      </c>
      <c r="BN46" s="8">
        <v>0.875</v>
      </c>
      <c r="BO46" s="8">
        <v>0.5</v>
      </c>
      <c r="BP46" s="8">
        <v>0.875</v>
      </c>
      <c r="BQ46" s="21">
        <f>IFERROR(__xludf.DUMMYFUNCTION("TO_PURE_NUMBER(SUM(FILTER(I46:BP46, ISEVEN(COLUMN(I46:BP46))))-SUM(FILTER(I46:BP46, ISODD(COLUMN(I46:BP46)))))*24"),198)</f>
        <v>198</v>
      </c>
    </row>
    <row r="47" customHeight="1" spans="1:69">
      <c r="A47" s="7">
        <v>10316540</v>
      </c>
      <c r="B47" s="8" t="s">
        <v>30</v>
      </c>
      <c r="C47" s="7" t="s">
        <v>20</v>
      </c>
      <c r="D47" s="7" t="s">
        <v>86</v>
      </c>
      <c r="E47" s="8" t="s">
        <v>22</v>
      </c>
      <c r="F47" s="9">
        <v>1</v>
      </c>
      <c r="G47" s="8">
        <v>0.5</v>
      </c>
      <c r="H47" s="8">
        <v>0.875</v>
      </c>
      <c r="I47" s="8">
        <v>0.5</v>
      </c>
      <c r="J47" s="8">
        <v>0.875</v>
      </c>
      <c r="K47" s="8">
        <v>0.5</v>
      </c>
      <c r="L47" s="8">
        <v>0.875</v>
      </c>
      <c r="M47" s="156" t="s">
        <v>23</v>
      </c>
      <c r="N47" s="156" t="s">
        <v>23</v>
      </c>
      <c r="O47" s="156" t="s">
        <v>23</v>
      </c>
      <c r="P47" s="156" t="s">
        <v>23</v>
      </c>
      <c r="Q47" s="8">
        <v>0.5</v>
      </c>
      <c r="R47" s="8">
        <v>0.875</v>
      </c>
      <c r="S47" s="8">
        <v>0.5</v>
      </c>
      <c r="T47" s="8">
        <v>0.875</v>
      </c>
      <c r="U47" s="8">
        <v>0.5</v>
      </c>
      <c r="V47" s="8">
        <v>0.875</v>
      </c>
      <c r="W47" s="8">
        <v>0.5</v>
      </c>
      <c r="X47" s="8">
        <v>0.875</v>
      </c>
      <c r="Y47" s="8">
        <v>0.5</v>
      </c>
      <c r="Z47" s="8">
        <v>0.875</v>
      </c>
      <c r="AA47" s="156" t="s">
        <v>23</v>
      </c>
      <c r="AB47" s="156" t="s">
        <v>23</v>
      </c>
      <c r="AC47" s="156" t="s">
        <v>23</v>
      </c>
      <c r="AD47" s="156" t="s">
        <v>23</v>
      </c>
      <c r="AE47" s="8">
        <v>0.375</v>
      </c>
      <c r="AF47" s="8">
        <v>0.75</v>
      </c>
      <c r="AG47" s="8">
        <v>0.375</v>
      </c>
      <c r="AH47" s="8">
        <v>0.75</v>
      </c>
      <c r="AI47" s="8">
        <v>0.375</v>
      </c>
      <c r="AJ47" s="8">
        <v>0.75</v>
      </c>
      <c r="AK47" s="8">
        <v>0.375</v>
      </c>
      <c r="AL47" s="8">
        <v>0.75</v>
      </c>
      <c r="AM47" s="8">
        <v>0.375</v>
      </c>
      <c r="AN47" s="8">
        <v>0.75</v>
      </c>
      <c r="AO47" s="156" t="s">
        <v>23</v>
      </c>
      <c r="AP47" s="156" t="s">
        <v>23</v>
      </c>
      <c r="AQ47" s="156" t="s">
        <v>23</v>
      </c>
      <c r="AR47" s="156" t="s">
        <v>23</v>
      </c>
      <c r="AS47" s="8">
        <v>0.5</v>
      </c>
      <c r="AT47" s="8">
        <v>0.875</v>
      </c>
      <c r="AU47" s="8">
        <v>0.5</v>
      </c>
      <c r="AV47" s="8">
        <v>0.875</v>
      </c>
      <c r="AW47" s="8">
        <v>0.5</v>
      </c>
      <c r="AX47" s="8">
        <v>0.875</v>
      </c>
      <c r="AY47" s="8">
        <v>0.5</v>
      </c>
      <c r="AZ47" s="8">
        <v>0.875</v>
      </c>
      <c r="BA47" s="8">
        <v>0.5</v>
      </c>
      <c r="BB47" s="8">
        <v>0.875</v>
      </c>
      <c r="BC47" s="156" t="s">
        <v>23</v>
      </c>
      <c r="BD47" s="156" t="s">
        <v>23</v>
      </c>
      <c r="BE47" s="156" t="s">
        <v>23</v>
      </c>
      <c r="BF47" s="156" t="s">
        <v>23</v>
      </c>
      <c r="BG47" s="8">
        <v>0.375</v>
      </c>
      <c r="BH47" s="8">
        <v>0.75</v>
      </c>
      <c r="BI47" s="8">
        <v>0.375</v>
      </c>
      <c r="BJ47" s="8">
        <v>0.75</v>
      </c>
      <c r="BK47" s="8">
        <v>0.375</v>
      </c>
      <c r="BL47" s="8">
        <v>0.75</v>
      </c>
      <c r="BM47" s="8">
        <v>0.375</v>
      </c>
      <c r="BN47" s="8">
        <v>0.75</v>
      </c>
      <c r="BO47" s="8">
        <v>0.375</v>
      </c>
      <c r="BP47" s="8">
        <v>0.75</v>
      </c>
      <c r="BQ47" s="21">
        <f>IFERROR(__xludf.DUMMYFUNCTION("TO_PURE_NUMBER(SUM(FILTER(I47:BP47, ISEVEN(COLUMN(I47:BP47))))-SUM(FILTER(I47:BP47, ISODD(COLUMN(I47:BP47)))))*24"),198)</f>
        <v>198</v>
      </c>
    </row>
    <row r="48" customHeight="1" spans="1:69">
      <c r="A48" s="7">
        <v>10293627</v>
      </c>
      <c r="B48" s="8" t="s">
        <v>92</v>
      </c>
      <c r="C48" s="7" t="s">
        <v>20</v>
      </c>
      <c r="D48" s="7" t="s">
        <v>21</v>
      </c>
      <c r="E48" s="8" t="s">
        <v>22</v>
      </c>
      <c r="F48" s="9">
        <v>3</v>
      </c>
      <c r="G48" s="8">
        <v>0.458333333333333</v>
      </c>
      <c r="H48" s="8">
        <v>0.875</v>
      </c>
      <c r="I48" s="8">
        <v>0.458333333333333</v>
      </c>
      <c r="J48" s="8">
        <v>0.875</v>
      </c>
      <c r="K48" s="156" t="s">
        <v>23</v>
      </c>
      <c r="L48" s="156" t="s">
        <v>23</v>
      </c>
      <c r="M48" s="156" t="s">
        <v>23</v>
      </c>
      <c r="N48" s="156" t="s">
        <v>23</v>
      </c>
      <c r="O48" s="8">
        <v>0.458333333333333</v>
      </c>
      <c r="P48" s="8">
        <v>0.666666666666667</v>
      </c>
      <c r="Q48" s="8">
        <v>0.375</v>
      </c>
      <c r="R48" s="8">
        <v>0.791666666666667</v>
      </c>
      <c r="S48" s="8">
        <v>0.375</v>
      </c>
      <c r="T48" s="8">
        <v>0.791666666666667</v>
      </c>
      <c r="U48" s="8">
        <v>0.375</v>
      </c>
      <c r="V48" s="8">
        <v>0.791666666666667</v>
      </c>
      <c r="W48" s="8">
        <v>0.375</v>
      </c>
      <c r="X48" s="8">
        <v>0.791666666666667</v>
      </c>
      <c r="Y48" s="156" t="s">
        <v>23</v>
      </c>
      <c r="Z48" s="156" t="s">
        <v>23</v>
      </c>
      <c r="AA48" s="156" t="s">
        <v>23</v>
      </c>
      <c r="AB48" s="156" t="s">
        <v>23</v>
      </c>
      <c r="AC48" s="8">
        <v>0.458333333333333</v>
      </c>
      <c r="AD48" s="8">
        <v>0.666666666666667</v>
      </c>
      <c r="AE48" s="8">
        <v>0.458333333333333</v>
      </c>
      <c r="AF48" s="8">
        <v>0.875</v>
      </c>
      <c r="AG48" s="8">
        <v>0.458333333333333</v>
      </c>
      <c r="AH48" s="8">
        <v>0.875</v>
      </c>
      <c r="AI48" s="8">
        <v>0.458333333333333</v>
      </c>
      <c r="AJ48" s="8">
        <v>0.875</v>
      </c>
      <c r="AK48" s="8">
        <v>0.458333333333333</v>
      </c>
      <c r="AL48" s="8">
        <v>0.875</v>
      </c>
      <c r="AM48" s="156" t="s">
        <v>23</v>
      </c>
      <c r="AN48" s="156" t="s">
        <v>23</v>
      </c>
      <c r="AO48" s="156" t="s">
        <v>23</v>
      </c>
      <c r="AP48" s="156" t="s">
        <v>23</v>
      </c>
      <c r="AQ48" s="8">
        <v>0.458333333333333</v>
      </c>
      <c r="AR48" s="8">
        <v>0.666666666666667</v>
      </c>
      <c r="AS48" s="8">
        <v>0.375</v>
      </c>
      <c r="AT48" s="8">
        <v>0.791666666666667</v>
      </c>
      <c r="AU48" s="8">
        <v>0.375</v>
      </c>
      <c r="AV48" s="8">
        <v>0.791666666666667</v>
      </c>
      <c r="AW48" s="8">
        <v>0.375</v>
      </c>
      <c r="AX48" s="8">
        <v>0.791666666666667</v>
      </c>
      <c r="AY48" s="8">
        <v>0.375</v>
      </c>
      <c r="AZ48" s="8">
        <v>0.791666666666667</v>
      </c>
      <c r="BA48" s="156" t="s">
        <v>23</v>
      </c>
      <c r="BB48" s="156" t="s">
        <v>23</v>
      </c>
      <c r="BC48" s="156" t="s">
        <v>23</v>
      </c>
      <c r="BD48" s="156" t="s">
        <v>23</v>
      </c>
      <c r="BE48" s="8">
        <v>0.458333333333333</v>
      </c>
      <c r="BF48" s="8">
        <v>0.666666666666667</v>
      </c>
      <c r="BG48" s="8">
        <v>0.458333333333333</v>
      </c>
      <c r="BH48" s="8">
        <v>0.875</v>
      </c>
      <c r="BI48" s="8">
        <v>0.458333333333333</v>
      </c>
      <c r="BJ48" s="8">
        <v>0.875</v>
      </c>
      <c r="BK48" s="8">
        <v>0.458333333333333</v>
      </c>
      <c r="BL48" s="8">
        <v>0.875</v>
      </c>
      <c r="BM48" s="8">
        <v>0.458333333333333</v>
      </c>
      <c r="BN48" s="8">
        <v>0.875</v>
      </c>
      <c r="BO48" s="156" t="s">
        <v>23</v>
      </c>
      <c r="BP48" s="156" t="s">
        <v>23</v>
      </c>
      <c r="BQ48" s="21">
        <f>IFERROR(__xludf.DUMMYFUNCTION("TO_PURE_NUMBER(SUM(FILTER(I48:BP48, ISEVEN(COLUMN(I48:BP48))))-SUM(FILTER(I48:BP48, ISODD(COLUMN(I48:BP48)))))*24"),189.999999999999)</f>
        <v>189.999999999999</v>
      </c>
    </row>
    <row r="49" customHeight="1" spans="1:69">
      <c r="A49" s="7">
        <v>10320409</v>
      </c>
      <c r="B49" s="8" t="s">
        <v>57</v>
      </c>
      <c r="C49" s="7" t="s">
        <v>20</v>
      </c>
      <c r="D49" s="7" t="s">
        <v>21</v>
      </c>
      <c r="E49" s="8" t="s">
        <v>22</v>
      </c>
      <c r="F49" s="9">
        <v>3</v>
      </c>
      <c r="G49" s="156" t="s">
        <v>23</v>
      </c>
      <c r="H49" s="156" t="s">
        <v>23</v>
      </c>
      <c r="I49" s="8">
        <v>0.375</v>
      </c>
      <c r="J49" s="8">
        <v>0.75</v>
      </c>
      <c r="K49" s="8">
        <v>0.375</v>
      </c>
      <c r="L49" s="8">
        <v>0.75</v>
      </c>
      <c r="M49" s="8">
        <v>0.458333333333333</v>
      </c>
      <c r="N49" s="8">
        <v>0.666666666666667</v>
      </c>
      <c r="O49" s="8">
        <v>0.458333333333333</v>
      </c>
      <c r="P49" s="8">
        <v>0.666666666666667</v>
      </c>
      <c r="Q49" s="156" t="s">
        <v>23</v>
      </c>
      <c r="R49" s="156" t="s">
        <v>23</v>
      </c>
      <c r="S49" s="8">
        <v>0.375</v>
      </c>
      <c r="T49" s="8">
        <v>0.791666666666667</v>
      </c>
      <c r="U49" s="8">
        <v>0.375</v>
      </c>
      <c r="V49" s="8">
        <v>0.791666666666667</v>
      </c>
      <c r="W49" s="8">
        <v>0.375</v>
      </c>
      <c r="X49" s="8">
        <v>0.791666666666667</v>
      </c>
      <c r="Y49" s="8">
        <v>0.375</v>
      </c>
      <c r="Z49" s="8">
        <v>0.791666666666667</v>
      </c>
      <c r="AA49" s="8">
        <v>0.458333333333333</v>
      </c>
      <c r="AB49" s="8">
        <v>0.666666666666667</v>
      </c>
      <c r="AC49" s="156" t="s">
        <v>23</v>
      </c>
      <c r="AD49" s="156" t="s">
        <v>23</v>
      </c>
      <c r="AE49" s="156" t="s">
        <v>23</v>
      </c>
      <c r="AF49" s="156" t="s">
        <v>23</v>
      </c>
      <c r="AG49" s="8">
        <v>0.458333333333333</v>
      </c>
      <c r="AH49" s="8">
        <v>0.875</v>
      </c>
      <c r="AI49" s="8">
        <v>0.458333333333333</v>
      </c>
      <c r="AJ49" s="8">
        <v>0.875</v>
      </c>
      <c r="AK49" s="8">
        <v>0.458333333333333</v>
      </c>
      <c r="AL49" s="8">
        <v>0.875</v>
      </c>
      <c r="AM49" s="8">
        <v>0.458333333333333</v>
      </c>
      <c r="AN49" s="8">
        <v>0.875</v>
      </c>
      <c r="AO49" s="8">
        <v>0.458333333333333</v>
      </c>
      <c r="AP49" s="8">
        <v>0.666666666666667</v>
      </c>
      <c r="AQ49" s="156" t="s">
        <v>23</v>
      </c>
      <c r="AR49" s="156" t="s">
        <v>23</v>
      </c>
      <c r="AS49" s="156" t="s">
        <v>23</v>
      </c>
      <c r="AT49" s="156" t="s">
        <v>23</v>
      </c>
      <c r="AU49" s="8">
        <v>0.375</v>
      </c>
      <c r="AV49" s="8">
        <v>0.791666666666667</v>
      </c>
      <c r="AW49" s="8">
        <v>0.375</v>
      </c>
      <c r="AX49" s="8">
        <v>0.791666666666667</v>
      </c>
      <c r="AY49" s="8">
        <v>0.375</v>
      </c>
      <c r="AZ49" s="8">
        <v>0.791666666666667</v>
      </c>
      <c r="BA49" s="8">
        <v>0.375</v>
      </c>
      <c r="BB49" s="8">
        <v>0.791666666666667</v>
      </c>
      <c r="BC49" s="8">
        <v>0.458333333333333</v>
      </c>
      <c r="BD49" s="8">
        <v>0.666666666666667</v>
      </c>
      <c r="BE49" s="156" t="s">
        <v>23</v>
      </c>
      <c r="BF49" s="156" t="s">
        <v>23</v>
      </c>
      <c r="BG49" s="156" t="s">
        <v>23</v>
      </c>
      <c r="BH49" s="156" t="s">
        <v>23</v>
      </c>
      <c r="BI49" s="8">
        <v>0.458333333333333</v>
      </c>
      <c r="BJ49" s="8">
        <v>0.875</v>
      </c>
      <c r="BK49" s="8">
        <v>0.458333333333333</v>
      </c>
      <c r="BL49" s="8">
        <v>0.875</v>
      </c>
      <c r="BM49" s="8">
        <v>0.458333333333333</v>
      </c>
      <c r="BN49" s="8">
        <v>0.875</v>
      </c>
      <c r="BO49" s="8">
        <v>0.458333333333333</v>
      </c>
      <c r="BP49" s="8">
        <v>0.875</v>
      </c>
      <c r="BQ49" s="21">
        <f>IFERROR(__xludf.DUMMYFUNCTION("TO_PURE_NUMBER(SUM(FILTER(I49:BP49, ISEVEN(COLUMN(I49:BP49))))-SUM(FILTER(I49:BP49, ISODD(COLUMN(I49:BP49)))))*24"),202.999999999999)</f>
        <v>202.999999999999</v>
      </c>
    </row>
    <row r="50" customHeight="1" spans="1:69">
      <c r="A50" s="7">
        <v>10317151</v>
      </c>
      <c r="B50" s="8" t="s">
        <v>52</v>
      </c>
      <c r="C50" s="7" t="s">
        <v>20</v>
      </c>
      <c r="D50" s="7" t="s">
        <v>86</v>
      </c>
      <c r="E50" s="8" t="s">
        <v>22</v>
      </c>
      <c r="F50" s="9">
        <v>1</v>
      </c>
      <c r="G50" s="8">
        <v>0.375</v>
      </c>
      <c r="H50" s="8">
        <v>0.75</v>
      </c>
      <c r="I50" s="8">
        <v>0.375</v>
      </c>
      <c r="J50" s="8">
        <v>0.75</v>
      </c>
      <c r="K50" s="8">
        <v>0.375</v>
      </c>
      <c r="L50" s="8">
        <v>0.75</v>
      </c>
      <c r="M50" s="156" t="s">
        <v>23</v>
      </c>
      <c r="N50" s="156" t="s">
        <v>23</v>
      </c>
      <c r="O50" s="156" t="s">
        <v>23</v>
      </c>
      <c r="P50" s="156" t="s">
        <v>23</v>
      </c>
      <c r="Q50" s="8">
        <v>0.375</v>
      </c>
      <c r="R50" s="8">
        <v>0.75</v>
      </c>
      <c r="S50" s="8">
        <v>0.375</v>
      </c>
      <c r="T50" s="8">
        <v>0.75</v>
      </c>
      <c r="U50" s="8">
        <v>0.375</v>
      </c>
      <c r="V50" s="8">
        <v>0.75</v>
      </c>
      <c r="W50" s="8">
        <v>0.375</v>
      </c>
      <c r="X50" s="8">
        <v>0.75</v>
      </c>
      <c r="Y50" s="8">
        <v>0.375</v>
      </c>
      <c r="Z50" s="8">
        <v>0.75</v>
      </c>
      <c r="AA50" s="156" t="s">
        <v>23</v>
      </c>
      <c r="AB50" s="156" t="s">
        <v>23</v>
      </c>
      <c r="AC50" s="156" t="s">
        <v>23</v>
      </c>
      <c r="AD50" s="156" t="s">
        <v>23</v>
      </c>
      <c r="AE50" s="8">
        <v>0.5</v>
      </c>
      <c r="AF50" s="8">
        <v>0.875</v>
      </c>
      <c r="AG50" s="8">
        <v>0.5</v>
      </c>
      <c r="AH50" s="8">
        <v>0.875</v>
      </c>
      <c r="AI50" s="8">
        <v>0.5</v>
      </c>
      <c r="AJ50" s="8">
        <v>0.875</v>
      </c>
      <c r="AK50" s="8">
        <v>0.5</v>
      </c>
      <c r="AL50" s="8">
        <v>0.875</v>
      </c>
      <c r="AM50" s="8">
        <v>0.5</v>
      </c>
      <c r="AN50" s="8">
        <v>0.875</v>
      </c>
      <c r="AO50" s="156" t="s">
        <v>23</v>
      </c>
      <c r="AP50" s="156" t="s">
        <v>23</v>
      </c>
      <c r="AQ50" s="156" t="s">
        <v>23</v>
      </c>
      <c r="AR50" s="156" t="s">
        <v>23</v>
      </c>
      <c r="AS50" s="8">
        <v>0.375</v>
      </c>
      <c r="AT50" s="8">
        <v>0.75</v>
      </c>
      <c r="AU50" s="8">
        <v>0.375</v>
      </c>
      <c r="AV50" s="8">
        <v>0.75</v>
      </c>
      <c r="AW50" s="8">
        <v>0.375</v>
      </c>
      <c r="AX50" s="8">
        <v>0.75</v>
      </c>
      <c r="AY50" s="8">
        <v>0.375</v>
      </c>
      <c r="AZ50" s="8">
        <v>0.75</v>
      </c>
      <c r="BA50" s="8">
        <v>0.375</v>
      </c>
      <c r="BB50" s="8">
        <v>0.75</v>
      </c>
      <c r="BC50" s="156" t="s">
        <v>23</v>
      </c>
      <c r="BD50" s="156" t="s">
        <v>23</v>
      </c>
      <c r="BE50" s="156" t="s">
        <v>23</v>
      </c>
      <c r="BF50" s="156" t="s">
        <v>23</v>
      </c>
      <c r="BG50" s="8">
        <v>0.5</v>
      </c>
      <c r="BH50" s="8">
        <v>0.875</v>
      </c>
      <c r="BI50" s="8">
        <v>0.5</v>
      </c>
      <c r="BJ50" s="8">
        <v>0.875</v>
      </c>
      <c r="BK50" s="8">
        <v>0.5</v>
      </c>
      <c r="BL50" s="8">
        <v>0.875</v>
      </c>
      <c r="BM50" s="8">
        <v>0.5</v>
      </c>
      <c r="BN50" s="8">
        <v>0.875</v>
      </c>
      <c r="BO50" s="8">
        <v>0.5</v>
      </c>
      <c r="BP50" s="8">
        <v>0.875</v>
      </c>
      <c r="BQ50" s="21">
        <f>IFERROR(__xludf.DUMMYFUNCTION("TO_PURE_NUMBER(SUM(FILTER(I50:BP50, ISEVEN(COLUMN(I50:BP50))))-SUM(FILTER(I50:BP50, ISODD(COLUMN(I50:BP50)))))*24"),198)</f>
        <v>198</v>
      </c>
    </row>
    <row r="51" customHeight="1" spans="1:69">
      <c r="A51" s="7">
        <v>10317524</v>
      </c>
      <c r="B51" s="8" t="s">
        <v>53</v>
      </c>
      <c r="C51" s="7" t="s">
        <v>20</v>
      </c>
      <c r="D51" s="7" t="s">
        <v>21</v>
      </c>
      <c r="E51" s="8" t="s">
        <v>22</v>
      </c>
      <c r="F51" s="9">
        <v>2</v>
      </c>
      <c r="G51" s="8">
        <v>0.375</v>
      </c>
      <c r="H51" s="8">
        <v>0.791666666666667</v>
      </c>
      <c r="I51" s="8">
        <v>0.375</v>
      </c>
      <c r="J51" s="8">
        <v>0.791666666666667</v>
      </c>
      <c r="K51" s="8">
        <v>0.375</v>
      </c>
      <c r="L51" s="8">
        <v>0.791666666666667</v>
      </c>
      <c r="M51" s="8">
        <v>0.458333333333333</v>
      </c>
      <c r="N51" s="8">
        <v>0.666666666666667</v>
      </c>
      <c r="O51" s="156" t="s">
        <v>23</v>
      </c>
      <c r="P51" s="156" t="s">
        <v>23</v>
      </c>
      <c r="Q51" s="156" t="s">
        <v>23</v>
      </c>
      <c r="R51" s="156" t="s">
        <v>23</v>
      </c>
      <c r="S51" s="8">
        <v>0.458333333333333</v>
      </c>
      <c r="T51" s="8">
        <v>0.875</v>
      </c>
      <c r="U51" s="8">
        <v>0.458333333333333</v>
      </c>
      <c r="V51" s="8">
        <v>0.875</v>
      </c>
      <c r="W51" s="8">
        <v>0.458333333333333</v>
      </c>
      <c r="X51" s="8">
        <v>0.875</v>
      </c>
      <c r="Y51" s="8">
        <v>0.458333333333333</v>
      </c>
      <c r="Z51" s="8">
        <v>0.875</v>
      </c>
      <c r="AA51" s="8">
        <v>0.458333333333333</v>
      </c>
      <c r="AB51" s="8">
        <v>0.666666666666667</v>
      </c>
      <c r="AC51" s="156" t="s">
        <v>23</v>
      </c>
      <c r="AD51" s="156" t="s">
        <v>23</v>
      </c>
      <c r="AE51" s="156" t="s">
        <v>23</v>
      </c>
      <c r="AF51" s="156" t="s">
        <v>23</v>
      </c>
      <c r="AG51" s="8">
        <v>0.375</v>
      </c>
      <c r="AH51" s="8">
        <v>0.791666666666667</v>
      </c>
      <c r="AI51" s="8">
        <v>0.375</v>
      </c>
      <c r="AJ51" s="8">
        <v>0.791666666666667</v>
      </c>
      <c r="AK51" s="8">
        <v>0.375</v>
      </c>
      <c r="AL51" s="8">
        <v>0.791666666666667</v>
      </c>
      <c r="AM51" s="8">
        <v>0.375</v>
      </c>
      <c r="AN51" s="8">
        <v>0.791666666666667</v>
      </c>
      <c r="AO51" s="8">
        <v>0.458333333333333</v>
      </c>
      <c r="AP51" s="8">
        <v>0.666666666666667</v>
      </c>
      <c r="AQ51" s="156" t="s">
        <v>23</v>
      </c>
      <c r="AR51" s="156" t="s">
        <v>23</v>
      </c>
      <c r="AS51" s="156" t="s">
        <v>23</v>
      </c>
      <c r="AT51" s="156" t="s">
        <v>23</v>
      </c>
      <c r="AU51" s="8">
        <v>0.458333333333333</v>
      </c>
      <c r="AV51" s="8">
        <v>0.875</v>
      </c>
      <c r="AW51" s="8">
        <v>0.458333333333333</v>
      </c>
      <c r="AX51" s="8">
        <v>0.875</v>
      </c>
      <c r="AY51" s="8">
        <v>0.458333333333333</v>
      </c>
      <c r="AZ51" s="8">
        <v>0.875</v>
      </c>
      <c r="BA51" s="8">
        <v>0.458333333333333</v>
      </c>
      <c r="BB51" s="8">
        <v>0.875</v>
      </c>
      <c r="BC51" s="8">
        <v>0.458333333333333</v>
      </c>
      <c r="BD51" s="8">
        <v>0.666666666666667</v>
      </c>
      <c r="BE51" s="156" t="s">
        <v>23</v>
      </c>
      <c r="BF51" s="156" t="s">
        <v>23</v>
      </c>
      <c r="BG51" s="156" t="s">
        <v>23</v>
      </c>
      <c r="BH51" s="156" t="s">
        <v>23</v>
      </c>
      <c r="BI51" s="8">
        <v>0.375</v>
      </c>
      <c r="BJ51" s="8">
        <v>0.791666666666667</v>
      </c>
      <c r="BK51" s="8">
        <v>0.375</v>
      </c>
      <c r="BL51" s="8">
        <v>0.791666666666667</v>
      </c>
      <c r="BM51" s="8">
        <v>0.375</v>
      </c>
      <c r="BN51" s="8">
        <v>0.791666666666667</v>
      </c>
      <c r="BO51" s="8">
        <v>0.375</v>
      </c>
      <c r="BP51" s="8">
        <v>0.791666666666667</v>
      </c>
      <c r="BQ51" s="21">
        <f>IFERROR(__xludf.DUMMYFUNCTION("TO_PURE_NUMBER(SUM(FILTER(I51:BP51, ISEVEN(COLUMN(I51:BP51))))-SUM(FILTER(I51:BP51, ISODD(COLUMN(I51:BP51)))))*24"),200)</f>
        <v>200</v>
      </c>
    </row>
    <row r="52" customHeight="1" spans="2:2">
      <c r="B52" s="157"/>
    </row>
    <row r="53" customHeight="1" spans="2:4">
      <c r="B53" s="157"/>
      <c r="C53" s="85"/>
      <c r="D53" s="85"/>
    </row>
    <row r="54" customHeight="1" spans="2:4">
      <c r="B54" s="157"/>
      <c r="C54" s="85"/>
      <c r="D54" s="85"/>
    </row>
    <row r="55" customHeight="1" spans="2:4">
      <c r="B55" s="157"/>
      <c r="C55" s="85"/>
      <c r="D55" s="85"/>
    </row>
    <row r="56" customHeight="1" spans="2:4">
      <c r="B56" s="157"/>
      <c r="C56" s="85"/>
      <c r="D56" s="85"/>
    </row>
    <row r="57" customHeight="1" spans="2:4">
      <c r="B57" s="157"/>
      <c r="C57" s="85"/>
      <c r="D57" s="85"/>
    </row>
    <row r="58" customHeight="1" spans="2:4">
      <c r="B58" s="157"/>
      <c r="C58" s="85"/>
      <c r="D58" s="85"/>
    </row>
    <row r="59" customHeight="1" spans="2:4">
      <c r="B59" s="157"/>
      <c r="C59" s="85"/>
      <c r="D59" s="85"/>
    </row>
    <row r="60" customHeight="1" spans="2:4">
      <c r="B60" s="157"/>
      <c r="C60" s="85"/>
      <c r="D60" s="85"/>
    </row>
    <row r="61" customHeight="1" spans="2:4">
      <c r="B61" s="157"/>
      <c r="C61" s="85"/>
      <c r="D61" s="85"/>
    </row>
    <row r="62" customHeight="1" spans="2:4">
      <c r="B62" s="157"/>
      <c r="C62" s="85"/>
      <c r="D62" s="85"/>
    </row>
    <row r="63" customHeight="1" spans="2:4">
      <c r="B63" s="157"/>
      <c r="C63" s="85"/>
      <c r="D63" s="85"/>
    </row>
    <row r="64" customHeight="1" spans="2:4">
      <c r="B64" s="157"/>
      <c r="C64" s="85"/>
      <c r="D64" s="85"/>
    </row>
    <row r="65" customHeight="1" spans="2:4">
      <c r="B65" s="157"/>
      <c r="C65" s="85"/>
      <c r="D65" s="85"/>
    </row>
    <row r="66" customHeight="1" spans="2:4">
      <c r="B66" s="157"/>
      <c r="C66" s="85"/>
      <c r="D66" s="85"/>
    </row>
    <row r="67" customHeight="1" spans="2:4">
      <c r="B67" s="157"/>
      <c r="C67" s="85"/>
      <c r="D67" s="85"/>
    </row>
    <row r="68" customHeight="1" spans="2:4">
      <c r="B68" s="157"/>
      <c r="C68" s="85"/>
      <c r="D68" s="85"/>
    </row>
    <row r="69" customHeight="1" spans="2:4">
      <c r="B69" s="157"/>
      <c r="C69" s="85"/>
      <c r="D69" s="85"/>
    </row>
    <row r="70" customHeight="1" spans="2:4">
      <c r="B70" s="157"/>
      <c r="C70" s="85"/>
      <c r="D70" s="85"/>
    </row>
    <row r="71" customHeight="1" spans="2:4">
      <c r="B71" s="157"/>
      <c r="C71" s="85"/>
      <c r="D71" s="85"/>
    </row>
    <row r="72" customHeight="1" spans="2:4">
      <c r="B72" s="157"/>
      <c r="C72" s="85"/>
      <c r="D72" s="85"/>
    </row>
    <row r="73" customHeight="1" spans="2:4">
      <c r="B73" s="157"/>
      <c r="C73" s="85"/>
      <c r="D73" s="85"/>
    </row>
    <row r="74" customHeight="1" spans="2:4">
      <c r="B74" s="157"/>
      <c r="C74" s="85"/>
      <c r="D74" s="85"/>
    </row>
    <row r="75" customHeight="1" spans="2:4">
      <c r="B75" s="157"/>
      <c r="C75" s="85"/>
      <c r="D75" s="85"/>
    </row>
    <row r="76" customHeight="1" spans="2:4">
      <c r="B76" s="157"/>
      <c r="C76" s="85"/>
      <c r="D76" s="85"/>
    </row>
    <row r="77" customHeight="1" spans="2:4">
      <c r="B77" s="157"/>
      <c r="C77" s="85"/>
      <c r="D77" s="85"/>
    </row>
    <row r="78" customHeight="1" spans="2:4">
      <c r="B78" s="157"/>
      <c r="C78" s="85"/>
      <c r="D78" s="85"/>
    </row>
    <row r="79" customHeight="1" spans="2:4">
      <c r="B79" s="157"/>
      <c r="C79" s="85"/>
      <c r="D79" s="85"/>
    </row>
    <row r="80" customHeight="1" spans="2:4">
      <c r="B80" s="157"/>
      <c r="C80" s="85"/>
      <c r="D80" s="85"/>
    </row>
    <row r="81" customHeight="1" spans="2:4">
      <c r="B81" s="157"/>
      <c r="C81" s="85"/>
      <c r="D81" s="85"/>
    </row>
    <row r="82" customHeight="1" spans="2:4">
      <c r="B82" s="157"/>
      <c r="C82" s="85"/>
      <c r="D82" s="85"/>
    </row>
    <row r="83" customHeight="1" spans="2:4">
      <c r="B83" s="157"/>
      <c r="C83" s="85"/>
      <c r="D83" s="85"/>
    </row>
    <row r="84" customHeight="1" spans="2:4">
      <c r="B84" s="157"/>
      <c r="C84" s="85"/>
      <c r="D84" s="85"/>
    </row>
    <row r="85" customHeight="1" spans="2:4">
      <c r="B85" s="157"/>
      <c r="C85" s="85"/>
      <c r="D85" s="85"/>
    </row>
    <row r="86" customHeight="1" spans="2:4">
      <c r="B86" s="157"/>
      <c r="C86" s="85"/>
      <c r="D86" s="85"/>
    </row>
    <row r="87" customHeight="1" spans="2:4">
      <c r="B87" s="157"/>
      <c r="C87" s="85"/>
      <c r="D87" s="85"/>
    </row>
    <row r="88" customHeight="1" spans="2:4">
      <c r="B88" s="157"/>
      <c r="C88" s="85"/>
      <c r="D88" s="85"/>
    </row>
    <row r="89" customHeight="1" spans="2:4">
      <c r="B89" s="157"/>
      <c r="C89" s="85"/>
      <c r="D89" s="85"/>
    </row>
    <row r="90" customHeight="1" spans="2:4">
      <c r="B90" s="157"/>
      <c r="C90" s="85"/>
      <c r="D90" s="85"/>
    </row>
    <row r="91" customHeight="1" spans="2:4">
      <c r="B91" s="157"/>
      <c r="C91" s="85"/>
      <c r="D91" s="85"/>
    </row>
    <row r="92" customHeight="1" spans="2:4">
      <c r="B92" s="157"/>
      <c r="C92" s="85"/>
      <c r="D92" s="85"/>
    </row>
    <row r="93" customHeight="1" spans="2:4">
      <c r="B93" s="157"/>
      <c r="C93" s="85"/>
      <c r="D93" s="85"/>
    </row>
    <row r="94" customHeight="1" spans="2:4">
      <c r="B94" s="157"/>
      <c r="C94" s="85"/>
      <c r="D94" s="85"/>
    </row>
    <row r="95" customHeight="1" spans="2:4">
      <c r="B95" s="157"/>
      <c r="C95" s="85"/>
      <c r="D95" s="85"/>
    </row>
    <row r="96" customHeight="1" spans="2:4">
      <c r="B96" s="157"/>
      <c r="C96" s="85"/>
      <c r="D96" s="85"/>
    </row>
    <row r="97" customHeight="1" spans="2:4">
      <c r="B97" s="157"/>
      <c r="C97" s="85"/>
      <c r="D97" s="85"/>
    </row>
    <row r="98" customHeight="1" spans="2:4">
      <c r="B98" s="157"/>
      <c r="C98" s="85"/>
      <c r="D98" s="85"/>
    </row>
    <row r="99" customHeight="1" spans="2:4">
      <c r="B99" s="157"/>
      <c r="C99" s="85"/>
      <c r="D99" s="85"/>
    </row>
    <row r="100" customHeight="1" spans="2:4">
      <c r="B100" s="157"/>
      <c r="C100" s="85"/>
      <c r="D100" s="85"/>
    </row>
    <row r="101" customHeight="1" spans="2:4">
      <c r="B101" s="157"/>
      <c r="C101" s="85"/>
      <c r="D101" s="85"/>
    </row>
    <row r="102" customHeight="1" spans="2:4">
      <c r="B102" s="157"/>
      <c r="C102" s="85"/>
      <c r="D102" s="85"/>
    </row>
    <row r="103" customHeight="1" spans="2:4">
      <c r="B103" s="157"/>
      <c r="C103" s="85"/>
      <c r="D103" s="85"/>
    </row>
    <row r="104" customHeight="1" spans="2:4">
      <c r="B104" s="157"/>
      <c r="C104" s="85"/>
      <c r="D104" s="85"/>
    </row>
    <row r="105" customHeight="1" spans="2:4">
      <c r="B105" s="157"/>
      <c r="C105" s="85"/>
      <c r="D105" s="85"/>
    </row>
    <row r="106" customHeight="1" spans="2:4">
      <c r="B106" s="157"/>
      <c r="C106" s="85"/>
      <c r="D106" s="85"/>
    </row>
    <row r="107" customHeight="1" spans="2:4">
      <c r="B107" s="157"/>
      <c r="C107" s="85"/>
      <c r="D107" s="85"/>
    </row>
    <row r="108" customHeight="1" spans="2:4">
      <c r="B108" s="157"/>
      <c r="C108" s="85"/>
      <c r="D108" s="85"/>
    </row>
    <row r="109" customHeight="1" spans="2:4">
      <c r="B109" s="157"/>
      <c r="C109" s="85"/>
      <c r="D109" s="85"/>
    </row>
    <row r="110" customHeight="1" spans="2:4">
      <c r="B110" s="157"/>
      <c r="C110" s="85"/>
      <c r="D110" s="85"/>
    </row>
    <row r="111" customHeight="1" spans="2:4">
      <c r="B111" s="157"/>
      <c r="C111" s="85"/>
      <c r="D111" s="85"/>
    </row>
    <row r="112" customHeight="1" spans="2:4">
      <c r="B112" s="157"/>
      <c r="C112" s="85"/>
      <c r="D112" s="85"/>
    </row>
    <row r="113" customHeight="1" spans="2:4">
      <c r="B113" s="157"/>
      <c r="C113" s="85"/>
      <c r="D113" s="85"/>
    </row>
    <row r="114" customHeight="1" spans="2:4">
      <c r="B114" s="157"/>
      <c r="C114" s="85"/>
      <c r="D114" s="85"/>
    </row>
    <row r="115" customHeight="1" spans="2:4">
      <c r="B115" s="157"/>
      <c r="C115" s="85"/>
      <c r="D115" s="85"/>
    </row>
    <row r="116" customHeight="1" spans="2:4">
      <c r="B116" s="157"/>
      <c r="C116" s="85"/>
      <c r="D116" s="85"/>
    </row>
    <row r="117" customHeight="1" spans="2:4">
      <c r="B117" s="157"/>
      <c r="C117" s="85"/>
      <c r="D117" s="85"/>
    </row>
    <row r="118" customHeight="1" spans="2:4">
      <c r="B118" s="157"/>
      <c r="C118" s="85"/>
      <c r="D118" s="85"/>
    </row>
    <row r="119" customHeight="1" spans="2:4">
      <c r="B119" s="157"/>
      <c r="C119" s="85"/>
      <c r="D119" s="85"/>
    </row>
    <row r="120" customHeight="1" spans="2:4">
      <c r="B120" s="157"/>
      <c r="C120" s="85"/>
      <c r="D120" s="85"/>
    </row>
    <row r="121" customHeight="1" spans="2:4">
      <c r="B121" s="157"/>
      <c r="C121" s="85"/>
      <c r="D121" s="85"/>
    </row>
    <row r="122" customHeight="1" spans="2:4">
      <c r="B122" s="157"/>
      <c r="C122" s="85"/>
      <c r="D122" s="85"/>
    </row>
    <row r="123" customHeight="1" spans="2:4">
      <c r="B123" s="157"/>
      <c r="C123" s="85"/>
      <c r="D123" s="85"/>
    </row>
    <row r="124" customHeight="1" spans="2:4">
      <c r="B124" s="157"/>
      <c r="C124" s="85"/>
      <c r="D124" s="85"/>
    </row>
    <row r="125" customHeight="1" spans="2:4">
      <c r="B125" s="157"/>
      <c r="C125" s="85"/>
      <c r="D125" s="85"/>
    </row>
    <row r="126" customHeight="1" spans="2:4">
      <c r="B126" s="157"/>
      <c r="C126" s="85"/>
      <c r="D126" s="85"/>
    </row>
    <row r="127" customHeight="1" spans="2:4">
      <c r="B127" s="157"/>
      <c r="C127" s="85"/>
      <c r="D127" s="85"/>
    </row>
    <row r="128" customHeight="1" spans="2:4">
      <c r="B128" s="157"/>
      <c r="C128" s="85"/>
      <c r="D128" s="85"/>
    </row>
    <row r="129" customHeight="1" spans="2:4">
      <c r="B129" s="157"/>
      <c r="C129" s="85"/>
      <c r="D129" s="85"/>
    </row>
    <row r="130" customHeight="1" spans="2:4">
      <c r="B130" s="157"/>
      <c r="C130" s="85"/>
      <c r="D130" s="85"/>
    </row>
    <row r="131" customHeight="1" spans="2:4">
      <c r="B131" s="157"/>
      <c r="C131" s="85"/>
      <c r="D131" s="85"/>
    </row>
    <row r="132" customHeight="1" spans="2:4">
      <c r="B132" s="157"/>
      <c r="C132" s="85"/>
      <c r="D132" s="85"/>
    </row>
    <row r="133" customHeight="1" spans="2:4">
      <c r="B133" s="157"/>
      <c r="C133" s="85"/>
      <c r="D133" s="85"/>
    </row>
    <row r="134" customHeight="1" spans="2:4">
      <c r="B134" s="157"/>
      <c r="C134" s="85"/>
      <c r="D134" s="85"/>
    </row>
    <row r="135" customHeight="1" spans="2:4">
      <c r="B135" s="157"/>
      <c r="C135" s="85"/>
      <c r="D135" s="85"/>
    </row>
    <row r="136" customHeight="1" spans="2:4">
      <c r="B136" s="157"/>
      <c r="C136" s="85"/>
      <c r="D136" s="85"/>
    </row>
    <row r="137" customHeight="1" spans="2:4">
      <c r="B137" s="157"/>
      <c r="C137" s="85"/>
      <c r="D137" s="85"/>
    </row>
    <row r="138" customHeight="1" spans="2:4">
      <c r="B138" s="157"/>
      <c r="C138" s="85"/>
      <c r="D138" s="85"/>
    </row>
    <row r="139" customHeight="1" spans="2:4">
      <c r="B139" s="157"/>
      <c r="C139" s="85"/>
      <c r="D139" s="85"/>
    </row>
    <row r="140" customHeight="1" spans="2:4">
      <c r="B140" s="157"/>
      <c r="C140" s="85"/>
      <c r="D140" s="85"/>
    </row>
    <row r="141" customHeight="1" spans="2:4">
      <c r="B141" s="157"/>
      <c r="C141" s="85"/>
      <c r="D141" s="85"/>
    </row>
    <row r="142" customHeight="1" spans="2:4">
      <c r="B142" s="157"/>
      <c r="C142" s="85"/>
      <c r="D142" s="85"/>
    </row>
    <row r="143" customHeight="1" spans="2:4">
      <c r="B143" s="157"/>
      <c r="C143" s="85"/>
      <c r="D143" s="85"/>
    </row>
    <row r="144" customHeight="1" spans="2:4">
      <c r="B144" s="157"/>
      <c r="C144" s="85"/>
      <c r="D144" s="85"/>
    </row>
    <row r="145" customHeight="1" spans="2:4">
      <c r="B145" s="157"/>
      <c r="C145" s="85"/>
      <c r="D145" s="85"/>
    </row>
    <row r="146" customHeight="1" spans="2:4">
      <c r="B146" s="157"/>
      <c r="C146" s="85"/>
      <c r="D146" s="85"/>
    </row>
    <row r="147" customHeight="1" spans="2:4">
      <c r="B147" s="157"/>
      <c r="C147" s="85"/>
      <c r="D147" s="85"/>
    </row>
    <row r="148" customHeight="1" spans="2:4">
      <c r="B148" s="157"/>
      <c r="C148" s="85"/>
      <c r="D148" s="85"/>
    </row>
    <row r="149" customHeight="1" spans="2:4">
      <c r="B149" s="157"/>
      <c r="C149" s="85"/>
      <c r="D149" s="85"/>
    </row>
    <row r="150" customHeight="1" spans="2:4">
      <c r="B150" s="157"/>
      <c r="C150" s="85"/>
      <c r="D150" s="85"/>
    </row>
    <row r="151" customHeight="1" spans="2:4">
      <c r="B151" s="157"/>
      <c r="C151" s="85"/>
      <c r="D151" s="85"/>
    </row>
    <row r="152" customHeight="1" spans="2:4">
      <c r="B152" s="157"/>
      <c r="C152" s="85"/>
      <c r="D152" s="85"/>
    </row>
    <row r="153" customHeight="1" spans="2:4">
      <c r="B153" s="157"/>
      <c r="C153" s="85"/>
      <c r="D153" s="85"/>
    </row>
    <row r="154" customHeight="1" spans="2:4">
      <c r="B154" s="157"/>
      <c r="C154" s="85"/>
      <c r="D154" s="85"/>
    </row>
    <row r="155" customHeight="1" spans="2:4">
      <c r="B155" s="157"/>
      <c r="C155" s="85"/>
      <c r="D155" s="85"/>
    </row>
    <row r="156" customHeight="1" spans="2:4">
      <c r="B156" s="157"/>
      <c r="C156" s="85"/>
      <c r="D156" s="85"/>
    </row>
    <row r="157" customHeight="1" spans="2:4">
      <c r="B157" s="157"/>
      <c r="C157" s="85"/>
      <c r="D157" s="85"/>
    </row>
    <row r="158" customHeight="1" spans="2:4">
      <c r="B158" s="157"/>
      <c r="C158" s="85"/>
      <c r="D158" s="85"/>
    </row>
    <row r="159" customHeight="1" spans="2:4">
      <c r="B159" s="157"/>
      <c r="C159" s="85"/>
      <c r="D159" s="85"/>
    </row>
    <row r="160" customHeight="1" spans="2:4">
      <c r="B160" s="157"/>
      <c r="C160" s="85"/>
      <c r="D160" s="85"/>
    </row>
    <row r="161" customHeight="1" spans="2:4">
      <c r="B161" s="157"/>
      <c r="C161" s="85"/>
      <c r="D161" s="85"/>
    </row>
    <row r="162" customHeight="1" spans="2:4">
      <c r="B162" s="157"/>
      <c r="C162" s="85"/>
      <c r="D162" s="85"/>
    </row>
    <row r="163" customHeight="1" spans="2:4">
      <c r="B163" s="157"/>
      <c r="C163" s="85"/>
      <c r="D163" s="85"/>
    </row>
    <row r="164" customHeight="1" spans="2:4">
      <c r="B164" s="157"/>
      <c r="C164" s="85"/>
      <c r="D164" s="85"/>
    </row>
    <row r="165" customHeight="1" spans="2:2">
      <c r="B165" s="157"/>
    </row>
    <row r="166" customHeight="1" spans="2:2">
      <c r="B166" s="157"/>
    </row>
    <row r="167" customHeight="1" spans="2:2">
      <c r="B167" s="157"/>
    </row>
    <row r="168" customHeight="1" spans="2:4">
      <c r="B168" s="157"/>
      <c r="C168" s="85"/>
      <c r="D168" s="85"/>
    </row>
    <row r="169" customHeight="1" spans="2:4">
      <c r="B169" s="157"/>
      <c r="C169" s="85"/>
      <c r="D169" s="85"/>
    </row>
    <row r="170" customHeight="1" spans="2:4">
      <c r="B170" s="157"/>
      <c r="C170" s="85"/>
      <c r="D170" s="85"/>
    </row>
    <row r="171" customHeight="1" spans="2:4">
      <c r="B171" s="157"/>
      <c r="C171" s="85"/>
      <c r="D171" s="85"/>
    </row>
    <row r="172" customHeight="1" spans="2:4">
      <c r="B172" s="157"/>
      <c r="C172" s="85"/>
      <c r="D172" s="85"/>
    </row>
    <row r="173" customHeight="1" spans="2:4">
      <c r="B173" s="157"/>
      <c r="C173" s="85"/>
      <c r="D173" s="85"/>
    </row>
    <row r="174" customHeight="1" spans="2:4">
      <c r="B174" s="157"/>
      <c r="C174" s="85"/>
      <c r="D174" s="85"/>
    </row>
    <row r="175" customHeight="1" spans="2:4">
      <c r="B175" s="157"/>
      <c r="C175" s="85"/>
      <c r="D175" s="85"/>
    </row>
    <row r="176" customHeight="1" spans="2:4">
      <c r="B176" s="157"/>
      <c r="C176" s="85"/>
      <c r="D176" s="85"/>
    </row>
    <row r="177" customHeight="1" spans="2:4">
      <c r="B177" s="157"/>
      <c r="C177" s="85"/>
      <c r="D177" s="85"/>
    </row>
    <row r="178" customHeight="1" spans="2:4">
      <c r="B178" s="157"/>
      <c r="C178" s="85"/>
      <c r="D178" s="85"/>
    </row>
    <row r="179" customHeight="1" spans="2:4">
      <c r="B179" s="157"/>
      <c r="C179" s="85"/>
      <c r="D179" s="85"/>
    </row>
    <row r="180" customHeight="1" spans="2:4">
      <c r="B180" s="157"/>
      <c r="C180" s="85"/>
      <c r="D180" s="85"/>
    </row>
    <row r="181" customHeight="1" spans="2:4">
      <c r="B181" s="157"/>
      <c r="C181" s="85"/>
      <c r="D181" s="85"/>
    </row>
    <row r="182" customHeight="1" spans="2:4">
      <c r="B182" s="157"/>
      <c r="C182" s="85"/>
      <c r="D182" s="85"/>
    </row>
    <row r="183" customHeight="1" spans="2:4">
      <c r="B183" s="157"/>
      <c r="C183" s="85"/>
      <c r="D183" s="85"/>
    </row>
    <row r="184" customHeight="1" spans="2:4">
      <c r="B184" s="157"/>
      <c r="C184" s="85"/>
      <c r="D184" s="85"/>
    </row>
    <row r="185" customHeight="1" spans="2:4">
      <c r="B185" s="157"/>
      <c r="C185" s="85"/>
      <c r="D185" s="85"/>
    </row>
    <row r="186" customHeight="1" spans="2:4">
      <c r="B186" s="157"/>
      <c r="C186" s="85"/>
      <c r="D186" s="85"/>
    </row>
    <row r="187" customHeight="1" spans="2:4">
      <c r="B187" s="157"/>
      <c r="C187" s="85"/>
      <c r="D187" s="85"/>
    </row>
    <row r="188" customHeight="1" spans="2:4">
      <c r="B188" s="157"/>
      <c r="C188" s="85"/>
      <c r="D188" s="85"/>
    </row>
    <row r="189" customHeight="1" spans="2:4">
      <c r="B189" s="157"/>
      <c r="C189" s="85"/>
      <c r="D189" s="85"/>
    </row>
    <row r="190" customHeight="1" spans="2:4">
      <c r="B190" s="157"/>
      <c r="C190" s="85"/>
      <c r="D190" s="85"/>
    </row>
    <row r="191" customHeight="1" spans="2:4">
      <c r="B191" s="157"/>
      <c r="C191" s="85"/>
      <c r="D191" s="85"/>
    </row>
    <row r="192" customHeight="1" spans="2:4">
      <c r="B192" s="157"/>
      <c r="C192" s="85"/>
      <c r="D192" s="85"/>
    </row>
    <row r="193" customHeight="1" spans="2:4">
      <c r="B193" s="157"/>
      <c r="C193" s="85"/>
      <c r="D193" s="85"/>
    </row>
    <row r="194" customHeight="1" spans="2:4">
      <c r="B194" s="157"/>
      <c r="C194" s="85"/>
      <c r="D194" s="85"/>
    </row>
    <row r="195" customHeight="1" spans="2:4">
      <c r="B195" s="157"/>
      <c r="C195" s="85"/>
      <c r="D195" s="85"/>
    </row>
    <row r="196" customHeight="1" spans="2:4">
      <c r="B196" s="157"/>
      <c r="C196" s="85"/>
      <c r="D196" s="85"/>
    </row>
    <row r="197" customHeight="1" spans="2:4">
      <c r="B197" s="157"/>
      <c r="C197" s="85"/>
      <c r="D197" s="85"/>
    </row>
    <row r="198" customHeight="1" spans="2:4">
      <c r="B198" s="157"/>
      <c r="C198" s="85"/>
      <c r="D198" s="85"/>
    </row>
    <row r="199" customHeight="1" spans="2:4">
      <c r="B199" s="157"/>
      <c r="C199" s="85"/>
      <c r="D199" s="85"/>
    </row>
    <row r="200" customHeight="1" spans="2:4">
      <c r="B200" s="157"/>
      <c r="C200" s="85"/>
      <c r="D200" s="85"/>
    </row>
    <row r="201" customHeight="1" spans="2:4">
      <c r="B201" s="157"/>
      <c r="C201" s="85"/>
      <c r="D201" s="85"/>
    </row>
    <row r="202" customHeight="1" spans="2:4">
      <c r="B202" s="157"/>
      <c r="C202" s="85"/>
      <c r="D202" s="85"/>
    </row>
    <row r="203" customHeight="1" spans="2:4">
      <c r="B203" s="157"/>
      <c r="C203" s="85"/>
      <c r="D203" s="85"/>
    </row>
    <row r="204" customHeight="1" spans="2:4">
      <c r="B204" s="157"/>
      <c r="C204" s="85"/>
      <c r="D204" s="85"/>
    </row>
    <row r="205" customHeight="1" spans="2:4">
      <c r="B205" s="157"/>
      <c r="C205" s="85"/>
      <c r="D205" s="85"/>
    </row>
    <row r="206" customHeight="1" spans="2:4">
      <c r="B206" s="157"/>
      <c r="C206" s="85"/>
      <c r="D206" s="85"/>
    </row>
    <row r="207" customHeight="1" spans="2:4">
      <c r="B207" s="157"/>
      <c r="C207" s="85"/>
      <c r="D207" s="85"/>
    </row>
    <row r="208" customHeight="1" spans="2:4">
      <c r="B208" s="157"/>
      <c r="C208" s="85"/>
      <c r="D208" s="85"/>
    </row>
    <row r="209" customHeight="1" spans="2:4">
      <c r="B209" s="157"/>
      <c r="C209" s="85"/>
      <c r="D209" s="85"/>
    </row>
    <row r="210" customHeight="1" spans="2:4">
      <c r="B210" s="157"/>
      <c r="C210" s="85"/>
      <c r="D210" s="85"/>
    </row>
    <row r="211" customHeight="1" spans="2:4">
      <c r="B211" s="157"/>
      <c r="C211" s="85"/>
      <c r="D211" s="85"/>
    </row>
    <row r="212" customHeight="1" spans="2:4">
      <c r="B212" s="157"/>
      <c r="C212" s="85"/>
      <c r="D212" s="85"/>
    </row>
    <row r="213" customHeight="1" spans="2:4">
      <c r="B213" s="157"/>
      <c r="C213" s="85"/>
      <c r="D213" s="85"/>
    </row>
    <row r="214" customHeight="1" spans="2:4">
      <c r="B214" s="157"/>
      <c r="C214" s="85"/>
      <c r="D214" s="85"/>
    </row>
    <row r="215" customHeight="1" spans="2:4">
      <c r="B215" s="157"/>
      <c r="C215" s="85"/>
      <c r="D215" s="85"/>
    </row>
    <row r="216" customHeight="1" spans="2:4">
      <c r="B216" s="157"/>
      <c r="C216" s="85"/>
      <c r="D216" s="85"/>
    </row>
    <row r="217" customHeight="1" spans="2:4">
      <c r="B217" s="157"/>
      <c r="C217" s="85"/>
      <c r="D217" s="85"/>
    </row>
    <row r="218" customHeight="1" spans="2:4">
      <c r="B218" s="157"/>
      <c r="C218" s="85"/>
      <c r="D218" s="85"/>
    </row>
    <row r="219" customHeight="1" spans="2:4">
      <c r="B219" s="157"/>
      <c r="C219" s="85"/>
      <c r="D219" s="85"/>
    </row>
    <row r="220" customHeight="1" spans="2:4">
      <c r="B220" s="157"/>
      <c r="C220" s="85"/>
      <c r="D220" s="85"/>
    </row>
    <row r="221" customHeight="1" spans="2:4">
      <c r="B221" s="157"/>
      <c r="C221" s="85"/>
      <c r="D221" s="85"/>
    </row>
    <row r="222" customHeight="1" spans="2:4">
      <c r="B222" s="157"/>
      <c r="C222" s="85"/>
      <c r="D222" s="85"/>
    </row>
    <row r="223" customHeight="1" spans="2:4">
      <c r="B223" s="157"/>
      <c r="C223" s="85"/>
      <c r="D223" s="85"/>
    </row>
    <row r="224" customHeight="1" spans="2:4">
      <c r="B224" s="157"/>
      <c r="C224" s="85"/>
      <c r="D224" s="85"/>
    </row>
    <row r="225" customHeight="1" spans="2:4">
      <c r="B225" s="157"/>
      <c r="C225" s="85"/>
      <c r="D225" s="85"/>
    </row>
    <row r="226" customHeight="1" spans="2:4">
      <c r="B226" s="157"/>
      <c r="C226" s="85"/>
      <c r="D226" s="85"/>
    </row>
    <row r="227" customHeight="1" spans="2:4">
      <c r="B227" s="157"/>
      <c r="C227" s="85"/>
      <c r="D227" s="85"/>
    </row>
    <row r="228" customHeight="1" spans="2:4">
      <c r="B228" s="157"/>
      <c r="C228" s="85"/>
      <c r="D228" s="85"/>
    </row>
    <row r="229" customHeight="1" spans="2:4">
      <c r="B229" s="157"/>
      <c r="C229" s="85"/>
      <c r="D229" s="85"/>
    </row>
    <row r="230" customHeight="1" spans="2:4">
      <c r="B230" s="157"/>
      <c r="C230" s="85"/>
      <c r="D230" s="85"/>
    </row>
    <row r="231" customHeight="1" spans="2:4">
      <c r="B231" s="157"/>
      <c r="C231" s="85"/>
      <c r="D231" s="85"/>
    </row>
    <row r="232" customHeight="1" spans="2:4">
      <c r="B232" s="157"/>
      <c r="C232" s="85"/>
      <c r="D232" s="85"/>
    </row>
    <row r="233" customHeight="1" spans="2:4">
      <c r="B233" s="157"/>
      <c r="C233" s="85"/>
      <c r="D233" s="85"/>
    </row>
    <row r="234" customHeight="1" spans="2:4">
      <c r="B234" s="157"/>
      <c r="C234" s="85"/>
      <c r="D234" s="85"/>
    </row>
    <row r="235" customHeight="1" spans="2:4">
      <c r="B235" s="157"/>
      <c r="C235" s="85"/>
      <c r="D235" s="85"/>
    </row>
    <row r="236" customHeight="1" spans="2:4">
      <c r="B236" s="157"/>
      <c r="C236" s="85"/>
      <c r="D236" s="85"/>
    </row>
    <row r="237" customHeight="1" spans="2:4">
      <c r="B237" s="157"/>
      <c r="C237" s="85"/>
      <c r="D237" s="85"/>
    </row>
    <row r="238" customHeight="1" spans="2:4">
      <c r="B238" s="157"/>
      <c r="C238" s="85"/>
      <c r="D238" s="85"/>
    </row>
    <row r="239" customHeight="1" spans="2:4">
      <c r="B239" s="157"/>
      <c r="C239" s="85"/>
      <c r="D239" s="85"/>
    </row>
    <row r="240" customHeight="1" spans="2:4">
      <c r="B240" s="157"/>
      <c r="C240" s="85"/>
      <c r="D240" s="85"/>
    </row>
    <row r="241" customHeight="1" spans="2:4">
      <c r="B241" s="157"/>
      <c r="C241" s="85"/>
      <c r="D241" s="85"/>
    </row>
    <row r="242" customHeight="1" spans="2:4">
      <c r="B242" s="157"/>
      <c r="C242" s="85"/>
      <c r="D242" s="85"/>
    </row>
    <row r="243" customHeight="1" spans="2:4">
      <c r="B243" s="157"/>
      <c r="C243" s="85"/>
      <c r="D243" s="85"/>
    </row>
    <row r="244" customHeight="1" spans="2:4">
      <c r="B244" s="157"/>
      <c r="C244" s="85"/>
      <c r="D244" s="85"/>
    </row>
    <row r="245" customHeight="1" spans="2:4">
      <c r="B245" s="157"/>
      <c r="C245" s="85"/>
      <c r="D245" s="85"/>
    </row>
    <row r="246" customHeight="1" spans="2:4">
      <c r="B246" s="157"/>
      <c r="C246" s="85"/>
      <c r="D246" s="85"/>
    </row>
    <row r="247" customHeight="1" spans="2:4">
      <c r="B247" s="157"/>
      <c r="C247" s="85"/>
      <c r="D247" s="85"/>
    </row>
    <row r="248" customHeight="1" spans="2:4">
      <c r="B248" s="157"/>
      <c r="C248" s="85"/>
      <c r="D248" s="85"/>
    </row>
    <row r="249" customHeight="1" spans="2:4">
      <c r="B249" s="157"/>
      <c r="C249" s="85"/>
      <c r="D249" s="85"/>
    </row>
    <row r="250" customHeight="1" spans="2:4">
      <c r="B250" s="157"/>
      <c r="C250" s="85"/>
      <c r="D250" s="85"/>
    </row>
    <row r="251" customHeight="1" spans="2:4">
      <c r="B251" s="157"/>
      <c r="C251" s="85"/>
      <c r="D251" s="85"/>
    </row>
    <row r="252" customHeight="1" spans="2:4">
      <c r="B252" s="157"/>
      <c r="C252" s="85"/>
      <c r="D252" s="85"/>
    </row>
    <row r="253" customHeight="1" spans="2:4">
      <c r="B253" s="157"/>
      <c r="C253" s="85"/>
      <c r="D253" s="85"/>
    </row>
    <row r="254" customHeight="1" spans="2:4">
      <c r="B254" s="157"/>
      <c r="C254" s="85"/>
      <c r="D254" s="85"/>
    </row>
    <row r="255" customHeight="1" spans="2:4">
      <c r="B255" s="157"/>
      <c r="C255" s="85"/>
      <c r="D255" s="85"/>
    </row>
    <row r="256" customHeight="1" spans="2:4">
      <c r="B256" s="157"/>
      <c r="C256" s="85"/>
      <c r="D256" s="85"/>
    </row>
    <row r="257" customHeight="1" spans="2:4">
      <c r="B257" s="157"/>
      <c r="C257" s="85"/>
      <c r="D257" s="85"/>
    </row>
    <row r="258" customHeight="1" spans="2:4">
      <c r="B258" s="157"/>
      <c r="C258" s="85"/>
      <c r="D258" s="85"/>
    </row>
    <row r="259" customHeight="1" spans="2:4">
      <c r="B259" s="157"/>
      <c r="C259" s="85"/>
      <c r="D259" s="85"/>
    </row>
    <row r="260" customHeight="1" spans="2:4">
      <c r="B260" s="157"/>
      <c r="C260" s="85"/>
      <c r="D260" s="85"/>
    </row>
    <row r="261" customHeight="1" spans="2:4">
      <c r="B261" s="157"/>
      <c r="C261" s="85"/>
      <c r="D261" s="85"/>
    </row>
    <row r="262" customHeight="1" spans="2:4">
      <c r="B262" s="157"/>
      <c r="C262" s="85"/>
      <c r="D262" s="85"/>
    </row>
    <row r="263" customHeight="1" spans="2:4">
      <c r="B263" s="157"/>
      <c r="C263" s="85"/>
      <c r="D263" s="85"/>
    </row>
    <row r="264" customHeight="1" spans="2:4">
      <c r="B264" s="157"/>
      <c r="C264" s="85"/>
      <c r="D264" s="85"/>
    </row>
    <row r="265" customHeight="1" spans="2:4">
      <c r="B265" s="157"/>
      <c r="C265" s="85"/>
      <c r="D265" s="85"/>
    </row>
    <row r="266" customHeight="1" spans="2:4">
      <c r="B266" s="157"/>
      <c r="C266" s="85"/>
      <c r="D266" s="85"/>
    </row>
    <row r="267" customHeight="1" spans="2:4">
      <c r="B267" s="157"/>
      <c r="C267" s="85"/>
      <c r="D267" s="85"/>
    </row>
    <row r="268" customHeight="1" spans="2:4">
      <c r="B268" s="157"/>
      <c r="C268" s="85"/>
      <c r="D268" s="85"/>
    </row>
    <row r="269" customHeight="1" spans="2:4">
      <c r="B269" s="157"/>
      <c r="C269" s="85"/>
      <c r="D269" s="85"/>
    </row>
    <row r="270" customHeight="1" spans="2:4">
      <c r="B270" s="157"/>
      <c r="C270" s="85"/>
      <c r="D270" s="85"/>
    </row>
    <row r="271" customHeight="1" spans="2:4">
      <c r="B271" s="157"/>
      <c r="C271" s="85"/>
      <c r="D271" s="85"/>
    </row>
    <row r="272" customHeight="1" spans="2:4">
      <c r="B272" s="157"/>
      <c r="C272" s="85"/>
      <c r="D272" s="85"/>
    </row>
    <row r="273" customHeight="1" spans="2:4">
      <c r="B273" s="157"/>
      <c r="C273" s="85"/>
      <c r="D273" s="85"/>
    </row>
    <row r="274" customHeight="1" spans="2:4">
      <c r="B274" s="157"/>
      <c r="C274" s="85"/>
      <c r="D274" s="85"/>
    </row>
    <row r="275" customHeight="1" spans="2:4">
      <c r="B275" s="157"/>
      <c r="C275" s="85"/>
      <c r="D275" s="85"/>
    </row>
    <row r="276" customHeight="1" spans="2:4">
      <c r="B276" s="157"/>
      <c r="C276" s="85"/>
      <c r="D276" s="85"/>
    </row>
    <row r="277" customHeight="1" spans="2:4">
      <c r="B277" s="157"/>
      <c r="C277" s="85"/>
      <c r="D277" s="85"/>
    </row>
    <row r="278" customHeight="1" spans="2:4">
      <c r="B278" s="157"/>
      <c r="C278" s="85"/>
      <c r="D278" s="85"/>
    </row>
    <row r="279" customHeight="1" spans="2:4">
      <c r="B279" s="157"/>
      <c r="C279" s="85"/>
      <c r="D279" s="85"/>
    </row>
    <row r="280" customHeight="1" spans="2:4">
      <c r="B280" s="157"/>
      <c r="C280" s="85"/>
      <c r="D280" s="85"/>
    </row>
    <row r="281" customHeight="1" spans="2:4">
      <c r="B281" s="157"/>
      <c r="C281" s="85"/>
      <c r="D281" s="85"/>
    </row>
    <row r="282" customHeight="1" spans="2:4">
      <c r="B282" s="157"/>
      <c r="C282" s="85"/>
      <c r="D282" s="85"/>
    </row>
    <row r="283" customHeight="1" spans="2:4">
      <c r="B283" s="157"/>
      <c r="C283" s="85"/>
      <c r="D283" s="85"/>
    </row>
    <row r="284" customHeight="1" spans="2:4">
      <c r="B284" s="157"/>
      <c r="C284" s="85"/>
      <c r="D284" s="85"/>
    </row>
    <row r="285" customHeight="1" spans="2:4">
      <c r="B285" s="157"/>
      <c r="C285" s="85"/>
      <c r="D285" s="85"/>
    </row>
    <row r="286" customHeight="1" spans="2:4">
      <c r="B286" s="157"/>
      <c r="C286" s="85"/>
      <c r="D286" s="85"/>
    </row>
    <row r="287" customHeight="1" spans="2:4">
      <c r="B287" s="157"/>
      <c r="C287" s="85"/>
      <c r="D287" s="85"/>
    </row>
    <row r="288" customHeight="1" spans="2:4">
      <c r="B288" s="157"/>
      <c r="C288" s="85"/>
      <c r="D288" s="85"/>
    </row>
    <row r="289" customHeight="1" spans="2:4">
      <c r="B289" s="157"/>
      <c r="C289" s="85"/>
      <c r="D289" s="85"/>
    </row>
    <row r="290" customHeight="1" spans="2:4">
      <c r="B290" s="157"/>
      <c r="C290" s="85"/>
      <c r="D290" s="85"/>
    </row>
    <row r="291" customHeight="1" spans="2:4">
      <c r="B291" s="157"/>
      <c r="C291" s="85"/>
      <c r="D291" s="85"/>
    </row>
    <row r="292" customHeight="1" spans="2:4">
      <c r="B292" s="157"/>
      <c r="C292" s="85"/>
      <c r="D292" s="85"/>
    </row>
    <row r="293" customHeight="1" spans="2:4">
      <c r="B293" s="157"/>
      <c r="C293" s="85"/>
      <c r="D293" s="85"/>
    </row>
    <row r="294" customHeight="1" spans="2:4">
      <c r="B294" s="157"/>
      <c r="C294" s="85"/>
      <c r="D294" s="85"/>
    </row>
    <row r="295" customHeight="1" spans="2:4">
      <c r="B295" s="157"/>
      <c r="C295" s="85"/>
      <c r="D295" s="85"/>
    </row>
    <row r="296" customHeight="1" spans="2:4">
      <c r="B296" s="157"/>
      <c r="C296" s="85"/>
      <c r="D296" s="85"/>
    </row>
    <row r="297" customHeight="1" spans="2:4">
      <c r="B297" s="157"/>
      <c r="C297" s="85"/>
      <c r="D297" s="85"/>
    </row>
    <row r="298" customHeight="1" spans="2:4">
      <c r="B298" s="157"/>
      <c r="C298" s="85"/>
      <c r="D298" s="85"/>
    </row>
    <row r="299" customHeight="1" spans="2:4">
      <c r="B299" s="157"/>
      <c r="C299" s="85"/>
      <c r="D299" s="85"/>
    </row>
    <row r="300" customHeight="1" spans="2:4">
      <c r="B300" s="157"/>
      <c r="C300" s="85"/>
      <c r="D300" s="85"/>
    </row>
    <row r="301" customHeight="1" spans="2:4">
      <c r="B301" s="157"/>
      <c r="C301" s="85"/>
      <c r="D301" s="85"/>
    </row>
    <row r="302" customHeight="1" spans="2:4">
      <c r="B302" s="157"/>
      <c r="C302" s="85"/>
      <c r="D302" s="85"/>
    </row>
    <row r="303" customHeight="1" spans="2:4">
      <c r="B303" s="157"/>
      <c r="C303" s="85"/>
      <c r="D303" s="85"/>
    </row>
    <row r="304" customHeight="1" spans="2:4">
      <c r="B304" s="157"/>
      <c r="C304" s="85"/>
      <c r="D304" s="85"/>
    </row>
    <row r="305" customHeight="1" spans="2:4">
      <c r="B305" s="157"/>
      <c r="C305" s="85"/>
      <c r="D305" s="85"/>
    </row>
    <row r="306" customHeight="1" spans="2:4">
      <c r="B306" s="157"/>
      <c r="C306" s="85"/>
      <c r="D306" s="85"/>
    </row>
    <row r="307" customHeight="1" spans="2:4">
      <c r="B307" s="157"/>
      <c r="C307" s="85"/>
      <c r="D307" s="85"/>
    </row>
    <row r="308" customHeight="1" spans="2:4">
      <c r="B308" s="157"/>
      <c r="C308" s="85"/>
      <c r="D308" s="85"/>
    </row>
    <row r="309" customHeight="1" spans="2:4">
      <c r="B309" s="157"/>
      <c r="C309" s="85"/>
      <c r="D309" s="85"/>
    </row>
    <row r="310" customHeight="1" spans="2:4">
      <c r="B310" s="157"/>
      <c r="C310" s="85"/>
      <c r="D310" s="85"/>
    </row>
    <row r="311" customHeight="1" spans="2:4">
      <c r="B311" s="157"/>
      <c r="C311" s="85"/>
      <c r="D311" s="85"/>
    </row>
    <row r="312" customHeight="1" spans="2:4">
      <c r="B312" s="157"/>
      <c r="C312" s="85"/>
      <c r="D312" s="85"/>
    </row>
    <row r="313" customHeight="1" spans="2:4">
      <c r="B313" s="157"/>
      <c r="C313" s="85"/>
      <c r="D313" s="85"/>
    </row>
    <row r="314" customHeight="1" spans="2:4">
      <c r="B314" s="157"/>
      <c r="C314" s="85"/>
      <c r="D314" s="85"/>
    </row>
    <row r="315" customHeight="1" spans="2:4">
      <c r="B315" s="157"/>
      <c r="C315" s="85"/>
      <c r="D315" s="85"/>
    </row>
    <row r="316" customHeight="1" spans="2:4">
      <c r="B316" s="157"/>
      <c r="C316" s="85"/>
      <c r="D316" s="85"/>
    </row>
    <row r="317" customHeight="1" spans="2:4">
      <c r="B317" s="157"/>
      <c r="C317" s="85"/>
      <c r="D317" s="85"/>
    </row>
    <row r="318" customHeight="1" spans="2:4">
      <c r="B318" s="157"/>
      <c r="C318" s="85"/>
      <c r="D318" s="85"/>
    </row>
    <row r="319" customHeight="1" spans="2:4">
      <c r="B319" s="157"/>
      <c r="C319" s="85"/>
      <c r="D319" s="85"/>
    </row>
    <row r="320" customHeight="1" spans="2:4">
      <c r="B320" s="157"/>
      <c r="C320" s="85"/>
      <c r="D320" s="85"/>
    </row>
    <row r="321" customHeight="1" spans="2:4">
      <c r="B321" s="157"/>
      <c r="C321" s="85"/>
      <c r="D321" s="85"/>
    </row>
    <row r="322" customHeight="1" spans="2:4">
      <c r="B322" s="157"/>
      <c r="C322" s="85"/>
      <c r="D322" s="85"/>
    </row>
    <row r="323" customHeight="1" spans="2:4">
      <c r="B323" s="157"/>
      <c r="C323" s="85"/>
      <c r="D323" s="85"/>
    </row>
    <row r="324" customHeight="1" spans="2:4">
      <c r="B324" s="157"/>
      <c r="C324" s="85"/>
      <c r="D324" s="85"/>
    </row>
    <row r="325" customHeight="1" spans="2:4">
      <c r="B325" s="157"/>
      <c r="C325" s="85"/>
      <c r="D325" s="85"/>
    </row>
    <row r="326" customHeight="1" spans="2:4">
      <c r="B326" s="157"/>
      <c r="C326" s="85"/>
      <c r="D326" s="85"/>
    </row>
    <row r="327" customHeight="1" spans="2:4">
      <c r="B327" s="157"/>
      <c r="C327" s="85"/>
      <c r="D327" s="85"/>
    </row>
    <row r="328" customHeight="1" spans="2:4">
      <c r="B328" s="157"/>
      <c r="C328" s="85"/>
      <c r="D328" s="85"/>
    </row>
    <row r="329" customHeight="1" spans="2:4">
      <c r="B329" s="157"/>
      <c r="C329" s="85"/>
      <c r="D329" s="85"/>
    </row>
    <row r="330" customHeight="1" spans="2:4">
      <c r="B330" s="157"/>
      <c r="C330" s="85"/>
      <c r="D330" s="85"/>
    </row>
    <row r="331" customHeight="1" spans="2:4">
      <c r="B331" s="157"/>
      <c r="C331" s="85"/>
      <c r="D331" s="85"/>
    </row>
    <row r="332" customHeight="1" spans="2:4">
      <c r="B332" s="157"/>
      <c r="C332" s="85"/>
      <c r="D332" s="85"/>
    </row>
    <row r="333" customHeight="1" spans="2:4">
      <c r="B333" s="157"/>
      <c r="C333" s="85"/>
      <c r="D333" s="85"/>
    </row>
    <row r="334" customHeight="1" spans="2:4">
      <c r="B334" s="157"/>
      <c r="C334" s="85"/>
      <c r="D334" s="85"/>
    </row>
    <row r="335" customHeight="1" spans="2:4">
      <c r="B335" s="157"/>
      <c r="C335" s="85"/>
      <c r="D335" s="85"/>
    </row>
    <row r="336" customHeight="1" spans="2:4">
      <c r="B336" s="157"/>
      <c r="C336" s="85"/>
      <c r="D336" s="85"/>
    </row>
    <row r="337" customHeight="1" spans="2:4">
      <c r="B337" s="157"/>
      <c r="C337" s="85"/>
      <c r="D337" s="85"/>
    </row>
    <row r="338" customHeight="1" spans="2:4">
      <c r="B338" s="157"/>
      <c r="C338" s="85"/>
      <c r="D338" s="85"/>
    </row>
    <row r="339" customHeight="1" spans="2:4">
      <c r="B339" s="157"/>
      <c r="C339" s="85"/>
      <c r="D339" s="85"/>
    </row>
    <row r="340" customHeight="1" spans="2:4">
      <c r="B340" s="157"/>
      <c r="C340" s="85"/>
      <c r="D340" s="85"/>
    </row>
    <row r="341" customHeight="1" spans="2:4">
      <c r="B341" s="157"/>
      <c r="C341" s="85"/>
      <c r="D341" s="85"/>
    </row>
    <row r="342" customHeight="1" spans="2:4">
      <c r="B342" s="157"/>
      <c r="C342" s="85"/>
      <c r="D342" s="85"/>
    </row>
    <row r="343" customHeight="1" spans="2:4">
      <c r="B343" s="157"/>
      <c r="C343" s="85"/>
      <c r="D343" s="85"/>
    </row>
    <row r="344" customHeight="1" spans="2:4">
      <c r="B344" s="157"/>
      <c r="C344" s="85"/>
      <c r="D344" s="85"/>
    </row>
    <row r="345" customHeight="1" spans="2:4">
      <c r="B345" s="157"/>
      <c r="C345" s="85"/>
      <c r="D345" s="85"/>
    </row>
    <row r="346" customHeight="1" spans="2:4">
      <c r="B346" s="157"/>
      <c r="C346" s="85"/>
      <c r="D346" s="85"/>
    </row>
    <row r="347" customHeight="1" spans="2:4">
      <c r="B347" s="157"/>
      <c r="C347" s="85"/>
      <c r="D347" s="85"/>
    </row>
    <row r="348" customHeight="1" spans="2:4">
      <c r="B348" s="157"/>
      <c r="C348" s="85"/>
      <c r="D348" s="85"/>
    </row>
    <row r="349" customHeight="1" spans="2:4">
      <c r="B349" s="157"/>
      <c r="C349" s="85"/>
      <c r="D349" s="85"/>
    </row>
    <row r="350" customHeight="1" spans="2:4">
      <c r="B350" s="157"/>
      <c r="C350" s="85"/>
      <c r="D350" s="85"/>
    </row>
    <row r="351" customHeight="1" spans="2:4">
      <c r="B351" s="157"/>
      <c r="C351" s="85"/>
      <c r="D351" s="85"/>
    </row>
    <row r="352" customHeight="1" spans="2:4">
      <c r="B352" s="157"/>
      <c r="C352" s="85"/>
      <c r="D352" s="85"/>
    </row>
    <row r="353" customHeight="1" spans="2:4">
      <c r="B353" s="157"/>
      <c r="C353" s="85"/>
      <c r="D353" s="85"/>
    </row>
    <row r="354" customHeight="1" spans="2:4">
      <c r="B354" s="157"/>
      <c r="C354" s="85"/>
      <c r="D354" s="85"/>
    </row>
    <row r="355" customHeight="1" spans="2:4">
      <c r="B355" s="157"/>
      <c r="C355" s="85"/>
      <c r="D355" s="85"/>
    </row>
    <row r="356" customHeight="1" spans="2:4">
      <c r="B356" s="157"/>
      <c r="C356" s="85"/>
      <c r="D356" s="85"/>
    </row>
    <row r="357" customHeight="1" spans="2:4">
      <c r="B357" s="157"/>
      <c r="C357" s="85"/>
      <c r="D357" s="85"/>
    </row>
    <row r="358" customHeight="1" spans="2:4">
      <c r="B358" s="157"/>
      <c r="C358" s="85"/>
      <c r="D358" s="85"/>
    </row>
    <row r="359" customHeight="1" spans="2:4">
      <c r="B359" s="157"/>
      <c r="C359" s="85"/>
      <c r="D359" s="85"/>
    </row>
    <row r="360" customHeight="1" spans="2:4">
      <c r="B360" s="157"/>
      <c r="C360" s="85"/>
      <c r="D360" s="85"/>
    </row>
    <row r="361" customHeight="1" spans="2:4">
      <c r="B361" s="157"/>
      <c r="C361" s="85"/>
      <c r="D361" s="85"/>
    </row>
    <row r="362" customHeight="1" spans="2:4">
      <c r="B362" s="157"/>
      <c r="C362" s="85"/>
      <c r="D362" s="85"/>
    </row>
    <row r="363" customHeight="1" spans="2:4">
      <c r="B363" s="157"/>
      <c r="C363" s="85"/>
      <c r="D363" s="85"/>
    </row>
    <row r="364" customHeight="1" spans="2:4">
      <c r="B364" s="157"/>
      <c r="C364" s="85"/>
      <c r="D364" s="85"/>
    </row>
    <row r="365" customHeight="1" spans="2:4">
      <c r="B365" s="157"/>
      <c r="C365" s="85"/>
      <c r="D365" s="85"/>
    </row>
    <row r="366" customHeight="1" spans="2:4">
      <c r="B366" s="157"/>
      <c r="C366" s="85"/>
      <c r="D366" s="85"/>
    </row>
    <row r="367" customHeight="1" spans="2:4">
      <c r="B367" s="157"/>
      <c r="C367" s="85"/>
      <c r="D367" s="85"/>
    </row>
    <row r="368" customHeight="1" spans="2:4">
      <c r="B368" s="157"/>
      <c r="C368" s="85"/>
      <c r="D368" s="85"/>
    </row>
    <row r="369" customHeight="1" spans="2:4">
      <c r="B369" s="157"/>
      <c r="C369" s="85"/>
      <c r="D369" s="85"/>
    </row>
    <row r="370" customHeight="1" spans="2:4">
      <c r="B370" s="157"/>
      <c r="C370" s="85"/>
      <c r="D370" s="85"/>
    </row>
    <row r="371" customHeight="1" spans="2:4">
      <c r="B371" s="157"/>
      <c r="C371" s="85"/>
      <c r="D371" s="85"/>
    </row>
    <row r="372" customHeight="1" spans="2:4">
      <c r="B372" s="157"/>
      <c r="C372" s="85"/>
      <c r="D372" s="85"/>
    </row>
    <row r="373" customHeight="1" spans="2:4">
      <c r="B373" s="157"/>
      <c r="C373" s="85"/>
      <c r="D373" s="85"/>
    </row>
    <row r="374" customHeight="1" spans="2:4">
      <c r="B374" s="157"/>
      <c r="C374" s="85"/>
      <c r="D374" s="85"/>
    </row>
    <row r="375" customHeight="1" spans="2:4">
      <c r="B375" s="157"/>
      <c r="C375" s="85"/>
      <c r="D375" s="85"/>
    </row>
    <row r="376" customHeight="1" spans="2:4">
      <c r="B376" s="157"/>
      <c r="C376" s="85"/>
      <c r="D376" s="85"/>
    </row>
    <row r="377" customHeight="1" spans="2:4">
      <c r="B377" s="157"/>
      <c r="C377" s="85"/>
      <c r="D377" s="85"/>
    </row>
    <row r="378" customHeight="1" spans="2:4">
      <c r="B378" s="157"/>
      <c r="C378" s="85"/>
      <c r="D378" s="85"/>
    </row>
    <row r="379" customHeight="1" spans="2:4">
      <c r="B379" s="157"/>
      <c r="C379" s="85"/>
      <c r="D379" s="85"/>
    </row>
    <row r="380" customHeight="1" spans="2:4">
      <c r="B380" s="157"/>
      <c r="C380" s="85"/>
      <c r="D380" s="85"/>
    </row>
    <row r="381" customHeight="1" spans="2:4">
      <c r="B381" s="157"/>
      <c r="C381" s="85"/>
      <c r="D381" s="85"/>
    </row>
    <row r="382" customHeight="1" spans="2:4">
      <c r="B382" s="157"/>
      <c r="C382" s="85"/>
      <c r="D382" s="85"/>
    </row>
    <row r="383" customHeight="1" spans="2:4">
      <c r="B383" s="157"/>
      <c r="C383" s="85"/>
      <c r="D383" s="85"/>
    </row>
    <row r="384" customHeight="1" spans="2:4">
      <c r="B384" s="157"/>
      <c r="C384" s="85"/>
      <c r="D384" s="85"/>
    </row>
    <row r="385" customHeight="1" spans="2:4">
      <c r="B385" s="157"/>
      <c r="C385" s="85"/>
      <c r="D385" s="85"/>
    </row>
    <row r="386" customHeight="1" spans="2:4">
      <c r="B386" s="157"/>
      <c r="C386" s="85"/>
      <c r="D386" s="85"/>
    </row>
    <row r="387" customHeight="1" spans="2:4">
      <c r="B387" s="157"/>
      <c r="C387" s="85"/>
      <c r="D387" s="85"/>
    </row>
    <row r="388" customHeight="1" spans="2:4">
      <c r="B388" s="157"/>
      <c r="C388" s="85"/>
      <c r="D388" s="85"/>
    </row>
    <row r="389" customHeight="1" spans="2:4">
      <c r="B389" s="157"/>
      <c r="C389" s="85"/>
      <c r="D389" s="85"/>
    </row>
    <row r="390" customHeight="1" spans="2:4">
      <c r="B390" s="157"/>
      <c r="C390" s="85"/>
      <c r="D390" s="85"/>
    </row>
    <row r="391" customHeight="1" spans="2:4">
      <c r="B391" s="157"/>
      <c r="C391" s="85"/>
      <c r="D391" s="85"/>
    </row>
    <row r="392" customHeight="1" spans="2:4">
      <c r="B392" s="157"/>
      <c r="C392" s="85"/>
      <c r="D392" s="85"/>
    </row>
    <row r="393" customHeight="1" spans="2:4">
      <c r="B393" s="157"/>
      <c r="C393" s="85"/>
      <c r="D393" s="85"/>
    </row>
    <row r="394" customHeight="1" spans="2:4">
      <c r="B394" s="157"/>
      <c r="C394" s="85"/>
      <c r="D394" s="85"/>
    </row>
    <row r="395" customHeight="1" spans="2:4">
      <c r="B395" s="157"/>
      <c r="C395" s="85"/>
      <c r="D395" s="85"/>
    </row>
    <row r="396" customHeight="1" spans="2:4">
      <c r="B396" s="157"/>
      <c r="C396" s="85"/>
      <c r="D396" s="85"/>
    </row>
    <row r="397" customHeight="1" spans="2:4">
      <c r="B397" s="157"/>
      <c r="C397" s="85"/>
      <c r="D397" s="85"/>
    </row>
    <row r="398" customHeight="1" spans="2:4">
      <c r="B398" s="157"/>
      <c r="C398" s="85"/>
      <c r="D398" s="85"/>
    </row>
    <row r="399" customHeight="1" spans="2:4">
      <c r="B399" s="157"/>
      <c r="C399" s="85"/>
      <c r="D399" s="85"/>
    </row>
    <row r="400" customHeight="1" spans="2:4">
      <c r="B400" s="157"/>
      <c r="C400" s="85"/>
      <c r="D400" s="85"/>
    </row>
    <row r="401" customHeight="1" spans="2:4">
      <c r="B401" s="157"/>
      <c r="C401" s="85"/>
      <c r="D401" s="85"/>
    </row>
    <row r="402" customHeight="1" spans="2:4">
      <c r="B402" s="157"/>
      <c r="C402" s="85"/>
      <c r="D402" s="85"/>
    </row>
    <row r="403" customHeight="1" spans="2:4">
      <c r="B403" s="157"/>
      <c r="C403" s="85"/>
      <c r="D403" s="85"/>
    </row>
    <row r="404" customHeight="1" spans="2:4">
      <c r="B404" s="157"/>
      <c r="C404" s="85"/>
      <c r="D404" s="85"/>
    </row>
    <row r="405" customHeight="1" spans="2:4">
      <c r="B405" s="157"/>
      <c r="C405" s="85"/>
      <c r="D405" s="85"/>
    </row>
    <row r="406" customHeight="1" spans="2:4">
      <c r="B406" s="157"/>
      <c r="C406" s="85"/>
      <c r="D406" s="85"/>
    </row>
    <row r="407" customHeight="1" spans="2:4">
      <c r="B407" s="157"/>
      <c r="C407" s="85"/>
      <c r="D407" s="85"/>
    </row>
    <row r="408" customHeight="1" spans="2:4">
      <c r="B408" s="157"/>
      <c r="C408" s="85"/>
      <c r="D408" s="85"/>
    </row>
    <row r="409" customHeight="1" spans="2:4">
      <c r="B409" s="157"/>
      <c r="C409" s="85"/>
      <c r="D409" s="85"/>
    </row>
    <row r="410" customHeight="1" spans="2:4">
      <c r="B410" s="157"/>
      <c r="C410" s="85"/>
      <c r="D410" s="85"/>
    </row>
    <row r="411" customHeight="1" spans="2:4">
      <c r="B411" s="157"/>
      <c r="C411" s="85"/>
      <c r="D411" s="85"/>
    </row>
    <row r="412" customHeight="1" spans="2:4">
      <c r="B412" s="157"/>
      <c r="C412" s="85"/>
      <c r="D412" s="85"/>
    </row>
    <row r="413" customHeight="1" spans="2:4">
      <c r="B413" s="157"/>
      <c r="C413" s="85"/>
      <c r="D413" s="85"/>
    </row>
    <row r="414" customHeight="1" spans="2:4">
      <c r="B414" s="157"/>
      <c r="C414" s="85"/>
      <c r="D414" s="85"/>
    </row>
    <row r="415" customHeight="1" spans="2:4">
      <c r="B415" s="157"/>
      <c r="C415" s="85"/>
      <c r="D415" s="85"/>
    </row>
    <row r="416" customHeight="1" spans="2:4">
      <c r="B416" s="157"/>
      <c r="C416" s="85"/>
      <c r="D416" s="85"/>
    </row>
    <row r="417" customHeight="1" spans="2:4">
      <c r="B417" s="157"/>
      <c r="C417" s="85"/>
      <c r="D417" s="85"/>
    </row>
    <row r="418" customHeight="1" spans="2:4">
      <c r="B418" s="157"/>
      <c r="C418" s="85"/>
      <c r="D418" s="85"/>
    </row>
    <row r="419" customHeight="1" spans="2:4">
      <c r="B419" s="157"/>
      <c r="C419" s="85"/>
      <c r="D419" s="85"/>
    </row>
    <row r="420" customHeight="1" spans="2:4">
      <c r="B420" s="157"/>
      <c r="C420" s="85"/>
      <c r="D420" s="85"/>
    </row>
    <row r="421" customHeight="1" spans="2:4">
      <c r="B421" s="157"/>
      <c r="C421" s="85"/>
      <c r="D421" s="85"/>
    </row>
    <row r="422" customHeight="1" spans="2:4">
      <c r="B422" s="157"/>
      <c r="C422" s="85"/>
      <c r="D422" s="85"/>
    </row>
    <row r="423" customHeight="1" spans="2:4">
      <c r="B423" s="157"/>
      <c r="C423" s="85"/>
      <c r="D423" s="85"/>
    </row>
    <row r="424" customHeight="1" spans="2:4">
      <c r="B424" s="157"/>
      <c r="C424" s="85"/>
      <c r="D424" s="85"/>
    </row>
    <row r="425" customHeight="1" spans="2:4">
      <c r="B425" s="157"/>
      <c r="C425" s="85"/>
      <c r="D425" s="85"/>
    </row>
    <row r="426" customHeight="1" spans="2:4">
      <c r="B426" s="157"/>
      <c r="C426" s="85"/>
      <c r="D426" s="85"/>
    </row>
    <row r="427" customHeight="1" spans="2:4">
      <c r="B427" s="157"/>
      <c r="C427" s="85"/>
      <c r="D427" s="85"/>
    </row>
    <row r="428" customHeight="1" spans="2:4">
      <c r="B428" s="157"/>
      <c r="C428" s="85"/>
      <c r="D428" s="85"/>
    </row>
    <row r="429" customHeight="1" spans="2:4">
      <c r="B429" s="157"/>
      <c r="C429" s="85"/>
      <c r="D429" s="85"/>
    </row>
    <row r="430" customHeight="1" spans="2:4">
      <c r="B430" s="157"/>
      <c r="C430" s="85"/>
      <c r="D430" s="85"/>
    </row>
    <row r="431" customHeight="1" spans="2:4">
      <c r="B431" s="157"/>
      <c r="C431" s="85"/>
      <c r="D431" s="85"/>
    </row>
    <row r="432" customHeight="1" spans="2:4">
      <c r="B432" s="157"/>
      <c r="C432" s="85"/>
      <c r="D432" s="85"/>
    </row>
    <row r="433" customHeight="1" spans="2:4">
      <c r="B433" s="157"/>
      <c r="C433" s="85"/>
      <c r="D433" s="85"/>
    </row>
    <row r="434" customHeight="1" spans="2:4">
      <c r="B434" s="157"/>
      <c r="C434" s="85"/>
      <c r="D434" s="85"/>
    </row>
    <row r="435" customHeight="1" spans="2:4">
      <c r="B435" s="157"/>
      <c r="C435" s="85"/>
      <c r="D435" s="85"/>
    </row>
    <row r="436" customHeight="1" spans="2:4">
      <c r="B436" s="157"/>
      <c r="C436" s="85"/>
      <c r="D436" s="85"/>
    </row>
    <row r="437" customHeight="1" spans="2:4">
      <c r="B437" s="157"/>
      <c r="C437" s="85"/>
      <c r="D437" s="85"/>
    </row>
    <row r="438" customHeight="1" spans="2:4">
      <c r="B438" s="157"/>
      <c r="C438" s="85"/>
      <c r="D438" s="85"/>
    </row>
    <row r="439" customHeight="1" spans="2:4">
      <c r="B439" s="157"/>
      <c r="C439" s="85"/>
      <c r="D439" s="85"/>
    </row>
    <row r="440" customHeight="1" spans="2:4">
      <c r="B440" s="157"/>
      <c r="C440" s="85"/>
      <c r="D440" s="85"/>
    </row>
    <row r="441" customHeight="1" spans="2:4">
      <c r="B441" s="157"/>
      <c r="C441" s="85"/>
      <c r="D441" s="85"/>
    </row>
    <row r="442" customHeight="1" spans="2:4">
      <c r="B442" s="157"/>
      <c r="C442" s="85"/>
      <c r="D442" s="85"/>
    </row>
    <row r="443" customHeight="1" spans="2:4">
      <c r="B443" s="157"/>
      <c r="C443" s="85"/>
      <c r="D443" s="85"/>
    </row>
    <row r="444" customHeight="1" spans="2:4">
      <c r="B444" s="157"/>
      <c r="C444" s="85"/>
      <c r="D444" s="85"/>
    </row>
    <row r="445" customHeight="1" spans="2:4">
      <c r="B445" s="157"/>
      <c r="C445" s="85"/>
      <c r="D445" s="85"/>
    </row>
    <row r="446" customHeight="1" spans="2:4">
      <c r="B446" s="157"/>
      <c r="C446" s="85"/>
      <c r="D446" s="85"/>
    </row>
    <row r="447" customHeight="1" spans="2:4">
      <c r="B447" s="157"/>
      <c r="C447" s="85"/>
      <c r="D447" s="85"/>
    </row>
    <row r="448" customHeight="1" spans="2:4">
      <c r="B448" s="157"/>
      <c r="C448" s="85"/>
      <c r="D448" s="85"/>
    </row>
    <row r="449" customHeight="1" spans="2:4">
      <c r="B449" s="157"/>
      <c r="C449" s="85"/>
      <c r="D449" s="85"/>
    </row>
    <row r="450" customHeight="1" spans="2:4">
      <c r="B450" s="157"/>
      <c r="C450" s="85"/>
      <c r="D450" s="85"/>
    </row>
    <row r="451" customHeight="1" spans="2:4">
      <c r="B451" s="157"/>
      <c r="C451" s="85"/>
      <c r="D451" s="85"/>
    </row>
    <row r="452" customHeight="1" spans="2:4">
      <c r="B452" s="157"/>
      <c r="C452" s="85"/>
      <c r="D452" s="85"/>
    </row>
    <row r="453" customHeight="1" spans="2:4">
      <c r="B453" s="157"/>
      <c r="C453" s="85"/>
      <c r="D453" s="85"/>
    </row>
    <row r="454" customHeight="1" spans="2:4">
      <c r="B454" s="157"/>
      <c r="C454" s="85"/>
      <c r="D454" s="85"/>
    </row>
    <row r="455" customHeight="1" spans="2:4">
      <c r="B455" s="157"/>
      <c r="C455" s="85"/>
      <c r="D455" s="85"/>
    </row>
    <row r="456" customHeight="1" spans="2:4">
      <c r="B456" s="157"/>
      <c r="C456" s="85"/>
      <c r="D456" s="85"/>
    </row>
    <row r="457" customHeight="1" spans="2:2">
      <c r="B457" s="157"/>
    </row>
    <row r="458" customHeight="1" spans="2:4">
      <c r="B458" s="157"/>
      <c r="C458" s="85"/>
      <c r="D458" s="85"/>
    </row>
    <row r="459" customHeight="1" spans="2:4">
      <c r="B459" s="157"/>
      <c r="C459" s="85"/>
      <c r="D459" s="85"/>
    </row>
    <row r="460" customHeight="1" spans="2:4">
      <c r="B460" s="157"/>
      <c r="C460" s="85"/>
      <c r="D460" s="85"/>
    </row>
    <row r="461" customHeight="1" spans="2:4">
      <c r="B461" s="157"/>
      <c r="C461" s="85"/>
      <c r="D461" s="85"/>
    </row>
    <row r="462" customHeight="1" spans="2:4">
      <c r="B462" s="157"/>
      <c r="C462" s="85"/>
      <c r="D462" s="85"/>
    </row>
    <row r="463" customHeight="1" spans="2:4">
      <c r="B463" s="157"/>
      <c r="C463" s="85"/>
      <c r="D463" s="85"/>
    </row>
    <row r="464" customHeight="1" spans="2:4">
      <c r="B464" s="157"/>
      <c r="C464" s="85"/>
      <c r="D464" s="85"/>
    </row>
    <row r="465" customHeight="1" spans="2:4">
      <c r="B465" s="157"/>
      <c r="C465" s="85"/>
      <c r="D465" s="85"/>
    </row>
    <row r="466" customHeight="1" spans="2:4">
      <c r="B466" s="157"/>
      <c r="C466" s="85"/>
      <c r="D466" s="85"/>
    </row>
    <row r="467" customHeight="1" spans="2:4">
      <c r="B467" s="157"/>
      <c r="C467" s="85"/>
      <c r="D467" s="85"/>
    </row>
    <row r="468" customHeight="1" spans="2:4">
      <c r="B468" s="157"/>
      <c r="C468" s="85"/>
      <c r="D468" s="85"/>
    </row>
    <row r="469" customHeight="1" spans="2:4">
      <c r="B469" s="157"/>
      <c r="C469" s="85"/>
      <c r="D469" s="85"/>
    </row>
    <row r="470" customHeight="1" spans="2:4">
      <c r="B470" s="157"/>
      <c r="C470" s="85"/>
      <c r="D470" s="85"/>
    </row>
    <row r="471" customHeight="1" spans="2:4">
      <c r="B471" s="157"/>
      <c r="C471" s="85"/>
      <c r="D471" s="85"/>
    </row>
    <row r="472" customHeight="1" spans="2:4">
      <c r="B472" s="157"/>
      <c r="C472" s="85"/>
      <c r="D472" s="85"/>
    </row>
    <row r="473" customHeight="1" spans="2:4">
      <c r="B473" s="157"/>
      <c r="C473" s="85"/>
      <c r="D473" s="85"/>
    </row>
    <row r="474" customHeight="1" spans="2:4">
      <c r="B474" s="157"/>
      <c r="C474" s="85"/>
      <c r="D474" s="85"/>
    </row>
    <row r="475" customHeight="1" spans="2:4">
      <c r="B475" s="157"/>
      <c r="C475" s="85"/>
      <c r="D475" s="85"/>
    </row>
    <row r="476" customHeight="1" spans="2:4">
      <c r="B476" s="157"/>
      <c r="C476" s="85"/>
      <c r="D476" s="85"/>
    </row>
    <row r="477" customHeight="1" spans="2:4">
      <c r="B477" s="157"/>
      <c r="C477" s="85"/>
      <c r="D477" s="85"/>
    </row>
    <row r="478" customHeight="1" spans="2:4">
      <c r="B478" s="157"/>
      <c r="C478" s="85"/>
      <c r="D478" s="85"/>
    </row>
    <row r="479" customHeight="1" spans="2:4">
      <c r="B479" s="157"/>
      <c r="C479" s="85"/>
      <c r="D479" s="85"/>
    </row>
    <row r="480" customHeight="1" spans="2:4">
      <c r="B480" s="157"/>
      <c r="C480" s="85"/>
      <c r="D480" s="85"/>
    </row>
    <row r="481" customHeight="1" spans="2:4">
      <c r="B481" s="157"/>
      <c r="C481" s="85"/>
      <c r="D481" s="85"/>
    </row>
    <row r="482" customHeight="1" spans="2:4">
      <c r="B482" s="157"/>
      <c r="C482" s="85"/>
      <c r="D482" s="85"/>
    </row>
    <row r="483" customHeight="1" spans="2:4">
      <c r="B483" s="157"/>
      <c r="C483" s="85"/>
      <c r="D483" s="85"/>
    </row>
    <row r="484" customHeight="1" spans="2:4">
      <c r="B484" s="157"/>
      <c r="C484" s="85"/>
      <c r="D484" s="85"/>
    </row>
    <row r="485" customHeight="1" spans="2:4">
      <c r="B485" s="157"/>
      <c r="C485" s="85"/>
      <c r="D485" s="85"/>
    </row>
    <row r="486" customHeight="1" spans="2:4">
      <c r="B486" s="157"/>
      <c r="C486" s="85"/>
      <c r="D486" s="85"/>
    </row>
    <row r="487" customHeight="1" spans="2:4">
      <c r="B487" s="157"/>
      <c r="C487" s="85"/>
      <c r="D487" s="85"/>
    </row>
    <row r="488" customHeight="1" spans="2:4">
      <c r="B488" s="157"/>
      <c r="C488" s="85"/>
      <c r="D488" s="85"/>
    </row>
    <row r="489" customHeight="1" spans="2:4">
      <c r="B489" s="157"/>
      <c r="C489" s="85"/>
      <c r="D489" s="85"/>
    </row>
    <row r="490" customHeight="1" spans="2:4">
      <c r="B490" s="157"/>
      <c r="C490" s="85"/>
      <c r="D490" s="85"/>
    </row>
    <row r="491" customHeight="1" spans="2:4">
      <c r="B491" s="157"/>
      <c r="C491" s="85"/>
      <c r="D491" s="85"/>
    </row>
    <row r="492" customHeight="1" spans="2:4">
      <c r="B492" s="157"/>
      <c r="C492" s="85"/>
      <c r="D492" s="85"/>
    </row>
    <row r="493" customHeight="1" spans="2:4">
      <c r="B493" s="157"/>
      <c r="C493" s="85"/>
      <c r="D493" s="85"/>
    </row>
    <row r="494" customHeight="1" spans="2:4">
      <c r="B494" s="157"/>
      <c r="C494" s="85"/>
      <c r="D494" s="85"/>
    </row>
    <row r="495" customHeight="1" spans="2:4">
      <c r="B495" s="157"/>
      <c r="C495" s="85"/>
      <c r="D495" s="85"/>
    </row>
    <row r="496" customHeight="1" spans="2:4">
      <c r="B496" s="157"/>
      <c r="C496" s="85"/>
      <c r="D496" s="85"/>
    </row>
    <row r="497" customHeight="1" spans="2:4">
      <c r="B497" s="157"/>
      <c r="C497" s="85"/>
      <c r="D497" s="85"/>
    </row>
    <row r="498" customHeight="1" spans="2:4">
      <c r="B498" s="157"/>
      <c r="C498" s="85"/>
      <c r="D498" s="85"/>
    </row>
    <row r="499" customHeight="1" spans="2:4">
      <c r="B499" s="157"/>
      <c r="C499" s="85"/>
      <c r="D499" s="85"/>
    </row>
    <row r="500" customHeight="1" spans="2:4">
      <c r="B500" s="157"/>
      <c r="C500" s="85"/>
      <c r="D500" s="85"/>
    </row>
    <row r="501" customHeight="1" spans="2:4">
      <c r="B501" s="157"/>
      <c r="C501" s="85"/>
      <c r="D501" s="85"/>
    </row>
    <row r="502" customHeight="1" spans="2:4">
      <c r="B502" s="157"/>
      <c r="C502" s="85"/>
      <c r="D502" s="85"/>
    </row>
    <row r="503" customHeight="1" spans="2:4">
      <c r="B503" s="157"/>
      <c r="C503" s="85"/>
      <c r="D503" s="85"/>
    </row>
    <row r="504" customHeight="1" spans="2:4">
      <c r="B504" s="157"/>
      <c r="C504" s="85"/>
      <c r="D504" s="85"/>
    </row>
    <row r="505" customHeight="1" spans="2:4">
      <c r="B505" s="157"/>
      <c r="C505" s="85"/>
      <c r="D505" s="85"/>
    </row>
    <row r="506" customHeight="1" spans="2:4">
      <c r="B506" s="157"/>
      <c r="C506" s="85"/>
      <c r="D506" s="85"/>
    </row>
    <row r="507" customHeight="1" spans="2:4">
      <c r="B507" s="157"/>
      <c r="C507" s="85"/>
      <c r="D507" s="85"/>
    </row>
    <row r="508" customHeight="1" spans="2:4">
      <c r="B508" s="157"/>
      <c r="C508" s="85"/>
      <c r="D508" s="85"/>
    </row>
    <row r="509" customHeight="1" spans="2:4">
      <c r="B509" s="157"/>
      <c r="C509" s="85"/>
      <c r="D509" s="85"/>
    </row>
    <row r="510" customHeight="1" spans="2:4">
      <c r="B510" s="157"/>
      <c r="C510" s="85"/>
      <c r="D510" s="85"/>
    </row>
    <row r="511" customHeight="1" spans="2:4">
      <c r="B511" s="157"/>
      <c r="C511" s="85"/>
      <c r="D511" s="85"/>
    </row>
    <row r="512" customHeight="1" spans="2:4">
      <c r="B512" s="157"/>
      <c r="C512" s="85"/>
      <c r="D512" s="85"/>
    </row>
    <row r="513" customHeight="1" spans="2:4">
      <c r="B513" s="157"/>
      <c r="C513" s="85"/>
      <c r="D513" s="85"/>
    </row>
    <row r="514" customHeight="1" spans="2:4">
      <c r="B514" s="157"/>
      <c r="C514" s="85"/>
      <c r="D514" s="85"/>
    </row>
    <row r="515" customHeight="1" spans="2:4">
      <c r="B515" s="157"/>
      <c r="C515" s="85"/>
      <c r="D515" s="85"/>
    </row>
    <row r="516" customHeight="1" spans="2:4">
      <c r="B516" s="157"/>
      <c r="C516" s="85"/>
      <c r="D516" s="85"/>
    </row>
    <row r="517" customHeight="1" spans="2:4">
      <c r="B517" s="157"/>
      <c r="C517" s="85"/>
      <c r="D517" s="85"/>
    </row>
    <row r="518" customHeight="1" spans="2:4">
      <c r="B518" s="157"/>
      <c r="C518" s="85"/>
      <c r="D518" s="85"/>
    </row>
    <row r="519" customHeight="1" spans="2:4">
      <c r="B519" s="157"/>
      <c r="C519" s="85"/>
      <c r="D519" s="85"/>
    </row>
    <row r="520" customHeight="1" spans="2:4">
      <c r="B520" s="157"/>
      <c r="C520" s="85"/>
      <c r="D520" s="85"/>
    </row>
    <row r="521" customHeight="1" spans="2:4">
      <c r="B521" s="157"/>
      <c r="C521" s="85"/>
      <c r="D521" s="85"/>
    </row>
    <row r="522" customHeight="1" spans="2:4">
      <c r="B522" s="157"/>
      <c r="C522" s="85"/>
      <c r="D522" s="85"/>
    </row>
    <row r="523" customHeight="1" spans="2:4">
      <c r="B523" s="157"/>
      <c r="C523" s="85"/>
      <c r="D523" s="85"/>
    </row>
    <row r="524" customHeight="1" spans="2:4">
      <c r="B524" s="157"/>
      <c r="C524" s="85"/>
      <c r="D524" s="85"/>
    </row>
    <row r="525" customHeight="1" spans="2:4">
      <c r="B525" s="157"/>
      <c r="C525" s="85"/>
      <c r="D525" s="85"/>
    </row>
    <row r="526" customHeight="1" spans="2:4">
      <c r="B526" s="157"/>
      <c r="C526" s="85"/>
      <c r="D526" s="85"/>
    </row>
    <row r="527" customHeight="1" spans="2:4">
      <c r="B527" s="157"/>
      <c r="C527" s="85"/>
      <c r="D527" s="85"/>
    </row>
    <row r="528" customHeight="1" spans="2:4">
      <c r="B528" s="157"/>
      <c r="C528" s="85"/>
      <c r="D528" s="85"/>
    </row>
    <row r="529" customHeight="1" spans="2:4">
      <c r="B529" s="157"/>
      <c r="C529" s="85"/>
      <c r="D529" s="85"/>
    </row>
    <row r="530" customHeight="1" spans="2:4">
      <c r="B530" s="157"/>
      <c r="C530" s="85"/>
      <c r="D530" s="85"/>
    </row>
    <row r="531" customHeight="1" spans="2:4">
      <c r="B531" s="157"/>
      <c r="C531" s="85"/>
      <c r="D531" s="85"/>
    </row>
    <row r="532" customHeight="1" spans="2:4">
      <c r="B532" s="157"/>
      <c r="C532" s="85"/>
      <c r="D532" s="85"/>
    </row>
    <row r="533" customHeight="1" spans="2:4">
      <c r="B533" s="157"/>
      <c r="C533" s="85"/>
      <c r="D533" s="85"/>
    </row>
    <row r="534" customHeight="1" spans="2:4">
      <c r="B534" s="157"/>
      <c r="C534" s="85"/>
      <c r="D534" s="85"/>
    </row>
    <row r="535" customHeight="1" spans="2:4">
      <c r="B535" s="157"/>
      <c r="C535" s="85"/>
      <c r="D535" s="85"/>
    </row>
    <row r="536" customHeight="1" spans="2:4">
      <c r="B536" s="157"/>
      <c r="C536" s="85"/>
      <c r="D536" s="85"/>
    </row>
    <row r="537" customHeight="1" spans="2:4">
      <c r="B537" s="157"/>
      <c r="C537" s="85"/>
      <c r="D537" s="85"/>
    </row>
    <row r="538" customHeight="1" spans="2:4">
      <c r="B538" s="157"/>
      <c r="C538" s="85"/>
      <c r="D538" s="85"/>
    </row>
    <row r="539" customHeight="1" spans="2:4">
      <c r="B539" s="157"/>
      <c r="C539" s="85"/>
      <c r="D539" s="85"/>
    </row>
    <row r="540" customHeight="1" spans="2:4">
      <c r="B540" s="157"/>
      <c r="C540" s="85"/>
      <c r="D540" s="85"/>
    </row>
    <row r="541" customHeight="1" spans="2:4">
      <c r="B541" s="157"/>
      <c r="C541" s="85"/>
      <c r="D541" s="85"/>
    </row>
    <row r="542" customHeight="1" spans="2:4">
      <c r="B542" s="157"/>
      <c r="C542" s="85"/>
      <c r="D542" s="85"/>
    </row>
    <row r="543" customHeight="1" spans="2:4">
      <c r="B543" s="157"/>
      <c r="C543" s="85"/>
      <c r="D543" s="85"/>
    </row>
    <row r="544" customHeight="1" spans="2:4">
      <c r="B544" s="157"/>
      <c r="C544" s="85"/>
      <c r="D544" s="85"/>
    </row>
    <row r="545" customHeight="1" spans="2:4">
      <c r="B545" s="157"/>
      <c r="C545" s="85"/>
      <c r="D545" s="85"/>
    </row>
    <row r="546" customHeight="1" spans="2:4">
      <c r="B546" s="157"/>
      <c r="C546" s="85"/>
      <c r="D546" s="85"/>
    </row>
    <row r="547" customHeight="1" spans="2:4">
      <c r="B547" s="157"/>
      <c r="C547" s="85"/>
      <c r="D547" s="85"/>
    </row>
    <row r="548" customHeight="1" spans="2:4">
      <c r="B548" s="157"/>
      <c r="C548" s="85"/>
      <c r="D548" s="85"/>
    </row>
    <row r="549" customHeight="1" spans="2:4">
      <c r="B549" s="157"/>
      <c r="C549" s="85"/>
      <c r="D549" s="85"/>
    </row>
    <row r="550" customHeight="1" spans="2:4">
      <c r="B550" s="157"/>
      <c r="C550" s="85"/>
      <c r="D550" s="85"/>
    </row>
    <row r="551" customHeight="1" spans="2:4">
      <c r="B551" s="157"/>
      <c r="C551" s="85"/>
      <c r="D551" s="85"/>
    </row>
    <row r="552" customHeight="1" spans="2:4">
      <c r="B552" s="157"/>
      <c r="C552" s="85"/>
      <c r="D552" s="85"/>
    </row>
    <row r="553" customHeight="1" spans="2:4">
      <c r="B553" s="157"/>
      <c r="C553" s="85"/>
      <c r="D553" s="85"/>
    </row>
    <row r="554" customHeight="1" spans="2:4">
      <c r="B554" s="157"/>
      <c r="C554" s="85"/>
      <c r="D554" s="85"/>
    </row>
    <row r="555" customHeight="1" spans="2:4">
      <c r="B555" s="157"/>
      <c r="C555" s="85"/>
      <c r="D555" s="85"/>
    </row>
    <row r="556" customHeight="1" spans="2:4">
      <c r="B556" s="157"/>
      <c r="C556" s="85"/>
      <c r="D556" s="85"/>
    </row>
    <row r="557" customHeight="1" spans="2:4">
      <c r="B557" s="157"/>
      <c r="C557" s="85"/>
      <c r="D557" s="85"/>
    </row>
    <row r="558" customHeight="1" spans="2:4">
      <c r="B558" s="157"/>
      <c r="C558" s="85"/>
      <c r="D558" s="85"/>
    </row>
    <row r="559" customHeight="1" spans="2:4">
      <c r="B559" s="157"/>
      <c r="C559" s="85"/>
      <c r="D559" s="85"/>
    </row>
    <row r="560" customHeight="1" spans="2:4">
      <c r="B560" s="157"/>
      <c r="C560" s="85"/>
      <c r="D560" s="85"/>
    </row>
    <row r="561" customHeight="1" spans="2:4">
      <c r="B561" s="157"/>
      <c r="C561" s="85"/>
      <c r="D561" s="85"/>
    </row>
    <row r="562" customHeight="1" spans="2:4">
      <c r="B562" s="157"/>
      <c r="C562" s="85"/>
      <c r="D562" s="85"/>
    </row>
    <row r="563" customHeight="1" spans="2:4">
      <c r="B563" s="157"/>
      <c r="C563" s="85"/>
      <c r="D563" s="85"/>
    </row>
    <row r="564" customHeight="1" spans="2:4">
      <c r="B564" s="157"/>
      <c r="C564" s="85"/>
      <c r="D564" s="85"/>
    </row>
    <row r="565" customHeight="1" spans="2:4">
      <c r="B565" s="157"/>
      <c r="C565" s="85"/>
      <c r="D565" s="85"/>
    </row>
    <row r="566" customHeight="1" spans="2:4">
      <c r="B566" s="157"/>
      <c r="C566" s="85"/>
      <c r="D566" s="85"/>
    </row>
    <row r="567" customHeight="1" spans="2:4">
      <c r="B567" s="157"/>
      <c r="C567" s="85"/>
      <c r="D567" s="85"/>
    </row>
    <row r="568" customHeight="1" spans="2:4">
      <c r="B568" s="157"/>
      <c r="C568" s="85"/>
      <c r="D568" s="85"/>
    </row>
    <row r="569" customHeight="1" spans="2:4">
      <c r="B569" s="157"/>
      <c r="C569" s="85"/>
      <c r="D569" s="85"/>
    </row>
    <row r="570" customHeight="1" spans="2:4">
      <c r="B570" s="157"/>
      <c r="C570" s="85"/>
      <c r="D570" s="85"/>
    </row>
    <row r="571" customHeight="1" spans="2:4">
      <c r="B571" s="157"/>
      <c r="C571" s="85"/>
      <c r="D571" s="85"/>
    </row>
    <row r="572" customHeight="1" spans="2:4">
      <c r="B572" s="157"/>
      <c r="C572" s="85"/>
      <c r="D572" s="85"/>
    </row>
    <row r="573" customHeight="1" spans="2:4">
      <c r="B573" s="157"/>
      <c r="C573" s="85"/>
      <c r="D573" s="85"/>
    </row>
    <row r="574" customHeight="1" spans="2:4">
      <c r="B574" s="157"/>
      <c r="C574" s="85"/>
      <c r="D574" s="85"/>
    </row>
    <row r="575" customHeight="1" spans="2:4">
      <c r="B575" s="157"/>
      <c r="C575" s="85"/>
      <c r="D575" s="85"/>
    </row>
    <row r="576" customHeight="1" spans="2:4">
      <c r="B576" s="157"/>
      <c r="C576" s="85"/>
      <c r="D576" s="85"/>
    </row>
    <row r="577" customHeight="1" spans="2:4">
      <c r="B577" s="157"/>
      <c r="C577" s="85"/>
      <c r="D577" s="85"/>
    </row>
    <row r="578" customHeight="1" spans="2:4">
      <c r="B578" s="157"/>
      <c r="C578" s="85"/>
      <c r="D578" s="85"/>
    </row>
    <row r="579" customHeight="1" spans="2:4">
      <c r="B579" s="157"/>
      <c r="C579" s="85"/>
      <c r="D579" s="85"/>
    </row>
    <row r="580" customHeight="1" spans="2:4">
      <c r="B580" s="157"/>
      <c r="C580" s="85"/>
      <c r="D580" s="85"/>
    </row>
    <row r="581" customHeight="1" spans="2:4">
      <c r="B581" s="157"/>
      <c r="C581" s="85"/>
      <c r="D581" s="85"/>
    </row>
    <row r="582" customHeight="1" spans="2:4">
      <c r="B582" s="157"/>
      <c r="C582" s="85"/>
      <c r="D582" s="85"/>
    </row>
    <row r="583" customHeight="1" spans="2:4">
      <c r="B583" s="157"/>
      <c r="C583" s="85"/>
      <c r="D583" s="85"/>
    </row>
    <row r="584" customHeight="1" spans="2:4">
      <c r="B584" s="157"/>
      <c r="C584" s="85"/>
      <c r="D584" s="85"/>
    </row>
    <row r="585" customHeight="1" spans="2:4">
      <c r="B585" s="157"/>
      <c r="C585" s="85"/>
      <c r="D585" s="85"/>
    </row>
    <row r="586" customHeight="1" spans="2:4">
      <c r="B586" s="157"/>
      <c r="C586" s="85"/>
      <c r="D586" s="85"/>
    </row>
    <row r="587" customHeight="1" spans="2:4">
      <c r="B587" s="157"/>
      <c r="C587" s="85"/>
      <c r="D587" s="85"/>
    </row>
    <row r="588" customHeight="1" spans="2:4">
      <c r="B588" s="157"/>
      <c r="C588" s="85"/>
      <c r="D588" s="85"/>
    </row>
    <row r="589" customHeight="1" spans="2:4">
      <c r="B589" s="157"/>
      <c r="C589" s="85"/>
      <c r="D589" s="85"/>
    </row>
    <row r="590" customHeight="1" spans="2:4">
      <c r="B590" s="157"/>
      <c r="C590" s="85"/>
      <c r="D590" s="85"/>
    </row>
    <row r="591" customHeight="1" spans="2:4">
      <c r="B591" s="157"/>
      <c r="C591" s="85"/>
      <c r="D591" s="85"/>
    </row>
    <row r="592" customHeight="1" spans="2:4">
      <c r="B592" s="157"/>
      <c r="C592" s="85"/>
      <c r="D592" s="85"/>
    </row>
    <row r="593" customHeight="1" spans="2:4">
      <c r="B593" s="157"/>
      <c r="C593" s="85"/>
      <c r="D593" s="85"/>
    </row>
    <row r="594" customHeight="1" spans="2:4">
      <c r="B594" s="157"/>
      <c r="C594" s="85"/>
      <c r="D594" s="85"/>
    </row>
    <row r="595" customHeight="1" spans="2:4">
      <c r="B595" s="157"/>
      <c r="C595" s="85"/>
      <c r="D595" s="85"/>
    </row>
    <row r="596" customHeight="1" spans="2:4">
      <c r="B596" s="157"/>
      <c r="C596" s="85"/>
      <c r="D596" s="85"/>
    </row>
    <row r="597" customHeight="1" spans="2:2">
      <c r="B597" s="157"/>
    </row>
    <row r="598" customHeight="1" spans="2:4">
      <c r="B598" s="157"/>
      <c r="C598" s="85"/>
      <c r="D598" s="85"/>
    </row>
    <row r="599" customHeight="1" spans="2:4">
      <c r="B599" s="157"/>
      <c r="C599" s="85"/>
      <c r="D599" s="85"/>
    </row>
    <row r="600" customHeight="1" spans="2:4">
      <c r="B600" s="157"/>
      <c r="C600" s="85"/>
      <c r="D600" s="85"/>
    </row>
    <row r="601" customHeight="1" spans="2:4">
      <c r="B601" s="157"/>
      <c r="C601" s="85"/>
      <c r="D601" s="85"/>
    </row>
    <row r="602" customHeight="1" spans="2:2">
      <c r="B602" s="157"/>
    </row>
    <row r="603" customHeight="1" spans="2:4">
      <c r="B603" s="157"/>
      <c r="C603" s="85"/>
      <c r="D603" s="85"/>
    </row>
    <row r="604" customHeight="1" spans="2:4">
      <c r="B604" s="157"/>
      <c r="C604" s="85"/>
      <c r="D604" s="85"/>
    </row>
    <row r="605" customHeight="1" spans="2:4">
      <c r="B605" s="157"/>
      <c r="C605" s="85"/>
      <c r="D605" s="85"/>
    </row>
    <row r="606" customHeight="1" spans="2:4">
      <c r="B606" s="157"/>
      <c r="C606" s="85"/>
      <c r="D606" s="85"/>
    </row>
    <row r="607" customHeight="1" spans="2:4">
      <c r="B607" s="157"/>
      <c r="C607" s="85"/>
      <c r="D607" s="85"/>
    </row>
    <row r="608" customHeight="1" spans="2:4">
      <c r="B608" s="157"/>
      <c r="C608" s="85"/>
      <c r="D608" s="85"/>
    </row>
    <row r="609" customHeight="1" spans="2:4">
      <c r="B609" s="157"/>
      <c r="C609" s="85"/>
      <c r="D609" s="85"/>
    </row>
    <row r="610" customHeight="1" spans="2:4">
      <c r="B610" s="157"/>
      <c r="C610" s="85"/>
      <c r="D610" s="85"/>
    </row>
    <row r="611" customHeight="1" spans="2:4">
      <c r="B611" s="157"/>
      <c r="C611" s="85"/>
      <c r="D611" s="85"/>
    </row>
    <row r="612" customHeight="1" spans="2:4">
      <c r="B612" s="157"/>
      <c r="C612" s="85"/>
      <c r="D612" s="85"/>
    </row>
    <row r="613" customHeight="1" spans="2:4">
      <c r="B613" s="157"/>
      <c r="C613" s="85"/>
      <c r="D613" s="85"/>
    </row>
    <row r="614" customHeight="1" spans="2:4">
      <c r="B614" s="157"/>
      <c r="C614" s="85"/>
      <c r="D614" s="85"/>
    </row>
    <row r="615" customHeight="1" spans="2:4">
      <c r="B615" s="157"/>
      <c r="C615" s="85"/>
      <c r="D615" s="85"/>
    </row>
    <row r="616" customHeight="1" spans="2:4">
      <c r="B616" s="157"/>
      <c r="C616" s="85"/>
      <c r="D616" s="85"/>
    </row>
    <row r="617" customHeight="1" spans="2:4">
      <c r="B617" s="157"/>
      <c r="C617" s="85"/>
      <c r="D617" s="85"/>
    </row>
    <row r="618" customHeight="1" spans="2:4">
      <c r="B618" s="157"/>
      <c r="C618" s="85"/>
      <c r="D618" s="85"/>
    </row>
    <row r="619" customHeight="1" spans="2:4">
      <c r="B619" s="157"/>
      <c r="C619" s="85"/>
      <c r="D619" s="85"/>
    </row>
    <row r="620" customHeight="1" spans="2:4">
      <c r="B620" s="157"/>
      <c r="C620" s="85"/>
      <c r="D620" s="85"/>
    </row>
    <row r="621" customHeight="1" spans="2:4">
      <c r="B621" s="157"/>
      <c r="C621" s="85"/>
      <c r="D621" s="85"/>
    </row>
    <row r="622" customHeight="1" spans="2:4">
      <c r="B622" s="157"/>
      <c r="C622" s="85"/>
      <c r="D622" s="85"/>
    </row>
    <row r="623" customHeight="1" spans="2:4">
      <c r="B623" s="157"/>
      <c r="C623" s="85"/>
      <c r="D623" s="85"/>
    </row>
    <row r="624" customHeight="1" spans="2:4">
      <c r="B624" s="157"/>
      <c r="C624" s="85"/>
      <c r="D624" s="85"/>
    </row>
    <row r="625" customHeight="1" spans="2:4">
      <c r="B625" s="157"/>
      <c r="C625" s="85"/>
      <c r="D625" s="85"/>
    </row>
    <row r="626" customHeight="1" spans="2:4">
      <c r="B626" s="157"/>
      <c r="C626" s="85"/>
      <c r="D626" s="85"/>
    </row>
    <row r="627" customHeight="1" spans="2:4">
      <c r="B627" s="157"/>
      <c r="C627" s="85"/>
      <c r="D627" s="85"/>
    </row>
    <row r="628" customHeight="1" spans="2:4">
      <c r="B628" s="157"/>
      <c r="C628" s="85"/>
      <c r="D628" s="85"/>
    </row>
    <row r="629" customHeight="1" spans="2:4">
      <c r="B629" s="157"/>
      <c r="C629" s="85"/>
      <c r="D629" s="85"/>
    </row>
    <row r="630" customHeight="1" spans="2:4">
      <c r="B630" s="157"/>
      <c r="C630" s="85"/>
      <c r="D630" s="85"/>
    </row>
    <row r="631" customHeight="1" spans="2:4">
      <c r="B631" s="157"/>
      <c r="C631" s="85"/>
      <c r="D631" s="85"/>
    </row>
    <row r="632" customHeight="1" spans="2:4">
      <c r="B632" s="157"/>
      <c r="C632" s="85"/>
      <c r="D632" s="85"/>
    </row>
    <row r="633" customHeight="1" spans="2:4">
      <c r="B633" s="157"/>
      <c r="C633" s="85"/>
      <c r="D633" s="85"/>
    </row>
    <row r="634" customHeight="1" spans="2:4">
      <c r="B634" s="157"/>
      <c r="C634" s="85"/>
      <c r="D634" s="85"/>
    </row>
    <row r="635" customHeight="1" spans="2:4">
      <c r="B635" s="157"/>
      <c r="C635" s="85"/>
      <c r="D635" s="85"/>
    </row>
    <row r="636" customHeight="1" spans="2:4">
      <c r="B636" s="157"/>
      <c r="C636" s="85"/>
      <c r="D636" s="85"/>
    </row>
    <row r="637" customHeight="1" spans="2:4">
      <c r="B637" s="157"/>
      <c r="C637" s="85"/>
      <c r="D637" s="85"/>
    </row>
    <row r="638" customHeight="1" spans="2:4">
      <c r="B638" s="157"/>
      <c r="C638" s="85"/>
      <c r="D638" s="85"/>
    </row>
    <row r="639" customHeight="1" spans="2:4">
      <c r="B639" s="157"/>
      <c r="C639" s="85"/>
      <c r="D639" s="85"/>
    </row>
    <row r="640" customHeight="1" spans="2:4">
      <c r="B640" s="157"/>
      <c r="C640" s="85"/>
      <c r="D640" s="85"/>
    </row>
    <row r="641" customHeight="1" spans="2:4">
      <c r="B641" s="157"/>
      <c r="C641" s="85"/>
      <c r="D641" s="85"/>
    </row>
    <row r="642" customHeight="1" spans="2:4">
      <c r="B642" s="157"/>
      <c r="C642" s="85"/>
      <c r="D642" s="85"/>
    </row>
    <row r="643" customHeight="1" spans="2:4">
      <c r="B643" s="157"/>
      <c r="C643" s="85"/>
      <c r="D643" s="85"/>
    </row>
    <row r="644" customHeight="1" spans="2:4">
      <c r="B644" s="157"/>
      <c r="C644" s="85"/>
      <c r="D644" s="85"/>
    </row>
    <row r="645" customHeight="1" spans="2:4">
      <c r="B645" s="157"/>
      <c r="C645" s="85"/>
      <c r="D645" s="85"/>
    </row>
    <row r="646" customHeight="1" spans="2:4">
      <c r="B646" s="157"/>
      <c r="C646" s="85"/>
      <c r="D646" s="85"/>
    </row>
    <row r="647" customHeight="1" spans="2:4">
      <c r="B647" s="157"/>
      <c r="C647" s="85"/>
      <c r="D647" s="85"/>
    </row>
    <row r="648" customHeight="1" spans="2:4">
      <c r="B648" s="157"/>
      <c r="C648" s="85"/>
      <c r="D648" s="85"/>
    </row>
    <row r="649" customHeight="1" spans="2:4">
      <c r="B649" s="157"/>
      <c r="C649" s="85"/>
      <c r="D649" s="85"/>
    </row>
    <row r="650" customHeight="1" spans="2:4">
      <c r="B650" s="157"/>
      <c r="C650" s="85"/>
      <c r="D650" s="85"/>
    </row>
    <row r="651" customHeight="1" spans="2:4">
      <c r="B651" s="157"/>
      <c r="C651" s="85"/>
      <c r="D651" s="85"/>
    </row>
    <row r="652" customHeight="1" spans="2:4">
      <c r="B652" s="157"/>
      <c r="C652" s="85"/>
      <c r="D652" s="85"/>
    </row>
    <row r="653" customHeight="1" spans="2:4">
      <c r="B653" s="157"/>
      <c r="C653" s="85"/>
      <c r="D653" s="85"/>
    </row>
    <row r="654" customHeight="1" spans="2:4">
      <c r="B654" s="157"/>
      <c r="C654" s="85"/>
      <c r="D654" s="85"/>
    </row>
    <row r="655" customHeight="1" spans="2:4">
      <c r="B655" s="157"/>
      <c r="C655" s="85"/>
      <c r="D655" s="85"/>
    </row>
    <row r="656" customHeight="1" spans="2:4">
      <c r="B656" s="157"/>
      <c r="C656" s="85"/>
      <c r="D656" s="85"/>
    </row>
    <row r="657" customHeight="1" spans="2:4">
      <c r="B657" s="157"/>
      <c r="C657" s="85"/>
      <c r="D657" s="85"/>
    </row>
    <row r="658" customHeight="1" spans="2:4">
      <c r="B658" s="157"/>
      <c r="C658" s="85"/>
      <c r="D658" s="85"/>
    </row>
    <row r="659" customHeight="1" spans="2:4">
      <c r="B659" s="157"/>
      <c r="C659" s="85"/>
      <c r="D659" s="85"/>
    </row>
    <row r="660" customHeight="1" spans="2:4">
      <c r="B660" s="157"/>
      <c r="C660" s="85"/>
      <c r="D660" s="85"/>
    </row>
    <row r="661" customHeight="1" spans="2:4">
      <c r="B661" s="157"/>
      <c r="C661" s="85"/>
      <c r="D661" s="85"/>
    </row>
    <row r="662" customHeight="1" spans="2:4">
      <c r="B662" s="157"/>
      <c r="C662" s="85"/>
      <c r="D662" s="85"/>
    </row>
    <row r="663" customHeight="1" spans="2:4">
      <c r="B663" s="157"/>
      <c r="C663" s="85"/>
      <c r="D663" s="85"/>
    </row>
    <row r="664" customHeight="1" spans="2:4">
      <c r="B664" s="157"/>
      <c r="C664" s="85"/>
      <c r="D664" s="85"/>
    </row>
    <row r="665" customHeight="1" spans="2:4">
      <c r="B665" s="157"/>
      <c r="C665" s="85"/>
      <c r="D665" s="85"/>
    </row>
    <row r="666" customHeight="1" spans="2:4">
      <c r="B666" s="157"/>
      <c r="C666" s="85"/>
      <c r="D666" s="85"/>
    </row>
    <row r="667" customHeight="1" spans="2:4">
      <c r="B667" s="157"/>
      <c r="C667" s="85"/>
      <c r="D667" s="85"/>
    </row>
    <row r="668" customHeight="1" spans="2:4">
      <c r="B668" s="157"/>
      <c r="C668" s="85"/>
      <c r="D668" s="85"/>
    </row>
    <row r="669" customHeight="1" spans="2:4">
      <c r="B669" s="157"/>
      <c r="C669" s="85"/>
      <c r="D669" s="85"/>
    </row>
    <row r="670" customHeight="1" spans="2:4">
      <c r="B670" s="157"/>
      <c r="C670" s="85"/>
      <c r="D670" s="85"/>
    </row>
    <row r="671" customHeight="1" spans="2:4">
      <c r="B671" s="157"/>
      <c r="C671" s="85"/>
      <c r="D671" s="85"/>
    </row>
    <row r="672" customHeight="1" spans="2:4">
      <c r="B672" s="157"/>
      <c r="C672" s="85"/>
      <c r="D672" s="85"/>
    </row>
    <row r="673" customHeight="1" spans="2:4">
      <c r="B673" s="157"/>
      <c r="C673" s="85"/>
      <c r="D673" s="85"/>
    </row>
    <row r="674" customHeight="1" spans="2:4">
      <c r="B674" s="157"/>
      <c r="C674" s="85"/>
      <c r="D674" s="85"/>
    </row>
    <row r="675" customHeight="1" spans="2:4">
      <c r="B675" s="157"/>
      <c r="C675" s="85"/>
      <c r="D675" s="85"/>
    </row>
    <row r="676" customHeight="1" spans="2:4">
      <c r="B676" s="157"/>
      <c r="C676" s="85"/>
      <c r="D676" s="85"/>
    </row>
    <row r="677" customHeight="1" spans="2:4">
      <c r="B677" s="157"/>
      <c r="C677" s="85"/>
      <c r="D677" s="85"/>
    </row>
    <row r="678" customHeight="1" spans="2:4">
      <c r="B678" s="157"/>
      <c r="C678" s="85"/>
      <c r="D678" s="85"/>
    </row>
    <row r="679" customHeight="1" spans="2:4">
      <c r="B679" s="157"/>
      <c r="C679" s="85"/>
      <c r="D679" s="85"/>
    </row>
    <row r="680" customHeight="1" spans="2:4">
      <c r="B680" s="157"/>
      <c r="C680" s="85"/>
      <c r="D680" s="85"/>
    </row>
    <row r="681" customHeight="1" spans="2:4">
      <c r="B681" s="157"/>
      <c r="C681" s="85"/>
      <c r="D681" s="85"/>
    </row>
    <row r="682" customHeight="1" spans="2:4">
      <c r="B682" s="157"/>
      <c r="C682" s="85"/>
      <c r="D682" s="85"/>
    </row>
    <row r="683" customHeight="1" spans="2:4">
      <c r="B683" s="157"/>
      <c r="C683" s="85"/>
      <c r="D683" s="85"/>
    </row>
    <row r="684" customHeight="1" spans="2:4">
      <c r="B684" s="157"/>
      <c r="C684" s="85"/>
      <c r="D684" s="85"/>
    </row>
    <row r="685" customHeight="1" spans="2:4">
      <c r="B685" s="157"/>
      <c r="C685" s="85"/>
      <c r="D685" s="85"/>
    </row>
    <row r="686" customHeight="1" spans="2:4">
      <c r="B686" s="157"/>
      <c r="C686" s="85"/>
      <c r="D686" s="85"/>
    </row>
    <row r="687" customHeight="1" spans="2:4">
      <c r="B687" s="157"/>
      <c r="C687" s="85"/>
      <c r="D687" s="85"/>
    </row>
    <row r="688" customHeight="1" spans="2:4">
      <c r="B688" s="157"/>
      <c r="C688" s="85"/>
      <c r="D688" s="85"/>
    </row>
    <row r="689" customHeight="1" spans="2:4">
      <c r="B689" s="157"/>
      <c r="C689" s="85"/>
      <c r="D689" s="85"/>
    </row>
    <row r="690" customHeight="1" spans="2:4">
      <c r="B690" s="157"/>
      <c r="C690" s="85"/>
      <c r="D690" s="85"/>
    </row>
    <row r="691" customHeight="1" spans="2:4">
      <c r="B691" s="157"/>
      <c r="C691" s="85"/>
      <c r="D691" s="85"/>
    </row>
    <row r="692" customHeight="1" spans="2:4">
      <c r="B692" s="157"/>
      <c r="C692" s="85"/>
      <c r="D692" s="85"/>
    </row>
    <row r="693" customHeight="1" spans="2:4">
      <c r="B693" s="157"/>
      <c r="C693" s="85"/>
      <c r="D693" s="85"/>
    </row>
    <row r="694" customHeight="1" spans="2:4">
      <c r="B694" s="157"/>
      <c r="C694" s="85"/>
      <c r="D694" s="85"/>
    </row>
    <row r="695" customHeight="1" spans="2:4">
      <c r="B695" s="157"/>
      <c r="C695" s="85"/>
      <c r="D695" s="85"/>
    </row>
    <row r="696" customHeight="1" spans="2:4">
      <c r="B696" s="157"/>
      <c r="C696" s="85"/>
      <c r="D696" s="85"/>
    </row>
    <row r="697" customHeight="1" spans="2:4">
      <c r="B697" s="157"/>
      <c r="C697" s="85"/>
      <c r="D697" s="85"/>
    </row>
    <row r="698" customHeight="1" spans="2:4">
      <c r="B698" s="157"/>
      <c r="C698" s="85"/>
      <c r="D698" s="85"/>
    </row>
    <row r="699" customHeight="1" spans="2:4">
      <c r="B699" s="157"/>
      <c r="C699" s="85"/>
      <c r="D699" s="85"/>
    </row>
    <row r="700" customHeight="1" spans="2:4">
      <c r="B700" s="157"/>
      <c r="C700" s="85"/>
      <c r="D700" s="85"/>
    </row>
    <row r="701" customHeight="1" spans="2:4">
      <c r="B701" s="157"/>
      <c r="C701" s="85"/>
      <c r="D701" s="85"/>
    </row>
    <row r="702" customHeight="1" spans="2:4">
      <c r="B702" s="157"/>
      <c r="C702" s="85"/>
      <c r="D702" s="85"/>
    </row>
    <row r="703" customHeight="1" spans="2:4">
      <c r="B703" s="157"/>
      <c r="C703" s="85"/>
      <c r="D703" s="85"/>
    </row>
    <row r="704" customHeight="1" spans="2:4">
      <c r="B704" s="157"/>
      <c r="C704" s="85"/>
      <c r="D704" s="85"/>
    </row>
    <row r="705" customHeight="1" spans="2:4">
      <c r="B705" s="157"/>
      <c r="C705" s="85"/>
      <c r="D705" s="85"/>
    </row>
    <row r="706" customHeight="1" spans="2:4">
      <c r="B706" s="157"/>
      <c r="C706" s="85"/>
      <c r="D706" s="85"/>
    </row>
    <row r="707" customHeight="1" spans="2:4">
      <c r="B707" s="157"/>
      <c r="C707" s="85"/>
      <c r="D707" s="85"/>
    </row>
    <row r="708" customHeight="1" spans="2:4">
      <c r="B708" s="157"/>
      <c r="C708" s="85"/>
      <c r="D708" s="85"/>
    </row>
    <row r="709" customHeight="1" spans="2:4">
      <c r="B709" s="157"/>
      <c r="C709" s="85"/>
      <c r="D709" s="85"/>
    </row>
    <row r="710" customHeight="1" spans="2:4">
      <c r="B710" s="157"/>
      <c r="C710" s="85"/>
      <c r="D710" s="85"/>
    </row>
    <row r="711" customHeight="1" spans="2:4">
      <c r="B711" s="157"/>
      <c r="C711" s="85"/>
      <c r="D711" s="85"/>
    </row>
    <row r="712" customHeight="1" spans="2:4">
      <c r="B712" s="157"/>
      <c r="C712" s="85"/>
      <c r="D712" s="85"/>
    </row>
    <row r="713" customHeight="1" spans="2:4">
      <c r="B713" s="157"/>
      <c r="C713" s="85"/>
      <c r="D713" s="85"/>
    </row>
    <row r="714" customHeight="1" spans="2:4">
      <c r="B714" s="157"/>
      <c r="C714" s="85"/>
      <c r="D714" s="85"/>
    </row>
    <row r="715" customHeight="1" spans="2:4">
      <c r="B715" s="157"/>
      <c r="C715" s="85"/>
      <c r="D715" s="85"/>
    </row>
    <row r="716" customHeight="1" spans="2:4">
      <c r="B716" s="157"/>
      <c r="C716" s="85"/>
      <c r="D716" s="85"/>
    </row>
    <row r="717" customHeight="1" spans="2:4">
      <c r="B717" s="157"/>
      <c r="C717" s="85"/>
      <c r="D717" s="85"/>
    </row>
    <row r="718" customHeight="1" spans="2:4">
      <c r="B718" s="157"/>
      <c r="C718" s="85"/>
      <c r="D718" s="85"/>
    </row>
    <row r="719" customHeight="1" spans="2:4">
      <c r="B719" s="157"/>
      <c r="C719" s="85"/>
      <c r="D719" s="85"/>
    </row>
    <row r="720" customHeight="1" spans="2:4">
      <c r="B720" s="157"/>
      <c r="C720" s="85"/>
      <c r="D720" s="85"/>
    </row>
    <row r="721" customHeight="1" spans="2:4">
      <c r="B721" s="157"/>
      <c r="C721" s="85"/>
      <c r="D721" s="85"/>
    </row>
    <row r="722" customHeight="1" spans="2:4">
      <c r="B722" s="157"/>
      <c r="C722" s="85"/>
      <c r="D722" s="85"/>
    </row>
    <row r="723" customHeight="1" spans="2:4">
      <c r="B723" s="157"/>
      <c r="C723" s="85"/>
      <c r="D723" s="85"/>
    </row>
    <row r="724" customHeight="1" spans="2:4">
      <c r="B724" s="157"/>
      <c r="C724" s="85"/>
      <c r="D724" s="85"/>
    </row>
    <row r="725" customHeight="1" spans="2:4">
      <c r="B725" s="157"/>
      <c r="C725" s="85"/>
      <c r="D725" s="85"/>
    </row>
    <row r="726" customHeight="1" spans="2:4">
      <c r="B726" s="157"/>
      <c r="C726" s="85"/>
      <c r="D726" s="85"/>
    </row>
    <row r="727" customHeight="1" spans="2:4">
      <c r="B727" s="157"/>
      <c r="C727" s="85"/>
      <c r="D727" s="85"/>
    </row>
    <row r="728" customHeight="1" spans="2:4">
      <c r="B728" s="157"/>
      <c r="C728" s="85"/>
      <c r="D728" s="85"/>
    </row>
    <row r="729" customHeight="1" spans="2:4">
      <c r="B729" s="157"/>
      <c r="C729" s="85"/>
      <c r="D729" s="85"/>
    </row>
    <row r="730" customHeight="1" spans="2:4">
      <c r="B730" s="157"/>
      <c r="C730" s="85"/>
      <c r="D730" s="85"/>
    </row>
    <row r="731" customHeight="1" spans="2:4">
      <c r="B731" s="157"/>
      <c r="C731" s="85"/>
      <c r="D731" s="85"/>
    </row>
    <row r="732" customHeight="1" spans="2:4">
      <c r="B732" s="157"/>
      <c r="C732" s="85"/>
      <c r="D732" s="85"/>
    </row>
    <row r="733" customHeight="1" spans="2:4">
      <c r="B733" s="157"/>
      <c r="C733" s="85"/>
      <c r="D733" s="85"/>
    </row>
    <row r="734" customHeight="1" spans="2:4">
      <c r="B734" s="157"/>
      <c r="C734" s="85"/>
      <c r="D734" s="85"/>
    </row>
    <row r="735" customHeight="1" spans="2:4">
      <c r="B735" s="157"/>
      <c r="C735" s="85"/>
      <c r="D735" s="85"/>
    </row>
    <row r="736" customHeight="1" spans="2:4">
      <c r="B736" s="157"/>
      <c r="C736" s="85"/>
      <c r="D736" s="85"/>
    </row>
    <row r="737" customHeight="1" spans="2:4">
      <c r="B737" s="157"/>
      <c r="C737" s="85"/>
      <c r="D737" s="85"/>
    </row>
    <row r="738" customHeight="1" spans="2:4">
      <c r="B738" s="157"/>
      <c r="C738" s="85"/>
      <c r="D738" s="85"/>
    </row>
    <row r="739" customHeight="1" spans="2:4">
      <c r="B739" s="157"/>
      <c r="C739" s="85"/>
      <c r="D739" s="85"/>
    </row>
    <row r="740" customHeight="1" spans="2:4">
      <c r="B740" s="157"/>
      <c r="C740" s="85"/>
      <c r="D740" s="85"/>
    </row>
    <row r="741" customHeight="1" spans="2:4">
      <c r="B741" s="157"/>
      <c r="C741" s="85"/>
      <c r="D741" s="85"/>
    </row>
    <row r="742" customHeight="1" spans="2:4">
      <c r="B742" s="157"/>
      <c r="C742" s="85"/>
      <c r="D742" s="85"/>
    </row>
    <row r="743" customHeight="1" spans="2:4">
      <c r="B743" s="157"/>
      <c r="C743" s="85"/>
      <c r="D743" s="85"/>
    </row>
    <row r="744" customHeight="1" spans="2:4">
      <c r="B744" s="157"/>
      <c r="C744" s="85"/>
      <c r="D744" s="85"/>
    </row>
    <row r="745" customHeight="1" spans="2:4">
      <c r="B745" s="157"/>
      <c r="C745" s="85"/>
      <c r="D745" s="85"/>
    </row>
    <row r="746" customHeight="1" spans="2:4">
      <c r="B746" s="157"/>
      <c r="C746" s="85"/>
      <c r="D746" s="85"/>
    </row>
    <row r="747" customHeight="1" spans="2:4">
      <c r="B747" s="157"/>
      <c r="C747" s="85"/>
      <c r="D747" s="85"/>
    </row>
    <row r="748" customHeight="1" spans="2:4">
      <c r="B748" s="157"/>
      <c r="C748" s="85"/>
      <c r="D748" s="85"/>
    </row>
    <row r="749" customHeight="1" spans="2:4">
      <c r="B749" s="157"/>
      <c r="C749" s="85"/>
      <c r="D749" s="85"/>
    </row>
    <row r="750" customHeight="1" spans="2:4">
      <c r="B750" s="157"/>
      <c r="C750" s="85"/>
      <c r="D750" s="85"/>
    </row>
    <row r="751" customHeight="1" spans="2:4">
      <c r="B751" s="157"/>
      <c r="C751" s="85"/>
      <c r="D751" s="85"/>
    </row>
    <row r="752" customHeight="1" spans="2:4">
      <c r="B752" s="157"/>
      <c r="C752" s="85"/>
      <c r="D752" s="85"/>
    </row>
    <row r="753" customHeight="1" spans="2:4">
      <c r="B753" s="157"/>
      <c r="C753" s="85"/>
      <c r="D753" s="85"/>
    </row>
    <row r="754" customHeight="1" spans="2:4">
      <c r="B754" s="157"/>
      <c r="C754" s="85"/>
      <c r="D754" s="85"/>
    </row>
    <row r="755" customHeight="1" spans="2:4">
      <c r="B755" s="157"/>
      <c r="C755" s="85"/>
      <c r="D755" s="85"/>
    </row>
    <row r="756" customHeight="1" spans="2:4">
      <c r="B756" s="157"/>
      <c r="C756" s="85"/>
      <c r="D756" s="85"/>
    </row>
    <row r="757" customHeight="1" spans="2:4">
      <c r="B757" s="157"/>
      <c r="C757" s="85"/>
      <c r="D757" s="85"/>
    </row>
    <row r="758" customHeight="1" spans="2:4">
      <c r="B758" s="157"/>
      <c r="C758" s="85"/>
      <c r="D758" s="85"/>
    </row>
    <row r="759" customHeight="1" spans="2:4">
      <c r="B759" s="157"/>
      <c r="C759" s="85"/>
      <c r="D759" s="85"/>
    </row>
    <row r="760" customHeight="1" spans="2:4">
      <c r="B760" s="157"/>
      <c r="C760" s="85"/>
      <c r="D760" s="85"/>
    </row>
    <row r="761" customHeight="1" spans="2:4">
      <c r="B761" s="157"/>
      <c r="C761" s="85"/>
      <c r="D761" s="85"/>
    </row>
    <row r="762" customHeight="1" spans="2:4">
      <c r="B762" s="157"/>
      <c r="C762" s="85"/>
      <c r="D762" s="85"/>
    </row>
    <row r="763" customHeight="1" spans="2:4">
      <c r="B763" s="157"/>
      <c r="C763" s="85"/>
      <c r="D763" s="85"/>
    </row>
    <row r="764" customHeight="1" spans="2:4">
      <c r="B764" s="157"/>
      <c r="C764" s="85"/>
      <c r="D764" s="85"/>
    </row>
    <row r="765" customHeight="1" spans="2:4">
      <c r="B765" s="157"/>
      <c r="C765" s="85"/>
      <c r="D765" s="85"/>
    </row>
    <row r="766" customHeight="1" spans="2:4">
      <c r="B766" s="157"/>
      <c r="C766" s="85"/>
      <c r="D766" s="85"/>
    </row>
    <row r="767" customHeight="1" spans="2:4">
      <c r="B767" s="157"/>
      <c r="C767" s="85"/>
      <c r="D767" s="85"/>
    </row>
    <row r="768" customHeight="1" spans="2:4">
      <c r="B768" s="157"/>
      <c r="C768" s="85"/>
      <c r="D768" s="85"/>
    </row>
    <row r="769" customHeight="1" spans="2:4">
      <c r="B769" s="157"/>
      <c r="C769" s="85"/>
      <c r="D769" s="85"/>
    </row>
    <row r="770" customHeight="1" spans="2:4">
      <c r="B770" s="157"/>
      <c r="C770" s="85"/>
      <c r="D770" s="85"/>
    </row>
    <row r="771" customHeight="1" spans="2:4">
      <c r="B771" s="157"/>
      <c r="C771" s="85"/>
      <c r="D771" s="85"/>
    </row>
    <row r="772" customHeight="1" spans="2:4">
      <c r="B772" s="157"/>
      <c r="C772" s="85"/>
      <c r="D772" s="85"/>
    </row>
    <row r="773" customHeight="1" spans="2:4">
      <c r="B773" s="157"/>
      <c r="C773" s="85"/>
      <c r="D773" s="85"/>
    </row>
    <row r="774" customHeight="1" spans="2:4">
      <c r="B774" s="157"/>
      <c r="C774" s="85"/>
      <c r="D774" s="85"/>
    </row>
    <row r="775" customHeight="1" spans="2:4">
      <c r="B775" s="157"/>
      <c r="C775" s="85"/>
      <c r="D775" s="85"/>
    </row>
    <row r="776" customHeight="1" spans="2:4">
      <c r="B776" s="157"/>
      <c r="C776" s="85"/>
      <c r="D776" s="85"/>
    </row>
    <row r="777" customHeight="1" spans="2:4">
      <c r="B777" s="157"/>
      <c r="C777" s="85"/>
      <c r="D777" s="85"/>
    </row>
    <row r="778" customHeight="1" spans="2:4">
      <c r="B778" s="157"/>
      <c r="C778" s="85"/>
      <c r="D778" s="85"/>
    </row>
    <row r="779" customHeight="1" spans="2:4">
      <c r="B779" s="157"/>
      <c r="C779" s="85"/>
      <c r="D779" s="85"/>
    </row>
    <row r="780" customHeight="1" spans="2:4">
      <c r="B780" s="157"/>
      <c r="C780" s="85"/>
      <c r="D780" s="85"/>
    </row>
    <row r="781" customHeight="1" spans="2:4">
      <c r="B781" s="157"/>
      <c r="C781" s="85"/>
      <c r="D781" s="85"/>
    </row>
    <row r="782" customHeight="1" spans="2:4">
      <c r="B782" s="157"/>
      <c r="C782" s="85"/>
      <c r="D782" s="85"/>
    </row>
    <row r="783" customHeight="1" spans="2:4">
      <c r="B783" s="157"/>
      <c r="C783" s="85"/>
      <c r="D783" s="85"/>
    </row>
    <row r="784" customHeight="1" spans="2:4">
      <c r="B784" s="157"/>
      <c r="C784" s="85"/>
      <c r="D784" s="85"/>
    </row>
    <row r="785" customHeight="1" spans="2:4">
      <c r="B785" s="157"/>
      <c r="C785" s="85"/>
      <c r="D785" s="85"/>
    </row>
    <row r="786" customHeight="1" spans="2:4">
      <c r="B786" s="157"/>
      <c r="C786" s="85"/>
      <c r="D786" s="85"/>
    </row>
    <row r="787" customHeight="1" spans="2:4">
      <c r="B787" s="157"/>
      <c r="C787" s="85"/>
      <c r="D787" s="85"/>
    </row>
    <row r="788" customHeight="1" spans="2:4">
      <c r="B788" s="157"/>
      <c r="C788" s="85"/>
      <c r="D788" s="85"/>
    </row>
    <row r="789" customHeight="1" spans="2:4">
      <c r="B789" s="157"/>
      <c r="C789" s="85"/>
      <c r="D789" s="85"/>
    </row>
    <row r="790" customHeight="1" spans="2:4">
      <c r="B790" s="157"/>
      <c r="C790" s="85"/>
      <c r="D790" s="85"/>
    </row>
    <row r="791" customHeight="1" spans="2:4">
      <c r="B791" s="157"/>
      <c r="C791" s="85"/>
      <c r="D791" s="85"/>
    </row>
    <row r="792" customHeight="1" spans="2:4">
      <c r="B792" s="157"/>
      <c r="C792" s="85"/>
      <c r="D792" s="85"/>
    </row>
    <row r="793" customHeight="1" spans="2:4">
      <c r="B793" s="157"/>
      <c r="C793" s="85"/>
      <c r="D793" s="85"/>
    </row>
    <row r="794" customHeight="1" spans="2:4">
      <c r="B794" s="157"/>
      <c r="C794" s="85"/>
      <c r="D794" s="85"/>
    </row>
    <row r="795" customHeight="1" spans="2:4">
      <c r="B795" s="157"/>
      <c r="C795" s="85"/>
      <c r="D795" s="85"/>
    </row>
    <row r="796" customHeight="1" spans="2:4">
      <c r="B796" s="157"/>
      <c r="C796" s="85"/>
      <c r="D796" s="85"/>
    </row>
    <row r="797" customHeight="1" spans="2:4">
      <c r="B797" s="157"/>
      <c r="C797" s="85"/>
      <c r="D797" s="85"/>
    </row>
    <row r="798" customHeight="1" spans="2:4">
      <c r="B798" s="157"/>
      <c r="C798" s="85"/>
      <c r="D798" s="85"/>
    </row>
    <row r="799" customHeight="1" spans="2:4">
      <c r="B799" s="157"/>
      <c r="C799" s="85"/>
      <c r="D799" s="85"/>
    </row>
    <row r="800" customHeight="1" spans="2:4">
      <c r="B800" s="157"/>
      <c r="C800" s="85"/>
      <c r="D800" s="85"/>
    </row>
    <row r="801" customHeight="1" spans="2:4">
      <c r="B801" s="157"/>
      <c r="C801" s="85"/>
      <c r="D801" s="85"/>
    </row>
    <row r="802" customHeight="1" spans="2:4">
      <c r="B802" s="157"/>
      <c r="C802" s="85"/>
      <c r="D802" s="85"/>
    </row>
    <row r="803" customHeight="1" spans="2:4">
      <c r="B803" s="157"/>
      <c r="C803" s="85"/>
      <c r="D803" s="85"/>
    </row>
    <row r="804" customHeight="1" spans="2:4">
      <c r="B804" s="157"/>
      <c r="C804" s="85"/>
      <c r="D804" s="85"/>
    </row>
    <row r="805" customHeight="1" spans="2:4">
      <c r="B805" s="157"/>
      <c r="C805" s="85"/>
      <c r="D805" s="85"/>
    </row>
    <row r="806" customHeight="1" spans="2:4">
      <c r="B806" s="157"/>
      <c r="C806" s="85"/>
      <c r="D806" s="85"/>
    </row>
    <row r="807" customHeight="1" spans="2:4">
      <c r="B807" s="157"/>
      <c r="C807" s="85"/>
      <c r="D807" s="85"/>
    </row>
    <row r="808" customHeight="1" spans="2:4">
      <c r="B808" s="157"/>
      <c r="C808" s="85"/>
      <c r="D808" s="85"/>
    </row>
    <row r="809" customHeight="1" spans="2:4">
      <c r="B809" s="157"/>
      <c r="C809" s="85"/>
      <c r="D809" s="85"/>
    </row>
    <row r="810" customHeight="1" spans="2:4">
      <c r="B810" s="157"/>
      <c r="C810" s="85"/>
      <c r="D810" s="85"/>
    </row>
    <row r="811" customHeight="1" spans="2:4">
      <c r="B811" s="157"/>
      <c r="C811" s="85"/>
      <c r="D811" s="85"/>
    </row>
    <row r="812" customHeight="1" spans="2:4">
      <c r="B812" s="157"/>
      <c r="C812" s="85"/>
      <c r="D812" s="85"/>
    </row>
    <row r="813" customHeight="1" spans="2:4">
      <c r="B813" s="157"/>
      <c r="C813" s="85"/>
      <c r="D813" s="85"/>
    </row>
    <row r="814" customHeight="1" spans="2:4">
      <c r="B814" s="157"/>
      <c r="C814" s="85"/>
      <c r="D814" s="85"/>
    </row>
    <row r="815" customHeight="1" spans="2:4">
      <c r="B815" s="157"/>
      <c r="C815" s="85"/>
      <c r="D815" s="85"/>
    </row>
    <row r="816" customHeight="1" spans="2:4">
      <c r="B816" s="157"/>
      <c r="C816" s="85"/>
      <c r="D816" s="85"/>
    </row>
    <row r="817" customHeight="1" spans="2:4">
      <c r="B817" s="157"/>
      <c r="C817" s="85"/>
      <c r="D817" s="85"/>
    </row>
    <row r="818" customHeight="1" spans="2:4">
      <c r="B818" s="157"/>
      <c r="C818" s="85"/>
      <c r="D818" s="85"/>
    </row>
    <row r="819" customHeight="1" spans="2:4">
      <c r="B819" s="157"/>
      <c r="C819" s="85"/>
      <c r="D819" s="85"/>
    </row>
    <row r="820" customHeight="1" spans="2:4">
      <c r="B820" s="157"/>
      <c r="C820" s="85"/>
      <c r="D820" s="85"/>
    </row>
    <row r="821" customHeight="1" spans="2:4">
      <c r="B821" s="157"/>
      <c r="C821" s="85"/>
      <c r="D821" s="85"/>
    </row>
    <row r="822" customHeight="1" spans="2:4">
      <c r="B822" s="157"/>
      <c r="C822" s="85"/>
      <c r="D822" s="85"/>
    </row>
    <row r="823" customHeight="1" spans="2:4">
      <c r="B823" s="157"/>
      <c r="C823" s="85"/>
      <c r="D823" s="85"/>
    </row>
    <row r="824" customHeight="1" spans="2:4">
      <c r="B824" s="157"/>
      <c r="C824" s="85"/>
      <c r="D824" s="85"/>
    </row>
    <row r="825" customHeight="1" spans="2:4">
      <c r="B825" s="157"/>
      <c r="C825" s="85"/>
      <c r="D825" s="85"/>
    </row>
    <row r="826" customHeight="1" spans="2:4">
      <c r="B826" s="157"/>
      <c r="C826" s="85"/>
      <c r="D826" s="85"/>
    </row>
    <row r="827" customHeight="1" spans="2:4">
      <c r="B827" s="157"/>
      <c r="C827" s="85"/>
      <c r="D827" s="85"/>
    </row>
    <row r="828" customHeight="1" spans="2:4">
      <c r="B828" s="157"/>
      <c r="C828" s="85"/>
      <c r="D828" s="85"/>
    </row>
    <row r="829" customHeight="1" spans="2:4">
      <c r="B829" s="157"/>
      <c r="C829" s="85"/>
      <c r="D829" s="85"/>
    </row>
    <row r="830" customHeight="1" spans="2:4">
      <c r="B830" s="157"/>
      <c r="C830" s="85"/>
      <c r="D830" s="85"/>
    </row>
    <row r="831" customHeight="1" spans="2:4">
      <c r="B831" s="157"/>
      <c r="C831" s="85"/>
      <c r="D831" s="85"/>
    </row>
    <row r="832" customHeight="1" spans="2:4">
      <c r="B832" s="157"/>
      <c r="C832" s="85"/>
      <c r="D832" s="85"/>
    </row>
    <row r="833" customHeight="1" spans="2:4">
      <c r="B833" s="157"/>
      <c r="C833" s="85"/>
      <c r="D833" s="85"/>
    </row>
    <row r="834" customHeight="1" spans="2:4">
      <c r="B834" s="157"/>
      <c r="C834" s="85"/>
      <c r="D834" s="85"/>
    </row>
    <row r="835" customHeight="1" spans="2:4">
      <c r="B835" s="157"/>
      <c r="C835" s="85"/>
      <c r="D835" s="85"/>
    </row>
    <row r="836" customHeight="1" spans="2:4">
      <c r="B836" s="157"/>
      <c r="C836" s="85"/>
      <c r="D836" s="85"/>
    </row>
    <row r="837" customHeight="1" spans="2:4">
      <c r="B837" s="157"/>
      <c r="C837" s="85"/>
      <c r="D837" s="85"/>
    </row>
    <row r="838" customHeight="1" spans="2:4">
      <c r="B838" s="157"/>
      <c r="C838" s="85"/>
      <c r="D838" s="85"/>
    </row>
    <row r="839" customHeight="1" spans="2:4">
      <c r="B839" s="157"/>
      <c r="C839" s="85"/>
      <c r="D839" s="85"/>
    </row>
    <row r="840" customHeight="1" spans="2:4">
      <c r="B840" s="157"/>
      <c r="C840" s="85"/>
      <c r="D840" s="85"/>
    </row>
    <row r="841" customHeight="1" spans="2:4">
      <c r="B841" s="157"/>
      <c r="C841" s="85"/>
      <c r="D841" s="85"/>
    </row>
    <row r="842" customHeight="1" spans="2:4">
      <c r="B842" s="157"/>
      <c r="C842" s="85"/>
      <c r="D842" s="85"/>
    </row>
    <row r="843" customHeight="1" spans="2:4">
      <c r="B843" s="157"/>
      <c r="C843" s="85"/>
      <c r="D843" s="85"/>
    </row>
    <row r="844" customHeight="1" spans="2:4">
      <c r="B844" s="157"/>
      <c r="C844" s="85"/>
      <c r="D844" s="85"/>
    </row>
    <row r="845" customHeight="1" spans="2:4">
      <c r="B845" s="157"/>
      <c r="C845" s="85"/>
      <c r="D845" s="85"/>
    </row>
    <row r="846" customHeight="1" spans="2:4">
      <c r="B846" s="157"/>
      <c r="C846" s="85"/>
      <c r="D846" s="85"/>
    </row>
    <row r="847" customHeight="1" spans="2:4">
      <c r="B847" s="157"/>
      <c r="C847" s="85"/>
      <c r="D847" s="85"/>
    </row>
    <row r="848" customHeight="1" spans="2:4">
      <c r="B848" s="157"/>
      <c r="C848" s="85"/>
      <c r="D848" s="85"/>
    </row>
    <row r="849" customHeight="1" spans="2:4">
      <c r="B849" s="157"/>
      <c r="C849" s="85"/>
      <c r="D849" s="85"/>
    </row>
    <row r="850" customHeight="1" spans="2:4">
      <c r="B850" s="157"/>
      <c r="C850" s="85"/>
      <c r="D850" s="85"/>
    </row>
    <row r="851" customHeight="1" spans="2:4">
      <c r="B851" s="157"/>
      <c r="C851" s="85"/>
      <c r="D851" s="85"/>
    </row>
    <row r="852" customHeight="1" spans="2:4">
      <c r="B852" s="157"/>
      <c r="C852" s="85"/>
      <c r="D852" s="85"/>
    </row>
    <row r="853" customHeight="1" spans="2:4">
      <c r="B853" s="157"/>
      <c r="C853" s="85"/>
      <c r="D853" s="85"/>
    </row>
    <row r="854" customHeight="1" spans="2:4">
      <c r="B854" s="157"/>
      <c r="C854" s="85"/>
      <c r="D854" s="85"/>
    </row>
    <row r="855" customHeight="1" spans="2:4">
      <c r="B855" s="157"/>
      <c r="C855" s="85"/>
      <c r="D855" s="85"/>
    </row>
    <row r="856" customHeight="1" spans="2:4">
      <c r="B856" s="157"/>
      <c r="C856" s="85"/>
      <c r="D856" s="85"/>
    </row>
    <row r="857" customHeight="1" spans="2:4">
      <c r="B857" s="157"/>
      <c r="C857" s="85"/>
      <c r="D857" s="85"/>
    </row>
    <row r="858" customHeight="1" spans="2:4">
      <c r="B858" s="157"/>
      <c r="C858" s="85"/>
      <c r="D858" s="85"/>
    </row>
    <row r="859" customHeight="1" spans="2:4">
      <c r="B859" s="157"/>
      <c r="C859" s="85"/>
      <c r="D859" s="85"/>
    </row>
    <row r="860" customHeight="1" spans="2:4">
      <c r="B860" s="157"/>
      <c r="C860" s="85"/>
      <c r="D860" s="85"/>
    </row>
    <row r="861" customHeight="1" spans="2:4">
      <c r="B861" s="157"/>
      <c r="C861" s="85"/>
      <c r="D861" s="85"/>
    </row>
    <row r="862" customHeight="1" spans="2:4">
      <c r="B862" s="157"/>
      <c r="C862" s="85"/>
      <c r="D862" s="85"/>
    </row>
    <row r="863" customHeight="1" spans="2:4">
      <c r="B863" s="157"/>
      <c r="C863" s="85"/>
      <c r="D863" s="85"/>
    </row>
    <row r="864" customHeight="1" spans="2:4">
      <c r="B864" s="157"/>
      <c r="C864" s="85"/>
      <c r="D864" s="85"/>
    </row>
    <row r="865" customHeight="1" spans="2:4">
      <c r="B865" s="157"/>
      <c r="C865" s="85"/>
      <c r="D865" s="85"/>
    </row>
    <row r="866" customHeight="1" spans="2:4">
      <c r="B866" s="157"/>
      <c r="C866" s="85"/>
      <c r="D866" s="85"/>
    </row>
    <row r="867" customHeight="1" spans="2:4">
      <c r="B867" s="157"/>
      <c r="C867" s="85"/>
      <c r="D867" s="85"/>
    </row>
    <row r="868" customHeight="1" spans="2:4">
      <c r="B868" s="157"/>
      <c r="C868" s="85"/>
      <c r="D868" s="85"/>
    </row>
    <row r="869" customHeight="1" spans="2:4">
      <c r="B869" s="157"/>
      <c r="C869" s="85"/>
      <c r="D869" s="85"/>
    </row>
    <row r="870" customHeight="1" spans="2:4">
      <c r="B870" s="157"/>
      <c r="C870" s="85"/>
      <c r="D870" s="85"/>
    </row>
    <row r="871" customHeight="1" spans="2:4">
      <c r="B871" s="157"/>
      <c r="C871" s="85"/>
      <c r="D871" s="85"/>
    </row>
    <row r="872" customHeight="1" spans="2:4">
      <c r="B872" s="157"/>
      <c r="C872" s="85"/>
      <c r="D872" s="85"/>
    </row>
    <row r="873" customHeight="1" spans="2:4">
      <c r="B873" s="157"/>
      <c r="C873" s="85"/>
      <c r="D873" s="85"/>
    </row>
    <row r="874" customHeight="1" spans="2:4">
      <c r="B874" s="157"/>
      <c r="C874" s="85"/>
      <c r="D874" s="85"/>
    </row>
    <row r="875" customHeight="1" spans="2:4">
      <c r="B875" s="157"/>
      <c r="C875" s="85"/>
      <c r="D875" s="85"/>
    </row>
    <row r="876" customHeight="1" spans="2:4">
      <c r="B876" s="157"/>
      <c r="C876" s="85"/>
      <c r="D876" s="85"/>
    </row>
    <row r="877" customHeight="1" spans="2:4">
      <c r="B877" s="157"/>
      <c r="C877" s="85"/>
      <c r="D877" s="85"/>
    </row>
    <row r="878" customHeight="1" spans="2:4">
      <c r="B878" s="157"/>
      <c r="C878" s="85"/>
      <c r="D878" s="85"/>
    </row>
    <row r="879" customHeight="1" spans="2:4">
      <c r="B879" s="157"/>
      <c r="C879" s="85"/>
      <c r="D879" s="85"/>
    </row>
    <row r="880" customHeight="1" spans="2:4">
      <c r="B880" s="157"/>
      <c r="C880" s="85"/>
      <c r="D880" s="85"/>
    </row>
    <row r="881" customHeight="1" spans="2:4">
      <c r="B881" s="157"/>
      <c r="C881" s="85"/>
      <c r="D881" s="85"/>
    </row>
    <row r="882" customHeight="1" spans="2:4">
      <c r="B882" s="157"/>
      <c r="C882" s="85"/>
      <c r="D882" s="85"/>
    </row>
    <row r="883" customHeight="1" spans="2:4">
      <c r="B883" s="157"/>
      <c r="C883" s="85"/>
      <c r="D883" s="85"/>
    </row>
    <row r="884" customHeight="1" spans="2:4">
      <c r="B884" s="157"/>
      <c r="C884" s="85"/>
      <c r="D884" s="85"/>
    </row>
    <row r="885" customHeight="1" spans="2:4">
      <c r="B885" s="157"/>
      <c r="C885" s="85"/>
      <c r="D885" s="85"/>
    </row>
    <row r="886" customHeight="1" spans="2:4">
      <c r="B886" s="157"/>
      <c r="C886" s="85"/>
      <c r="D886" s="85"/>
    </row>
    <row r="887" customHeight="1" spans="2:4">
      <c r="B887" s="157"/>
      <c r="C887" s="85"/>
      <c r="D887" s="85"/>
    </row>
    <row r="888" customHeight="1" spans="2:4">
      <c r="B888" s="157"/>
      <c r="C888" s="85"/>
      <c r="D888" s="85"/>
    </row>
    <row r="889" customHeight="1" spans="2:4">
      <c r="B889" s="157"/>
      <c r="C889" s="85"/>
      <c r="D889" s="85"/>
    </row>
    <row r="890" customHeight="1" spans="2:4">
      <c r="B890" s="157"/>
      <c r="C890" s="85"/>
      <c r="D890" s="85"/>
    </row>
    <row r="891" customHeight="1" spans="2:4">
      <c r="B891" s="157"/>
      <c r="C891" s="85"/>
      <c r="D891" s="85"/>
    </row>
    <row r="892" customHeight="1" spans="2:4">
      <c r="B892" s="157"/>
      <c r="C892" s="85"/>
      <c r="D892" s="85"/>
    </row>
    <row r="893" customHeight="1" spans="2:4">
      <c r="B893" s="157"/>
      <c r="C893" s="85"/>
      <c r="D893" s="85"/>
    </row>
    <row r="894" customHeight="1" spans="2:4">
      <c r="B894" s="157"/>
      <c r="C894" s="85"/>
      <c r="D894" s="85"/>
    </row>
    <row r="895" customHeight="1" spans="2:4">
      <c r="B895" s="157"/>
      <c r="C895" s="85"/>
      <c r="D895" s="85"/>
    </row>
    <row r="896" customHeight="1" spans="2:4">
      <c r="B896" s="157"/>
      <c r="C896" s="85"/>
      <c r="D896" s="85"/>
    </row>
    <row r="897" customHeight="1" spans="2:4">
      <c r="B897" s="157"/>
      <c r="C897" s="85"/>
      <c r="D897" s="85"/>
    </row>
    <row r="898" customHeight="1" spans="2:4">
      <c r="B898" s="157"/>
      <c r="C898" s="85"/>
      <c r="D898" s="85"/>
    </row>
    <row r="899" customHeight="1" spans="2:4">
      <c r="B899" s="157"/>
      <c r="C899" s="85"/>
      <c r="D899" s="85"/>
    </row>
    <row r="900" customHeight="1" spans="2:4">
      <c r="B900" s="157"/>
      <c r="C900" s="85"/>
      <c r="D900" s="85"/>
    </row>
    <row r="901" customHeight="1" spans="2:4">
      <c r="B901" s="157"/>
      <c r="C901" s="85"/>
      <c r="D901" s="85"/>
    </row>
    <row r="902" customHeight="1" spans="2:4">
      <c r="B902" s="157"/>
      <c r="C902" s="85"/>
      <c r="D902" s="85"/>
    </row>
    <row r="903" customHeight="1" spans="2:4">
      <c r="B903" s="157"/>
      <c r="C903" s="85"/>
      <c r="D903" s="85"/>
    </row>
    <row r="904" customHeight="1" spans="2:4">
      <c r="B904" s="157"/>
      <c r="C904" s="85"/>
      <c r="D904" s="85"/>
    </row>
    <row r="905" customHeight="1" spans="2:4">
      <c r="B905" s="157"/>
      <c r="C905" s="85"/>
      <c r="D905" s="85"/>
    </row>
    <row r="906" customHeight="1" spans="2:4">
      <c r="B906" s="157"/>
      <c r="C906" s="85"/>
      <c r="D906" s="85"/>
    </row>
    <row r="907" customHeight="1" spans="2:4">
      <c r="B907" s="157"/>
      <c r="C907" s="85"/>
      <c r="D907" s="85"/>
    </row>
    <row r="908" customHeight="1" spans="2:4">
      <c r="B908" s="157"/>
      <c r="C908" s="85"/>
      <c r="D908" s="85"/>
    </row>
    <row r="909" customHeight="1" spans="2:4">
      <c r="B909" s="157"/>
      <c r="C909" s="85"/>
      <c r="D909" s="85"/>
    </row>
    <row r="910" customHeight="1" spans="2:4">
      <c r="B910" s="157"/>
      <c r="C910" s="85"/>
      <c r="D910" s="85"/>
    </row>
    <row r="911" customHeight="1" spans="2:4">
      <c r="B911" s="157"/>
      <c r="C911" s="85"/>
      <c r="D911" s="85"/>
    </row>
    <row r="912" customHeight="1" spans="2:4">
      <c r="B912" s="157"/>
      <c r="C912" s="85"/>
      <c r="D912" s="85"/>
    </row>
    <row r="913" customHeight="1" spans="2:4">
      <c r="B913" s="157"/>
      <c r="C913" s="85"/>
      <c r="D913" s="85"/>
    </row>
    <row r="914" customHeight="1" spans="2:4">
      <c r="B914" s="157"/>
      <c r="C914" s="85"/>
      <c r="D914" s="85"/>
    </row>
    <row r="915" customHeight="1" spans="2:4">
      <c r="B915" s="157"/>
      <c r="C915" s="85"/>
      <c r="D915" s="85"/>
    </row>
    <row r="916" customHeight="1" spans="2:4">
      <c r="B916" s="157"/>
      <c r="C916" s="85"/>
      <c r="D916" s="85"/>
    </row>
    <row r="917" customHeight="1" spans="2:4">
      <c r="B917" s="157"/>
      <c r="C917" s="85"/>
      <c r="D917" s="85"/>
    </row>
    <row r="918" customHeight="1" spans="2:4">
      <c r="B918" s="157"/>
      <c r="C918" s="85"/>
      <c r="D918" s="85"/>
    </row>
    <row r="919" customHeight="1" spans="2:4">
      <c r="B919" s="157"/>
      <c r="C919" s="85"/>
      <c r="D919" s="85"/>
    </row>
    <row r="920" customHeight="1" spans="2:4">
      <c r="B920" s="157"/>
      <c r="C920" s="85"/>
      <c r="D920" s="85"/>
    </row>
    <row r="921" customHeight="1" spans="2:4">
      <c r="B921" s="157"/>
      <c r="C921" s="85"/>
      <c r="D921" s="85"/>
    </row>
    <row r="922" customHeight="1" spans="2:4">
      <c r="B922" s="157"/>
      <c r="C922" s="85"/>
      <c r="D922" s="85"/>
    </row>
    <row r="923" customHeight="1" spans="2:4">
      <c r="B923" s="157"/>
      <c r="C923" s="85"/>
      <c r="D923" s="85"/>
    </row>
    <row r="924" customHeight="1" spans="2:4">
      <c r="B924" s="157"/>
      <c r="C924" s="85"/>
      <c r="D924" s="85"/>
    </row>
    <row r="925" customHeight="1" spans="2:4">
      <c r="B925" s="157"/>
      <c r="C925" s="85"/>
      <c r="D925" s="85"/>
    </row>
    <row r="926" customHeight="1" spans="2:4">
      <c r="B926" s="157"/>
      <c r="C926" s="85"/>
      <c r="D926" s="85"/>
    </row>
    <row r="927" customHeight="1" spans="2:4">
      <c r="B927" s="157"/>
      <c r="C927" s="85"/>
      <c r="D927" s="85"/>
    </row>
    <row r="928" customHeight="1" spans="2:4">
      <c r="B928" s="157"/>
      <c r="C928" s="85"/>
      <c r="D928" s="85"/>
    </row>
    <row r="929" customHeight="1" spans="2:4">
      <c r="B929" s="157"/>
      <c r="C929" s="85"/>
      <c r="D929" s="85"/>
    </row>
    <row r="930" customHeight="1" spans="2:4">
      <c r="B930" s="157"/>
      <c r="C930" s="85"/>
      <c r="D930" s="85"/>
    </row>
    <row r="931" customHeight="1" spans="2:4">
      <c r="B931" s="157"/>
      <c r="C931" s="85"/>
      <c r="D931" s="85"/>
    </row>
    <row r="932" customHeight="1" spans="2:4">
      <c r="B932" s="157"/>
      <c r="C932" s="85"/>
      <c r="D932" s="85"/>
    </row>
    <row r="933" customHeight="1" spans="2:4">
      <c r="B933" s="157"/>
      <c r="C933" s="85"/>
      <c r="D933" s="85"/>
    </row>
    <row r="934" customHeight="1" spans="2:4">
      <c r="B934" s="157"/>
      <c r="C934" s="85"/>
      <c r="D934" s="85"/>
    </row>
    <row r="935" customHeight="1" spans="2:4">
      <c r="B935" s="157"/>
      <c r="C935" s="85"/>
      <c r="D935" s="85"/>
    </row>
    <row r="936" customHeight="1" spans="2:4">
      <c r="B936" s="157"/>
      <c r="C936" s="85"/>
      <c r="D936" s="85"/>
    </row>
    <row r="937" customHeight="1" spans="2:4">
      <c r="B937" s="157"/>
      <c r="C937" s="85"/>
      <c r="D937" s="85"/>
    </row>
    <row r="938" customHeight="1" spans="2:4">
      <c r="B938" s="157"/>
      <c r="C938" s="85"/>
      <c r="D938" s="85"/>
    </row>
    <row r="939" customHeight="1" spans="2:4">
      <c r="B939" s="157"/>
      <c r="C939" s="85"/>
      <c r="D939" s="85"/>
    </row>
    <row r="940" customHeight="1" spans="2:4">
      <c r="B940" s="157"/>
      <c r="C940" s="85"/>
      <c r="D940" s="85"/>
    </row>
    <row r="941" customHeight="1" spans="2:4">
      <c r="B941" s="157"/>
      <c r="C941" s="85"/>
      <c r="D941" s="85"/>
    </row>
    <row r="942" customHeight="1" spans="2:4">
      <c r="B942" s="157"/>
      <c r="C942" s="85"/>
      <c r="D942" s="85"/>
    </row>
    <row r="943" customHeight="1" spans="2:4">
      <c r="B943" s="157"/>
      <c r="C943" s="85"/>
      <c r="D943" s="85"/>
    </row>
    <row r="944" customHeight="1" spans="2:4">
      <c r="B944" s="157"/>
      <c r="C944" s="85"/>
      <c r="D944" s="85"/>
    </row>
    <row r="945" customHeight="1" spans="2:4">
      <c r="B945" s="157"/>
      <c r="C945" s="85"/>
      <c r="D945" s="85"/>
    </row>
    <row r="946" customHeight="1" spans="2:4">
      <c r="B946" s="157"/>
      <c r="C946" s="85"/>
      <c r="D946" s="85"/>
    </row>
    <row r="947" customHeight="1" spans="2:4">
      <c r="B947" s="157"/>
      <c r="C947" s="85"/>
      <c r="D947" s="85"/>
    </row>
    <row r="948" customHeight="1" spans="2:4">
      <c r="B948" s="157"/>
      <c r="C948" s="85"/>
      <c r="D948" s="85"/>
    </row>
    <row r="949" customHeight="1" spans="2:4">
      <c r="B949" s="157"/>
      <c r="C949" s="85"/>
      <c r="D949" s="85"/>
    </row>
    <row r="950" customHeight="1" spans="2:4">
      <c r="B950" s="157"/>
      <c r="C950" s="85"/>
      <c r="D950" s="85"/>
    </row>
    <row r="951" customHeight="1" spans="2:4">
      <c r="B951" s="157"/>
      <c r="C951" s="85"/>
      <c r="D951" s="85"/>
    </row>
    <row r="952" customHeight="1" spans="2:4">
      <c r="B952" s="157"/>
      <c r="C952" s="85"/>
      <c r="D952" s="85"/>
    </row>
    <row r="953" customHeight="1" spans="2:4">
      <c r="B953" s="157"/>
      <c r="C953" s="85"/>
      <c r="D953" s="85"/>
    </row>
    <row r="954" customHeight="1" spans="2:4">
      <c r="B954" s="157"/>
      <c r="C954" s="85"/>
      <c r="D954" s="85"/>
    </row>
    <row r="955" customHeight="1" spans="2:4">
      <c r="B955" s="157"/>
      <c r="C955" s="85"/>
      <c r="D955" s="85"/>
    </row>
    <row r="956" customHeight="1" spans="2:4">
      <c r="B956" s="157"/>
      <c r="C956" s="85"/>
      <c r="D956" s="85"/>
    </row>
    <row r="957" customHeight="1" spans="2:4">
      <c r="B957" s="157"/>
      <c r="C957" s="85"/>
      <c r="D957" s="85"/>
    </row>
    <row r="958" customHeight="1" spans="2:4">
      <c r="B958" s="157"/>
      <c r="C958" s="85"/>
      <c r="D958" s="85"/>
    </row>
    <row r="959" customHeight="1" spans="2:4">
      <c r="B959" s="157"/>
      <c r="C959" s="85"/>
      <c r="D959" s="85"/>
    </row>
    <row r="960" customHeight="1" spans="2:4">
      <c r="B960" s="157"/>
      <c r="C960" s="85"/>
      <c r="D960" s="85"/>
    </row>
    <row r="961" customHeight="1" spans="2:4">
      <c r="B961" s="157"/>
      <c r="C961" s="85"/>
      <c r="D961" s="85"/>
    </row>
    <row r="962" customHeight="1" spans="2:4">
      <c r="B962" s="157"/>
      <c r="C962" s="85"/>
      <c r="D962" s="85"/>
    </row>
    <row r="963" customHeight="1" spans="2:4">
      <c r="B963" s="157"/>
      <c r="C963" s="85"/>
      <c r="D963" s="85"/>
    </row>
    <row r="964" customHeight="1" spans="2:4">
      <c r="B964" s="157"/>
      <c r="C964" s="85"/>
      <c r="D964" s="85"/>
    </row>
    <row r="965" customHeight="1" spans="2:4">
      <c r="B965" s="157"/>
      <c r="C965" s="85"/>
      <c r="D965" s="85"/>
    </row>
    <row r="966" customHeight="1" spans="2:4">
      <c r="B966" s="157"/>
      <c r="C966" s="85"/>
      <c r="D966" s="85"/>
    </row>
    <row r="967" customHeight="1" spans="2:4">
      <c r="B967" s="157"/>
      <c r="C967" s="85"/>
      <c r="D967" s="85"/>
    </row>
    <row r="968" customHeight="1" spans="2:4">
      <c r="B968" s="157"/>
      <c r="C968" s="85"/>
      <c r="D968" s="85"/>
    </row>
    <row r="969" customHeight="1" spans="2:4">
      <c r="B969" s="157"/>
      <c r="C969" s="85"/>
      <c r="D969" s="85"/>
    </row>
    <row r="970" customHeight="1" spans="2:4">
      <c r="B970" s="157"/>
      <c r="C970" s="85"/>
      <c r="D970" s="85"/>
    </row>
    <row r="971" customHeight="1" spans="2:4">
      <c r="B971" s="157"/>
      <c r="C971" s="85"/>
      <c r="D971" s="85"/>
    </row>
    <row r="972" customHeight="1" spans="2:4">
      <c r="B972" s="157"/>
      <c r="C972" s="85"/>
      <c r="D972" s="85"/>
    </row>
    <row r="973" customHeight="1" spans="2:4">
      <c r="B973" s="157"/>
      <c r="C973" s="85"/>
      <c r="D973" s="85"/>
    </row>
    <row r="974" customHeight="1" spans="2:4">
      <c r="B974" s="157"/>
      <c r="C974" s="85"/>
      <c r="D974" s="85"/>
    </row>
    <row r="975" customHeight="1" spans="2:4">
      <c r="B975" s="157"/>
      <c r="C975" s="85"/>
      <c r="D975" s="85"/>
    </row>
    <row r="976" customHeight="1" spans="2:4">
      <c r="B976" s="157"/>
      <c r="C976" s="85"/>
      <c r="D976" s="85"/>
    </row>
    <row r="977" customHeight="1" spans="2:4">
      <c r="B977" s="157"/>
      <c r="C977" s="85"/>
      <c r="D977" s="85"/>
    </row>
    <row r="978" customHeight="1" spans="2:4">
      <c r="B978" s="157"/>
      <c r="C978" s="85"/>
      <c r="D978" s="85"/>
    </row>
    <row r="979" customHeight="1" spans="2:4">
      <c r="B979" s="157"/>
      <c r="C979" s="85"/>
      <c r="D979" s="85"/>
    </row>
    <row r="980" customHeight="1" spans="2:4">
      <c r="B980" s="157"/>
      <c r="C980" s="85"/>
      <c r="D980" s="85"/>
    </row>
    <row r="981" customHeight="1" spans="2:4">
      <c r="B981" s="157"/>
      <c r="C981" s="85"/>
      <c r="D981" s="85"/>
    </row>
    <row r="982" customHeight="1" spans="2:4">
      <c r="B982" s="157"/>
      <c r="C982" s="85"/>
      <c r="D982" s="85"/>
    </row>
    <row r="983" customHeight="1" spans="2:4">
      <c r="B983" s="157"/>
      <c r="C983" s="85"/>
      <c r="D983" s="85"/>
    </row>
    <row r="984" customHeight="1" spans="2:4">
      <c r="B984" s="157"/>
      <c r="C984" s="85"/>
      <c r="D984" s="85"/>
    </row>
    <row r="985" customHeight="1" spans="2:4">
      <c r="B985" s="157"/>
      <c r="C985" s="85"/>
      <c r="D985" s="85"/>
    </row>
    <row r="986" customHeight="1" spans="2:4">
      <c r="B986" s="157"/>
      <c r="C986" s="85"/>
      <c r="D986" s="85"/>
    </row>
    <row r="987" customHeight="1" spans="2:4">
      <c r="B987" s="157"/>
      <c r="C987" s="85"/>
      <c r="D987" s="85"/>
    </row>
    <row r="988" customHeight="1" spans="2:4">
      <c r="B988" s="157"/>
      <c r="C988" s="85"/>
      <c r="D988" s="85"/>
    </row>
    <row r="989" customHeight="1" spans="2:4">
      <c r="B989" s="157"/>
      <c r="C989" s="85"/>
      <c r="D989" s="85"/>
    </row>
    <row r="990" customHeight="1" spans="2:4">
      <c r="B990" s="157"/>
      <c r="C990" s="85"/>
      <c r="D990" s="85"/>
    </row>
    <row r="991" customHeight="1" spans="2:4">
      <c r="B991" s="157"/>
      <c r="C991" s="85"/>
      <c r="D991" s="85"/>
    </row>
    <row r="992" customHeight="1" spans="2:4">
      <c r="B992" s="157"/>
      <c r="C992" s="85"/>
      <c r="D992" s="85"/>
    </row>
    <row r="993" customHeight="1" spans="2:4">
      <c r="B993" s="157"/>
      <c r="C993" s="85"/>
      <c r="D993" s="85"/>
    </row>
    <row r="994" customHeight="1" spans="2:4">
      <c r="B994" s="157"/>
      <c r="C994" s="85"/>
      <c r="D994" s="85"/>
    </row>
    <row r="995" customHeight="1" spans="2:4">
      <c r="B995" s="157"/>
      <c r="C995" s="85"/>
      <c r="D995" s="85"/>
    </row>
    <row r="996" customHeight="1" spans="2:4">
      <c r="B996" s="157"/>
      <c r="C996" s="85"/>
      <c r="D996" s="85"/>
    </row>
    <row r="997" customHeight="1" spans="2:4">
      <c r="B997" s="157"/>
      <c r="C997" s="85"/>
      <c r="D997" s="85"/>
    </row>
    <row r="998" customHeight="1" spans="2:4">
      <c r="B998" s="157"/>
      <c r="C998" s="85"/>
      <c r="D998" s="85"/>
    </row>
    <row r="999" customHeight="1" spans="2:4">
      <c r="B999" s="157"/>
      <c r="C999" s="85"/>
      <c r="D999" s="85"/>
    </row>
    <row r="1000" customHeight="1" spans="2:4">
      <c r="B1000" s="157"/>
      <c r="C1000" s="85"/>
      <c r="D1000" s="85"/>
    </row>
    <row r="1001" customHeight="1" spans="2:4">
      <c r="B1001" s="157"/>
      <c r="C1001" s="85"/>
      <c r="D1001" s="85"/>
    </row>
    <row r="1002" customHeight="1" spans="2:4">
      <c r="B1002" s="157"/>
      <c r="C1002" s="85"/>
      <c r="D1002" s="85"/>
    </row>
    <row r="1003" customHeight="1" spans="2:4">
      <c r="B1003" s="157"/>
      <c r="C1003" s="85"/>
      <c r="D1003" s="85"/>
    </row>
    <row r="1004" customHeight="1" spans="2:4">
      <c r="B1004" s="157"/>
      <c r="C1004" s="85"/>
      <c r="D1004" s="85"/>
    </row>
    <row r="1005" customHeight="1" spans="2:4">
      <c r="B1005" s="157"/>
      <c r="C1005" s="85"/>
      <c r="D1005" s="85"/>
    </row>
    <row r="1006" customHeight="1" spans="2:4">
      <c r="B1006" s="157"/>
      <c r="C1006" s="85"/>
      <c r="D1006" s="85"/>
    </row>
    <row r="1007" customHeight="1" spans="2:4">
      <c r="B1007" s="157"/>
      <c r="C1007" s="85"/>
      <c r="D1007" s="85"/>
    </row>
    <row r="1008" customHeight="1" spans="2:4">
      <c r="B1008" s="157"/>
      <c r="C1008" s="85"/>
      <c r="D1008" s="85"/>
    </row>
    <row r="1009" customHeight="1" spans="2:4">
      <c r="B1009" s="157"/>
      <c r="C1009" s="85"/>
      <c r="D1009" s="85"/>
    </row>
    <row r="1010" customHeight="1" spans="2:4">
      <c r="B1010" s="157"/>
      <c r="C1010" s="85"/>
      <c r="D1010" s="85"/>
    </row>
    <row r="1011" customHeight="1" spans="2:4">
      <c r="B1011" s="157"/>
      <c r="C1011" s="85"/>
      <c r="D1011" s="85"/>
    </row>
    <row r="1012" customHeight="1" spans="2:4">
      <c r="B1012" s="157"/>
      <c r="C1012" s="85"/>
      <c r="D1012" s="85"/>
    </row>
    <row r="1013" customHeight="1" spans="2:4">
      <c r="B1013" s="157"/>
      <c r="C1013" s="85"/>
      <c r="D1013" s="85"/>
    </row>
    <row r="1014" customHeight="1" spans="2:4">
      <c r="B1014" s="157"/>
      <c r="C1014" s="85"/>
      <c r="D1014" s="85"/>
    </row>
    <row r="1015" customHeight="1" spans="2:4">
      <c r="B1015" s="157"/>
      <c r="C1015" s="85"/>
      <c r="D1015" s="85"/>
    </row>
    <row r="1016" customHeight="1" spans="2:4">
      <c r="B1016" s="157"/>
      <c r="C1016" s="85"/>
      <c r="D1016" s="85"/>
    </row>
    <row r="1017" customHeight="1" spans="2:4">
      <c r="B1017" s="157"/>
      <c r="C1017" s="85"/>
      <c r="D1017" s="85"/>
    </row>
    <row r="1018" customHeight="1" spans="2:4">
      <c r="B1018" s="157"/>
      <c r="C1018" s="85"/>
      <c r="D1018" s="85"/>
    </row>
    <row r="1019" customHeight="1" spans="2:4">
      <c r="B1019" s="157"/>
      <c r="C1019" s="85"/>
      <c r="D1019" s="85"/>
    </row>
    <row r="1020" customHeight="1" spans="2:4">
      <c r="B1020" s="157"/>
      <c r="C1020" s="85"/>
      <c r="D1020" s="85"/>
    </row>
    <row r="1021" customHeight="1" spans="2:4">
      <c r="B1021" s="157"/>
      <c r="C1021" s="85"/>
      <c r="D1021" s="85"/>
    </row>
    <row r="1022" customHeight="1" spans="2:4">
      <c r="B1022" s="157"/>
      <c r="C1022" s="85"/>
      <c r="D1022" s="85"/>
    </row>
    <row r="1023" customHeight="1" spans="2:4">
      <c r="B1023" s="157"/>
      <c r="C1023" s="85"/>
      <c r="D1023" s="85"/>
    </row>
    <row r="1024" customHeight="1" spans="2:4">
      <c r="B1024" s="157"/>
      <c r="C1024" s="85"/>
      <c r="D1024" s="85"/>
    </row>
    <row r="1025" customHeight="1" spans="2:4">
      <c r="B1025" s="157"/>
      <c r="C1025" s="85"/>
      <c r="D1025" s="85"/>
    </row>
    <row r="1026" customHeight="1" spans="2:4">
      <c r="B1026" s="157"/>
      <c r="C1026" s="85"/>
      <c r="D1026" s="85"/>
    </row>
    <row r="1027" customHeight="1" spans="2:4">
      <c r="B1027" s="157"/>
      <c r="C1027" s="85"/>
      <c r="D1027" s="85"/>
    </row>
    <row r="1028" customHeight="1" spans="2:4">
      <c r="B1028" s="157"/>
      <c r="C1028" s="85"/>
      <c r="D1028" s="85"/>
    </row>
    <row r="1029" customHeight="1" spans="2:4">
      <c r="B1029" s="157"/>
      <c r="C1029" s="85"/>
      <c r="D1029" s="85"/>
    </row>
    <row r="1030" customHeight="1" spans="2:4">
      <c r="B1030" s="157"/>
      <c r="C1030" s="85"/>
      <c r="D1030" s="85"/>
    </row>
    <row r="1031" customHeight="1" spans="2:4">
      <c r="B1031" s="157"/>
      <c r="C1031" s="85"/>
      <c r="D1031" s="85"/>
    </row>
    <row r="1032" customHeight="1" spans="2:4">
      <c r="B1032" s="157"/>
      <c r="C1032" s="85"/>
      <c r="D1032" s="85"/>
    </row>
    <row r="1033" customHeight="1" spans="2:4">
      <c r="B1033" s="157"/>
      <c r="C1033" s="85"/>
      <c r="D1033" s="85"/>
    </row>
    <row r="1034" customHeight="1" spans="2:4">
      <c r="B1034" s="157"/>
      <c r="C1034" s="85"/>
      <c r="D1034" s="85"/>
    </row>
    <row r="1035" customHeight="1" spans="2:4">
      <c r="B1035" s="157"/>
      <c r="C1035" s="85"/>
      <c r="D1035" s="85"/>
    </row>
    <row r="1036" customHeight="1" spans="2:4">
      <c r="B1036" s="157"/>
      <c r="C1036" s="85"/>
      <c r="D1036" s="85"/>
    </row>
    <row r="1037" customHeight="1" spans="2:4">
      <c r="B1037" s="157"/>
      <c r="C1037" s="85"/>
      <c r="D1037" s="85"/>
    </row>
    <row r="1038" customHeight="1" spans="2:4">
      <c r="B1038" s="157"/>
      <c r="C1038" s="85"/>
      <c r="D1038" s="85"/>
    </row>
    <row r="1039" customHeight="1" spans="2:4">
      <c r="B1039" s="157"/>
      <c r="C1039" s="85"/>
      <c r="D1039" s="85"/>
    </row>
    <row r="1040" customHeight="1" spans="2:4">
      <c r="B1040" s="157"/>
      <c r="C1040" s="85"/>
      <c r="D1040" s="85"/>
    </row>
    <row r="1041" customHeight="1" spans="2:4">
      <c r="B1041" s="157"/>
      <c r="C1041" s="85"/>
      <c r="D1041" s="85"/>
    </row>
    <row r="1042" customHeight="1" spans="2:4">
      <c r="B1042" s="157"/>
      <c r="C1042" s="85"/>
      <c r="D1042" s="85"/>
    </row>
    <row r="1043" customHeight="1" spans="2:4">
      <c r="B1043" s="157"/>
      <c r="C1043" s="85"/>
      <c r="D1043" s="85"/>
    </row>
    <row r="1044" customHeight="1" spans="2:4">
      <c r="B1044" s="157"/>
      <c r="C1044" s="85"/>
      <c r="D1044" s="85"/>
    </row>
    <row r="1045" customHeight="1" spans="2:4">
      <c r="B1045" s="157"/>
      <c r="C1045" s="85"/>
      <c r="D1045" s="85"/>
    </row>
    <row r="1046" customHeight="1" spans="2:4">
      <c r="B1046" s="157"/>
      <c r="C1046" s="85"/>
      <c r="D1046" s="85"/>
    </row>
    <row r="1047" customHeight="1" spans="2:4">
      <c r="B1047" s="157"/>
      <c r="C1047" s="85"/>
      <c r="D1047" s="85"/>
    </row>
    <row r="1048" customHeight="1" spans="2:4">
      <c r="B1048" s="157"/>
      <c r="C1048" s="85"/>
      <c r="D1048" s="85"/>
    </row>
    <row r="1049" customHeight="1" spans="2:4">
      <c r="B1049" s="157"/>
      <c r="C1049" s="85"/>
      <c r="D1049" s="85"/>
    </row>
    <row r="1050" customHeight="1" spans="2:4">
      <c r="B1050" s="157"/>
      <c r="C1050" s="85"/>
      <c r="D1050" s="85"/>
    </row>
    <row r="1051" customHeight="1" spans="2:4">
      <c r="B1051" s="157"/>
      <c r="C1051" s="85"/>
      <c r="D1051" s="85"/>
    </row>
    <row r="1052" customHeight="1" spans="2:4">
      <c r="B1052" s="157"/>
      <c r="C1052" s="85"/>
      <c r="D1052" s="85"/>
    </row>
    <row r="1053" customHeight="1" spans="2:4">
      <c r="B1053" s="157"/>
      <c r="C1053" s="85"/>
      <c r="D1053" s="85"/>
    </row>
    <row r="1054" customHeight="1" spans="2:4">
      <c r="B1054" s="157"/>
      <c r="C1054" s="85"/>
      <c r="D1054" s="85"/>
    </row>
    <row r="1055" customHeight="1" spans="2:4">
      <c r="B1055" s="157"/>
      <c r="C1055" s="85"/>
      <c r="D1055" s="85"/>
    </row>
    <row r="1056" customHeight="1" spans="2:4">
      <c r="B1056" s="157"/>
      <c r="C1056" s="85"/>
      <c r="D1056" s="85"/>
    </row>
    <row r="1057" customHeight="1" spans="2:4">
      <c r="B1057" s="157"/>
      <c r="C1057" s="85"/>
      <c r="D1057" s="85"/>
    </row>
    <row r="1058" customHeight="1" spans="2:4">
      <c r="B1058" s="157"/>
      <c r="C1058" s="85"/>
      <c r="D1058" s="85"/>
    </row>
    <row r="1059" customHeight="1" spans="2:4">
      <c r="B1059" s="157"/>
      <c r="C1059" s="85"/>
      <c r="D1059" s="85"/>
    </row>
    <row r="1060" customHeight="1" spans="2:4">
      <c r="B1060" s="157"/>
      <c r="C1060" s="85"/>
      <c r="D1060" s="85"/>
    </row>
    <row r="1061" customHeight="1" spans="2:4">
      <c r="B1061" s="157"/>
      <c r="C1061" s="85"/>
      <c r="D1061" s="85"/>
    </row>
    <row r="1062" customHeight="1" spans="2:4">
      <c r="B1062" s="157"/>
      <c r="C1062" s="85"/>
      <c r="D1062" s="85"/>
    </row>
    <row r="1063" customHeight="1" spans="2:4">
      <c r="B1063" s="157"/>
      <c r="C1063" s="85"/>
      <c r="D1063" s="85"/>
    </row>
    <row r="1064" customHeight="1" spans="2:4">
      <c r="B1064" s="157"/>
      <c r="C1064" s="85"/>
      <c r="D1064" s="85"/>
    </row>
    <row r="1065" customHeight="1" spans="2:4">
      <c r="B1065" s="157"/>
      <c r="C1065" s="85"/>
      <c r="D1065" s="85"/>
    </row>
    <row r="1066" customHeight="1" spans="2:4">
      <c r="B1066" s="157"/>
      <c r="C1066" s="85"/>
      <c r="D1066" s="85"/>
    </row>
    <row r="1067" customHeight="1" spans="2:4">
      <c r="B1067" s="157"/>
      <c r="C1067" s="85"/>
      <c r="D1067" s="85"/>
    </row>
    <row r="1068" customHeight="1" spans="2:4">
      <c r="B1068" s="157"/>
      <c r="C1068" s="85"/>
      <c r="D1068" s="85"/>
    </row>
    <row r="1069" customHeight="1" spans="2:4">
      <c r="B1069" s="157"/>
      <c r="C1069" s="85"/>
      <c r="D1069" s="85"/>
    </row>
    <row r="1070" customHeight="1" spans="2:4">
      <c r="B1070" s="157"/>
      <c r="C1070" s="85"/>
      <c r="D1070" s="85"/>
    </row>
    <row r="1071" customHeight="1" spans="2:4">
      <c r="B1071" s="157"/>
      <c r="C1071" s="85"/>
      <c r="D1071" s="85"/>
    </row>
    <row r="1072" customHeight="1" spans="2:4">
      <c r="B1072" s="157"/>
      <c r="C1072" s="85"/>
      <c r="D1072" s="85"/>
    </row>
    <row r="1073" customHeight="1" spans="2:4">
      <c r="B1073" s="157"/>
      <c r="C1073" s="85"/>
      <c r="D1073" s="85"/>
    </row>
    <row r="1074" customHeight="1" spans="2:4">
      <c r="B1074" s="157"/>
      <c r="C1074" s="85"/>
      <c r="D1074" s="85"/>
    </row>
    <row r="1075" customHeight="1" spans="2:4">
      <c r="B1075" s="157"/>
      <c r="C1075" s="85"/>
      <c r="D1075" s="85"/>
    </row>
    <row r="1076" customHeight="1" spans="2:4">
      <c r="B1076" s="157"/>
      <c r="C1076" s="85"/>
      <c r="D1076" s="85"/>
    </row>
    <row r="1077" customHeight="1" spans="2:4">
      <c r="B1077" s="157"/>
      <c r="C1077" s="85"/>
      <c r="D1077" s="85"/>
    </row>
    <row r="1078" customHeight="1" spans="2:4">
      <c r="B1078" s="157"/>
      <c r="C1078" s="85"/>
      <c r="D1078" s="85"/>
    </row>
    <row r="1079" customHeight="1" spans="2:4">
      <c r="B1079" s="157"/>
      <c r="C1079" s="85"/>
      <c r="D1079" s="85"/>
    </row>
    <row r="1080" customHeight="1" spans="2:4">
      <c r="B1080" s="157"/>
      <c r="C1080" s="85"/>
      <c r="D1080" s="85"/>
    </row>
    <row r="1081" customHeight="1" spans="2:4">
      <c r="B1081" s="157"/>
      <c r="C1081" s="85"/>
      <c r="D1081" s="85"/>
    </row>
    <row r="1082" customHeight="1" spans="2:4">
      <c r="B1082" s="157"/>
      <c r="C1082" s="85"/>
      <c r="D1082" s="85"/>
    </row>
    <row r="1083" customHeight="1" spans="2:4">
      <c r="B1083" s="157"/>
      <c r="C1083" s="85"/>
      <c r="D1083" s="85"/>
    </row>
    <row r="1084" customHeight="1" spans="2:4">
      <c r="B1084" s="157"/>
      <c r="C1084" s="85"/>
      <c r="D1084" s="85"/>
    </row>
    <row r="1085" customHeight="1" spans="2:4">
      <c r="B1085" s="157"/>
      <c r="C1085" s="85"/>
      <c r="D1085" s="85"/>
    </row>
    <row r="1086" customHeight="1" spans="2:4">
      <c r="B1086" s="157"/>
      <c r="C1086" s="85"/>
      <c r="D1086" s="85"/>
    </row>
    <row r="1087" customHeight="1" spans="2:4">
      <c r="B1087" s="157"/>
      <c r="C1087" s="85"/>
      <c r="D1087" s="85"/>
    </row>
    <row r="1088" customHeight="1" spans="2:4">
      <c r="B1088" s="157"/>
      <c r="C1088" s="85"/>
      <c r="D1088" s="85"/>
    </row>
  </sheetData>
  <autoFilter xmlns:etc="http://www.wps.cn/officeDocument/2017/etCustomData" ref="Q3:R42" etc:filterBottomFollowUsedRange="0">
    <extLst/>
  </autoFilter>
  <mergeCells count="68"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A1:A3"/>
    <mergeCell ref="B1:B3"/>
    <mergeCell ref="C1:C3"/>
    <mergeCell ref="D1:D3"/>
    <mergeCell ref="E1:E3"/>
    <mergeCell ref="F1:F3"/>
  </mergeCells>
  <conditionalFormatting sqref="G36:H36">
    <cfRule type="containsText" dxfId="3" priority="1" operator="between" text="OFF">
      <formula>NOT(ISERROR(SEARCH("OFF",G36)))</formula>
    </cfRule>
  </conditionalFormatting>
  <conditionalFormatting sqref="G4:BP51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  <cfRule type="containsText" dxfId="7" priority="3" operator="between" text="AN">
      <formula>NOT(ISERROR(SEARCH("AN",G4)))</formula>
    </cfRule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80"/>
  <sheetViews>
    <sheetView tabSelected="1" workbookViewId="0">
      <selection activeCell="A21" sqref="A21:D80"/>
    </sheetView>
  </sheetViews>
  <sheetFormatPr defaultColWidth="12.6272727272727" defaultRowHeight="12.5"/>
  <cols>
    <col min="1" max="1" width="10.2727272727273" customWidth="1"/>
    <col min="2" max="2" width="26.3636363636364" customWidth="1"/>
    <col min="3" max="3" width="12.1818181818182" customWidth="1"/>
    <col min="4" max="4" width="11.0909090909091" customWidth="1"/>
    <col min="5" max="5" width="7.81818181818182" customWidth="1"/>
    <col min="6" max="6" width="8.72727272727273" customWidth="1"/>
    <col min="7" max="7" width="7.81818181818182" customWidth="1"/>
    <col min="8" max="8" width="8.72727272727273" customWidth="1"/>
    <col min="9" max="9" width="7.81818181818182" customWidth="1"/>
    <col min="10" max="10" width="8.81818181818182" customWidth="1"/>
    <col min="11" max="11" width="7.81818181818182" customWidth="1"/>
    <col min="12" max="12" width="8.81818181818182" customWidth="1"/>
    <col min="13" max="13" width="7.81818181818182" customWidth="1"/>
    <col min="14" max="14" width="8.81818181818182" customWidth="1"/>
    <col min="15" max="15" width="7.81818181818182" customWidth="1"/>
    <col min="16" max="16" width="8.81818181818182" customWidth="1"/>
    <col min="17" max="17" width="7.81818181818182" customWidth="1"/>
  </cols>
  <sheetData>
    <row r="1" customFormat="1" ht="25" customHeight="1" spans="1:17">
      <c r="A1" s="122" t="s">
        <v>0</v>
      </c>
      <c r="B1" s="122" t="s">
        <v>98</v>
      </c>
      <c r="C1" s="123">
        <v>46006</v>
      </c>
      <c r="D1" s="123"/>
      <c r="E1" s="123">
        <v>46007</v>
      </c>
      <c r="F1" s="123"/>
      <c r="G1" s="123">
        <v>46008</v>
      </c>
      <c r="H1" s="123"/>
      <c r="I1" s="123">
        <v>46009</v>
      </c>
      <c r="J1" s="123"/>
      <c r="K1" s="123">
        <v>46010</v>
      </c>
      <c r="L1" s="123"/>
      <c r="M1" s="123">
        <v>46011</v>
      </c>
      <c r="N1" s="123"/>
      <c r="O1" s="123">
        <v>46012</v>
      </c>
      <c r="P1" s="123"/>
      <c r="Q1" s="155"/>
    </row>
    <row r="2" customFormat="1" ht="19.75" customHeight="1" spans="1:16">
      <c r="A2" s="124"/>
      <c r="B2" s="124"/>
      <c r="C2" s="125" t="s">
        <v>6</v>
      </c>
      <c r="D2" s="125"/>
      <c r="E2" s="125" t="s">
        <v>7</v>
      </c>
      <c r="F2" s="125"/>
      <c r="G2" s="125" t="s">
        <v>8</v>
      </c>
      <c r="H2" s="125"/>
      <c r="I2" s="125" t="s">
        <v>9</v>
      </c>
      <c r="J2" s="125"/>
      <c r="K2" s="125" t="s">
        <v>10</v>
      </c>
      <c r="L2" s="125"/>
      <c r="M2" s="125" t="s">
        <v>11</v>
      </c>
      <c r="N2" s="125"/>
      <c r="O2" s="125" t="s">
        <v>12</v>
      </c>
      <c r="P2" s="125"/>
    </row>
    <row r="3" customFormat="1" ht="13" spans="1:16">
      <c r="A3" s="126"/>
      <c r="B3" s="126"/>
      <c r="C3" s="125" t="s">
        <v>13</v>
      </c>
      <c r="D3" s="125" t="s">
        <v>14</v>
      </c>
      <c r="E3" s="125" t="s">
        <v>13</v>
      </c>
      <c r="F3" s="125" t="s">
        <v>14</v>
      </c>
      <c r="G3" s="125" t="s">
        <v>13</v>
      </c>
      <c r="H3" s="125" t="s">
        <v>14</v>
      </c>
      <c r="I3" s="125" t="s">
        <v>13</v>
      </c>
      <c r="J3" s="125" t="s">
        <v>14</v>
      </c>
      <c r="K3" s="125" t="s">
        <v>13</v>
      </c>
      <c r="L3" s="125" t="s">
        <v>14</v>
      </c>
      <c r="M3" s="125" t="s">
        <v>13</v>
      </c>
      <c r="N3" s="125" t="s">
        <v>14</v>
      </c>
      <c r="O3" s="125" t="s">
        <v>13</v>
      </c>
      <c r="P3" s="125" t="s">
        <v>14</v>
      </c>
    </row>
    <row r="4" customFormat="1" ht="13" spans="1:16">
      <c r="A4" s="127">
        <v>10259973</v>
      </c>
      <c r="B4" s="127" t="s">
        <v>99</v>
      </c>
      <c r="C4" s="128">
        <v>0.416666666666667</v>
      </c>
      <c r="D4" s="129">
        <v>0.791666666666667</v>
      </c>
      <c r="E4" s="128">
        <v>0.416666666666667</v>
      </c>
      <c r="F4" s="129">
        <v>0.791666666666667</v>
      </c>
      <c r="G4" s="128">
        <v>0.416666666666667</v>
      </c>
      <c r="H4" s="129">
        <v>0.791666666666667</v>
      </c>
      <c r="I4" s="128">
        <v>0.416666666666667</v>
      </c>
      <c r="J4" s="129">
        <v>0.791666666666667</v>
      </c>
      <c r="K4" s="128">
        <v>0.416666666666667</v>
      </c>
      <c r="L4" s="129">
        <v>0.791666666666667</v>
      </c>
      <c r="M4" s="151" t="s">
        <v>23</v>
      </c>
      <c r="N4" s="151" t="s">
        <v>23</v>
      </c>
      <c r="O4" s="151" t="s">
        <v>23</v>
      </c>
      <c r="P4" s="151" t="s">
        <v>23</v>
      </c>
    </row>
    <row r="5" customFormat="1" ht="13" spans="1:16">
      <c r="A5" s="127">
        <v>10225640</v>
      </c>
      <c r="B5" s="127" t="s">
        <v>100</v>
      </c>
      <c r="C5" s="128">
        <v>0.458333333333333</v>
      </c>
      <c r="D5" s="129">
        <v>0.833333333333333</v>
      </c>
      <c r="E5" s="128">
        <v>0.458333333333333</v>
      </c>
      <c r="F5" s="129">
        <v>0.833333333333333</v>
      </c>
      <c r="G5" s="128">
        <v>0.458333333333333</v>
      </c>
      <c r="H5" s="129">
        <v>0.833333333333333</v>
      </c>
      <c r="I5" s="128">
        <v>0.5</v>
      </c>
      <c r="J5" s="129">
        <v>0.875</v>
      </c>
      <c r="K5" s="128">
        <v>0.5</v>
      </c>
      <c r="L5" s="129">
        <v>0.875</v>
      </c>
      <c r="M5" s="151" t="s">
        <v>23</v>
      </c>
      <c r="N5" s="151" t="s">
        <v>23</v>
      </c>
      <c r="O5" s="151" t="s">
        <v>23</v>
      </c>
      <c r="P5" s="151" t="s">
        <v>23</v>
      </c>
    </row>
    <row r="6" customFormat="1" ht="13" spans="1:16">
      <c r="A6" s="127">
        <v>10316685</v>
      </c>
      <c r="B6" s="127" t="s">
        <v>101</v>
      </c>
      <c r="C6" s="128">
        <v>0.375</v>
      </c>
      <c r="D6" s="129">
        <v>0.75</v>
      </c>
      <c r="E6" s="128">
        <v>0.375</v>
      </c>
      <c r="F6" s="129">
        <v>0.75</v>
      </c>
      <c r="G6" s="128">
        <v>0.375</v>
      </c>
      <c r="H6" s="129">
        <v>0.75</v>
      </c>
      <c r="I6" s="128">
        <v>0.375</v>
      </c>
      <c r="J6" s="129">
        <v>0.75</v>
      </c>
      <c r="K6" s="128">
        <v>0.375</v>
      </c>
      <c r="L6" s="129">
        <v>0.75</v>
      </c>
      <c r="M6" s="151" t="s">
        <v>23</v>
      </c>
      <c r="N6" s="151" t="s">
        <v>23</v>
      </c>
      <c r="O6" s="151" t="s">
        <v>23</v>
      </c>
      <c r="P6" s="151" t="s">
        <v>23</v>
      </c>
    </row>
    <row r="7" customFormat="1" ht="13" spans="1:16">
      <c r="A7" s="127">
        <v>10316538</v>
      </c>
      <c r="B7" s="127" t="s">
        <v>102</v>
      </c>
      <c r="C7" s="128">
        <v>0.5</v>
      </c>
      <c r="D7" s="129">
        <v>0.875</v>
      </c>
      <c r="E7" s="128">
        <v>0.5</v>
      </c>
      <c r="F7" s="129">
        <v>0.875</v>
      </c>
      <c r="G7" s="128">
        <v>0.5</v>
      </c>
      <c r="H7" s="129">
        <v>0.875</v>
      </c>
      <c r="I7" s="151" t="s">
        <v>23</v>
      </c>
      <c r="J7" s="151" t="s">
        <v>23</v>
      </c>
      <c r="K7" s="151" t="s">
        <v>23</v>
      </c>
      <c r="L7" s="151" t="s">
        <v>23</v>
      </c>
      <c r="M7" s="128">
        <v>0.458333333333333</v>
      </c>
      <c r="N7" s="129">
        <v>0.833333333333333</v>
      </c>
      <c r="O7" s="128">
        <v>0.458333333333333</v>
      </c>
      <c r="P7" s="129">
        <v>0.833333333333333</v>
      </c>
    </row>
    <row r="8" customFormat="1" ht="13" spans="1:16">
      <c r="A8" s="127">
        <v>10320414</v>
      </c>
      <c r="B8" s="127" t="s">
        <v>62</v>
      </c>
      <c r="C8" s="128">
        <v>0.416666666666667</v>
      </c>
      <c r="D8" s="129">
        <v>0.791666666666667</v>
      </c>
      <c r="E8" s="128">
        <v>0.416666666666667</v>
      </c>
      <c r="F8" s="129">
        <v>0.791666666666667</v>
      </c>
      <c r="G8" s="128">
        <v>0.416666666666667</v>
      </c>
      <c r="H8" s="129">
        <v>0.791666666666667</v>
      </c>
      <c r="I8" s="128">
        <v>0.416666666666667</v>
      </c>
      <c r="J8" s="129">
        <v>0.791666666666667</v>
      </c>
      <c r="K8" s="128">
        <v>0.416666666666667</v>
      </c>
      <c r="L8" s="129">
        <v>0.791666666666667</v>
      </c>
      <c r="M8" s="151" t="s">
        <v>23</v>
      </c>
      <c r="N8" s="151" t="s">
        <v>23</v>
      </c>
      <c r="O8" s="151" t="s">
        <v>23</v>
      </c>
      <c r="P8" s="151" t="s">
        <v>23</v>
      </c>
    </row>
    <row r="9" customFormat="1" ht="13" spans="1:16">
      <c r="A9" s="127">
        <v>10272259</v>
      </c>
      <c r="B9" s="127" t="s">
        <v>103</v>
      </c>
      <c r="C9" s="128">
        <v>0.333333333333333</v>
      </c>
      <c r="D9" s="129">
        <v>0.708333333333333</v>
      </c>
      <c r="E9" s="128">
        <v>0.333333333333333</v>
      </c>
      <c r="F9" s="129">
        <v>0.708333333333333</v>
      </c>
      <c r="G9" s="128">
        <v>0.333333333333333</v>
      </c>
      <c r="H9" s="129">
        <v>0.708333333333333</v>
      </c>
      <c r="I9" s="128">
        <v>0.333333333333333</v>
      </c>
      <c r="J9" s="129">
        <v>0.708333333333333</v>
      </c>
      <c r="K9" s="128">
        <v>0.333333333333333</v>
      </c>
      <c r="L9" s="129">
        <v>0.708333333333333</v>
      </c>
      <c r="M9" s="151" t="s">
        <v>23</v>
      </c>
      <c r="N9" s="151" t="s">
        <v>23</v>
      </c>
      <c r="O9" s="151" t="s">
        <v>23</v>
      </c>
      <c r="P9" s="151" t="s">
        <v>23</v>
      </c>
    </row>
    <row r="10" customFormat="1" ht="13" spans="1:16">
      <c r="A10" s="127">
        <v>10320407</v>
      </c>
      <c r="B10" s="127" t="s">
        <v>55</v>
      </c>
      <c r="C10" s="128">
        <v>0.375</v>
      </c>
      <c r="D10" s="129">
        <v>0.875</v>
      </c>
      <c r="E10" s="128">
        <v>0.375</v>
      </c>
      <c r="F10" s="129">
        <v>0.875</v>
      </c>
      <c r="G10" s="128">
        <v>0.375</v>
      </c>
      <c r="H10" s="129">
        <v>0.875</v>
      </c>
      <c r="I10" s="128">
        <v>0.375</v>
      </c>
      <c r="J10" s="129">
        <v>0.875</v>
      </c>
      <c r="K10" s="128">
        <v>0.375</v>
      </c>
      <c r="L10" s="129">
        <v>0.875</v>
      </c>
      <c r="M10" s="151" t="s">
        <v>23</v>
      </c>
      <c r="N10" s="151" t="s">
        <v>23</v>
      </c>
      <c r="O10" s="151" t="s">
        <v>23</v>
      </c>
      <c r="P10" s="151" t="s">
        <v>23</v>
      </c>
    </row>
    <row r="11" customFormat="1" ht="13.75" spans="1:16">
      <c r="A11" s="127">
        <v>10317522</v>
      </c>
      <c r="B11" s="127" t="s">
        <v>31</v>
      </c>
      <c r="C11" s="128">
        <v>0.5</v>
      </c>
      <c r="D11" s="129">
        <v>0.875</v>
      </c>
      <c r="E11" s="128">
        <v>0.5</v>
      </c>
      <c r="F11" s="129">
        <v>0.875</v>
      </c>
      <c r="G11" s="128">
        <v>0.5</v>
      </c>
      <c r="H11" s="129">
        <v>0.875</v>
      </c>
      <c r="I11" s="151" t="s">
        <v>23</v>
      </c>
      <c r="J11" s="151" t="s">
        <v>23</v>
      </c>
      <c r="K11" s="151" t="s">
        <v>23</v>
      </c>
      <c r="L11" s="151" t="s">
        <v>23</v>
      </c>
      <c r="M11" s="128">
        <v>0.416666666666667</v>
      </c>
      <c r="N11" s="129">
        <v>0.791666666666667</v>
      </c>
      <c r="O11" s="128">
        <v>0.416666666666667</v>
      </c>
      <c r="P11" s="129">
        <v>0.791666666666667</v>
      </c>
    </row>
    <row r="12" customFormat="1" ht="13.25" spans="1:16">
      <c r="A12" s="127">
        <v>10316540</v>
      </c>
      <c r="B12" s="127" t="s">
        <v>104</v>
      </c>
      <c r="C12" s="130">
        <v>0.333333333333333</v>
      </c>
      <c r="D12" s="131">
        <v>0.708333333333333</v>
      </c>
      <c r="E12" s="130">
        <v>0.333333333333333</v>
      </c>
      <c r="F12" s="131">
        <v>0.708333333333333</v>
      </c>
      <c r="G12" s="132" t="s">
        <v>105</v>
      </c>
      <c r="H12" s="133" t="s">
        <v>105</v>
      </c>
      <c r="I12" s="132" t="s">
        <v>105</v>
      </c>
      <c r="J12" s="133" t="s">
        <v>105</v>
      </c>
      <c r="K12" s="132" t="s">
        <v>105</v>
      </c>
      <c r="L12" s="133" t="s">
        <v>105</v>
      </c>
      <c r="M12" s="152" t="s">
        <v>23</v>
      </c>
      <c r="N12" s="153" t="s">
        <v>23</v>
      </c>
      <c r="O12" s="152" t="s">
        <v>23</v>
      </c>
      <c r="P12" s="153" t="s">
        <v>23</v>
      </c>
    </row>
    <row r="13" ht="13" spans="1:16">
      <c r="A13" s="127">
        <v>10250963</v>
      </c>
      <c r="B13" s="127" t="s">
        <v>106</v>
      </c>
      <c r="C13" s="128">
        <v>0.375</v>
      </c>
      <c r="D13" s="129">
        <v>0.75</v>
      </c>
      <c r="E13" s="128">
        <v>0.375</v>
      </c>
      <c r="F13" s="129">
        <v>0.75</v>
      </c>
      <c r="G13" s="128">
        <v>0.375</v>
      </c>
      <c r="H13" s="129">
        <v>0.75</v>
      </c>
      <c r="I13" s="128">
        <v>0.375</v>
      </c>
      <c r="J13" s="129">
        <v>0.75</v>
      </c>
      <c r="K13" s="128">
        <v>0.375</v>
      </c>
      <c r="L13" s="129">
        <v>0.75</v>
      </c>
      <c r="M13" s="151" t="s">
        <v>23</v>
      </c>
      <c r="N13" s="151" t="s">
        <v>23</v>
      </c>
      <c r="O13" s="151" t="s">
        <v>23</v>
      </c>
      <c r="P13" s="151" t="s">
        <v>23</v>
      </c>
    </row>
    <row r="14" ht="13" spans="1:16">
      <c r="A14" s="127">
        <v>10317147</v>
      </c>
      <c r="B14" s="127" t="s">
        <v>107</v>
      </c>
      <c r="C14" s="128">
        <v>0.375</v>
      </c>
      <c r="D14" s="129">
        <v>0.75</v>
      </c>
      <c r="E14" s="128">
        <v>0.375</v>
      </c>
      <c r="F14" s="129">
        <v>0.75</v>
      </c>
      <c r="G14" s="128">
        <v>0.375</v>
      </c>
      <c r="H14" s="129">
        <v>0.75</v>
      </c>
      <c r="I14" s="128">
        <v>0.375</v>
      </c>
      <c r="J14" s="129">
        <v>0.75</v>
      </c>
      <c r="K14" s="128">
        <v>0.375</v>
      </c>
      <c r="L14" s="129">
        <v>0.75</v>
      </c>
      <c r="M14" s="151" t="s">
        <v>23</v>
      </c>
      <c r="N14" s="151" t="s">
        <v>23</v>
      </c>
      <c r="O14" s="151" t="s">
        <v>23</v>
      </c>
      <c r="P14" s="151" t="s">
        <v>23</v>
      </c>
    </row>
    <row r="15" ht="13" spans="1:16">
      <c r="A15" s="134">
        <v>10306591</v>
      </c>
      <c r="B15" s="134" t="s">
        <v>108</v>
      </c>
      <c r="C15" s="135" t="s">
        <v>109</v>
      </c>
      <c r="D15" s="136" t="s">
        <v>109</v>
      </c>
      <c r="E15" s="135">
        <v>0.416666666666667</v>
      </c>
      <c r="F15" s="136">
        <v>0.791666666666667</v>
      </c>
      <c r="G15" s="135">
        <v>0.416666666666667</v>
      </c>
      <c r="H15" s="136">
        <v>0.791666666666667</v>
      </c>
      <c r="I15" s="135">
        <v>0.416666666666667</v>
      </c>
      <c r="J15" s="136">
        <v>0.791666666666667</v>
      </c>
      <c r="K15" s="135" t="s">
        <v>109</v>
      </c>
      <c r="L15" s="136" t="s">
        <v>109</v>
      </c>
      <c r="M15" s="154" t="s">
        <v>23</v>
      </c>
      <c r="N15" s="154" t="s">
        <v>23</v>
      </c>
      <c r="O15" s="154" t="s">
        <v>23</v>
      </c>
      <c r="P15" s="154" t="s">
        <v>23</v>
      </c>
    </row>
    <row r="19" ht="13" spans="1:4">
      <c r="A19" s="137" t="s">
        <v>0</v>
      </c>
      <c r="B19" s="137" t="s">
        <v>110</v>
      </c>
      <c r="C19" s="137" t="s">
        <v>111</v>
      </c>
      <c r="D19" s="138"/>
    </row>
    <row r="20" ht="13" spans="1:4">
      <c r="A20" s="139"/>
      <c r="B20" s="139"/>
      <c r="C20" s="140" t="s">
        <v>112</v>
      </c>
      <c r="D20" s="140" t="s">
        <v>113</v>
      </c>
    </row>
    <row r="21" spans="1:4">
      <c r="A21" s="141">
        <v>10276839</v>
      </c>
      <c r="B21" s="142" t="s">
        <v>54</v>
      </c>
      <c r="C21" s="143">
        <v>0.5</v>
      </c>
      <c r="D21" s="144">
        <v>0.875</v>
      </c>
    </row>
    <row r="22" spans="1:4">
      <c r="A22" s="141">
        <v>10320409</v>
      </c>
      <c r="B22" s="142" t="s">
        <v>57</v>
      </c>
      <c r="C22" s="143">
        <v>0.5</v>
      </c>
      <c r="D22" s="144">
        <v>0.875</v>
      </c>
    </row>
    <row r="23" spans="1:4">
      <c r="A23" s="141">
        <v>10327293</v>
      </c>
      <c r="B23" s="142" t="s">
        <v>114</v>
      </c>
      <c r="C23" s="145">
        <v>0.333333333333333</v>
      </c>
      <c r="D23" s="146">
        <v>0.708333333333333</v>
      </c>
    </row>
    <row r="24" spans="1:4">
      <c r="A24" s="141">
        <v>10327224</v>
      </c>
      <c r="B24" s="142" t="s">
        <v>115</v>
      </c>
      <c r="C24" s="147">
        <v>0.375</v>
      </c>
      <c r="D24" s="148">
        <v>0.75</v>
      </c>
    </row>
    <row r="25" spans="1:4">
      <c r="A25" s="141">
        <v>10327297</v>
      </c>
      <c r="B25" s="142" t="s">
        <v>116</v>
      </c>
      <c r="C25" s="145">
        <v>0.333333333333333</v>
      </c>
      <c r="D25" s="146">
        <v>0.708333333333333</v>
      </c>
    </row>
    <row r="26" spans="1:4">
      <c r="A26" s="141">
        <v>10331651</v>
      </c>
      <c r="B26" s="142" t="s">
        <v>117</v>
      </c>
      <c r="C26" s="147">
        <v>0.375</v>
      </c>
      <c r="D26" s="148">
        <v>0.75</v>
      </c>
    </row>
    <row r="27" spans="1:4">
      <c r="A27" s="141">
        <v>10337074</v>
      </c>
      <c r="B27" s="142" t="s">
        <v>118</v>
      </c>
      <c r="C27" s="143">
        <v>0.5</v>
      </c>
      <c r="D27" s="144">
        <v>0.875</v>
      </c>
    </row>
    <row r="28" spans="1:4">
      <c r="A28" s="141">
        <v>10337069</v>
      </c>
      <c r="B28" s="142" t="s">
        <v>119</v>
      </c>
      <c r="C28" s="143">
        <v>0.5</v>
      </c>
      <c r="D28" s="144">
        <v>0.875</v>
      </c>
    </row>
    <row r="29" spans="1:4">
      <c r="A29" s="141">
        <v>10337193</v>
      </c>
      <c r="B29" s="142" t="s">
        <v>120</v>
      </c>
      <c r="C29" s="147">
        <v>0.375</v>
      </c>
      <c r="D29" s="148">
        <v>0.75</v>
      </c>
    </row>
    <row r="30" spans="1:4">
      <c r="A30" s="141">
        <v>10337017</v>
      </c>
      <c r="B30" s="142" t="s">
        <v>121</v>
      </c>
      <c r="C30" s="143">
        <v>0.5</v>
      </c>
      <c r="D30" s="144">
        <v>0.875</v>
      </c>
    </row>
    <row r="31" spans="1:4">
      <c r="A31" s="141">
        <v>10343270</v>
      </c>
      <c r="B31" s="142" t="s">
        <v>122</v>
      </c>
      <c r="C31" s="149">
        <v>0.375</v>
      </c>
      <c r="D31" s="150">
        <v>0.75</v>
      </c>
    </row>
    <row r="32" spans="1:4">
      <c r="A32" s="141">
        <v>10294264</v>
      </c>
      <c r="B32" s="142" t="s">
        <v>123</v>
      </c>
      <c r="C32" s="143">
        <v>0.5</v>
      </c>
      <c r="D32" s="144">
        <v>0.875</v>
      </c>
    </row>
    <row r="33" spans="1:4">
      <c r="A33" s="141">
        <v>10343271</v>
      </c>
      <c r="B33" s="142" t="s">
        <v>124</v>
      </c>
      <c r="C33" s="145">
        <v>0.333333333333333</v>
      </c>
      <c r="D33" s="146">
        <v>0.708333333333333</v>
      </c>
    </row>
    <row r="34" spans="1:4">
      <c r="A34" s="141">
        <v>10343408</v>
      </c>
      <c r="B34" s="142" t="s">
        <v>125</v>
      </c>
      <c r="C34" s="145">
        <v>0.333333333333333</v>
      </c>
      <c r="D34" s="146">
        <v>0.708333333333333</v>
      </c>
    </row>
    <row r="35" spans="1:4">
      <c r="A35" s="141">
        <v>10343397</v>
      </c>
      <c r="B35" s="142" t="s">
        <v>126</v>
      </c>
      <c r="C35" s="149">
        <v>0.375</v>
      </c>
      <c r="D35" s="150">
        <v>0.75</v>
      </c>
    </row>
    <row r="36" spans="1:4">
      <c r="A36" s="141">
        <v>10343404</v>
      </c>
      <c r="B36" s="142" t="s">
        <v>127</v>
      </c>
      <c r="C36" s="143">
        <v>0.5</v>
      </c>
      <c r="D36" s="144">
        <v>0.875</v>
      </c>
    </row>
    <row r="37" spans="1:4">
      <c r="A37" s="141">
        <v>10343276</v>
      </c>
      <c r="B37" s="142" t="s">
        <v>128</v>
      </c>
      <c r="C37" s="149">
        <v>0.375</v>
      </c>
      <c r="D37" s="150">
        <v>0.75</v>
      </c>
    </row>
    <row r="38" spans="1:4">
      <c r="A38" s="141">
        <v>10343407</v>
      </c>
      <c r="B38" s="142" t="s">
        <v>129</v>
      </c>
      <c r="C38" s="143">
        <v>0.5</v>
      </c>
      <c r="D38" s="144">
        <v>0.875</v>
      </c>
    </row>
    <row r="39" spans="1:4">
      <c r="A39" s="141">
        <v>10343278</v>
      </c>
      <c r="B39" s="142" t="s">
        <v>130</v>
      </c>
      <c r="C39" s="143">
        <v>0.5</v>
      </c>
      <c r="D39" s="144">
        <v>0.875</v>
      </c>
    </row>
    <row r="40" spans="1:4">
      <c r="A40" s="141">
        <v>10343286</v>
      </c>
      <c r="B40" s="142" t="s">
        <v>131</v>
      </c>
      <c r="C40" s="149">
        <v>0.375</v>
      </c>
      <c r="D40" s="150">
        <v>0.75</v>
      </c>
    </row>
    <row r="41" spans="1:4">
      <c r="A41" s="141">
        <v>10343287</v>
      </c>
      <c r="B41" s="142" t="s">
        <v>132</v>
      </c>
      <c r="C41" s="149">
        <v>0.375</v>
      </c>
      <c r="D41" s="150">
        <v>0.75</v>
      </c>
    </row>
    <row r="42" spans="1:4">
      <c r="A42" s="141">
        <v>10332448</v>
      </c>
      <c r="B42" s="142" t="s">
        <v>133</v>
      </c>
      <c r="C42" s="145">
        <v>0.333333333333333</v>
      </c>
      <c r="D42" s="146">
        <v>0.708333333333333</v>
      </c>
    </row>
    <row r="43" spans="1:4">
      <c r="A43" s="141">
        <v>10331588</v>
      </c>
      <c r="B43" s="142" t="s">
        <v>134</v>
      </c>
      <c r="C43" s="147">
        <v>0.375</v>
      </c>
      <c r="D43" s="148">
        <v>0.75</v>
      </c>
    </row>
    <row r="44" spans="1:4">
      <c r="A44" s="141">
        <v>10332446</v>
      </c>
      <c r="B44" s="142" t="s">
        <v>135</v>
      </c>
      <c r="C44" s="147">
        <v>0.375</v>
      </c>
      <c r="D44" s="148">
        <v>0.75</v>
      </c>
    </row>
    <row r="45" spans="1:4">
      <c r="A45" s="141">
        <v>10310370</v>
      </c>
      <c r="B45" s="142" t="s">
        <v>136</v>
      </c>
      <c r="C45" s="143">
        <v>0.5</v>
      </c>
      <c r="D45" s="144">
        <v>0.875</v>
      </c>
    </row>
    <row r="46" spans="1:4">
      <c r="A46" s="141">
        <v>10334731</v>
      </c>
      <c r="B46" s="142" t="s">
        <v>137</v>
      </c>
      <c r="C46" s="143">
        <v>0.5</v>
      </c>
      <c r="D46" s="144">
        <v>0.875</v>
      </c>
    </row>
    <row r="47" spans="1:4">
      <c r="A47" s="141">
        <v>10331615</v>
      </c>
      <c r="B47" s="142" t="s">
        <v>138</v>
      </c>
      <c r="C47" s="145">
        <v>0.333333333333333</v>
      </c>
      <c r="D47" s="146">
        <v>0.541666666666667</v>
      </c>
    </row>
    <row r="48" spans="1:4">
      <c r="A48" s="141">
        <v>10332451</v>
      </c>
      <c r="B48" s="142" t="s">
        <v>139</v>
      </c>
      <c r="C48" s="147">
        <v>0.375</v>
      </c>
      <c r="D48" s="148">
        <v>0.75</v>
      </c>
    </row>
    <row r="49" spans="1:4">
      <c r="A49" s="141">
        <v>10334730</v>
      </c>
      <c r="B49" s="142" t="s">
        <v>140</v>
      </c>
      <c r="C49" s="147">
        <v>0.375</v>
      </c>
      <c r="D49" s="148">
        <v>0.75</v>
      </c>
    </row>
    <row r="50" spans="1:4">
      <c r="A50" s="141">
        <v>10331633</v>
      </c>
      <c r="B50" s="142" t="s">
        <v>141</v>
      </c>
      <c r="C50" s="147">
        <v>0.375</v>
      </c>
      <c r="D50" s="148">
        <v>0.75</v>
      </c>
    </row>
    <row r="51" spans="1:4">
      <c r="A51" s="141">
        <v>10347270</v>
      </c>
      <c r="B51" s="142" t="s">
        <v>142</v>
      </c>
      <c r="C51" s="147">
        <v>0.375</v>
      </c>
      <c r="D51" s="148">
        <v>0.75</v>
      </c>
    </row>
    <row r="52" spans="1:4">
      <c r="A52" s="141">
        <v>10347357</v>
      </c>
      <c r="B52" s="142" t="s">
        <v>143</v>
      </c>
      <c r="C52" s="147">
        <v>0.375</v>
      </c>
      <c r="D52" s="148">
        <v>0.75</v>
      </c>
    </row>
    <row r="53" spans="1:4">
      <c r="A53" s="141">
        <v>10347274</v>
      </c>
      <c r="B53" s="142" t="s">
        <v>144</v>
      </c>
      <c r="C53" s="143">
        <v>0.5</v>
      </c>
      <c r="D53" s="144">
        <v>0.875</v>
      </c>
    </row>
    <row r="54" spans="1:4">
      <c r="A54" s="141">
        <v>10347319</v>
      </c>
      <c r="B54" s="142" t="s">
        <v>145</v>
      </c>
      <c r="C54" s="147">
        <v>0.375</v>
      </c>
      <c r="D54" s="148">
        <v>0.75</v>
      </c>
    </row>
    <row r="55" spans="1:4">
      <c r="A55" s="141">
        <v>10347299</v>
      </c>
      <c r="B55" s="142" t="s">
        <v>146</v>
      </c>
      <c r="C55" s="143">
        <v>0.5</v>
      </c>
      <c r="D55" s="144">
        <v>0.875</v>
      </c>
    </row>
    <row r="56" spans="1:4">
      <c r="A56" s="141">
        <v>10347380</v>
      </c>
      <c r="B56" s="142" t="s">
        <v>147</v>
      </c>
      <c r="C56" s="143">
        <v>0.5</v>
      </c>
      <c r="D56" s="144">
        <v>0.875</v>
      </c>
    </row>
    <row r="57" spans="1:4">
      <c r="A57" s="141">
        <v>10285489</v>
      </c>
      <c r="B57" s="142" t="s">
        <v>148</v>
      </c>
      <c r="C57" s="143">
        <v>0.5</v>
      </c>
      <c r="D57" s="144">
        <v>0.875</v>
      </c>
    </row>
    <row r="58" spans="1:4">
      <c r="A58" s="141">
        <v>10334246</v>
      </c>
      <c r="B58" s="142" t="s">
        <v>149</v>
      </c>
      <c r="C58" s="143">
        <v>0.5</v>
      </c>
      <c r="D58" s="144">
        <v>0.875</v>
      </c>
    </row>
    <row r="59" spans="1:4">
      <c r="A59" s="141">
        <v>10334247</v>
      </c>
      <c r="B59" s="142" t="s">
        <v>150</v>
      </c>
      <c r="C59" s="145">
        <v>0.333333333333333</v>
      </c>
      <c r="D59" s="146">
        <v>0.708333333333333</v>
      </c>
    </row>
    <row r="60" spans="1:4">
      <c r="A60" s="141">
        <v>10334245</v>
      </c>
      <c r="B60" s="142" t="s">
        <v>151</v>
      </c>
      <c r="C60" s="143">
        <v>0.5</v>
      </c>
      <c r="D60" s="144">
        <v>0.875</v>
      </c>
    </row>
    <row r="61" spans="1:4">
      <c r="A61" s="141">
        <v>10334248</v>
      </c>
      <c r="B61" s="142" t="s">
        <v>152</v>
      </c>
      <c r="C61" s="145">
        <v>0.333333333333333</v>
      </c>
      <c r="D61" s="146">
        <v>0.708333333333333</v>
      </c>
    </row>
    <row r="62" spans="1:4">
      <c r="A62" s="141">
        <v>10347285</v>
      </c>
      <c r="B62" s="142" t="s">
        <v>153</v>
      </c>
      <c r="C62" s="143">
        <v>0.5</v>
      </c>
      <c r="D62" s="144">
        <v>0.875</v>
      </c>
    </row>
    <row r="63" spans="1:4">
      <c r="A63" s="141">
        <v>10347283</v>
      </c>
      <c r="B63" s="142" t="s">
        <v>154</v>
      </c>
      <c r="C63" s="143">
        <v>0.5</v>
      </c>
      <c r="D63" s="144">
        <v>0.875</v>
      </c>
    </row>
    <row r="64" spans="1:4">
      <c r="A64" s="141">
        <v>10347312</v>
      </c>
      <c r="B64" s="142" t="s">
        <v>155</v>
      </c>
      <c r="C64" s="143">
        <v>0.5</v>
      </c>
      <c r="D64" s="144">
        <v>0.875</v>
      </c>
    </row>
    <row r="65" spans="1:4">
      <c r="A65" s="141">
        <v>10347346</v>
      </c>
      <c r="B65" s="142" t="s">
        <v>156</v>
      </c>
      <c r="C65" s="143">
        <v>0.5</v>
      </c>
      <c r="D65" s="144">
        <v>0.875</v>
      </c>
    </row>
    <row r="66" spans="1:4">
      <c r="A66" s="141">
        <v>10317520</v>
      </c>
      <c r="B66" s="142" t="s">
        <v>37</v>
      </c>
      <c r="C66" s="147">
        <v>0.375</v>
      </c>
      <c r="D66" s="148">
        <v>0.75</v>
      </c>
    </row>
    <row r="67" spans="1:4">
      <c r="A67" s="141">
        <v>10316650</v>
      </c>
      <c r="B67" s="142" t="s">
        <v>39</v>
      </c>
      <c r="C67" s="147">
        <v>0.375</v>
      </c>
      <c r="D67" s="148">
        <v>0.75</v>
      </c>
    </row>
    <row r="68" spans="1:4">
      <c r="A68" s="141">
        <v>10317521</v>
      </c>
      <c r="B68" s="142" t="s">
        <v>28</v>
      </c>
      <c r="C68" s="147">
        <v>0.375</v>
      </c>
      <c r="D68" s="148">
        <v>0.75</v>
      </c>
    </row>
    <row r="69" spans="1:4">
      <c r="A69" s="141">
        <v>10252106</v>
      </c>
      <c r="B69" s="142" t="s">
        <v>43</v>
      </c>
      <c r="C69" s="147">
        <v>0.375</v>
      </c>
      <c r="D69" s="148">
        <v>0.75</v>
      </c>
    </row>
    <row r="70" spans="1:4">
      <c r="A70" s="141">
        <v>10293607</v>
      </c>
      <c r="B70" s="142" t="s">
        <v>65</v>
      </c>
      <c r="C70" s="147">
        <v>0.375</v>
      </c>
      <c r="D70" s="148">
        <v>0.75</v>
      </c>
    </row>
    <row r="71" spans="1:4">
      <c r="A71" s="141">
        <v>10331521</v>
      </c>
      <c r="B71" s="142" t="s">
        <v>157</v>
      </c>
      <c r="C71" s="147">
        <v>0.375</v>
      </c>
      <c r="D71" s="148">
        <v>0.75</v>
      </c>
    </row>
    <row r="72" spans="1:4">
      <c r="A72" s="141">
        <v>10327299</v>
      </c>
      <c r="B72" s="142" t="s">
        <v>158</v>
      </c>
      <c r="C72" s="147">
        <v>0.375</v>
      </c>
      <c r="D72" s="148">
        <v>0.75</v>
      </c>
    </row>
    <row r="73" spans="1:4">
      <c r="A73" s="141">
        <v>10320413</v>
      </c>
      <c r="B73" s="142" t="s">
        <v>60</v>
      </c>
      <c r="C73" s="147">
        <v>0.375</v>
      </c>
      <c r="D73" s="148">
        <v>0.75</v>
      </c>
    </row>
    <row r="74" spans="1:4">
      <c r="A74" s="141">
        <v>10331625</v>
      </c>
      <c r="B74" s="142" t="s">
        <v>159</v>
      </c>
      <c r="C74" s="147">
        <v>0.375</v>
      </c>
      <c r="D74" s="148">
        <v>0.75</v>
      </c>
    </row>
    <row r="75" spans="1:4">
      <c r="A75" s="141">
        <v>10327356</v>
      </c>
      <c r="B75" s="142" t="s">
        <v>160</v>
      </c>
      <c r="C75" s="147">
        <v>0.375</v>
      </c>
      <c r="D75" s="148">
        <v>0.75</v>
      </c>
    </row>
    <row r="76" spans="1:4">
      <c r="A76" s="141">
        <v>10316618</v>
      </c>
      <c r="B76" s="142" t="s">
        <v>33</v>
      </c>
      <c r="C76" s="147">
        <v>0.375</v>
      </c>
      <c r="D76" s="148">
        <v>0.75</v>
      </c>
    </row>
    <row r="77" spans="1:4">
      <c r="A77" s="141">
        <v>10316545</v>
      </c>
      <c r="B77" s="142" t="s">
        <v>45</v>
      </c>
      <c r="C77" s="147">
        <v>0.375</v>
      </c>
      <c r="D77" s="148">
        <v>0.75</v>
      </c>
    </row>
    <row r="78" spans="1:4">
      <c r="A78" s="141">
        <v>10316683</v>
      </c>
      <c r="B78" s="142" t="s">
        <v>51</v>
      </c>
      <c r="C78" s="147">
        <v>0.375</v>
      </c>
      <c r="D78" s="148">
        <v>0.75</v>
      </c>
    </row>
    <row r="79" spans="1:4">
      <c r="A79" s="141">
        <v>10316681</v>
      </c>
      <c r="B79" s="142" t="s">
        <v>38</v>
      </c>
      <c r="C79" s="147">
        <v>0.375</v>
      </c>
      <c r="D79" s="148">
        <v>0.75</v>
      </c>
    </row>
    <row r="80" spans="1:4">
      <c r="A80" s="141">
        <v>10316543</v>
      </c>
      <c r="B80" s="142" t="s">
        <v>41</v>
      </c>
      <c r="C80" s="147">
        <v>0.375</v>
      </c>
      <c r="D80" s="148">
        <v>0.75</v>
      </c>
    </row>
  </sheetData>
  <mergeCells count="17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C19:D19"/>
    <mergeCell ref="A1:A3"/>
    <mergeCell ref="B1:B3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58"/>
  <sheetViews>
    <sheetView workbookViewId="0">
      <selection activeCell="A1" sqref="A1"/>
    </sheetView>
  </sheetViews>
  <sheetFormatPr defaultColWidth="12.6272727272727" defaultRowHeight="15.75" customHeight="1"/>
  <cols>
    <col min="1" max="1" width="8.38181818181818" customWidth="1"/>
    <col min="2" max="2" width="18.7545454545455" customWidth="1"/>
    <col min="3" max="3" width="7.12727272727273" customWidth="1"/>
    <col min="4" max="4" width="9" customWidth="1"/>
    <col min="5" max="6" width="4.75454545454545" customWidth="1"/>
    <col min="7" max="7" width="9.5" customWidth="1"/>
    <col min="8" max="8" width="5.38181818181818" customWidth="1"/>
    <col min="9" max="9" width="9.5" customWidth="1"/>
    <col min="10" max="10" width="5.38181818181818" customWidth="1"/>
    <col min="11" max="11" width="10.2545454545455" customWidth="1"/>
    <col min="12" max="12" width="5.38181818181818" customWidth="1"/>
    <col min="13" max="13" width="9.5" customWidth="1"/>
    <col min="14" max="14" width="5.38181818181818" customWidth="1"/>
    <col min="15" max="15" width="9.5" customWidth="1"/>
    <col min="16" max="16" width="5.38181818181818" customWidth="1"/>
    <col min="17" max="17" width="9.5" customWidth="1"/>
    <col min="18" max="18" width="5.38181818181818" customWidth="1"/>
    <col min="19" max="19" width="9.5" customWidth="1"/>
    <col min="20" max="20" width="5.38181818181818" customWidth="1"/>
    <col min="21" max="21" width="3.25454545454545" customWidth="1"/>
  </cols>
  <sheetData>
    <row r="1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16">
        <v>45670</v>
      </c>
      <c r="I1" s="116">
        <v>45671</v>
      </c>
      <c r="K1" s="116">
        <v>45672</v>
      </c>
      <c r="M1" s="116">
        <v>45673</v>
      </c>
      <c r="O1" s="116">
        <v>45674</v>
      </c>
      <c r="Q1" s="116">
        <v>45675</v>
      </c>
      <c r="S1" s="116">
        <v>45676</v>
      </c>
    </row>
    <row r="2" customHeight="1" spans="1:19">
      <c r="A2" s="47"/>
      <c r="B2" s="47"/>
      <c r="C2" s="47"/>
      <c r="D2" s="47"/>
      <c r="E2" s="47"/>
      <c r="F2" s="120"/>
      <c r="G2" s="117" t="s">
        <v>6</v>
      </c>
      <c r="I2" s="117" t="s">
        <v>7</v>
      </c>
      <c r="K2" s="117" t="s">
        <v>8</v>
      </c>
      <c r="M2" s="117" t="s">
        <v>9</v>
      </c>
      <c r="O2" s="117" t="s">
        <v>10</v>
      </c>
      <c r="Q2" s="117" t="s">
        <v>11</v>
      </c>
      <c r="S2" s="117" t="s">
        <v>12</v>
      </c>
    </row>
    <row r="3" customHeight="1" spans="1:20">
      <c r="A3" s="49"/>
      <c r="B3" s="49"/>
      <c r="C3" s="49"/>
      <c r="D3" s="49"/>
      <c r="E3" s="49"/>
      <c r="F3" s="118"/>
      <c r="G3" s="119" t="s">
        <v>80</v>
      </c>
      <c r="H3" s="119" t="s">
        <v>81</v>
      </c>
      <c r="I3" s="119" t="s">
        <v>80</v>
      </c>
      <c r="J3" s="119" t="s">
        <v>81</v>
      </c>
      <c r="K3" s="119" t="s">
        <v>80</v>
      </c>
      <c r="L3" s="119" t="s">
        <v>81</v>
      </c>
      <c r="M3" s="119" t="s">
        <v>80</v>
      </c>
      <c r="N3" s="119" t="s">
        <v>81</v>
      </c>
      <c r="O3" s="119" t="s">
        <v>80</v>
      </c>
      <c r="P3" s="119" t="s">
        <v>81</v>
      </c>
      <c r="Q3" s="119" t="s">
        <v>80</v>
      </c>
      <c r="R3" s="119" t="s">
        <v>81</v>
      </c>
      <c r="S3" s="119" t="s">
        <v>80</v>
      </c>
      <c r="T3" s="119" t="s">
        <v>81</v>
      </c>
    </row>
    <row r="4" customHeight="1" spans="1:20">
      <c r="A4" s="7">
        <v>10320410</v>
      </c>
      <c r="B4" s="8" t="s">
        <v>58</v>
      </c>
      <c r="C4" s="7" t="s">
        <v>20</v>
      </c>
      <c r="D4" s="7" t="s">
        <v>21</v>
      </c>
      <c r="E4" s="8" t="s">
        <v>22</v>
      </c>
      <c r="F4" s="9">
        <v>3</v>
      </c>
      <c r="G4" s="8">
        <v>0.5</v>
      </c>
      <c r="H4" s="8">
        <v>0.875</v>
      </c>
      <c r="I4" s="8">
        <v>0.5</v>
      </c>
      <c r="J4" s="8">
        <v>0.875</v>
      </c>
      <c r="K4" s="8">
        <v>0.5</v>
      </c>
      <c r="L4" s="8">
        <v>0.875</v>
      </c>
      <c r="M4" s="8">
        <v>0.5</v>
      </c>
      <c r="N4" s="8">
        <v>0.875</v>
      </c>
      <c r="O4" s="8">
        <v>0.5</v>
      </c>
      <c r="P4" s="8">
        <v>0.875</v>
      </c>
      <c r="Q4" s="7" t="s">
        <v>23</v>
      </c>
      <c r="R4" s="7" t="s">
        <v>23</v>
      </c>
      <c r="S4" s="7" t="s">
        <v>23</v>
      </c>
      <c r="T4" s="7" t="s">
        <v>23</v>
      </c>
    </row>
    <row r="5" customHeight="1" spans="1:20">
      <c r="A5" s="7">
        <v>10320415</v>
      </c>
      <c r="B5" s="8" t="s">
        <v>63</v>
      </c>
      <c r="C5" s="7" t="s">
        <v>20</v>
      </c>
      <c r="D5" s="7" t="s">
        <v>21</v>
      </c>
      <c r="E5" s="8" t="s">
        <v>22</v>
      </c>
      <c r="F5" s="9">
        <v>3</v>
      </c>
      <c r="G5" s="8">
        <v>0.375</v>
      </c>
      <c r="H5" s="8">
        <v>0.791666666666667</v>
      </c>
      <c r="I5" s="8">
        <v>0.375</v>
      </c>
      <c r="J5" s="8">
        <v>0.791666666666667</v>
      </c>
      <c r="K5" s="8">
        <v>0.375</v>
      </c>
      <c r="L5" s="8">
        <v>0.791666666666667</v>
      </c>
      <c r="M5" s="8">
        <v>0.375</v>
      </c>
      <c r="N5" s="8">
        <v>0.791666666666667</v>
      </c>
      <c r="O5" s="7" t="s">
        <v>23</v>
      </c>
      <c r="P5" s="7" t="s">
        <v>23</v>
      </c>
      <c r="Q5" s="7" t="s">
        <v>23</v>
      </c>
      <c r="R5" s="7" t="s">
        <v>23</v>
      </c>
      <c r="S5" s="8">
        <v>0.458333333333333</v>
      </c>
      <c r="T5" s="8">
        <v>0.666666666666667</v>
      </c>
    </row>
    <row r="6" customHeight="1" spans="1:20">
      <c r="A6" s="7">
        <v>10317522</v>
      </c>
      <c r="B6" s="8" t="s">
        <v>31</v>
      </c>
      <c r="C6" s="7" t="s">
        <v>20</v>
      </c>
      <c r="D6" s="7" t="s">
        <v>21</v>
      </c>
      <c r="E6" s="8" t="s">
        <v>22</v>
      </c>
      <c r="F6" s="9">
        <v>2</v>
      </c>
      <c r="G6" s="8">
        <v>0.375</v>
      </c>
      <c r="H6" s="8">
        <v>0.791666666666667</v>
      </c>
      <c r="I6" s="8">
        <v>0.375</v>
      </c>
      <c r="J6" s="8">
        <v>0.791666666666667</v>
      </c>
      <c r="K6" s="8">
        <v>0.375</v>
      </c>
      <c r="L6" s="8">
        <v>0.791666666666667</v>
      </c>
      <c r="M6" s="8">
        <v>0.375</v>
      </c>
      <c r="N6" s="8">
        <v>0.791666666666667</v>
      </c>
      <c r="O6" s="7" t="s">
        <v>23</v>
      </c>
      <c r="P6" s="7" t="s">
        <v>23</v>
      </c>
      <c r="Q6" s="7" t="s">
        <v>23</v>
      </c>
      <c r="R6" s="7" t="s">
        <v>23</v>
      </c>
      <c r="S6" s="8">
        <v>0.458333333333333</v>
      </c>
      <c r="T6" s="8">
        <v>0.666666666666667</v>
      </c>
    </row>
    <row r="7" customHeight="1" spans="1:20">
      <c r="A7" s="7">
        <v>10316549</v>
      </c>
      <c r="B7" s="8" t="s">
        <v>19</v>
      </c>
      <c r="C7" s="7" t="s">
        <v>20</v>
      </c>
      <c r="D7" s="7" t="s">
        <v>86</v>
      </c>
      <c r="E7" s="8" t="s">
        <v>22</v>
      </c>
      <c r="F7" s="9">
        <v>1</v>
      </c>
      <c r="G7" s="8">
        <v>0.375</v>
      </c>
      <c r="H7" s="8">
        <v>0.75</v>
      </c>
      <c r="I7" s="8">
        <v>0.375</v>
      </c>
      <c r="J7" s="8">
        <v>0.75</v>
      </c>
      <c r="K7" s="8">
        <v>0.375</v>
      </c>
      <c r="L7" s="8">
        <v>0.75</v>
      </c>
      <c r="M7" s="8">
        <v>0.375</v>
      </c>
      <c r="N7" s="8">
        <v>0.75</v>
      </c>
      <c r="O7" s="8">
        <v>0.375</v>
      </c>
      <c r="P7" s="8">
        <v>0.75</v>
      </c>
      <c r="Q7" s="7" t="s">
        <v>23</v>
      </c>
      <c r="R7" s="7" t="s">
        <v>23</v>
      </c>
      <c r="S7" s="7" t="s">
        <v>23</v>
      </c>
      <c r="T7" s="7" t="s">
        <v>23</v>
      </c>
    </row>
    <row r="8" customHeight="1" spans="1:20">
      <c r="A8" s="7">
        <v>10320413</v>
      </c>
      <c r="B8" s="8" t="s">
        <v>60</v>
      </c>
      <c r="C8" s="7" t="s">
        <v>20</v>
      </c>
      <c r="D8" s="7" t="s">
        <v>21</v>
      </c>
      <c r="E8" s="8" t="s">
        <v>22</v>
      </c>
      <c r="F8" s="9">
        <v>3</v>
      </c>
      <c r="G8" s="8">
        <v>0.375</v>
      </c>
      <c r="H8" s="8">
        <v>0.791666666666667</v>
      </c>
      <c r="I8" s="8">
        <v>0.375</v>
      </c>
      <c r="J8" s="8">
        <v>0.791666666666667</v>
      </c>
      <c r="K8" s="8">
        <v>0.375</v>
      </c>
      <c r="L8" s="8">
        <v>0.791666666666667</v>
      </c>
      <c r="M8" s="8">
        <v>0.375</v>
      </c>
      <c r="N8" s="8">
        <v>0.791666666666667</v>
      </c>
      <c r="O8" s="7" t="s">
        <v>23</v>
      </c>
      <c r="P8" s="7" t="s">
        <v>23</v>
      </c>
      <c r="Q8" s="7" t="s">
        <v>23</v>
      </c>
      <c r="R8" s="7" t="s">
        <v>23</v>
      </c>
      <c r="S8" s="8">
        <v>0.458333333333333</v>
      </c>
      <c r="T8" s="8">
        <v>0.666666666666667</v>
      </c>
    </row>
    <row r="9" customHeight="1" spans="1:20">
      <c r="A9" s="7">
        <v>10320408</v>
      </c>
      <c r="B9" s="8" t="s">
        <v>56</v>
      </c>
      <c r="C9" s="7" t="s">
        <v>20</v>
      </c>
      <c r="D9" s="7" t="s">
        <v>21</v>
      </c>
      <c r="E9" s="8" t="s">
        <v>22</v>
      </c>
      <c r="F9" s="9">
        <v>3</v>
      </c>
      <c r="G9" s="8">
        <v>0.5</v>
      </c>
      <c r="H9" s="8">
        <v>0.875</v>
      </c>
      <c r="I9" s="8">
        <v>0.5</v>
      </c>
      <c r="J9" s="8">
        <v>0.875</v>
      </c>
      <c r="K9" s="8">
        <v>0.5</v>
      </c>
      <c r="L9" s="8">
        <v>0.875</v>
      </c>
      <c r="M9" s="8">
        <v>0.5</v>
      </c>
      <c r="N9" s="8">
        <v>0.875</v>
      </c>
      <c r="O9" s="7" t="s">
        <v>23</v>
      </c>
      <c r="P9" s="7" t="s">
        <v>23</v>
      </c>
      <c r="Q9" s="7" t="s">
        <v>23</v>
      </c>
      <c r="R9" s="7" t="s">
        <v>23</v>
      </c>
      <c r="S9" s="8">
        <v>0.458333333333333</v>
      </c>
      <c r="T9" s="8">
        <v>0.666666666666667</v>
      </c>
    </row>
    <row r="10" customHeight="1" spans="1:20">
      <c r="A10" s="7">
        <v>10317147</v>
      </c>
      <c r="B10" s="8" t="s">
        <v>24</v>
      </c>
      <c r="C10" s="7" t="s">
        <v>20</v>
      </c>
      <c r="D10" s="7" t="s">
        <v>21</v>
      </c>
      <c r="E10" s="8" t="s">
        <v>22</v>
      </c>
      <c r="F10" s="9">
        <v>1</v>
      </c>
      <c r="G10" s="7" t="s">
        <v>23</v>
      </c>
      <c r="H10" s="7" t="s">
        <v>23</v>
      </c>
      <c r="I10" s="8">
        <v>0.375</v>
      </c>
      <c r="J10" s="8">
        <v>0.791666666666667</v>
      </c>
      <c r="K10" s="8">
        <v>0.375</v>
      </c>
      <c r="L10" s="8">
        <v>0.791666666666667</v>
      </c>
      <c r="M10" s="8">
        <v>0.375</v>
      </c>
      <c r="N10" s="8">
        <v>0.791666666666667</v>
      </c>
      <c r="O10" s="8">
        <v>0.375</v>
      </c>
      <c r="P10" s="8">
        <v>0.791666666666667</v>
      </c>
      <c r="Q10" s="8">
        <v>0.458333333333333</v>
      </c>
      <c r="R10" s="8">
        <v>0.666666666666667</v>
      </c>
      <c r="S10" s="7" t="s">
        <v>23</v>
      </c>
      <c r="T10" s="7" t="s">
        <v>23</v>
      </c>
    </row>
    <row r="11" customHeight="1" spans="1:20">
      <c r="A11" s="7">
        <v>10272259</v>
      </c>
      <c r="B11" s="8" t="s">
        <v>32</v>
      </c>
      <c r="C11" s="7" t="s">
        <v>20</v>
      </c>
      <c r="D11" s="7" t="s">
        <v>21</v>
      </c>
      <c r="E11" s="8" t="s">
        <v>22</v>
      </c>
      <c r="F11" s="9">
        <v>2</v>
      </c>
      <c r="G11" s="8">
        <v>0.333333333333333</v>
      </c>
      <c r="H11" s="8">
        <v>0.708333333333333</v>
      </c>
      <c r="I11" s="7" t="s">
        <v>23</v>
      </c>
      <c r="J11" s="7" t="s">
        <v>23</v>
      </c>
      <c r="K11" s="7" t="s">
        <v>23</v>
      </c>
      <c r="L11" s="7" t="s">
        <v>23</v>
      </c>
      <c r="M11" s="8">
        <v>0.375</v>
      </c>
      <c r="N11" s="8">
        <v>0.75</v>
      </c>
      <c r="O11" s="8">
        <v>0.375</v>
      </c>
      <c r="P11" s="8">
        <v>0.75</v>
      </c>
      <c r="Q11" s="8">
        <v>0.458333333333333</v>
      </c>
      <c r="R11" s="8">
        <v>0.666666666666667</v>
      </c>
      <c r="S11" s="8">
        <v>0.416666666666667</v>
      </c>
      <c r="T11" s="8">
        <v>0.625</v>
      </c>
    </row>
    <row r="12" customHeight="1" spans="1:20">
      <c r="A12" s="7">
        <v>10320412</v>
      </c>
      <c r="B12" s="8" t="s">
        <v>59</v>
      </c>
      <c r="C12" s="7" t="s">
        <v>20</v>
      </c>
      <c r="D12" s="7" t="s">
        <v>21</v>
      </c>
      <c r="E12" s="8" t="s">
        <v>22</v>
      </c>
      <c r="F12" s="9">
        <v>3</v>
      </c>
      <c r="G12" s="8">
        <v>0.375</v>
      </c>
      <c r="H12" s="8">
        <v>0.75</v>
      </c>
      <c r="I12" s="8">
        <v>0.375</v>
      </c>
      <c r="J12" s="8">
        <v>0.75</v>
      </c>
      <c r="K12" s="8">
        <v>0.375</v>
      </c>
      <c r="L12" s="8">
        <v>0.75</v>
      </c>
      <c r="M12" s="8">
        <v>0.375</v>
      </c>
      <c r="N12" s="8">
        <v>0.75</v>
      </c>
      <c r="O12" s="8">
        <v>0.375</v>
      </c>
      <c r="P12" s="8">
        <v>0.75</v>
      </c>
      <c r="Q12" s="7" t="s">
        <v>23</v>
      </c>
      <c r="R12" s="7" t="s">
        <v>23</v>
      </c>
      <c r="S12" s="7" t="s">
        <v>23</v>
      </c>
      <c r="T12" s="7" t="s">
        <v>23</v>
      </c>
    </row>
    <row r="13" customHeight="1" spans="1:20">
      <c r="A13" s="7">
        <v>10320418</v>
      </c>
      <c r="B13" s="8" t="s">
        <v>68</v>
      </c>
      <c r="C13" s="7" t="s">
        <v>20</v>
      </c>
      <c r="D13" s="7" t="s">
        <v>21</v>
      </c>
      <c r="E13" s="8" t="s">
        <v>22</v>
      </c>
      <c r="F13" s="9">
        <v>3</v>
      </c>
      <c r="G13" s="8">
        <v>0.5</v>
      </c>
      <c r="H13" s="8">
        <v>0.875</v>
      </c>
      <c r="I13" s="8">
        <v>0.5</v>
      </c>
      <c r="J13" s="8">
        <v>0.875</v>
      </c>
      <c r="K13" s="8">
        <v>0.5</v>
      </c>
      <c r="L13" s="8">
        <v>0.875</v>
      </c>
      <c r="M13" s="8">
        <v>0.5</v>
      </c>
      <c r="N13" s="8">
        <v>0.875</v>
      </c>
      <c r="O13" s="7" t="s">
        <v>23</v>
      </c>
      <c r="P13" s="7" t="s">
        <v>23</v>
      </c>
      <c r="Q13" s="7" t="s">
        <v>23</v>
      </c>
      <c r="R13" s="7" t="s">
        <v>23</v>
      </c>
      <c r="S13" s="8">
        <v>0.458333333333333</v>
      </c>
      <c r="T13" s="8">
        <v>0.666666666666667</v>
      </c>
    </row>
    <row r="14" customHeight="1" spans="1:20">
      <c r="A14" s="7">
        <v>10316618</v>
      </c>
      <c r="B14" s="8" t="s">
        <v>33</v>
      </c>
      <c r="C14" s="7" t="s">
        <v>20</v>
      </c>
      <c r="D14" s="7" t="s">
        <v>86</v>
      </c>
      <c r="E14" s="8" t="s">
        <v>22</v>
      </c>
      <c r="F14" s="9">
        <v>1</v>
      </c>
      <c r="G14" s="8">
        <v>0.375</v>
      </c>
      <c r="H14" s="8">
        <v>0.75</v>
      </c>
      <c r="I14" s="8">
        <v>0.375</v>
      </c>
      <c r="J14" s="8">
        <v>0.75</v>
      </c>
      <c r="K14" s="8">
        <v>0.375</v>
      </c>
      <c r="L14" s="8">
        <v>0.75</v>
      </c>
      <c r="M14" s="8">
        <v>0.375</v>
      </c>
      <c r="N14" s="8">
        <v>0.75</v>
      </c>
      <c r="O14" s="8">
        <v>0.375</v>
      </c>
      <c r="P14" s="8">
        <v>0.75</v>
      </c>
      <c r="Q14" s="7" t="s">
        <v>23</v>
      </c>
      <c r="R14" s="7" t="s">
        <v>23</v>
      </c>
      <c r="S14" s="7" t="s">
        <v>23</v>
      </c>
      <c r="T14" s="7" t="s">
        <v>23</v>
      </c>
    </row>
    <row r="15" customHeight="1" spans="1:20">
      <c r="A15" s="7">
        <v>10250963</v>
      </c>
      <c r="B15" s="8" t="s">
        <v>25</v>
      </c>
      <c r="C15" s="7" t="s">
        <v>20</v>
      </c>
      <c r="D15" s="7" t="s">
        <v>21</v>
      </c>
      <c r="E15" s="8" t="s">
        <v>22</v>
      </c>
      <c r="F15" s="9">
        <v>1</v>
      </c>
      <c r="G15" s="8">
        <v>0.375</v>
      </c>
      <c r="H15" s="8">
        <v>0.75</v>
      </c>
      <c r="I15" s="8">
        <v>0.375</v>
      </c>
      <c r="J15" s="8">
        <v>0.75</v>
      </c>
      <c r="K15" s="8">
        <v>0.375</v>
      </c>
      <c r="L15" s="8">
        <v>0.75</v>
      </c>
      <c r="M15" s="8">
        <v>0.375</v>
      </c>
      <c r="N15" s="8">
        <v>0.75</v>
      </c>
      <c r="O15" s="8">
        <v>0.375</v>
      </c>
      <c r="P15" s="8">
        <v>0.75</v>
      </c>
      <c r="Q15" s="7" t="s">
        <v>23</v>
      </c>
      <c r="R15" s="7" t="s">
        <v>23</v>
      </c>
      <c r="S15" s="7" t="s">
        <v>23</v>
      </c>
      <c r="T15" s="7" t="s">
        <v>23</v>
      </c>
    </row>
    <row r="16" customHeight="1" spans="1:20">
      <c r="A16" s="7">
        <v>10295555</v>
      </c>
      <c r="B16" s="8" t="s">
        <v>34</v>
      </c>
      <c r="C16" s="7" t="s">
        <v>20</v>
      </c>
      <c r="D16" s="7" t="s">
        <v>21</v>
      </c>
      <c r="E16" s="8" t="s">
        <v>35</v>
      </c>
      <c r="F16" s="9">
        <v>2</v>
      </c>
      <c r="G16" s="8">
        <v>0.375</v>
      </c>
      <c r="H16" s="8">
        <v>0.583333333333333</v>
      </c>
      <c r="I16" s="8">
        <v>0.375</v>
      </c>
      <c r="J16" s="8">
        <v>0.583333333333333</v>
      </c>
      <c r="K16" s="7" t="s">
        <v>23</v>
      </c>
      <c r="L16" s="7" t="s">
        <v>23</v>
      </c>
      <c r="M16" s="7" t="s">
        <v>23</v>
      </c>
      <c r="N16" s="7" t="s">
        <v>23</v>
      </c>
      <c r="O16" s="8">
        <v>0.375</v>
      </c>
      <c r="P16" s="8">
        <v>0.583333333333333</v>
      </c>
      <c r="Q16" s="8">
        <v>0.458333333333333</v>
      </c>
      <c r="R16" s="8">
        <v>0.666666666666667</v>
      </c>
      <c r="S16" s="8">
        <v>0.458333333333333</v>
      </c>
      <c r="T16" s="8">
        <v>0.666666666666667</v>
      </c>
    </row>
    <row r="17" customHeight="1" spans="1:20">
      <c r="A17" s="7">
        <v>10317520</v>
      </c>
      <c r="B17" s="8" t="s">
        <v>37</v>
      </c>
      <c r="C17" s="7" t="s">
        <v>20</v>
      </c>
      <c r="D17" s="7" t="s">
        <v>21</v>
      </c>
      <c r="E17" s="8" t="s">
        <v>22</v>
      </c>
      <c r="F17" s="9">
        <v>2</v>
      </c>
      <c r="G17" s="7" t="s">
        <v>23</v>
      </c>
      <c r="H17" s="7" t="s">
        <v>23</v>
      </c>
      <c r="I17" s="8">
        <v>0.333333333333333</v>
      </c>
      <c r="J17" s="8">
        <v>0.75</v>
      </c>
      <c r="K17" s="8">
        <v>0.333333333333333</v>
      </c>
      <c r="L17" s="8">
        <v>0.75</v>
      </c>
      <c r="M17" s="8">
        <v>0.333333333333333</v>
      </c>
      <c r="N17" s="8">
        <v>0.75</v>
      </c>
      <c r="O17" s="8">
        <v>0.333333333333333</v>
      </c>
      <c r="P17" s="8">
        <v>0.75</v>
      </c>
      <c r="Q17" s="8">
        <v>0.416666666666667</v>
      </c>
      <c r="R17" s="8">
        <v>0.625</v>
      </c>
      <c r="S17" s="7" t="s">
        <v>23</v>
      </c>
      <c r="T17" s="7" t="s">
        <v>23</v>
      </c>
    </row>
    <row r="18" customHeight="1" spans="1:20">
      <c r="A18" s="7">
        <v>10320414</v>
      </c>
      <c r="B18" s="8" t="s">
        <v>62</v>
      </c>
      <c r="C18" s="7" t="s">
        <v>20</v>
      </c>
      <c r="D18" s="7" t="s">
        <v>21</v>
      </c>
      <c r="E18" s="8" t="s">
        <v>22</v>
      </c>
      <c r="F18" s="9">
        <v>3</v>
      </c>
      <c r="G18" s="7" t="s">
        <v>23</v>
      </c>
      <c r="H18" s="7" t="s">
        <v>23</v>
      </c>
      <c r="I18" s="8">
        <v>0.458333333333333</v>
      </c>
      <c r="J18" s="8">
        <v>0.875</v>
      </c>
      <c r="K18" s="8">
        <v>0.458333333333333</v>
      </c>
      <c r="L18" s="8">
        <v>0.875</v>
      </c>
      <c r="M18" s="8">
        <v>0.458333333333333</v>
      </c>
      <c r="N18" s="8">
        <v>0.875</v>
      </c>
      <c r="O18" s="8">
        <v>0.458333333333333</v>
      </c>
      <c r="P18" s="8">
        <v>0.875</v>
      </c>
      <c r="Q18" s="8">
        <v>0.458333333333333</v>
      </c>
      <c r="R18" s="8">
        <v>0.666666666666667</v>
      </c>
      <c r="S18" s="7" t="s">
        <v>23</v>
      </c>
      <c r="T18" s="7" t="s">
        <v>23</v>
      </c>
    </row>
    <row r="19" customHeight="1" spans="1:20">
      <c r="A19" s="7">
        <v>10316681</v>
      </c>
      <c r="B19" s="8" t="s">
        <v>38</v>
      </c>
      <c r="C19" s="7" t="s">
        <v>89</v>
      </c>
      <c r="D19" s="7" t="s">
        <v>21</v>
      </c>
      <c r="E19" s="8" t="s">
        <v>22</v>
      </c>
      <c r="F19" s="9">
        <v>1</v>
      </c>
      <c r="G19" s="8">
        <v>0.375</v>
      </c>
      <c r="H19" s="8">
        <v>0.75</v>
      </c>
      <c r="I19" s="8">
        <v>0.375</v>
      </c>
      <c r="J19" s="8">
        <v>0.75</v>
      </c>
      <c r="K19" s="8">
        <v>0.375</v>
      </c>
      <c r="L19" s="8">
        <v>0.75</v>
      </c>
      <c r="M19" s="8">
        <v>0.375</v>
      </c>
      <c r="N19" s="8">
        <v>0.75</v>
      </c>
      <c r="O19" s="8">
        <v>0.375</v>
      </c>
      <c r="P19" s="8">
        <v>0.75</v>
      </c>
      <c r="Q19" s="7" t="s">
        <v>23</v>
      </c>
      <c r="R19" s="7" t="s">
        <v>23</v>
      </c>
      <c r="S19" s="7" t="s">
        <v>23</v>
      </c>
      <c r="T19" s="7" t="s">
        <v>23</v>
      </c>
    </row>
    <row r="20" customHeight="1" spans="1:20">
      <c r="A20" s="7">
        <v>10316650</v>
      </c>
      <c r="B20" s="8" t="s">
        <v>39</v>
      </c>
      <c r="C20" s="7" t="s">
        <v>20</v>
      </c>
      <c r="D20" s="7" t="s">
        <v>21</v>
      </c>
      <c r="E20" s="8" t="s">
        <v>22</v>
      </c>
      <c r="F20" s="9">
        <v>2</v>
      </c>
      <c r="G20" s="8">
        <v>0.458333333333333</v>
      </c>
      <c r="H20" s="8">
        <v>0.875</v>
      </c>
      <c r="I20" s="8">
        <v>0.458333333333333</v>
      </c>
      <c r="J20" s="8">
        <v>0.875</v>
      </c>
      <c r="K20" s="8">
        <v>0.458333333333333</v>
      </c>
      <c r="L20" s="8">
        <v>0.875</v>
      </c>
      <c r="M20" s="8">
        <v>0.458333333333333</v>
      </c>
      <c r="N20" s="8">
        <v>0.875</v>
      </c>
      <c r="O20" s="7" t="s">
        <v>23</v>
      </c>
      <c r="P20" s="7" t="s">
        <v>23</v>
      </c>
      <c r="Q20" s="7" t="s">
        <v>23</v>
      </c>
      <c r="R20" s="7" t="s">
        <v>23</v>
      </c>
      <c r="S20" s="8">
        <v>0.458333333333333</v>
      </c>
      <c r="T20" s="8">
        <v>0.666666666666667</v>
      </c>
    </row>
    <row r="21" customHeight="1" spans="1:20">
      <c r="A21" s="7">
        <v>10320416</v>
      </c>
      <c r="B21" s="8" t="s">
        <v>66</v>
      </c>
      <c r="C21" s="7" t="s">
        <v>20</v>
      </c>
      <c r="D21" s="7" t="s">
        <v>21</v>
      </c>
      <c r="E21" s="8" t="s">
        <v>22</v>
      </c>
      <c r="F21" s="9">
        <v>3</v>
      </c>
      <c r="G21" s="8">
        <v>0.375</v>
      </c>
      <c r="H21" s="8">
        <v>0.75</v>
      </c>
      <c r="I21" s="8">
        <v>0.375</v>
      </c>
      <c r="J21" s="8">
        <v>0.75</v>
      </c>
      <c r="K21" s="8">
        <v>0.375</v>
      </c>
      <c r="L21" s="8">
        <v>0.75</v>
      </c>
      <c r="M21" s="8">
        <v>0.375</v>
      </c>
      <c r="N21" s="8">
        <v>0.75</v>
      </c>
      <c r="O21" s="8">
        <v>0.375</v>
      </c>
      <c r="P21" s="8">
        <v>0.75</v>
      </c>
      <c r="Q21" s="7" t="s">
        <v>23</v>
      </c>
      <c r="R21" s="7" t="s">
        <v>23</v>
      </c>
      <c r="S21" s="7" t="s">
        <v>23</v>
      </c>
      <c r="T21" s="7" t="s">
        <v>23</v>
      </c>
    </row>
    <row r="22" customHeight="1" spans="1:20">
      <c r="A22" s="7">
        <v>10316530</v>
      </c>
      <c r="B22" s="8" t="s">
        <v>26</v>
      </c>
      <c r="C22" s="7" t="s">
        <v>20</v>
      </c>
      <c r="D22" s="7" t="s">
        <v>21</v>
      </c>
      <c r="E22" s="8" t="s">
        <v>22</v>
      </c>
      <c r="F22" s="9">
        <v>1</v>
      </c>
      <c r="G22" s="8">
        <v>0.375</v>
      </c>
      <c r="H22" s="8">
        <v>0.75</v>
      </c>
      <c r="I22" s="8">
        <v>0.375</v>
      </c>
      <c r="J22" s="8">
        <v>0.75</v>
      </c>
      <c r="K22" s="8">
        <v>0.375</v>
      </c>
      <c r="L22" s="8">
        <v>0.75</v>
      </c>
      <c r="M22" s="8">
        <v>0.375</v>
      </c>
      <c r="N22" s="8">
        <v>0.75</v>
      </c>
      <c r="O22" s="8">
        <v>0.375</v>
      </c>
      <c r="P22" s="8">
        <v>0.75</v>
      </c>
      <c r="Q22" s="7" t="s">
        <v>23</v>
      </c>
      <c r="R22" s="7" t="s">
        <v>23</v>
      </c>
      <c r="S22" s="7" t="s">
        <v>23</v>
      </c>
      <c r="T22" s="7" t="s">
        <v>23</v>
      </c>
    </row>
    <row r="23" customHeight="1" spans="1:20">
      <c r="A23" s="7">
        <v>10316680</v>
      </c>
      <c r="B23" s="8" t="s">
        <v>40</v>
      </c>
      <c r="C23" s="7" t="s">
        <v>20</v>
      </c>
      <c r="D23" s="7" t="s">
        <v>21</v>
      </c>
      <c r="E23" s="8" t="s">
        <v>22</v>
      </c>
      <c r="F23" s="9">
        <v>1</v>
      </c>
      <c r="G23" s="8">
        <v>0.375</v>
      </c>
      <c r="H23" s="8">
        <v>0.75</v>
      </c>
      <c r="I23" s="8">
        <v>0.375</v>
      </c>
      <c r="J23" s="8">
        <v>0.75</v>
      </c>
      <c r="K23" s="8">
        <v>0.375</v>
      </c>
      <c r="L23" s="8">
        <v>0.75</v>
      </c>
      <c r="M23" s="8">
        <v>0.375</v>
      </c>
      <c r="N23" s="8">
        <v>0.75</v>
      </c>
      <c r="O23" s="8">
        <v>0.375</v>
      </c>
      <c r="P23" s="8">
        <v>0.75</v>
      </c>
      <c r="Q23" s="7" t="s">
        <v>23</v>
      </c>
      <c r="R23" s="7" t="s">
        <v>23</v>
      </c>
      <c r="S23" s="7" t="s">
        <v>23</v>
      </c>
      <c r="T23" s="7" t="s">
        <v>23</v>
      </c>
    </row>
    <row r="24" customHeight="1" spans="1:20">
      <c r="A24" s="7">
        <v>10317943</v>
      </c>
      <c r="B24" s="8" t="s">
        <v>27</v>
      </c>
      <c r="C24" s="7" t="s">
        <v>20</v>
      </c>
      <c r="D24" s="7" t="s">
        <v>21</v>
      </c>
      <c r="E24" s="8" t="s">
        <v>22</v>
      </c>
      <c r="F24" s="9">
        <v>2</v>
      </c>
      <c r="G24" s="8">
        <v>0.375</v>
      </c>
      <c r="H24" s="8">
        <v>0.791666666666667</v>
      </c>
      <c r="I24" s="8">
        <v>0.375</v>
      </c>
      <c r="J24" s="8">
        <v>0.791666666666667</v>
      </c>
      <c r="K24" s="8">
        <v>0.375</v>
      </c>
      <c r="L24" s="8">
        <v>0.791666666666667</v>
      </c>
      <c r="M24" s="8">
        <v>0.375</v>
      </c>
      <c r="N24" s="8">
        <v>0.791666666666667</v>
      </c>
      <c r="O24" s="7" t="s">
        <v>23</v>
      </c>
      <c r="P24" s="7" t="s">
        <v>23</v>
      </c>
      <c r="Q24" s="7" t="s">
        <v>23</v>
      </c>
      <c r="R24" s="7" t="s">
        <v>23</v>
      </c>
      <c r="S24" s="8">
        <v>0.458333333333333</v>
      </c>
      <c r="T24" s="8">
        <v>0.666666666666667</v>
      </c>
    </row>
    <row r="25" customHeight="1" spans="1:20">
      <c r="A25" s="7">
        <v>10250966</v>
      </c>
      <c r="B25" s="8" t="s">
        <v>61</v>
      </c>
      <c r="C25" s="7" t="s">
        <v>20</v>
      </c>
      <c r="D25" s="7" t="s">
        <v>21</v>
      </c>
      <c r="E25" s="8" t="s">
        <v>22</v>
      </c>
      <c r="F25" s="9">
        <v>3</v>
      </c>
      <c r="G25" s="8">
        <v>0.458333333333333</v>
      </c>
      <c r="H25" s="8">
        <v>0.875</v>
      </c>
      <c r="I25" s="8">
        <v>0.458333333333333</v>
      </c>
      <c r="J25" s="8">
        <v>0.875</v>
      </c>
      <c r="K25" s="8">
        <v>0.458333333333333</v>
      </c>
      <c r="L25" s="8">
        <v>0.875</v>
      </c>
      <c r="M25" s="8">
        <v>0.458333333333333</v>
      </c>
      <c r="N25" s="8">
        <v>0.875</v>
      </c>
      <c r="O25" s="7" t="s">
        <v>23</v>
      </c>
      <c r="P25" s="7" t="s">
        <v>23</v>
      </c>
      <c r="Q25" s="7" t="s">
        <v>23</v>
      </c>
      <c r="R25" s="7" t="s">
        <v>23</v>
      </c>
      <c r="S25" s="8">
        <v>0.458333333333333</v>
      </c>
      <c r="T25" s="8">
        <v>0.666666666666667</v>
      </c>
    </row>
    <row r="26" customHeight="1" spans="1:20">
      <c r="A26" s="7">
        <v>10316543</v>
      </c>
      <c r="B26" s="8" t="s">
        <v>41</v>
      </c>
      <c r="C26" s="7" t="s">
        <v>20</v>
      </c>
      <c r="D26" s="7" t="s">
        <v>21</v>
      </c>
      <c r="E26" s="8" t="s">
        <v>22</v>
      </c>
      <c r="F26" s="9">
        <v>1</v>
      </c>
      <c r="G26" s="8">
        <v>0.375</v>
      </c>
      <c r="H26" s="8">
        <v>0.791666666666667</v>
      </c>
      <c r="I26" s="8">
        <v>0.375</v>
      </c>
      <c r="J26" s="8">
        <v>0.791666666666667</v>
      </c>
      <c r="K26" s="8">
        <v>0.375</v>
      </c>
      <c r="L26" s="8">
        <v>0.791666666666667</v>
      </c>
      <c r="M26" s="8">
        <v>0.375</v>
      </c>
      <c r="N26" s="8">
        <v>0.791666666666667</v>
      </c>
      <c r="O26" s="7" t="s">
        <v>23</v>
      </c>
      <c r="P26" s="7" t="s">
        <v>23</v>
      </c>
      <c r="Q26" s="7" t="s">
        <v>23</v>
      </c>
      <c r="R26" s="7" t="s">
        <v>23</v>
      </c>
      <c r="S26" s="8">
        <v>0.458333333333333</v>
      </c>
      <c r="T26" s="8">
        <v>0.666666666666667</v>
      </c>
    </row>
    <row r="27" customHeight="1" spans="1:20">
      <c r="A27" s="7">
        <v>10317153</v>
      </c>
      <c r="B27" s="8" t="s">
        <v>42</v>
      </c>
      <c r="C27" s="7" t="s">
        <v>20</v>
      </c>
      <c r="D27" s="7" t="s">
        <v>21</v>
      </c>
      <c r="E27" s="8" t="s">
        <v>22</v>
      </c>
      <c r="F27" s="9">
        <v>1</v>
      </c>
      <c r="G27" s="8">
        <v>0.5</v>
      </c>
      <c r="H27" s="8">
        <v>0.875</v>
      </c>
      <c r="I27" s="8">
        <v>0.5</v>
      </c>
      <c r="J27" s="8">
        <v>0.875</v>
      </c>
      <c r="K27" s="8">
        <v>0.5</v>
      </c>
      <c r="L27" s="8">
        <v>0.875</v>
      </c>
      <c r="M27" s="8">
        <v>0.5</v>
      </c>
      <c r="N27" s="8">
        <v>0.875</v>
      </c>
      <c r="O27" s="8">
        <v>0.5</v>
      </c>
      <c r="P27" s="8">
        <v>0.875</v>
      </c>
      <c r="Q27" s="7" t="s">
        <v>23</v>
      </c>
      <c r="R27" s="7" t="s">
        <v>23</v>
      </c>
      <c r="S27" s="7" t="s">
        <v>23</v>
      </c>
      <c r="T27" s="7" t="s">
        <v>23</v>
      </c>
    </row>
    <row r="28" customHeight="1" spans="1:20">
      <c r="A28" s="7">
        <v>10317521</v>
      </c>
      <c r="B28" s="8" t="s">
        <v>28</v>
      </c>
      <c r="C28" s="7" t="s">
        <v>20</v>
      </c>
      <c r="D28" s="7" t="s">
        <v>21</v>
      </c>
      <c r="E28" s="8" t="s">
        <v>22</v>
      </c>
      <c r="F28" s="9">
        <v>2</v>
      </c>
      <c r="G28" s="7" t="s">
        <v>23</v>
      </c>
      <c r="H28" s="7" t="s">
        <v>23</v>
      </c>
      <c r="I28" s="8">
        <v>0.333333333333333</v>
      </c>
      <c r="J28" s="8">
        <v>0.75</v>
      </c>
      <c r="K28" s="8">
        <v>0.333333333333333</v>
      </c>
      <c r="L28" s="8">
        <v>0.75</v>
      </c>
      <c r="M28" s="8">
        <v>0.333333333333333</v>
      </c>
      <c r="N28" s="8">
        <v>0.75</v>
      </c>
      <c r="O28" s="8">
        <v>0.333333333333333</v>
      </c>
      <c r="P28" s="8">
        <v>0.75</v>
      </c>
      <c r="Q28" s="8">
        <v>0.416666666666667</v>
      </c>
      <c r="R28" s="8">
        <v>0.625</v>
      </c>
      <c r="S28" s="7" t="s">
        <v>23</v>
      </c>
      <c r="T28" s="7" t="s">
        <v>23</v>
      </c>
    </row>
    <row r="29" customHeight="1" spans="1:20">
      <c r="A29" s="7">
        <v>10317517</v>
      </c>
      <c r="B29" s="8" t="s">
        <v>29</v>
      </c>
      <c r="C29" s="7" t="s">
        <v>20</v>
      </c>
      <c r="D29" s="7" t="s">
        <v>21</v>
      </c>
      <c r="E29" s="8" t="s">
        <v>22</v>
      </c>
      <c r="F29" s="9">
        <v>2</v>
      </c>
      <c r="G29" s="8">
        <v>0.5</v>
      </c>
      <c r="H29" s="8">
        <v>0.875</v>
      </c>
      <c r="I29" s="8">
        <v>0.5</v>
      </c>
      <c r="J29" s="8">
        <v>0.875</v>
      </c>
      <c r="K29" s="8">
        <v>0.5</v>
      </c>
      <c r="L29" s="8">
        <v>0.875</v>
      </c>
      <c r="M29" s="8">
        <v>0.5</v>
      </c>
      <c r="N29" s="8">
        <v>0.875</v>
      </c>
      <c r="O29" s="8">
        <v>0.5</v>
      </c>
      <c r="P29" s="8">
        <v>0.875</v>
      </c>
      <c r="Q29" s="7" t="s">
        <v>23</v>
      </c>
      <c r="R29" s="7" t="s">
        <v>23</v>
      </c>
      <c r="S29" s="7" t="s">
        <v>23</v>
      </c>
      <c r="T29" s="7" t="s">
        <v>23</v>
      </c>
    </row>
    <row r="30" customHeight="1" spans="1:20">
      <c r="A30" s="7">
        <v>10252106</v>
      </c>
      <c r="B30" s="8" t="s">
        <v>43</v>
      </c>
      <c r="C30" s="7" t="s">
        <v>20</v>
      </c>
      <c r="D30" s="7" t="s">
        <v>21</v>
      </c>
      <c r="E30" s="8" t="s">
        <v>22</v>
      </c>
      <c r="F30" s="9">
        <v>2</v>
      </c>
      <c r="G30" s="8">
        <v>0.5</v>
      </c>
      <c r="H30" s="8">
        <v>0.875</v>
      </c>
      <c r="I30" s="7" t="s">
        <v>23</v>
      </c>
      <c r="J30" s="7" t="s">
        <v>23</v>
      </c>
      <c r="K30" s="7" t="s">
        <v>23</v>
      </c>
      <c r="L30" s="7" t="s">
        <v>23</v>
      </c>
      <c r="M30" s="8">
        <v>0.5</v>
      </c>
      <c r="N30" s="8">
        <v>0.875</v>
      </c>
      <c r="O30" s="8">
        <v>0.5</v>
      </c>
      <c r="P30" s="8">
        <v>0.875</v>
      </c>
      <c r="Q30" s="8">
        <v>0.458333333333333</v>
      </c>
      <c r="R30" s="8">
        <v>0.666666666666667</v>
      </c>
      <c r="S30" s="8">
        <v>0.458333333333333</v>
      </c>
      <c r="T30" s="8">
        <v>0.666666666666667</v>
      </c>
    </row>
    <row r="31" customHeight="1" spans="1:20">
      <c r="A31" s="7">
        <v>10320407</v>
      </c>
      <c r="B31" s="8" t="s">
        <v>55</v>
      </c>
      <c r="C31" s="7" t="s">
        <v>20</v>
      </c>
      <c r="D31" s="7" t="s">
        <v>21</v>
      </c>
      <c r="E31" s="8" t="s">
        <v>22</v>
      </c>
      <c r="F31" s="9">
        <v>3</v>
      </c>
      <c r="G31" s="7" t="s">
        <v>23</v>
      </c>
      <c r="H31" s="7" t="s">
        <v>23</v>
      </c>
      <c r="I31" s="8">
        <v>0.458333333333333</v>
      </c>
      <c r="J31" s="8">
        <v>0.875</v>
      </c>
      <c r="K31" s="8">
        <v>0.458333333333333</v>
      </c>
      <c r="L31" s="8">
        <v>0.875</v>
      </c>
      <c r="M31" s="8">
        <v>0.458333333333333</v>
      </c>
      <c r="N31" s="8">
        <v>0.875</v>
      </c>
      <c r="O31" s="8">
        <v>0.458333333333333</v>
      </c>
      <c r="P31" s="8">
        <v>0.875</v>
      </c>
      <c r="Q31" s="8">
        <v>0.458333333333333</v>
      </c>
      <c r="R31" s="8">
        <v>0.666666666666667</v>
      </c>
      <c r="S31" s="7" t="s">
        <v>23</v>
      </c>
      <c r="T31" s="7" t="s">
        <v>23</v>
      </c>
    </row>
    <row r="32" customHeight="1" spans="1:20">
      <c r="A32" s="7">
        <v>10320417</v>
      </c>
      <c r="B32" s="8" t="s">
        <v>67</v>
      </c>
      <c r="C32" s="7" t="s">
        <v>20</v>
      </c>
      <c r="D32" s="7" t="s">
        <v>21</v>
      </c>
      <c r="E32" s="8" t="s">
        <v>22</v>
      </c>
      <c r="F32" s="9">
        <v>3</v>
      </c>
      <c r="G32" s="8">
        <v>0.458333333333333</v>
      </c>
      <c r="H32" s="8">
        <v>0.875</v>
      </c>
      <c r="I32" s="8">
        <v>0.458333333333333</v>
      </c>
      <c r="J32" s="8">
        <v>0.875</v>
      </c>
      <c r="K32" s="8">
        <v>0.458333333333333</v>
      </c>
      <c r="L32" s="8">
        <v>0.875</v>
      </c>
      <c r="M32" s="8">
        <v>0.458333333333333</v>
      </c>
      <c r="N32" s="8">
        <v>0.875</v>
      </c>
      <c r="O32" s="7" t="s">
        <v>23</v>
      </c>
      <c r="P32" s="7" t="s">
        <v>23</v>
      </c>
      <c r="Q32" s="7" t="s">
        <v>23</v>
      </c>
      <c r="R32" s="7" t="s">
        <v>23</v>
      </c>
      <c r="S32" s="8">
        <v>0.458333333333333</v>
      </c>
      <c r="T32" s="8">
        <v>0.666666666666667</v>
      </c>
    </row>
    <row r="33" customHeight="1" spans="1:20">
      <c r="A33" s="7">
        <v>10317154</v>
      </c>
      <c r="B33" s="8" t="s">
        <v>70</v>
      </c>
      <c r="C33" s="7" t="s">
        <v>20</v>
      </c>
      <c r="D33" s="7" t="s">
        <v>21</v>
      </c>
      <c r="E33" s="8" t="s">
        <v>22</v>
      </c>
      <c r="F33" s="9">
        <v>3</v>
      </c>
      <c r="G33" s="8">
        <v>0.416666666666667</v>
      </c>
      <c r="H33" s="8">
        <v>0.833333333333333</v>
      </c>
      <c r="I33" s="8">
        <v>0.416666666666667</v>
      </c>
      <c r="J33" s="8">
        <v>0.833333333333333</v>
      </c>
      <c r="K33" s="8">
        <v>0.416666666666667</v>
      </c>
      <c r="L33" s="8">
        <v>0.833333333333333</v>
      </c>
      <c r="M33" s="8">
        <v>0.416666666666667</v>
      </c>
      <c r="N33" s="8">
        <v>0.833333333333333</v>
      </c>
      <c r="O33" s="7" t="s">
        <v>23</v>
      </c>
      <c r="P33" s="7" t="s">
        <v>23</v>
      </c>
      <c r="Q33" s="7" t="s">
        <v>23</v>
      </c>
      <c r="R33" s="7" t="s">
        <v>23</v>
      </c>
      <c r="S33" s="8">
        <v>0.416666666666667</v>
      </c>
      <c r="T33" s="8">
        <v>0.625</v>
      </c>
    </row>
    <row r="34" customHeight="1" spans="1:20">
      <c r="A34" s="7">
        <v>10320436</v>
      </c>
      <c r="B34" s="8" t="s">
        <v>90</v>
      </c>
      <c r="C34" s="7" t="s">
        <v>20</v>
      </c>
      <c r="D34" s="7" t="s">
        <v>21</v>
      </c>
      <c r="E34" s="8" t="s">
        <v>22</v>
      </c>
      <c r="F34" s="9">
        <v>3</v>
      </c>
      <c r="G34" s="8">
        <v>0.458333333333333</v>
      </c>
      <c r="H34" s="8">
        <v>0.875</v>
      </c>
      <c r="I34" s="8">
        <v>0.458333333333333</v>
      </c>
      <c r="J34" s="8">
        <v>0.875</v>
      </c>
      <c r="K34" s="8">
        <v>0.458333333333333</v>
      </c>
      <c r="L34" s="8">
        <v>0.875</v>
      </c>
      <c r="M34" s="8">
        <v>0.458333333333333</v>
      </c>
      <c r="N34" s="8">
        <v>0.875</v>
      </c>
      <c r="O34" s="7" t="s">
        <v>23</v>
      </c>
      <c r="P34" s="7" t="s">
        <v>23</v>
      </c>
      <c r="Q34" s="7" t="s">
        <v>23</v>
      </c>
      <c r="R34" s="7" t="s">
        <v>23</v>
      </c>
      <c r="S34" s="8">
        <v>0.458333333333333</v>
      </c>
      <c r="T34" s="8">
        <v>0.666666666666667</v>
      </c>
    </row>
    <row r="35" customHeight="1" spans="1:20">
      <c r="A35" s="7">
        <v>10316538</v>
      </c>
      <c r="B35" s="8" t="s">
        <v>44</v>
      </c>
      <c r="C35" s="7" t="s">
        <v>20</v>
      </c>
      <c r="D35" s="7" t="s">
        <v>21</v>
      </c>
      <c r="E35" s="8" t="s">
        <v>22</v>
      </c>
      <c r="F35" s="9">
        <v>1</v>
      </c>
      <c r="G35" s="8">
        <v>0.375</v>
      </c>
      <c r="H35" s="8">
        <v>0.75</v>
      </c>
      <c r="I35" s="8">
        <v>0.375</v>
      </c>
      <c r="J35" s="8">
        <v>0.75</v>
      </c>
      <c r="K35" s="7" t="s">
        <v>23</v>
      </c>
      <c r="L35" s="7" t="s">
        <v>23</v>
      </c>
      <c r="M35" s="7" t="s">
        <v>23</v>
      </c>
      <c r="N35" s="7" t="s">
        <v>23</v>
      </c>
      <c r="O35" s="8">
        <v>0.375</v>
      </c>
      <c r="P35" s="8">
        <v>0.75</v>
      </c>
      <c r="Q35" s="8">
        <v>0.458333333333333</v>
      </c>
      <c r="R35" s="8">
        <v>0.666666666666667</v>
      </c>
      <c r="S35" s="8">
        <v>0.458333333333333</v>
      </c>
      <c r="T35" s="8">
        <v>0.666666666666667</v>
      </c>
    </row>
    <row r="36" customHeight="1" spans="1:20">
      <c r="A36" s="7">
        <v>10293607</v>
      </c>
      <c r="B36" s="8" t="s">
        <v>65</v>
      </c>
      <c r="C36" s="7" t="s">
        <v>20</v>
      </c>
      <c r="D36" s="7" t="s">
        <v>21</v>
      </c>
      <c r="E36" s="8" t="s">
        <v>22</v>
      </c>
      <c r="F36" s="9">
        <v>3</v>
      </c>
      <c r="G36" s="8">
        <v>0.375</v>
      </c>
      <c r="H36" s="8">
        <v>0.791666666666667</v>
      </c>
      <c r="I36" s="8">
        <v>0.375</v>
      </c>
      <c r="J36" s="8">
        <v>0.791666666666667</v>
      </c>
      <c r="K36" s="8">
        <v>0.375</v>
      </c>
      <c r="L36" s="8">
        <v>0.791666666666667</v>
      </c>
      <c r="M36" s="8">
        <v>0.375</v>
      </c>
      <c r="N36" s="8">
        <v>0.791666666666667</v>
      </c>
      <c r="O36" s="7" t="s">
        <v>23</v>
      </c>
      <c r="P36" s="7" t="s">
        <v>23</v>
      </c>
      <c r="Q36" s="7" t="s">
        <v>23</v>
      </c>
      <c r="R36" s="7" t="s">
        <v>23</v>
      </c>
      <c r="S36" s="8">
        <v>0.458333333333333</v>
      </c>
      <c r="T36" s="8">
        <v>0.666666666666667</v>
      </c>
    </row>
    <row r="37" customHeight="1" spans="1:20">
      <c r="A37" s="7">
        <v>10316545</v>
      </c>
      <c r="B37" s="8" t="s">
        <v>45</v>
      </c>
      <c r="C37" s="7" t="s">
        <v>20</v>
      </c>
      <c r="D37" s="7" t="s">
        <v>21</v>
      </c>
      <c r="E37" s="8" t="s">
        <v>22</v>
      </c>
      <c r="F37" s="9">
        <v>1</v>
      </c>
      <c r="G37" s="8">
        <v>0.5</v>
      </c>
      <c r="H37" s="8">
        <v>0.875</v>
      </c>
      <c r="I37" s="8">
        <v>0.5</v>
      </c>
      <c r="J37" s="8">
        <v>0.875</v>
      </c>
      <c r="K37" s="8">
        <v>0.5</v>
      </c>
      <c r="L37" s="8">
        <v>0.875</v>
      </c>
      <c r="M37" s="8">
        <v>0.5</v>
      </c>
      <c r="N37" s="8">
        <v>0.875</v>
      </c>
      <c r="O37" s="8">
        <v>0.5</v>
      </c>
      <c r="P37" s="8">
        <v>0.875</v>
      </c>
      <c r="Q37" s="7" t="s">
        <v>23</v>
      </c>
      <c r="R37" s="7" t="s">
        <v>23</v>
      </c>
      <c r="S37" s="7" t="s">
        <v>23</v>
      </c>
      <c r="T37" s="7" t="s">
        <v>23</v>
      </c>
    </row>
    <row r="38" customHeight="1" spans="1:20">
      <c r="A38" s="7">
        <v>10316572</v>
      </c>
      <c r="B38" s="8" t="s">
        <v>46</v>
      </c>
      <c r="C38" s="7" t="s">
        <v>20</v>
      </c>
      <c r="D38" s="7" t="s">
        <v>21</v>
      </c>
      <c r="E38" s="8" t="s">
        <v>22</v>
      </c>
      <c r="F38" s="9">
        <v>2</v>
      </c>
      <c r="G38" s="8">
        <v>0.333333333333333</v>
      </c>
      <c r="H38" s="8">
        <v>0.75</v>
      </c>
      <c r="I38" s="8">
        <v>0.375</v>
      </c>
      <c r="J38" s="8">
        <v>0.791666666666667</v>
      </c>
      <c r="K38" s="8">
        <v>0.375</v>
      </c>
      <c r="L38" s="8">
        <v>0.791666666666667</v>
      </c>
      <c r="M38" s="8">
        <v>0.375</v>
      </c>
      <c r="N38" s="8">
        <v>0.791666666666667</v>
      </c>
      <c r="O38" s="7" t="s">
        <v>23</v>
      </c>
      <c r="P38" s="7" t="s">
        <v>23</v>
      </c>
      <c r="Q38" s="7" t="s">
        <v>23</v>
      </c>
      <c r="R38" s="7" t="s">
        <v>23</v>
      </c>
      <c r="S38" s="8">
        <v>0.416666666666667</v>
      </c>
      <c r="T38" s="8">
        <v>0.625</v>
      </c>
    </row>
    <row r="39" customHeight="1" spans="1:20">
      <c r="A39" s="7">
        <v>10316685</v>
      </c>
      <c r="B39" s="8" t="s">
        <v>47</v>
      </c>
      <c r="C39" s="7" t="s">
        <v>89</v>
      </c>
      <c r="D39" s="7" t="s">
        <v>21</v>
      </c>
      <c r="E39" s="8" t="s">
        <v>22</v>
      </c>
      <c r="F39" s="9">
        <v>1</v>
      </c>
      <c r="G39" s="8">
        <v>0.375</v>
      </c>
      <c r="H39" s="8">
        <v>0.75</v>
      </c>
      <c r="I39" s="8">
        <v>0.375</v>
      </c>
      <c r="J39" s="8">
        <v>0.75</v>
      </c>
      <c r="K39" s="8">
        <v>0.375</v>
      </c>
      <c r="L39" s="8">
        <v>0.75</v>
      </c>
      <c r="M39" s="8">
        <v>0.375</v>
      </c>
      <c r="N39" s="8">
        <v>0.75</v>
      </c>
      <c r="O39" s="8">
        <v>0.375</v>
      </c>
      <c r="P39" s="8">
        <v>0.75</v>
      </c>
      <c r="Q39" s="7" t="s">
        <v>23</v>
      </c>
      <c r="R39" s="7" t="s">
        <v>23</v>
      </c>
      <c r="S39" s="7" t="s">
        <v>23</v>
      </c>
      <c r="T39" s="7" t="s">
        <v>23</v>
      </c>
    </row>
    <row r="40" customHeight="1" spans="1:20">
      <c r="A40" s="7">
        <v>10274446</v>
      </c>
      <c r="B40" s="8" t="s">
        <v>88</v>
      </c>
      <c r="C40" s="7" t="s">
        <v>20</v>
      </c>
      <c r="D40" s="7" t="s">
        <v>21</v>
      </c>
      <c r="E40" s="8" t="s">
        <v>22</v>
      </c>
      <c r="F40" s="9">
        <v>2</v>
      </c>
      <c r="G40" s="8">
        <v>0.5</v>
      </c>
      <c r="H40" s="8">
        <v>0.875</v>
      </c>
      <c r="I40" s="8">
        <v>0.5</v>
      </c>
      <c r="J40" s="8">
        <v>0.875</v>
      </c>
      <c r="K40" s="7" t="s">
        <v>23</v>
      </c>
      <c r="L40" s="7" t="s">
        <v>23</v>
      </c>
      <c r="M40" s="7" t="s">
        <v>23</v>
      </c>
      <c r="N40" s="7" t="s">
        <v>23</v>
      </c>
      <c r="O40" s="8">
        <v>0.5</v>
      </c>
      <c r="P40" s="8">
        <v>0.875</v>
      </c>
      <c r="Q40" s="8">
        <v>0.458333333333333</v>
      </c>
      <c r="R40" s="8">
        <v>0.666666666666667</v>
      </c>
      <c r="S40" s="8">
        <v>0.458333333333333</v>
      </c>
      <c r="T40" s="8">
        <v>0.666666666666667</v>
      </c>
    </row>
    <row r="41" customHeight="1" spans="1:20">
      <c r="A41" s="7">
        <v>10276839</v>
      </c>
      <c r="B41" s="8" t="s">
        <v>54</v>
      </c>
      <c r="C41" s="7" t="s">
        <v>20</v>
      </c>
      <c r="D41" s="7" t="s">
        <v>21</v>
      </c>
      <c r="E41" s="8" t="s">
        <v>22</v>
      </c>
      <c r="F41" s="9">
        <v>2</v>
      </c>
      <c r="G41" s="8">
        <v>0.375</v>
      </c>
      <c r="H41" s="8">
        <v>0.791666666666667</v>
      </c>
      <c r="I41" s="8">
        <v>0.375</v>
      </c>
      <c r="J41" s="8">
        <v>0.791666666666667</v>
      </c>
      <c r="K41" s="8">
        <v>0.375</v>
      </c>
      <c r="L41" s="8">
        <v>0.791666666666667</v>
      </c>
      <c r="M41" s="8">
        <v>0.375</v>
      </c>
      <c r="N41" s="8">
        <v>0.791666666666667</v>
      </c>
      <c r="O41" s="7" t="s">
        <v>23</v>
      </c>
      <c r="P41" s="7" t="s">
        <v>23</v>
      </c>
      <c r="Q41" s="7" t="s">
        <v>23</v>
      </c>
      <c r="R41" s="7" t="s">
        <v>23</v>
      </c>
      <c r="S41" s="8">
        <v>0.458333333333333</v>
      </c>
      <c r="T41" s="8">
        <v>0.666666666666667</v>
      </c>
    </row>
    <row r="42" customHeight="1" spans="1:20">
      <c r="A42" s="7">
        <v>10320419</v>
      </c>
      <c r="B42" s="8" t="s">
        <v>69</v>
      </c>
      <c r="C42" s="7" t="s">
        <v>20</v>
      </c>
      <c r="D42" s="7" t="s">
        <v>21</v>
      </c>
      <c r="E42" s="8" t="s">
        <v>22</v>
      </c>
      <c r="F42" s="9">
        <v>3</v>
      </c>
      <c r="G42" s="7" t="s">
        <v>23</v>
      </c>
      <c r="H42" s="7" t="s">
        <v>23</v>
      </c>
      <c r="I42" s="8">
        <v>0.458333333333333</v>
      </c>
      <c r="J42" s="8">
        <v>0.875</v>
      </c>
      <c r="K42" s="8">
        <v>0.458333333333333</v>
      </c>
      <c r="L42" s="8">
        <v>0.875</v>
      </c>
      <c r="M42" s="8">
        <v>0.458333333333333</v>
      </c>
      <c r="N42" s="8">
        <v>0.875</v>
      </c>
      <c r="O42" s="8">
        <v>0.458333333333333</v>
      </c>
      <c r="P42" s="8">
        <v>0.875</v>
      </c>
      <c r="Q42" s="8">
        <v>0.458333333333333</v>
      </c>
      <c r="R42" s="8">
        <v>0.666666666666667</v>
      </c>
      <c r="S42" s="7" t="s">
        <v>23</v>
      </c>
      <c r="T42" s="7" t="s">
        <v>23</v>
      </c>
    </row>
    <row r="43" customHeight="1" spans="1:20">
      <c r="A43" s="7">
        <v>10316546</v>
      </c>
      <c r="B43" s="8" t="s">
        <v>49</v>
      </c>
      <c r="C43" s="7" t="s">
        <v>20</v>
      </c>
      <c r="D43" s="7" t="s">
        <v>21</v>
      </c>
      <c r="E43" s="8" t="s">
        <v>22</v>
      </c>
      <c r="F43" s="9">
        <v>1</v>
      </c>
      <c r="G43" s="8"/>
      <c r="H43" s="8"/>
      <c r="I43" s="8"/>
      <c r="J43" s="8"/>
      <c r="K43" s="7"/>
      <c r="L43" s="7"/>
      <c r="M43" s="7"/>
      <c r="N43" s="7"/>
      <c r="O43" s="8"/>
      <c r="P43" s="8"/>
      <c r="Q43" s="8"/>
      <c r="R43" s="8"/>
      <c r="S43" s="8"/>
      <c r="T43" s="8"/>
    </row>
    <row r="44" customHeight="1" spans="1:20">
      <c r="A44" s="7">
        <v>10316551</v>
      </c>
      <c r="B44" s="8" t="s">
        <v>87</v>
      </c>
      <c r="C44" s="7" t="s">
        <v>20</v>
      </c>
      <c r="D44" s="7" t="s">
        <v>21</v>
      </c>
      <c r="E44" s="8" t="s">
        <v>22</v>
      </c>
      <c r="F44" s="9">
        <v>1</v>
      </c>
      <c r="G44" s="8">
        <v>0.375</v>
      </c>
      <c r="H44" s="8">
        <v>0.791666666666667</v>
      </c>
      <c r="I44" s="8">
        <v>0.375</v>
      </c>
      <c r="J44" s="8">
        <v>0.791666666666667</v>
      </c>
      <c r="K44" s="8">
        <v>0.375</v>
      </c>
      <c r="L44" s="8">
        <v>0.791666666666667</v>
      </c>
      <c r="M44" s="8">
        <v>0.375</v>
      </c>
      <c r="N44" s="8">
        <v>0.791666666666667</v>
      </c>
      <c r="O44" s="7" t="s">
        <v>23</v>
      </c>
      <c r="P44" s="7" t="s">
        <v>23</v>
      </c>
      <c r="Q44" s="7" t="s">
        <v>23</v>
      </c>
      <c r="R44" s="7" t="s">
        <v>23</v>
      </c>
      <c r="S44" s="8">
        <v>0.458333333333333</v>
      </c>
      <c r="T44" s="8">
        <v>0.666666666666667</v>
      </c>
    </row>
    <row r="45" customHeight="1" spans="1:20">
      <c r="A45" s="7">
        <v>10320435</v>
      </c>
      <c r="B45" s="8" t="s">
        <v>71</v>
      </c>
      <c r="C45" s="7" t="s">
        <v>20</v>
      </c>
      <c r="D45" s="7" t="s">
        <v>21</v>
      </c>
      <c r="E45" s="8" t="s">
        <v>22</v>
      </c>
      <c r="F45" s="9">
        <v>3</v>
      </c>
      <c r="G45" s="8">
        <v>0.5</v>
      </c>
      <c r="H45" s="8">
        <v>0.875</v>
      </c>
      <c r="I45" s="8">
        <v>0.5</v>
      </c>
      <c r="J45" s="8">
        <v>0.875</v>
      </c>
      <c r="K45" s="8">
        <v>0.5</v>
      </c>
      <c r="L45" s="8">
        <v>0.875</v>
      </c>
      <c r="M45" s="8">
        <v>0.5</v>
      </c>
      <c r="N45" s="8">
        <v>0.875</v>
      </c>
      <c r="O45" s="8">
        <v>0.5</v>
      </c>
      <c r="P45" s="8">
        <v>0.875</v>
      </c>
      <c r="Q45" s="7" t="s">
        <v>23</v>
      </c>
      <c r="R45" s="7" t="s">
        <v>23</v>
      </c>
      <c r="S45" s="7" t="s">
        <v>23</v>
      </c>
      <c r="T45" s="7" t="s">
        <v>23</v>
      </c>
    </row>
    <row r="46" customHeight="1" spans="1:20">
      <c r="A46" s="7">
        <v>10316683</v>
      </c>
      <c r="B46" s="8" t="s">
        <v>51</v>
      </c>
      <c r="C46" s="7" t="s">
        <v>20</v>
      </c>
      <c r="D46" s="7" t="s">
        <v>21</v>
      </c>
      <c r="E46" s="8" t="s">
        <v>22</v>
      </c>
      <c r="F46" s="9">
        <v>1</v>
      </c>
      <c r="G46" s="8">
        <v>0.5</v>
      </c>
      <c r="H46" s="8">
        <v>0.875</v>
      </c>
      <c r="I46" s="8">
        <v>0.5</v>
      </c>
      <c r="J46" s="8">
        <v>0.875</v>
      </c>
      <c r="K46" s="8">
        <v>0.5</v>
      </c>
      <c r="L46" s="8">
        <v>0.875</v>
      </c>
      <c r="M46" s="8">
        <v>0.5</v>
      </c>
      <c r="N46" s="8">
        <v>0.875</v>
      </c>
      <c r="O46" s="8">
        <v>0.5</v>
      </c>
      <c r="P46" s="8">
        <v>0.875</v>
      </c>
      <c r="Q46" s="7" t="s">
        <v>23</v>
      </c>
      <c r="R46" s="7" t="s">
        <v>23</v>
      </c>
      <c r="S46" s="7" t="s">
        <v>23</v>
      </c>
      <c r="T46" s="7" t="s">
        <v>23</v>
      </c>
    </row>
    <row r="47" customHeight="1" spans="1:20">
      <c r="A47" s="7">
        <v>10316540</v>
      </c>
      <c r="B47" s="8" t="s">
        <v>30</v>
      </c>
      <c r="C47" s="7" t="s">
        <v>20</v>
      </c>
      <c r="D47" s="7" t="s">
        <v>86</v>
      </c>
      <c r="E47" s="8" t="s">
        <v>22</v>
      </c>
      <c r="F47" s="9">
        <v>1</v>
      </c>
      <c r="G47" s="8">
        <v>0.375</v>
      </c>
      <c r="H47" s="8">
        <v>0.75</v>
      </c>
      <c r="I47" s="8">
        <v>0.375</v>
      </c>
      <c r="J47" s="8">
        <v>0.75</v>
      </c>
      <c r="K47" s="8">
        <v>0.375</v>
      </c>
      <c r="L47" s="8">
        <v>0.75</v>
      </c>
      <c r="M47" s="8">
        <v>0.375</v>
      </c>
      <c r="N47" s="8">
        <v>0.75</v>
      </c>
      <c r="O47" s="8">
        <v>0.375</v>
      </c>
      <c r="P47" s="8">
        <v>0.75</v>
      </c>
      <c r="Q47" s="7" t="s">
        <v>23</v>
      </c>
      <c r="R47" s="7" t="s">
        <v>23</v>
      </c>
      <c r="S47" s="7" t="s">
        <v>23</v>
      </c>
      <c r="T47" s="7" t="s">
        <v>23</v>
      </c>
    </row>
    <row r="48" customHeight="1" spans="1:20">
      <c r="A48" s="7">
        <v>10293627</v>
      </c>
      <c r="B48" s="8" t="s">
        <v>92</v>
      </c>
      <c r="C48" s="7" t="s">
        <v>20</v>
      </c>
      <c r="D48" s="7" t="s">
        <v>21</v>
      </c>
      <c r="E48" s="8" t="s">
        <v>22</v>
      </c>
      <c r="F48" s="9">
        <v>3</v>
      </c>
      <c r="G48" s="8">
        <v>0.458333333333333</v>
      </c>
      <c r="H48" s="8">
        <v>0.875</v>
      </c>
      <c r="I48" s="8">
        <v>0.458333333333333</v>
      </c>
      <c r="J48" s="8">
        <v>0.875</v>
      </c>
      <c r="K48" s="8">
        <v>0.458333333333333</v>
      </c>
      <c r="L48" s="8">
        <v>0.875</v>
      </c>
      <c r="M48" s="8">
        <v>0.458333333333333</v>
      </c>
      <c r="N48" s="8">
        <v>0.875</v>
      </c>
      <c r="O48" s="7" t="s">
        <v>23</v>
      </c>
      <c r="P48" s="7" t="s">
        <v>23</v>
      </c>
      <c r="Q48" s="7" t="s">
        <v>23</v>
      </c>
      <c r="R48" s="7" t="s">
        <v>23</v>
      </c>
      <c r="S48" s="8">
        <v>0.458333333333333</v>
      </c>
      <c r="T48" s="8">
        <v>0.666666666666667</v>
      </c>
    </row>
    <row r="49" customHeight="1" spans="1:20">
      <c r="A49" s="7">
        <v>10320409</v>
      </c>
      <c r="B49" s="8" t="s">
        <v>57</v>
      </c>
      <c r="C49" s="7" t="s">
        <v>20</v>
      </c>
      <c r="D49" s="7" t="s">
        <v>21</v>
      </c>
      <c r="E49" s="8" t="s">
        <v>22</v>
      </c>
      <c r="F49" s="9">
        <v>3</v>
      </c>
      <c r="G49" s="8">
        <v>0.375</v>
      </c>
      <c r="H49" s="8">
        <v>0.75</v>
      </c>
      <c r="I49" s="7" t="s">
        <v>23</v>
      </c>
      <c r="J49" s="7" t="s">
        <v>23</v>
      </c>
      <c r="K49" s="7" t="s">
        <v>23</v>
      </c>
      <c r="L49" s="7" t="s">
        <v>23</v>
      </c>
      <c r="M49" s="8">
        <v>0.375</v>
      </c>
      <c r="N49" s="8">
        <v>0.75</v>
      </c>
      <c r="O49" s="8">
        <v>0.375</v>
      </c>
      <c r="P49" s="8">
        <v>0.75</v>
      </c>
      <c r="Q49" s="8">
        <v>0.458333333333333</v>
      </c>
      <c r="R49" s="8">
        <v>0.666666666666667</v>
      </c>
      <c r="S49" s="8">
        <v>0.458333333333333</v>
      </c>
      <c r="T49" s="8">
        <v>0.666666666666667</v>
      </c>
    </row>
    <row r="50" customHeight="1" spans="1:20">
      <c r="A50" s="7">
        <v>10317151</v>
      </c>
      <c r="B50" s="8" t="s">
        <v>52</v>
      </c>
      <c r="C50" s="7" t="s">
        <v>20</v>
      </c>
      <c r="D50" s="7" t="s">
        <v>86</v>
      </c>
      <c r="E50" s="8" t="s">
        <v>22</v>
      </c>
      <c r="F50" s="9">
        <v>1</v>
      </c>
      <c r="G50" s="8">
        <v>0.375</v>
      </c>
      <c r="H50" s="8">
        <v>0.75</v>
      </c>
      <c r="I50" s="8">
        <v>0.375</v>
      </c>
      <c r="J50" s="8">
        <v>0.75</v>
      </c>
      <c r="K50" s="8">
        <v>0.375</v>
      </c>
      <c r="L50" s="8">
        <v>0.75</v>
      </c>
      <c r="M50" s="8">
        <v>0.375</v>
      </c>
      <c r="N50" s="8">
        <v>0.75</v>
      </c>
      <c r="O50" s="8">
        <v>0.375</v>
      </c>
      <c r="P50" s="8">
        <v>0.75</v>
      </c>
      <c r="Q50" s="7" t="s">
        <v>23</v>
      </c>
      <c r="R50" s="7" t="s">
        <v>23</v>
      </c>
      <c r="S50" s="7" t="s">
        <v>23</v>
      </c>
      <c r="T50" s="7" t="s">
        <v>23</v>
      </c>
    </row>
    <row r="51" customHeight="1" spans="1:20">
      <c r="A51" s="7">
        <v>10317524</v>
      </c>
      <c r="B51" s="8" t="s">
        <v>53</v>
      </c>
      <c r="C51" s="7" t="s">
        <v>20</v>
      </c>
      <c r="D51" s="7" t="s">
        <v>21</v>
      </c>
      <c r="E51" s="8" t="s">
        <v>22</v>
      </c>
      <c r="F51" s="9">
        <v>2</v>
      </c>
      <c r="G51" s="7" t="s">
        <v>23</v>
      </c>
      <c r="H51" s="7" t="s">
        <v>23</v>
      </c>
      <c r="I51" s="8">
        <v>0.375</v>
      </c>
      <c r="J51" s="8">
        <v>0.791666666666667</v>
      </c>
      <c r="K51" s="8">
        <v>0.375</v>
      </c>
      <c r="L51" s="8">
        <v>0.791666666666667</v>
      </c>
      <c r="M51" s="8">
        <v>0.375</v>
      </c>
      <c r="N51" s="8">
        <v>0.791666666666667</v>
      </c>
      <c r="O51" s="8">
        <v>0.375</v>
      </c>
      <c r="P51" s="8">
        <v>0.791666666666667</v>
      </c>
      <c r="Q51" s="8">
        <v>0.458333333333333</v>
      </c>
      <c r="R51" s="8">
        <v>0.666666666666667</v>
      </c>
      <c r="S51" s="7" t="s">
        <v>23</v>
      </c>
      <c r="T51" s="7" t="s">
        <v>23</v>
      </c>
    </row>
    <row r="58" customHeight="1" spans="8:21">
      <c r="H58" s="121" t="s">
        <v>80</v>
      </c>
      <c r="I58" s="121" t="s">
        <v>81</v>
      </c>
      <c r="J58" s="121" t="s">
        <v>80</v>
      </c>
      <c r="K58" s="121" t="s">
        <v>81</v>
      </c>
      <c r="L58" s="121" t="s">
        <v>80</v>
      </c>
      <c r="M58" s="121" t="s">
        <v>81</v>
      </c>
      <c r="N58" s="121" t="s">
        <v>80</v>
      </c>
      <c r="O58" s="121" t="s">
        <v>81</v>
      </c>
      <c r="P58" s="121" t="s">
        <v>80</v>
      </c>
      <c r="Q58" s="121" t="s">
        <v>81</v>
      </c>
      <c r="R58" s="121" t="s">
        <v>80</v>
      </c>
      <c r="S58" s="121" t="s">
        <v>81</v>
      </c>
      <c r="T58" s="121" t="s">
        <v>80</v>
      </c>
      <c r="U58" s="121" t="s">
        <v>81</v>
      </c>
    </row>
  </sheetData>
  <mergeCells count="14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</mergeCells>
  <conditionalFormatting sqref="G4:T51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  <cfRule type="containsText" dxfId="3" priority="2" operator="between" text="OFF">
      <formula>NOT(ISERROR(SEARCH("OFF",G4)))</formula>
    </cfRule>
  </conditionalFormatting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51"/>
  <sheetViews>
    <sheetView workbookViewId="0">
      <selection activeCell="A1" sqref="A1:A2"/>
    </sheetView>
  </sheetViews>
  <sheetFormatPr defaultColWidth="12.6272727272727" defaultRowHeight="15.75" customHeight="1"/>
  <cols>
    <col min="2" max="2" width="18.7545454545455" customWidth="1"/>
  </cols>
  <sheetData>
    <row r="1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16">
        <v>45670</v>
      </c>
      <c r="I1" s="116">
        <v>45671</v>
      </c>
      <c r="K1" s="116">
        <v>45672</v>
      </c>
      <c r="M1" s="116">
        <v>45673</v>
      </c>
      <c r="O1" s="116">
        <v>45674</v>
      </c>
      <c r="Q1" s="116">
        <v>45675</v>
      </c>
      <c r="S1" s="116">
        <v>45676</v>
      </c>
    </row>
    <row r="2" customHeight="1" spans="1:19">
      <c r="A2" s="15"/>
      <c r="B2" s="15"/>
      <c r="C2" s="15"/>
      <c r="D2" s="15"/>
      <c r="E2" s="15"/>
      <c r="F2" s="15"/>
      <c r="G2" s="117" t="s">
        <v>6</v>
      </c>
      <c r="I2" s="117" t="s">
        <v>7</v>
      </c>
      <c r="K2" s="117" t="s">
        <v>8</v>
      </c>
      <c r="M2" s="117" t="s">
        <v>9</v>
      </c>
      <c r="O2" s="117" t="s">
        <v>10</v>
      </c>
      <c r="Q2" s="117" t="s">
        <v>11</v>
      </c>
      <c r="S2" s="117" t="s">
        <v>12</v>
      </c>
    </row>
    <row r="3" customHeight="1" spans="1:20">
      <c r="A3" s="49"/>
      <c r="B3" s="49"/>
      <c r="C3" s="49"/>
      <c r="D3" s="49"/>
      <c r="E3" s="49"/>
      <c r="F3" s="118"/>
      <c r="G3" s="119" t="s">
        <v>80</v>
      </c>
      <c r="H3" s="119" t="s">
        <v>81</v>
      </c>
      <c r="I3" s="119" t="s">
        <v>80</v>
      </c>
      <c r="J3" s="119" t="s">
        <v>81</v>
      </c>
      <c r="K3" s="119" t="s">
        <v>80</v>
      </c>
      <c r="L3" s="119" t="s">
        <v>81</v>
      </c>
      <c r="M3" s="119" t="s">
        <v>80</v>
      </c>
      <c r="N3" s="119" t="s">
        <v>81</v>
      </c>
      <c r="O3" s="119" t="s">
        <v>80</v>
      </c>
      <c r="P3" s="119" t="s">
        <v>81</v>
      </c>
      <c r="Q3" s="119" t="s">
        <v>80</v>
      </c>
      <c r="R3" s="119" t="s">
        <v>81</v>
      </c>
      <c r="S3" s="119" t="s">
        <v>80</v>
      </c>
      <c r="T3" s="119" t="s">
        <v>81</v>
      </c>
    </row>
    <row r="4" customHeight="1" spans="1:20">
      <c r="A4" s="7">
        <v>10320410</v>
      </c>
      <c r="B4" s="8" t="s">
        <v>58</v>
      </c>
      <c r="C4" s="7" t="s">
        <v>20</v>
      </c>
      <c r="D4" s="7" t="s">
        <v>21</v>
      </c>
      <c r="E4" s="8" t="s">
        <v>22</v>
      </c>
      <c r="F4" s="9">
        <v>3</v>
      </c>
      <c r="G4" s="8">
        <v>0.5</v>
      </c>
      <c r="H4" s="8">
        <v>0.875</v>
      </c>
      <c r="I4" s="8">
        <v>0.5</v>
      </c>
      <c r="J4" s="8">
        <v>0.875</v>
      </c>
      <c r="K4" s="8">
        <v>0.5</v>
      </c>
      <c r="L4" s="8">
        <v>0.875</v>
      </c>
      <c r="M4" s="8">
        <v>0.5</v>
      </c>
      <c r="N4" s="8">
        <v>0.875</v>
      </c>
      <c r="O4" s="8">
        <v>0.5</v>
      </c>
      <c r="P4" s="8">
        <v>0.875</v>
      </c>
      <c r="Q4" s="7" t="s">
        <v>23</v>
      </c>
      <c r="R4" s="7" t="s">
        <v>23</v>
      </c>
      <c r="S4" s="7" t="s">
        <v>23</v>
      </c>
      <c r="T4" s="7" t="s">
        <v>23</v>
      </c>
    </row>
    <row r="5" customHeight="1" spans="1:20">
      <c r="A5" s="7">
        <v>10320415</v>
      </c>
      <c r="B5" s="8" t="s">
        <v>63</v>
      </c>
      <c r="C5" s="7" t="s">
        <v>20</v>
      </c>
      <c r="D5" s="7" t="s">
        <v>21</v>
      </c>
      <c r="E5" s="8" t="s">
        <v>22</v>
      </c>
      <c r="F5" s="9">
        <v>3</v>
      </c>
      <c r="G5" s="8">
        <v>0.375</v>
      </c>
      <c r="H5" s="8">
        <v>0.791666666666667</v>
      </c>
      <c r="I5" s="8">
        <v>0.375</v>
      </c>
      <c r="J5" s="8">
        <v>0.791666666666667</v>
      </c>
      <c r="K5" s="8">
        <v>0.375</v>
      </c>
      <c r="L5" s="8">
        <v>0.791666666666667</v>
      </c>
      <c r="M5" s="8">
        <v>0.375</v>
      </c>
      <c r="N5" s="8">
        <v>0.791666666666667</v>
      </c>
      <c r="O5" s="7" t="s">
        <v>23</v>
      </c>
      <c r="P5" s="7" t="s">
        <v>23</v>
      </c>
      <c r="Q5" s="7" t="s">
        <v>23</v>
      </c>
      <c r="R5" s="7" t="s">
        <v>23</v>
      </c>
      <c r="S5" s="8">
        <v>0.458333333333333</v>
      </c>
      <c r="T5" s="8">
        <v>0.666666666666667</v>
      </c>
    </row>
    <row r="6" customHeight="1" spans="1:20">
      <c r="A6" s="7">
        <v>10317522</v>
      </c>
      <c r="B6" s="8" t="s">
        <v>31</v>
      </c>
      <c r="C6" s="7" t="s">
        <v>20</v>
      </c>
      <c r="D6" s="7" t="s">
        <v>21</v>
      </c>
      <c r="E6" s="8" t="s">
        <v>22</v>
      </c>
      <c r="F6" s="9">
        <v>2</v>
      </c>
      <c r="G6" s="8">
        <v>0.375</v>
      </c>
      <c r="H6" s="8">
        <v>0.791666666666667</v>
      </c>
      <c r="I6" s="8">
        <v>0.375</v>
      </c>
      <c r="J6" s="8">
        <v>0.791666666666667</v>
      </c>
      <c r="K6" s="8">
        <v>0.375</v>
      </c>
      <c r="L6" s="8">
        <v>0.791666666666667</v>
      </c>
      <c r="M6" s="8">
        <v>0.375</v>
      </c>
      <c r="N6" s="8">
        <v>0.791666666666667</v>
      </c>
      <c r="O6" s="7" t="s">
        <v>23</v>
      </c>
      <c r="P6" s="7" t="s">
        <v>23</v>
      </c>
      <c r="Q6" s="7" t="s">
        <v>23</v>
      </c>
      <c r="R6" s="7" t="s">
        <v>23</v>
      </c>
      <c r="S6" s="8">
        <v>0.458333333333333</v>
      </c>
      <c r="T6" s="8">
        <v>0.666666666666667</v>
      </c>
    </row>
    <row r="7" customHeight="1" spans="1:20">
      <c r="A7" s="7">
        <v>10316549</v>
      </c>
      <c r="B7" s="8" t="s">
        <v>19</v>
      </c>
      <c r="C7" s="7" t="s">
        <v>20</v>
      </c>
      <c r="D7" s="7" t="s">
        <v>86</v>
      </c>
      <c r="E7" s="8" t="s">
        <v>22</v>
      </c>
      <c r="F7" s="9">
        <v>1</v>
      </c>
      <c r="G7" s="8">
        <v>0.375</v>
      </c>
      <c r="H7" s="8">
        <v>0.75</v>
      </c>
      <c r="I7" s="8">
        <v>0.375</v>
      </c>
      <c r="J7" s="8">
        <v>0.75</v>
      </c>
      <c r="K7" s="8">
        <v>0.375</v>
      </c>
      <c r="L7" s="8">
        <v>0.75</v>
      </c>
      <c r="M7" s="8">
        <v>0.375</v>
      </c>
      <c r="N7" s="8">
        <v>0.75</v>
      </c>
      <c r="O7" s="8">
        <v>0.375</v>
      </c>
      <c r="P7" s="8">
        <v>0.75</v>
      </c>
      <c r="Q7" s="7" t="s">
        <v>23</v>
      </c>
      <c r="R7" s="7" t="s">
        <v>23</v>
      </c>
      <c r="S7" s="7" t="s">
        <v>23</v>
      </c>
      <c r="T7" s="7" t="s">
        <v>23</v>
      </c>
    </row>
    <row r="8" customHeight="1" spans="1:20">
      <c r="A8" s="7">
        <v>10320413</v>
      </c>
      <c r="B8" s="8" t="s">
        <v>60</v>
      </c>
      <c r="C8" s="7" t="s">
        <v>20</v>
      </c>
      <c r="D8" s="7" t="s">
        <v>21</v>
      </c>
      <c r="E8" s="8" t="s">
        <v>22</v>
      </c>
      <c r="F8" s="9">
        <v>3</v>
      </c>
      <c r="G8" s="8">
        <v>0.375</v>
      </c>
      <c r="H8" s="8">
        <v>0.791666666666667</v>
      </c>
      <c r="I8" s="8">
        <v>0.375</v>
      </c>
      <c r="J8" s="8">
        <v>0.791666666666667</v>
      </c>
      <c r="K8" s="8">
        <v>0.375</v>
      </c>
      <c r="L8" s="8">
        <v>0.791666666666667</v>
      </c>
      <c r="M8" s="8">
        <v>0.375</v>
      </c>
      <c r="N8" s="8">
        <v>0.791666666666667</v>
      </c>
      <c r="O8" s="7" t="s">
        <v>23</v>
      </c>
      <c r="P8" s="7" t="s">
        <v>23</v>
      </c>
      <c r="Q8" s="7" t="s">
        <v>23</v>
      </c>
      <c r="R8" s="7" t="s">
        <v>23</v>
      </c>
      <c r="S8" s="8">
        <v>0.458333333333333</v>
      </c>
      <c r="T8" s="8">
        <v>0.666666666666667</v>
      </c>
    </row>
    <row r="9" customHeight="1" spans="1:20">
      <c r="A9" s="7">
        <v>10320408</v>
      </c>
      <c r="B9" s="8" t="s">
        <v>56</v>
      </c>
      <c r="C9" s="7" t="s">
        <v>20</v>
      </c>
      <c r="D9" s="7" t="s">
        <v>21</v>
      </c>
      <c r="E9" s="8" t="s">
        <v>22</v>
      </c>
      <c r="F9" s="9">
        <v>3</v>
      </c>
      <c r="G9" s="8">
        <v>0.5</v>
      </c>
      <c r="H9" s="8">
        <v>0.875</v>
      </c>
      <c r="I9" s="8">
        <v>0.5</v>
      </c>
      <c r="J9" s="8">
        <v>0.875</v>
      </c>
      <c r="K9" s="8">
        <v>0.5</v>
      </c>
      <c r="L9" s="8">
        <v>0.875</v>
      </c>
      <c r="M9" s="8">
        <v>0.5</v>
      </c>
      <c r="N9" s="8">
        <v>0.875</v>
      </c>
      <c r="O9" s="7" t="s">
        <v>23</v>
      </c>
      <c r="P9" s="7" t="s">
        <v>23</v>
      </c>
      <c r="Q9" s="7" t="s">
        <v>23</v>
      </c>
      <c r="R9" s="7" t="s">
        <v>23</v>
      </c>
      <c r="S9" s="8">
        <v>0.458333333333333</v>
      </c>
      <c r="T9" s="8">
        <v>0.666666666666667</v>
      </c>
    </row>
    <row r="10" customHeight="1" spans="1:20">
      <c r="A10" s="7">
        <v>10317147</v>
      </c>
      <c r="B10" s="8" t="s">
        <v>24</v>
      </c>
      <c r="C10" s="7" t="s">
        <v>20</v>
      </c>
      <c r="D10" s="7" t="s">
        <v>21</v>
      </c>
      <c r="E10" s="8" t="s">
        <v>22</v>
      </c>
      <c r="F10" s="9">
        <v>1</v>
      </c>
      <c r="G10" s="7" t="s">
        <v>23</v>
      </c>
      <c r="H10" s="7" t="s">
        <v>23</v>
      </c>
      <c r="I10" s="8">
        <v>0.375</v>
      </c>
      <c r="J10" s="8">
        <v>0.791666666666667</v>
      </c>
      <c r="K10" s="8">
        <v>0.375</v>
      </c>
      <c r="L10" s="8">
        <v>0.791666666666667</v>
      </c>
      <c r="M10" s="8">
        <v>0.375</v>
      </c>
      <c r="N10" s="8">
        <v>0.791666666666667</v>
      </c>
      <c r="O10" s="8">
        <v>0.375</v>
      </c>
      <c r="P10" s="8">
        <v>0.791666666666667</v>
      </c>
      <c r="Q10" s="8">
        <v>0.458333333333333</v>
      </c>
      <c r="R10" s="8">
        <v>0.666666666666667</v>
      </c>
      <c r="S10" s="7" t="s">
        <v>23</v>
      </c>
      <c r="T10" s="7" t="s">
        <v>23</v>
      </c>
    </row>
    <row r="11" customHeight="1" spans="1:20">
      <c r="A11" s="7">
        <v>10272259</v>
      </c>
      <c r="B11" s="8" t="s">
        <v>32</v>
      </c>
      <c r="C11" s="7" t="s">
        <v>20</v>
      </c>
      <c r="D11" s="7" t="s">
        <v>21</v>
      </c>
      <c r="E11" s="8" t="s">
        <v>22</v>
      </c>
      <c r="F11" s="9">
        <v>2</v>
      </c>
      <c r="G11" s="8">
        <v>0.333333333333333</v>
      </c>
      <c r="H11" s="8">
        <v>0.708333333333333</v>
      </c>
      <c r="I11" s="7" t="s">
        <v>23</v>
      </c>
      <c r="J11" s="7" t="s">
        <v>23</v>
      </c>
      <c r="K11" s="7" t="s">
        <v>23</v>
      </c>
      <c r="L11" s="7" t="s">
        <v>23</v>
      </c>
      <c r="M11" s="8">
        <v>0.375</v>
      </c>
      <c r="N11" s="8">
        <v>0.75</v>
      </c>
      <c r="O11" s="8">
        <v>0.375</v>
      </c>
      <c r="P11" s="8">
        <v>0.75</v>
      </c>
      <c r="Q11" s="8">
        <v>0.458333333333333</v>
      </c>
      <c r="R11" s="8">
        <v>0.666666666666667</v>
      </c>
      <c r="S11" s="8">
        <v>0.416666666666667</v>
      </c>
      <c r="T11" s="8">
        <v>0.625</v>
      </c>
    </row>
    <row r="12" customHeight="1" spans="1:20">
      <c r="A12" s="7">
        <v>10320412</v>
      </c>
      <c r="B12" s="8" t="s">
        <v>59</v>
      </c>
      <c r="C12" s="7" t="s">
        <v>20</v>
      </c>
      <c r="D12" s="7" t="s">
        <v>21</v>
      </c>
      <c r="E12" s="8" t="s">
        <v>22</v>
      </c>
      <c r="F12" s="9">
        <v>3</v>
      </c>
      <c r="G12" s="8">
        <v>0.375</v>
      </c>
      <c r="H12" s="8">
        <v>0.75</v>
      </c>
      <c r="I12" s="8">
        <v>0.375</v>
      </c>
      <c r="J12" s="8">
        <v>0.75</v>
      </c>
      <c r="K12" s="8">
        <v>0.375</v>
      </c>
      <c r="L12" s="8">
        <v>0.75</v>
      </c>
      <c r="M12" s="8">
        <v>0.375</v>
      </c>
      <c r="N12" s="8">
        <v>0.75</v>
      </c>
      <c r="O12" s="8">
        <v>0.375</v>
      </c>
      <c r="P12" s="8">
        <v>0.75</v>
      </c>
      <c r="Q12" s="7" t="s">
        <v>23</v>
      </c>
      <c r="R12" s="7" t="s">
        <v>23</v>
      </c>
      <c r="S12" s="7" t="s">
        <v>23</v>
      </c>
      <c r="T12" s="7" t="s">
        <v>23</v>
      </c>
    </row>
    <row r="13" customHeight="1" spans="1:20">
      <c r="A13" s="7">
        <v>10320418</v>
      </c>
      <c r="B13" s="8" t="s">
        <v>68</v>
      </c>
      <c r="C13" s="7" t="s">
        <v>20</v>
      </c>
      <c r="D13" s="7" t="s">
        <v>21</v>
      </c>
      <c r="E13" s="8" t="s">
        <v>22</v>
      </c>
      <c r="F13" s="9">
        <v>3</v>
      </c>
      <c r="G13" s="8">
        <v>0.5</v>
      </c>
      <c r="H13" s="8">
        <v>0.875</v>
      </c>
      <c r="I13" s="8">
        <v>0.5</v>
      </c>
      <c r="J13" s="8">
        <v>0.875</v>
      </c>
      <c r="K13" s="8">
        <v>0.5</v>
      </c>
      <c r="L13" s="8">
        <v>0.875</v>
      </c>
      <c r="M13" s="8">
        <v>0.5</v>
      </c>
      <c r="N13" s="8">
        <v>0.875</v>
      </c>
      <c r="O13" s="7" t="s">
        <v>23</v>
      </c>
      <c r="P13" s="7" t="s">
        <v>23</v>
      </c>
      <c r="Q13" s="7" t="s">
        <v>23</v>
      </c>
      <c r="R13" s="7" t="s">
        <v>23</v>
      </c>
      <c r="S13" s="8">
        <v>0.458333333333333</v>
      </c>
      <c r="T13" s="8">
        <v>0.666666666666667</v>
      </c>
    </row>
    <row r="14" customHeight="1" spans="1:20">
      <c r="A14" s="7">
        <v>10316618</v>
      </c>
      <c r="B14" s="8" t="s">
        <v>33</v>
      </c>
      <c r="C14" s="7" t="s">
        <v>20</v>
      </c>
      <c r="D14" s="7" t="s">
        <v>86</v>
      </c>
      <c r="E14" s="8" t="s">
        <v>22</v>
      </c>
      <c r="F14" s="9">
        <v>1</v>
      </c>
      <c r="G14" s="8">
        <v>0.375</v>
      </c>
      <c r="H14" s="8">
        <v>0.75</v>
      </c>
      <c r="I14" s="8">
        <v>0.375</v>
      </c>
      <c r="J14" s="8">
        <v>0.75</v>
      </c>
      <c r="K14" s="8">
        <v>0.375</v>
      </c>
      <c r="L14" s="8">
        <v>0.75</v>
      </c>
      <c r="M14" s="8">
        <v>0.375</v>
      </c>
      <c r="N14" s="8">
        <v>0.75</v>
      </c>
      <c r="O14" s="8">
        <v>0.375</v>
      </c>
      <c r="P14" s="8">
        <v>0.75</v>
      </c>
      <c r="Q14" s="7" t="s">
        <v>23</v>
      </c>
      <c r="R14" s="7" t="s">
        <v>23</v>
      </c>
      <c r="S14" s="7" t="s">
        <v>23</v>
      </c>
      <c r="T14" s="7" t="s">
        <v>23</v>
      </c>
    </row>
    <row r="15" customHeight="1" spans="1:20">
      <c r="A15" s="7">
        <v>10250963</v>
      </c>
      <c r="B15" s="8" t="s">
        <v>25</v>
      </c>
      <c r="C15" s="7" t="s">
        <v>20</v>
      </c>
      <c r="D15" s="7" t="s">
        <v>21</v>
      </c>
      <c r="E15" s="8" t="s">
        <v>22</v>
      </c>
      <c r="F15" s="9">
        <v>1</v>
      </c>
      <c r="G15" s="8">
        <v>0.375</v>
      </c>
      <c r="H15" s="8">
        <v>0.75</v>
      </c>
      <c r="I15" s="8">
        <v>0.375</v>
      </c>
      <c r="J15" s="8">
        <v>0.75</v>
      </c>
      <c r="K15" s="8">
        <v>0.375</v>
      </c>
      <c r="L15" s="8">
        <v>0.75</v>
      </c>
      <c r="M15" s="8">
        <v>0.375</v>
      </c>
      <c r="N15" s="8">
        <v>0.75</v>
      </c>
      <c r="O15" s="8">
        <v>0.375</v>
      </c>
      <c r="P15" s="8">
        <v>0.75</v>
      </c>
      <c r="Q15" s="7" t="s">
        <v>23</v>
      </c>
      <c r="R15" s="7" t="s">
        <v>23</v>
      </c>
      <c r="S15" s="7" t="s">
        <v>23</v>
      </c>
      <c r="T15" s="7" t="s">
        <v>23</v>
      </c>
    </row>
    <row r="16" customHeight="1" spans="1:20">
      <c r="A16" s="7">
        <v>10295555</v>
      </c>
      <c r="B16" s="8" t="s">
        <v>34</v>
      </c>
      <c r="C16" s="7" t="s">
        <v>20</v>
      </c>
      <c r="D16" s="7" t="s">
        <v>21</v>
      </c>
      <c r="E16" s="8" t="s">
        <v>35</v>
      </c>
      <c r="F16" s="9">
        <v>2</v>
      </c>
      <c r="G16" s="8">
        <v>0.375</v>
      </c>
      <c r="H16" s="8">
        <v>0.583333333333333</v>
      </c>
      <c r="I16" s="8">
        <v>0.375</v>
      </c>
      <c r="J16" s="8">
        <v>0.583333333333333</v>
      </c>
      <c r="K16" s="7" t="s">
        <v>23</v>
      </c>
      <c r="L16" s="7" t="s">
        <v>23</v>
      </c>
      <c r="M16" s="7" t="s">
        <v>23</v>
      </c>
      <c r="N16" s="7" t="s">
        <v>23</v>
      </c>
      <c r="O16" s="8">
        <v>0.375</v>
      </c>
      <c r="P16" s="8">
        <v>0.583333333333333</v>
      </c>
      <c r="Q16" s="8">
        <v>0.458333333333333</v>
      </c>
      <c r="R16" s="8">
        <v>0.666666666666667</v>
      </c>
      <c r="S16" s="8">
        <v>0.458333333333333</v>
      </c>
      <c r="T16" s="8">
        <v>0.666666666666667</v>
      </c>
    </row>
    <row r="17" customHeight="1" spans="1:20">
      <c r="A17" s="7">
        <v>10317520</v>
      </c>
      <c r="B17" s="8" t="s">
        <v>37</v>
      </c>
      <c r="C17" s="7" t="s">
        <v>20</v>
      </c>
      <c r="D17" s="7" t="s">
        <v>21</v>
      </c>
      <c r="E17" s="8" t="s">
        <v>22</v>
      </c>
      <c r="F17" s="9">
        <v>2</v>
      </c>
      <c r="G17" s="7" t="s">
        <v>23</v>
      </c>
      <c r="H17" s="7" t="s">
        <v>23</v>
      </c>
      <c r="I17" s="8">
        <v>0.333333333333333</v>
      </c>
      <c r="J17" s="8">
        <v>0.75</v>
      </c>
      <c r="K17" s="8">
        <v>0.333333333333333</v>
      </c>
      <c r="L17" s="8">
        <v>0.75</v>
      </c>
      <c r="M17" s="8">
        <v>0.333333333333333</v>
      </c>
      <c r="N17" s="8">
        <v>0.75</v>
      </c>
      <c r="O17" s="8">
        <v>0.333333333333333</v>
      </c>
      <c r="P17" s="8">
        <v>0.75</v>
      </c>
      <c r="Q17" s="8">
        <v>0.416666666666667</v>
      </c>
      <c r="R17" s="8">
        <v>0.625</v>
      </c>
      <c r="S17" s="7" t="s">
        <v>23</v>
      </c>
      <c r="T17" s="7" t="s">
        <v>23</v>
      </c>
    </row>
    <row r="18" customHeight="1" spans="1:20">
      <c r="A18" s="7">
        <v>10320414</v>
      </c>
      <c r="B18" s="8" t="s">
        <v>62</v>
      </c>
      <c r="C18" s="7" t="s">
        <v>20</v>
      </c>
      <c r="D18" s="7" t="s">
        <v>21</v>
      </c>
      <c r="E18" s="8" t="s">
        <v>22</v>
      </c>
      <c r="F18" s="9">
        <v>3</v>
      </c>
      <c r="G18" s="7" t="s">
        <v>23</v>
      </c>
      <c r="H18" s="7" t="s">
        <v>23</v>
      </c>
      <c r="I18" s="8">
        <v>0.458333333333333</v>
      </c>
      <c r="J18" s="8">
        <v>0.875</v>
      </c>
      <c r="K18" s="8">
        <v>0.458333333333333</v>
      </c>
      <c r="L18" s="8">
        <v>0.875</v>
      </c>
      <c r="M18" s="8">
        <v>0.458333333333333</v>
      </c>
      <c r="N18" s="8">
        <v>0.875</v>
      </c>
      <c r="O18" s="8">
        <v>0.458333333333333</v>
      </c>
      <c r="P18" s="8">
        <v>0.875</v>
      </c>
      <c r="Q18" s="8">
        <v>0.458333333333333</v>
      </c>
      <c r="R18" s="8">
        <v>0.666666666666667</v>
      </c>
      <c r="S18" s="7" t="s">
        <v>23</v>
      </c>
      <c r="T18" s="7" t="s">
        <v>23</v>
      </c>
    </row>
    <row r="19" customHeight="1" spans="1:20">
      <c r="A19" s="7">
        <v>10316681</v>
      </c>
      <c r="B19" s="8" t="s">
        <v>38</v>
      </c>
      <c r="C19" s="7" t="s">
        <v>89</v>
      </c>
      <c r="D19" s="7" t="s">
        <v>21</v>
      </c>
      <c r="E19" s="8" t="s">
        <v>22</v>
      </c>
      <c r="F19" s="9">
        <v>1</v>
      </c>
      <c r="G19" s="8">
        <v>0.375</v>
      </c>
      <c r="H19" s="8">
        <v>0.75</v>
      </c>
      <c r="I19" s="8">
        <v>0.375</v>
      </c>
      <c r="J19" s="8">
        <v>0.75</v>
      </c>
      <c r="K19" s="8">
        <v>0.375</v>
      </c>
      <c r="L19" s="8">
        <v>0.75</v>
      </c>
      <c r="M19" s="8">
        <v>0.375</v>
      </c>
      <c r="N19" s="8">
        <v>0.75</v>
      </c>
      <c r="O19" s="8">
        <v>0.375</v>
      </c>
      <c r="P19" s="8">
        <v>0.75</v>
      </c>
      <c r="Q19" s="7" t="s">
        <v>23</v>
      </c>
      <c r="R19" s="7" t="s">
        <v>23</v>
      </c>
      <c r="S19" s="7" t="s">
        <v>23</v>
      </c>
      <c r="T19" s="7" t="s">
        <v>23</v>
      </c>
    </row>
    <row r="20" customHeight="1" spans="1:20">
      <c r="A20" s="7">
        <v>10316650</v>
      </c>
      <c r="B20" s="8" t="s">
        <v>39</v>
      </c>
      <c r="C20" s="7" t="s">
        <v>20</v>
      </c>
      <c r="D20" s="7" t="s">
        <v>21</v>
      </c>
      <c r="E20" s="8" t="s">
        <v>22</v>
      </c>
      <c r="F20" s="9">
        <v>2</v>
      </c>
      <c r="G20" s="8">
        <v>0.458333333333333</v>
      </c>
      <c r="H20" s="8">
        <v>0.875</v>
      </c>
      <c r="I20" s="8">
        <v>0.458333333333333</v>
      </c>
      <c r="J20" s="8">
        <v>0.875</v>
      </c>
      <c r="K20" s="8">
        <v>0.458333333333333</v>
      </c>
      <c r="L20" s="8">
        <v>0.875</v>
      </c>
      <c r="M20" s="8">
        <v>0.458333333333333</v>
      </c>
      <c r="N20" s="8">
        <v>0.875</v>
      </c>
      <c r="O20" s="7" t="s">
        <v>23</v>
      </c>
      <c r="P20" s="7" t="s">
        <v>23</v>
      </c>
      <c r="Q20" s="7" t="s">
        <v>23</v>
      </c>
      <c r="R20" s="7" t="s">
        <v>23</v>
      </c>
      <c r="S20" s="8">
        <v>0.458333333333333</v>
      </c>
      <c r="T20" s="8">
        <v>0.666666666666667</v>
      </c>
    </row>
    <row r="21" customHeight="1" spans="1:20">
      <c r="A21" s="7">
        <v>10320416</v>
      </c>
      <c r="B21" s="8" t="s">
        <v>66</v>
      </c>
      <c r="C21" s="7" t="s">
        <v>20</v>
      </c>
      <c r="D21" s="7" t="s">
        <v>21</v>
      </c>
      <c r="E21" s="8" t="s">
        <v>22</v>
      </c>
      <c r="F21" s="9">
        <v>3</v>
      </c>
      <c r="G21" s="8">
        <v>0.375</v>
      </c>
      <c r="H21" s="8">
        <v>0.75</v>
      </c>
      <c r="I21" s="8">
        <v>0.375</v>
      </c>
      <c r="J21" s="8">
        <v>0.75</v>
      </c>
      <c r="K21" s="8">
        <v>0.375</v>
      </c>
      <c r="L21" s="8">
        <v>0.75</v>
      </c>
      <c r="M21" s="8">
        <v>0.375</v>
      </c>
      <c r="N21" s="8">
        <v>0.75</v>
      </c>
      <c r="O21" s="8">
        <v>0.375</v>
      </c>
      <c r="P21" s="8">
        <v>0.75</v>
      </c>
      <c r="Q21" s="7" t="s">
        <v>23</v>
      </c>
      <c r="R21" s="7" t="s">
        <v>23</v>
      </c>
      <c r="S21" s="7" t="s">
        <v>23</v>
      </c>
      <c r="T21" s="7" t="s">
        <v>23</v>
      </c>
    </row>
    <row r="22" customHeight="1" spans="1:20">
      <c r="A22" s="7">
        <v>10316530</v>
      </c>
      <c r="B22" s="8" t="s">
        <v>26</v>
      </c>
      <c r="C22" s="7" t="s">
        <v>20</v>
      </c>
      <c r="D22" s="7" t="s">
        <v>21</v>
      </c>
      <c r="E22" s="8" t="s">
        <v>22</v>
      </c>
      <c r="F22" s="9">
        <v>1</v>
      </c>
      <c r="G22" s="8">
        <v>0.375</v>
      </c>
      <c r="H22" s="8">
        <v>0.75</v>
      </c>
      <c r="I22" s="8">
        <v>0.375</v>
      </c>
      <c r="J22" s="8">
        <v>0.75</v>
      </c>
      <c r="K22" s="8">
        <v>0.375</v>
      </c>
      <c r="L22" s="8">
        <v>0.75</v>
      </c>
      <c r="M22" s="8">
        <v>0.375</v>
      </c>
      <c r="N22" s="8">
        <v>0.75</v>
      </c>
      <c r="O22" s="8">
        <v>0.375</v>
      </c>
      <c r="P22" s="8">
        <v>0.75</v>
      </c>
      <c r="Q22" s="7" t="s">
        <v>23</v>
      </c>
      <c r="R22" s="7" t="s">
        <v>23</v>
      </c>
      <c r="S22" s="7" t="s">
        <v>23</v>
      </c>
      <c r="T22" s="7" t="s">
        <v>23</v>
      </c>
    </row>
    <row r="23" customHeight="1" spans="1:20">
      <c r="A23" s="7">
        <v>10316680</v>
      </c>
      <c r="B23" s="8" t="s">
        <v>40</v>
      </c>
      <c r="C23" s="7" t="s">
        <v>20</v>
      </c>
      <c r="D23" s="7" t="s">
        <v>21</v>
      </c>
      <c r="E23" s="8" t="s">
        <v>22</v>
      </c>
      <c r="F23" s="9">
        <v>1</v>
      </c>
      <c r="G23" s="8">
        <v>0.375</v>
      </c>
      <c r="H23" s="8">
        <v>0.75</v>
      </c>
      <c r="I23" s="8">
        <v>0.375</v>
      </c>
      <c r="J23" s="8">
        <v>0.75</v>
      </c>
      <c r="K23" s="8">
        <v>0.375</v>
      </c>
      <c r="L23" s="8">
        <v>0.75</v>
      </c>
      <c r="M23" s="8">
        <v>0.375</v>
      </c>
      <c r="N23" s="8">
        <v>0.75</v>
      </c>
      <c r="O23" s="8">
        <v>0.375</v>
      </c>
      <c r="P23" s="8">
        <v>0.75</v>
      </c>
      <c r="Q23" s="7" t="s">
        <v>23</v>
      </c>
      <c r="R23" s="7" t="s">
        <v>23</v>
      </c>
      <c r="S23" s="7" t="s">
        <v>23</v>
      </c>
      <c r="T23" s="7" t="s">
        <v>23</v>
      </c>
    </row>
    <row r="24" hidden="1" customHeight="1" spans="1:20">
      <c r="A24" s="7">
        <v>10317943</v>
      </c>
      <c r="B24" s="8" t="s">
        <v>27</v>
      </c>
      <c r="C24" s="7" t="s">
        <v>20</v>
      </c>
      <c r="D24" s="7" t="s">
        <v>21</v>
      </c>
      <c r="E24" s="8" t="s">
        <v>22</v>
      </c>
      <c r="F24" s="9">
        <v>2</v>
      </c>
      <c r="G24" s="8">
        <v>0.375</v>
      </c>
      <c r="H24" s="8">
        <v>0.791666666666667</v>
      </c>
      <c r="I24" s="8">
        <v>0.375</v>
      </c>
      <c r="J24" s="8">
        <v>0.791666666666667</v>
      </c>
      <c r="K24" s="8">
        <v>0.375</v>
      </c>
      <c r="L24" s="8">
        <v>0.791666666666667</v>
      </c>
      <c r="M24" s="8">
        <v>0.375</v>
      </c>
      <c r="N24" s="8">
        <v>0.791666666666667</v>
      </c>
      <c r="O24" s="7" t="s">
        <v>23</v>
      </c>
      <c r="P24" s="7" t="s">
        <v>23</v>
      </c>
      <c r="Q24" s="7" t="s">
        <v>23</v>
      </c>
      <c r="R24" s="7" t="s">
        <v>23</v>
      </c>
      <c r="S24" s="8">
        <v>0.458333333333333</v>
      </c>
      <c r="T24" s="8">
        <v>0.666666666666667</v>
      </c>
    </row>
    <row r="25" customHeight="1" spans="1:20">
      <c r="A25" s="7">
        <v>10250966</v>
      </c>
      <c r="B25" s="8" t="s">
        <v>61</v>
      </c>
      <c r="C25" s="7" t="s">
        <v>20</v>
      </c>
      <c r="D25" s="7" t="s">
        <v>21</v>
      </c>
      <c r="E25" s="8" t="s">
        <v>22</v>
      </c>
      <c r="F25" s="9">
        <v>3</v>
      </c>
      <c r="G25" s="8">
        <v>0.458333333333333</v>
      </c>
      <c r="H25" s="8">
        <v>0.875</v>
      </c>
      <c r="I25" s="8">
        <v>0.458333333333333</v>
      </c>
      <c r="J25" s="8">
        <v>0.875</v>
      </c>
      <c r="K25" s="8">
        <v>0.458333333333333</v>
      </c>
      <c r="L25" s="8">
        <v>0.875</v>
      </c>
      <c r="M25" s="8">
        <v>0.458333333333333</v>
      </c>
      <c r="N25" s="8">
        <v>0.875</v>
      </c>
      <c r="O25" s="7" t="s">
        <v>23</v>
      </c>
      <c r="P25" s="7" t="s">
        <v>23</v>
      </c>
      <c r="Q25" s="7" t="s">
        <v>23</v>
      </c>
      <c r="R25" s="7" t="s">
        <v>23</v>
      </c>
      <c r="S25" s="8">
        <v>0.458333333333333</v>
      </c>
      <c r="T25" s="8">
        <v>0.666666666666667</v>
      </c>
    </row>
    <row r="26" customHeight="1" spans="1:20">
      <c r="A26" s="7">
        <v>10316543</v>
      </c>
      <c r="B26" s="8" t="s">
        <v>41</v>
      </c>
      <c r="C26" s="7" t="s">
        <v>20</v>
      </c>
      <c r="D26" s="7" t="s">
        <v>21</v>
      </c>
      <c r="E26" s="8" t="s">
        <v>22</v>
      </c>
      <c r="F26" s="9">
        <v>1</v>
      </c>
      <c r="G26" s="8">
        <v>0.375</v>
      </c>
      <c r="H26" s="8">
        <v>0.791666666666667</v>
      </c>
      <c r="I26" s="8">
        <v>0.375</v>
      </c>
      <c r="J26" s="8">
        <v>0.791666666666667</v>
      </c>
      <c r="K26" s="8">
        <v>0.375</v>
      </c>
      <c r="L26" s="8">
        <v>0.791666666666667</v>
      </c>
      <c r="M26" s="8">
        <v>0.375</v>
      </c>
      <c r="N26" s="8">
        <v>0.791666666666667</v>
      </c>
      <c r="O26" s="7" t="s">
        <v>23</v>
      </c>
      <c r="P26" s="7" t="s">
        <v>23</v>
      </c>
      <c r="Q26" s="7" t="s">
        <v>23</v>
      </c>
      <c r="R26" s="7" t="s">
        <v>23</v>
      </c>
      <c r="S26" s="8">
        <v>0.458333333333333</v>
      </c>
      <c r="T26" s="8">
        <v>0.666666666666667</v>
      </c>
    </row>
    <row r="27" hidden="1" customHeight="1" spans="1:20">
      <c r="A27" s="7">
        <v>10317153</v>
      </c>
      <c r="B27" s="8" t="s">
        <v>42</v>
      </c>
      <c r="C27" s="7" t="s">
        <v>20</v>
      </c>
      <c r="D27" s="7" t="s">
        <v>21</v>
      </c>
      <c r="E27" s="8" t="s">
        <v>22</v>
      </c>
      <c r="F27" s="9">
        <v>1</v>
      </c>
      <c r="G27" s="8">
        <v>0.5</v>
      </c>
      <c r="H27" s="8">
        <v>0.875</v>
      </c>
      <c r="I27" s="8">
        <v>0.5</v>
      </c>
      <c r="J27" s="8">
        <v>0.875</v>
      </c>
      <c r="K27" s="8">
        <v>0.5</v>
      </c>
      <c r="L27" s="8">
        <v>0.875</v>
      </c>
      <c r="M27" s="8">
        <v>0.5</v>
      </c>
      <c r="N27" s="8">
        <v>0.875</v>
      </c>
      <c r="O27" s="8">
        <v>0.5</v>
      </c>
      <c r="P27" s="8">
        <v>0.875</v>
      </c>
      <c r="Q27" s="7" t="s">
        <v>23</v>
      </c>
      <c r="R27" s="7" t="s">
        <v>23</v>
      </c>
      <c r="S27" s="7" t="s">
        <v>23</v>
      </c>
      <c r="T27" s="7" t="s">
        <v>23</v>
      </c>
    </row>
    <row r="28" customHeight="1" spans="1:20">
      <c r="A28" s="7">
        <v>10317521</v>
      </c>
      <c r="B28" s="8" t="s">
        <v>28</v>
      </c>
      <c r="C28" s="7" t="s">
        <v>20</v>
      </c>
      <c r="D28" s="7" t="s">
        <v>21</v>
      </c>
      <c r="E28" s="8" t="s">
        <v>22</v>
      </c>
      <c r="F28" s="9">
        <v>2</v>
      </c>
      <c r="G28" s="7" t="s">
        <v>23</v>
      </c>
      <c r="H28" s="7" t="s">
        <v>23</v>
      </c>
      <c r="I28" s="8">
        <v>0.333333333333333</v>
      </c>
      <c r="J28" s="8">
        <v>0.75</v>
      </c>
      <c r="K28" s="8">
        <v>0.333333333333333</v>
      </c>
      <c r="L28" s="8">
        <v>0.75</v>
      </c>
      <c r="M28" s="8">
        <v>0.333333333333333</v>
      </c>
      <c r="N28" s="8">
        <v>0.75</v>
      </c>
      <c r="O28" s="8">
        <v>0.333333333333333</v>
      </c>
      <c r="P28" s="8">
        <v>0.75</v>
      </c>
      <c r="Q28" s="8">
        <v>0.416666666666667</v>
      </c>
      <c r="R28" s="8">
        <v>0.625</v>
      </c>
      <c r="S28" s="7" t="s">
        <v>23</v>
      </c>
      <c r="T28" s="7" t="s">
        <v>23</v>
      </c>
    </row>
    <row r="29" customHeight="1" spans="1:20">
      <c r="A29" s="7">
        <v>10317517</v>
      </c>
      <c r="B29" s="8" t="s">
        <v>29</v>
      </c>
      <c r="C29" s="7" t="s">
        <v>20</v>
      </c>
      <c r="D29" s="7" t="s">
        <v>21</v>
      </c>
      <c r="E29" s="8" t="s">
        <v>22</v>
      </c>
      <c r="F29" s="9">
        <v>2</v>
      </c>
      <c r="G29" s="8">
        <v>0.5</v>
      </c>
      <c r="H29" s="8">
        <v>0.875</v>
      </c>
      <c r="I29" s="8">
        <v>0.5</v>
      </c>
      <c r="J29" s="8">
        <v>0.875</v>
      </c>
      <c r="K29" s="8">
        <v>0.5</v>
      </c>
      <c r="L29" s="8">
        <v>0.875</v>
      </c>
      <c r="M29" s="8">
        <v>0.5</v>
      </c>
      <c r="N29" s="8">
        <v>0.875</v>
      </c>
      <c r="O29" s="8">
        <v>0.5</v>
      </c>
      <c r="P29" s="8">
        <v>0.875</v>
      </c>
      <c r="Q29" s="7" t="s">
        <v>23</v>
      </c>
      <c r="R29" s="7" t="s">
        <v>23</v>
      </c>
      <c r="S29" s="7" t="s">
        <v>23</v>
      </c>
      <c r="T29" s="7" t="s">
        <v>23</v>
      </c>
    </row>
    <row r="30" customHeight="1" spans="1:20">
      <c r="A30" s="7">
        <v>10252106</v>
      </c>
      <c r="B30" s="8" t="s">
        <v>43</v>
      </c>
      <c r="C30" s="7" t="s">
        <v>20</v>
      </c>
      <c r="D30" s="7" t="s">
        <v>21</v>
      </c>
      <c r="E30" s="8" t="s">
        <v>22</v>
      </c>
      <c r="F30" s="9">
        <v>2</v>
      </c>
      <c r="G30" s="8">
        <v>0.5</v>
      </c>
      <c r="H30" s="8">
        <v>0.875</v>
      </c>
      <c r="I30" s="7" t="s">
        <v>23</v>
      </c>
      <c r="J30" s="7" t="s">
        <v>23</v>
      </c>
      <c r="K30" s="7" t="s">
        <v>23</v>
      </c>
      <c r="L30" s="7" t="s">
        <v>23</v>
      </c>
      <c r="M30" s="8">
        <v>0.5</v>
      </c>
      <c r="N30" s="8">
        <v>0.875</v>
      </c>
      <c r="O30" s="8">
        <v>0.5</v>
      </c>
      <c r="P30" s="8">
        <v>0.875</v>
      </c>
      <c r="Q30" s="8">
        <v>0.458333333333333</v>
      </c>
      <c r="R30" s="8">
        <v>0.666666666666667</v>
      </c>
      <c r="S30" s="8">
        <v>0.458333333333333</v>
      </c>
      <c r="T30" s="8">
        <v>0.666666666666667</v>
      </c>
    </row>
    <row r="31" customHeight="1" spans="1:20">
      <c r="A31" s="7">
        <v>10320407</v>
      </c>
      <c r="B31" s="8" t="s">
        <v>55</v>
      </c>
      <c r="C31" s="7" t="s">
        <v>20</v>
      </c>
      <c r="D31" s="7" t="s">
        <v>21</v>
      </c>
      <c r="E31" s="8" t="s">
        <v>22</v>
      </c>
      <c r="F31" s="9">
        <v>3</v>
      </c>
      <c r="G31" s="7" t="s">
        <v>23</v>
      </c>
      <c r="H31" s="7" t="s">
        <v>23</v>
      </c>
      <c r="I31" s="8">
        <v>0.458333333333333</v>
      </c>
      <c r="J31" s="8">
        <v>0.875</v>
      </c>
      <c r="K31" s="8">
        <v>0.458333333333333</v>
      </c>
      <c r="L31" s="8">
        <v>0.875</v>
      </c>
      <c r="M31" s="8">
        <v>0.458333333333333</v>
      </c>
      <c r="N31" s="8">
        <v>0.875</v>
      </c>
      <c r="O31" s="8">
        <v>0.458333333333333</v>
      </c>
      <c r="P31" s="8">
        <v>0.875</v>
      </c>
      <c r="Q31" s="8">
        <v>0.458333333333333</v>
      </c>
      <c r="R31" s="8">
        <v>0.666666666666667</v>
      </c>
      <c r="S31" s="7" t="s">
        <v>23</v>
      </c>
      <c r="T31" s="7" t="s">
        <v>23</v>
      </c>
    </row>
    <row r="32" customHeight="1" spans="1:20">
      <c r="A32" s="7">
        <v>10320417</v>
      </c>
      <c r="B32" s="8" t="s">
        <v>67</v>
      </c>
      <c r="C32" s="7" t="s">
        <v>20</v>
      </c>
      <c r="D32" s="7" t="s">
        <v>21</v>
      </c>
      <c r="E32" s="8" t="s">
        <v>22</v>
      </c>
      <c r="F32" s="9">
        <v>3</v>
      </c>
      <c r="G32" s="8">
        <v>0.458333333333333</v>
      </c>
      <c r="H32" s="8">
        <v>0.875</v>
      </c>
      <c r="I32" s="8">
        <v>0.458333333333333</v>
      </c>
      <c r="J32" s="8">
        <v>0.875</v>
      </c>
      <c r="K32" s="8">
        <v>0.458333333333333</v>
      </c>
      <c r="L32" s="8">
        <v>0.875</v>
      </c>
      <c r="M32" s="8">
        <v>0.458333333333333</v>
      </c>
      <c r="N32" s="8">
        <v>0.875</v>
      </c>
      <c r="O32" s="7" t="s">
        <v>23</v>
      </c>
      <c r="P32" s="7" t="s">
        <v>23</v>
      </c>
      <c r="Q32" s="7" t="s">
        <v>23</v>
      </c>
      <c r="R32" s="7" t="s">
        <v>23</v>
      </c>
      <c r="S32" s="8">
        <v>0.458333333333333</v>
      </c>
      <c r="T32" s="8">
        <v>0.666666666666667</v>
      </c>
    </row>
    <row r="33" customHeight="1" spans="1:20">
      <c r="A33" s="7">
        <v>10317154</v>
      </c>
      <c r="B33" s="8" t="s">
        <v>70</v>
      </c>
      <c r="C33" s="7" t="s">
        <v>20</v>
      </c>
      <c r="D33" s="7" t="s">
        <v>21</v>
      </c>
      <c r="E33" s="8" t="s">
        <v>22</v>
      </c>
      <c r="F33" s="9">
        <v>3</v>
      </c>
      <c r="G33" s="8">
        <v>0.416666666666667</v>
      </c>
      <c r="H33" s="8">
        <v>0.833333333333333</v>
      </c>
      <c r="I33" s="8">
        <v>0.416666666666667</v>
      </c>
      <c r="J33" s="8">
        <v>0.833333333333333</v>
      </c>
      <c r="K33" s="8">
        <v>0.416666666666667</v>
      </c>
      <c r="L33" s="8">
        <v>0.833333333333333</v>
      </c>
      <c r="M33" s="8">
        <v>0.416666666666667</v>
      </c>
      <c r="N33" s="8">
        <v>0.833333333333333</v>
      </c>
      <c r="O33" s="7" t="s">
        <v>23</v>
      </c>
      <c r="P33" s="7" t="s">
        <v>23</v>
      </c>
      <c r="Q33" s="7" t="s">
        <v>23</v>
      </c>
      <c r="R33" s="7" t="s">
        <v>23</v>
      </c>
      <c r="S33" s="8">
        <v>0.416666666666667</v>
      </c>
      <c r="T33" s="8">
        <v>0.625</v>
      </c>
    </row>
    <row r="34" customHeight="1" spans="1:20">
      <c r="A34" s="7">
        <v>10320436</v>
      </c>
      <c r="B34" s="8" t="s">
        <v>90</v>
      </c>
      <c r="C34" s="7" t="s">
        <v>20</v>
      </c>
      <c r="D34" s="7" t="s">
        <v>21</v>
      </c>
      <c r="E34" s="8" t="s">
        <v>22</v>
      </c>
      <c r="F34" s="9">
        <v>3</v>
      </c>
      <c r="G34" s="8">
        <v>0.458333333333333</v>
      </c>
      <c r="H34" s="8">
        <v>0.875</v>
      </c>
      <c r="I34" s="8">
        <v>0.458333333333333</v>
      </c>
      <c r="J34" s="8">
        <v>0.875</v>
      </c>
      <c r="K34" s="8">
        <v>0.458333333333333</v>
      </c>
      <c r="L34" s="8">
        <v>0.875</v>
      </c>
      <c r="M34" s="8">
        <v>0.458333333333333</v>
      </c>
      <c r="N34" s="8">
        <v>0.875</v>
      </c>
      <c r="O34" s="7" t="s">
        <v>23</v>
      </c>
      <c r="P34" s="7" t="s">
        <v>23</v>
      </c>
      <c r="Q34" s="7" t="s">
        <v>23</v>
      </c>
      <c r="R34" s="7" t="s">
        <v>23</v>
      </c>
      <c r="S34" s="8">
        <v>0.458333333333333</v>
      </c>
      <c r="T34" s="8">
        <v>0.666666666666667</v>
      </c>
    </row>
    <row r="35" customHeight="1" spans="1:20">
      <c r="A35" s="7">
        <v>10316538</v>
      </c>
      <c r="B35" s="8" t="s">
        <v>44</v>
      </c>
      <c r="C35" s="7" t="s">
        <v>20</v>
      </c>
      <c r="D35" s="7" t="s">
        <v>21</v>
      </c>
      <c r="E35" s="8" t="s">
        <v>22</v>
      </c>
      <c r="F35" s="9">
        <v>1</v>
      </c>
      <c r="G35" s="8">
        <v>0.375</v>
      </c>
      <c r="H35" s="8">
        <v>0.75</v>
      </c>
      <c r="I35" s="8">
        <v>0.375</v>
      </c>
      <c r="J35" s="8">
        <v>0.75</v>
      </c>
      <c r="K35" s="7" t="s">
        <v>23</v>
      </c>
      <c r="L35" s="7" t="s">
        <v>23</v>
      </c>
      <c r="M35" s="7" t="s">
        <v>23</v>
      </c>
      <c r="N35" s="7" t="s">
        <v>23</v>
      </c>
      <c r="O35" s="8">
        <v>0.375</v>
      </c>
      <c r="P35" s="8">
        <v>0.75</v>
      </c>
      <c r="Q35" s="8">
        <v>0.458333333333333</v>
      </c>
      <c r="R35" s="8">
        <v>0.666666666666667</v>
      </c>
      <c r="S35" s="8">
        <v>0.458333333333333</v>
      </c>
      <c r="T35" s="8">
        <v>0.666666666666667</v>
      </c>
    </row>
    <row r="36" customHeight="1" spans="1:20">
      <c r="A36" s="7">
        <v>10293607</v>
      </c>
      <c r="B36" s="8" t="s">
        <v>65</v>
      </c>
      <c r="C36" s="7" t="s">
        <v>20</v>
      </c>
      <c r="D36" s="7" t="s">
        <v>21</v>
      </c>
      <c r="E36" s="8" t="s">
        <v>22</v>
      </c>
      <c r="F36" s="9">
        <v>3</v>
      </c>
      <c r="G36" s="8">
        <v>0.375</v>
      </c>
      <c r="H36" s="8">
        <v>0.791666666666667</v>
      </c>
      <c r="I36" s="8">
        <v>0.375</v>
      </c>
      <c r="J36" s="8">
        <v>0.791666666666667</v>
      </c>
      <c r="K36" s="8">
        <v>0.375</v>
      </c>
      <c r="L36" s="8">
        <v>0.791666666666667</v>
      </c>
      <c r="M36" s="8">
        <v>0.375</v>
      </c>
      <c r="N36" s="8">
        <v>0.791666666666667</v>
      </c>
      <c r="O36" s="7" t="s">
        <v>23</v>
      </c>
      <c r="P36" s="7" t="s">
        <v>23</v>
      </c>
      <c r="Q36" s="7" t="s">
        <v>23</v>
      </c>
      <c r="R36" s="7" t="s">
        <v>23</v>
      </c>
      <c r="S36" s="8">
        <v>0.458333333333333</v>
      </c>
      <c r="T36" s="8">
        <v>0.666666666666667</v>
      </c>
    </row>
    <row r="37" customHeight="1" spans="1:20">
      <c r="A37" s="7">
        <v>10316545</v>
      </c>
      <c r="B37" s="8" t="s">
        <v>45</v>
      </c>
      <c r="C37" s="7" t="s">
        <v>20</v>
      </c>
      <c r="D37" s="7" t="s">
        <v>21</v>
      </c>
      <c r="E37" s="8" t="s">
        <v>22</v>
      </c>
      <c r="F37" s="9">
        <v>1</v>
      </c>
      <c r="G37" s="8">
        <v>0.5</v>
      </c>
      <c r="H37" s="8">
        <v>0.875</v>
      </c>
      <c r="I37" s="8">
        <v>0.5</v>
      </c>
      <c r="J37" s="8">
        <v>0.875</v>
      </c>
      <c r="K37" s="8">
        <v>0.5</v>
      </c>
      <c r="L37" s="8">
        <v>0.875</v>
      </c>
      <c r="M37" s="8">
        <v>0.5</v>
      </c>
      <c r="N37" s="8">
        <v>0.875</v>
      </c>
      <c r="O37" s="8">
        <v>0.5</v>
      </c>
      <c r="P37" s="8">
        <v>0.875</v>
      </c>
      <c r="Q37" s="7" t="s">
        <v>23</v>
      </c>
      <c r="R37" s="7" t="s">
        <v>23</v>
      </c>
      <c r="S37" s="7" t="s">
        <v>23</v>
      </c>
      <c r="T37" s="7" t="s">
        <v>23</v>
      </c>
    </row>
    <row r="38" customHeight="1" spans="1:20">
      <c r="A38" s="7">
        <v>10316572</v>
      </c>
      <c r="B38" s="8" t="s">
        <v>46</v>
      </c>
      <c r="C38" s="7" t="s">
        <v>20</v>
      </c>
      <c r="D38" s="7" t="s">
        <v>21</v>
      </c>
      <c r="E38" s="8" t="s">
        <v>22</v>
      </c>
      <c r="F38" s="9">
        <v>2</v>
      </c>
      <c r="G38" s="8">
        <v>0.333333333333333</v>
      </c>
      <c r="H38" s="8">
        <v>0.75</v>
      </c>
      <c r="I38" s="8">
        <v>0.375</v>
      </c>
      <c r="J38" s="8">
        <v>0.791666666666667</v>
      </c>
      <c r="K38" s="8">
        <v>0.375</v>
      </c>
      <c r="L38" s="8">
        <v>0.791666666666667</v>
      </c>
      <c r="M38" s="8">
        <v>0.375</v>
      </c>
      <c r="N38" s="8">
        <v>0.791666666666667</v>
      </c>
      <c r="O38" s="7" t="s">
        <v>23</v>
      </c>
      <c r="P38" s="7" t="s">
        <v>23</v>
      </c>
      <c r="Q38" s="7" t="s">
        <v>23</v>
      </c>
      <c r="R38" s="7" t="s">
        <v>23</v>
      </c>
      <c r="S38" s="8">
        <v>0.416666666666667</v>
      </c>
      <c r="T38" s="8">
        <v>0.625</v>
      </c>
    </row>
    <row r="39" customHeight="1" spans="1:20">
      <c r="A39" s="7">
        <v>10316685</v>
      </c>
      <c r="B39" s="8" t="s">
        <v>47</v>
      </c>
      <c r="C39" s="7" t="s">
        <v>89</v>
      </c>
      <c r="D39" s="7" t="s">
        <v>21</v>
      </c>
      <c r="E39" s="8" t="s">
        <v>22</v>
      </c>
      <c r="F39" s="9">
        <v>1</v>
      </c>
      <c r="G39" s="8">
        <v>0.375</v>
      </c>
      <c r="H39" s="8">
        <v>0.75</v>
      </c>
      <c r="I39" s="8">
        <v>0.375</v>
      </c>
      <c r="J39" s="8">
        <v>0.75</v>
      </c>
      <c r="K39" s="8">
        <v>0.375</v>
      </c>
      <c r="L39" s="8">
        <v>0.75</v>
      </c>
      <c r="M39" s="8">
        <v>0.375</v>
      </c>
      <c r="N39" s="8">
        <v>0.75</v>
      </c>
      <c r="O39" s="8">
        <v>0.375</v>
      </c>
      <c r="P39" s="8">
        <v>0.75</v>
      </c>
      <c r="Q39" s="7" t="s">
        <v>23</v>
      </c>
      <c r="R39" s="7" t="s">
        <v>23</v>
      </c>
      <c r="S39" s="7" t="s">
        <v>23</v>
      </c>
      <c r="T39" s="7" t="s">
        <v>23</v>
      </c>
    </row>
    <row r="40" hidden="1" customHeight="1" spans="1:20">
      <c r="A40" s="7">
        <v>10274446</v>
      </c>
      <c r="B40" s="8" t="s">
        <v>88</v>
      </c>
      <c r="C40" s="7" t="s">
        <v>20</v>
      </c>
      <c r="D40" s="7" t="s">
        <v>21</v>
      </c>
      <c r="E40" s="8" t="s">
        <v>22</v>
      </c>
      <c r="F40" s="9">
        <v>2</v>
      </c>
      <c r="G40" s="8">
        <v>0.5</v>
      </c>
      <c r="H40" s="8">
        <v>0.875</v>
      </c>
      <c r="I40" s="8">
        <v>0.5</v>
      </c>
      <c r="J40" s="8">
        <v>0.875</v>
      </c>
      <c r="K40" s="7" t="s">
        <v>23</v>
      </c>
      <c r="L40" s="7" t="s">
        <v>23</v>
      </c>
      <c r="M40" s="7" t="s">
        <v>23</v>
      </c>
      <c r="N40" s="7" t="s">
        <v>23</v>
      </c>
      <c r="O40" s="8">
        <v>0.5</v>
      </c>
      <c r="P40" s="8">
        <v>0.875</v>
      </c>
      <c r="Q40" s="8">
        <v>0.458333333333333</v>
      </c>
      <c r="R40" s="8">
        <v>0.666666666666667</v>
      </c>
      <c r="S40" s="8">
        <v>0.458333333333333</v>
      </c>
      <c r="T40" s="8">
        <v>0.666666666666667</v>
      </c>
    </row>
    <row r="41" customHeight="1" spans="1:20">
      <c r="A41" s="7">
        <v>10276839</v>
      </c>
      <c r="B41" s="8" t="s">
        <v>54</v>
      </c>
      <c r="C41" s="7" t="s">
        <v>20</v>
      </c>
      <c r="D41" s="7" t="s">
        <v>21</v>
      </c>
      <c r="E41" s="8" t="s">
        <v>22</v>
      </c>
      <c r="F41" s="9">
        <v>2</v>
      </c>
      <c r="G41" s="8">
        <v>0.375</v>
      </c>
      <c r="H41" s="8">
        <v>0.791666666666667</v>
      </c>
      <c r="I41" s="8">
        <v>0.375</v>
      </c>
      <c r="J41" s="8">
        <v>0.791666666666667</v>
      </c>
      <c r="K41" s="8">
        <v>0.375</v>
      </c>
      <c r="L41" s="8">
        <v>0.791666666666667</v>
      </c>
      <c r="M41" s="8">
        <v>0.375</v>
      </c>
      <c r="N41" s="8">
        <v>0.791666666666667</v>
      </c>
      <c r="O41" s="7" t="s">
        <v>23</v>
      </c>
      <c r="P41" s="7" t="s">
        <v>23</v>
      </c>
      <c r="Q41" s="7" t="s">
        <v>23</v>
      </c>
      <c r="R41" s="7" t="s">
        <v>23</v>
      </c>
      <c r="S41" s="8">
        <v>0.458333333333333</v>
      </c>
      <c r="T41" s="8">
        <v>0.666666666666667</v>
      </c>
    </row>
    <row r="42" customHeight="1" spans="1:20">
      <c r="A42" s="7">
        <v>10320419</v>
      </c>
      <c r="B42" s="8" t="s">
        <v>69</v>
      </c>
      <c r="C42" s="7" t="s">
        <v>20</v>
      </c>
      <c r="D42" s="7" t="s">
        <v>21</v>
      </c>
      <c r="E42" s="8" t="s">
        <v>22</v>
      </c>
      <c r="F42" s="9">
        <v>3</v>
      </c>
      <c r="G42" s="7" t="s">
        <v>23</v>
      </c>
      <c r="H42" s="7" t="s">
        <v>23</v>
      </c>
      <c r="I42" s="8">
        <v>0.458333333333333</v>
      </c>
      <c r="J42" s="8">
        <v>0.875</v>
      </c>
      <c r="K42" s="8">
        <v>0.458333333333333</v>
      </c>
      <c r="L42" s="8">
        <v>0.875</v>
      </c>
      <c r="M42" s="8">
        <v>0.458333333333333</v>
      </c>
      <c r="N42" s="8">
        <v>0.875</v>
      </c>
      <c r="O42" s="8">
        <v>0.458333333333333</v>
      </c>
      <c r="P42" s="8">
        <v>0.875</v>
      </c>
      <c r="Q42" s="8">
        <v>0.458333333333333</v>
      </c>
      <c r="R42" s="8">
        <v>0.666666666666667</v>
      </c>
      <c r="S42" s="7" t="s">
        <v>23</v>
      </c>
      <c r="T42" s="7" t="s">
        <v>23</v>
      </c>
    </row>
    <row r="43" hidden="1" customHeight="1" spans="1:20">
      <c r="A43" s="7">
        <v>10316546</v>
      </c>
      <c r="B43" s="8" t="s">
        <v>49</v>
      </c>
      <c r="C43" s="7" t="s">
        <v>20</v>
      </c>
      <c r="D43" s="7" t="s">
        <v>21</v>
      </c>
      <c r="E43" s="8" t="s">
        <v>22</v>
      </c>
      <c r="F43" s="9">
        <v>1</v>
      </c>
      <c r="G43" s="8"/>
      <c r="H43" s="8"/>
      <c r="I43" s="8"/>
      <c r="J43" s="8"/>
      <c r="K43" s="7"/>
      <c r="L43" s="7"/>
      <c r="M43" s="7"/>
      <c r="N43" s="7"/>
      <c r="O43" s="8"/>
      <c r="P43" s="8"/>
      <c r="Q43" s="8"/>
      <c r="R43" s="8"/>
      <c r="S43" s="8"/>
      <c r="T43" s="8"/>
    </row>
    <row r="44" customHeight="1" spans="1:20">
      <c r="A44" s="7">
        <v>10316551</v>
      </c>
      <c r="B44" s="8" t="s">
        <v>87</v>
      </c>
      <c r="C44" s="7" t="s">
        <v>20</v>
      </c>
      <c r="D44" s="7" t="s">
        <v>21</v>
      </c>
      <c r="E44" s="8" t="s">
        <v>22</v>
      </c>
      <c r="F44" s="9">
        <v>1</v>
      </c>
      <c r="G44" s="8">
        <v>0.375</v>
      </c>
      <c r="H44" s="8">
        <v>0.791666666666667</v>
      </c>
      <c r="I44" s="8">
        <v>0.375</v>
      </c>
      <c r="J44" s="8">
        <v>0.791666666666667</v>
      </c>
      <c r="K44" s="8">
        <v>0.375</v>
      </c>
      <c r="L44" s="8">
        <v>0.791666666666667</v>
      </c>
      <c r="M44" s="8">
        <v>0.375</v>
      </c>
      <c r="N44" s="8">
        <v>0.791666666666667</v>
      </c>
      <c r="O44" s="7" t="s">
        <v>23</v>
      </c>
      <c r="P44" s="7" t="s">
        <v>23</v>
      </c>
      <c r="Q44" s="7" t="s">
        <v>23</v>
      </c>
      <c r="R44" s="7" t="s">
        <v>23</v>
      </c>
      <c r="S44" s="8">
        <v>0.458333333333333</v>
      </c>
      <c r="T44" s="8">
        <v>0.666666666666667</v>
      </c>
    </row>
    <row r="45" customHeight="1" spans="1:20">
      <c r="A45" s="7">
        <v>10320435</v>
      </c>
      <c r="B45" s="8" t="s">
        <v>71</v>
      </c>
      <c r="C45" s="7" t="s">
        <v>20</v>
      </c>
      <c r="D45" s="7" t="s">
        <v>21</v>
      </c>
      <c r="E45" s="8" t="s">
        <v>22</v>
      </c>
      <c r="F45" s="9">
        <v>3</v>
      </c>
      <c r="G45" s="8">
        <v>0.5</v>
      </c>
      <c r="H45" s="8">
        <v>0.875</v>
      </c>
      <c r="I45" s="8">
        <v>0.5</v>
      </c>
      <c r="J45" s="8">
        <v>0.875</v>
      </c>
      <c r="K45" s="8">
        <v>0.5</v>
      </c>
      <c r="L45" s="8">
        <v>0.875</v>
      </c>
      <c r="M45" s="8">
        <v>0.5</v>
      </c>
      <c r="N45" s="8">
        <v>0.875</v>
      </c>
      <c r="O45" s="8">
        <v>0.5</v>
      </c>
      <c r="P45" s="8">
        <v>0.875</v>
      </c>
      <c r="Q45" s="7" t="s">
        <v>23</v>
      </c>
      <c r="R45" s="7" t="s">
        <v>23</v>
      </c>
      <c r="S45" s="7" t="s">
        <v>23</v>
      </c>
      <c r="T45" s="7" t="s">
        <v>23</v>
      </c>
    </row>
    <row r="46" customHeight="1" spans="1:20">
      <c r="A46" s="7">
        <v>10316683</v>
      </c>
      <c r="B46" s="8" t="s">
        <v>51</v>
      </c>
      <c r="C46" s="7" t="s">
        <v>20</v>
      </c>
      <c r="D46" s="7" t="s">
        <v>21</v>
      </c>
      <c r="E46" s="8" t="s">
        <v>22</v>
      </c>
      <c r="F46" s="9">
        <v>1</v>
      </c>
      <c r="G46" s="8">
        <v>0.5</v>
      </c>
      <c r="H46" s="8">
        <v>0.875</v>
      </c>
      <c r="I46" s="8">
        <v>0.5</v>
      </c>
      <c r="J46" s="8">
        <v>0.875</v>
      </c>
      <c r="K46" s="8">
        <v>0.5</v>
      </c>
      <c r="L46" s="8">
        <v>0.875</v>
      </c>
      <c r="M46" s="8">
        <v>0.5</v>
      </c>
      <c r="N46" s="8">
        <v>0.875</v>
      </c>
      <c r="O46" s="8">
        <v>0.5</v>
      </c>
      <c r="P46" s="8">
        <v>0.875</v>
      </c>
      <c r="Q46" s="7" t="s">
        <v>23</v>
      </c>
      <c r="R46" s="7" t="s">
        <v>23</v>
      </c>
      <c r="S46" s="7" t="s">
        <v>23</v>
      </c>
      <c r="T46" s="7" t="s">
        <v>23</v>
      </c>
    </row>
    <row r="47" customHeight="1" spans="1:20">
      <c r="A47" s="7">
        <v>10316540</v>
      </c>
      <c r="B47" s="8" t="s">
        <v>30</v>
      </c>
      <c r="C47" s="7" t="s">
        <v>20</v>
      </c>
      <c r="D47" s="7" t="s">
        <v>86</v>
      </c>
      <c r="E47" s="8" t="s">
        <v>22</v>
      </c>
      <c r="F47" s="9">
        <v>1</v>
      </c>
      <c r="G47" s="8">
        <v>0.375</v>
      </c>
      <c r="H47" s="8">
        <v>0.75</v>
      </c>
      <c r="I47" s="8">
        <v>0.375</v>
      </c>
      <c r="J47" s="8">
        <v>0.75</v>
      </c>
      <c r="K47" s="8">
        <v>0.375</v>
      </c>
      <c r="L47" s="8">
        <v>0.75</v>
      </c>
      <c r="M47" s="8">
        <v>0.375</v>
      </c>
      <c r="N47" s="8">
        <v>0.75</v>
      </c>
      <c r="O47" s="8">
        <v>0.375</v>
      </c>
      <c r="P47" s="8">
        <v>0.75</v>
      </c>
      <c r="Q47" s="7" t="s">
        <v>23</v>
      </c>
      <c r="R47" s="7" t="s">
        <v>23</v>
      </c>
      <c r="S47" s="7" t="s">
        <v>23</v>
      </c>
      <c r="T47" s="7" t="s">
        <v>23</v>
      </c>
    </row>
    <row r="48" customHeight="1" spans="1:20">
      <c r="A48" s="7">
        <v>10293627</v>
      </c>
      <c r="B48" s="8" t="s">
        <v>92</v>
      </c>
      <c r="C48" s="7" t="s">
        <v>20</v>
      </c>
      <c r="D48" s="7" t="s">
        <v>21</v>
      </c>
      <c r="E48" s="8" t="s">
        <v>22</v>
      </c>
      <c r="F48" s="9">
        <v>3</v>
      </c>
      <c r="G48" s="8">
        <v>0.458333333333333</v>
      </c>
      <c r="H48" s="8">
        <v>0.875</v>
      </c>
      <c r="I48" s="8">
        <v>0.458333333333333</v>
      </c>
      <c r="J48" s="8">
        <v>0.875</v>
      </c>
      <c r="K48" s="8">
        <v>0.458333333333333</v>
      </c>
      <c r="L48" s="8">
        <v>0.875</v>
      </c>
      <c r="M48" s="8">
        <v>0.458333333333333</v>
      </c>
      <c r="N48" s="8">
        <v>0.875</v>
      </c>
      <c r="O48" s="7" t="s">
        <v>23</v>
      </c>
      <c r="P48" s="7" t="s">
        <v>23</v>
      </c>
      <c r="Q48" s="7" t="s">
        <v>23</v>
      </c>
      <c r="R48" s="7" t="s">
        <v>23</v>
      </c>
      <c r="S48" s="8">
        <v>0.458333333333333</v>
      </c>
      <c r="T48" s="8">
        <v>0.666666666666667</v>
      </c>
    </row>
    <row r="49" customHeight="1" spans="1:20">
      <c r="A49" s="7">
        <v>10320409</v>
      </c>
      <c r="B49" s="8" t="s">
        <v>57</v>
      </c>
      <c r="C49" s="7" t="s">
        <v>20</v>
      </c>
      <c r="D49" s="7" t="s">
        <v>21</v>
      </c>
      <c r="E49" s="8" t="s">
        <v>22</v>
      </c>
      <c r="F49" s="9">
        <v>3</v>
      </c>
      <c r="G49" s="8">
        <v>0.375</v>
      </c>
      <c r="H49" s="8">
        <v>0.75</v>
      </c>
      <c r="I49" s="7" t="s">
        <v>23</v>
      </c>
      <c r="J49" s="7" t="s">
        <v>23</v>
      </c>
      <c r="K49" s="7" t="s">
        <v>23</v>
      </c>
      <c r="L49" s="7" t="s">
        <v>23</v>
      </c>
      <c r="M49" s="8">
        <v>0.375</v>
      </c>
      <c r="N49" s="8">
        <v>0.75</v>
      </c>
      <c r="O49" s="8">
        <v>0.375</v>
      </c>
      <c r="P49" s="8">
        <v>0.75</v>
      </c>
      <c r="Q49" s="8">
        <v>0.458333333333333</v>
      </c>
      <c r="R49" s="8">
        <v>0.666666666666667</v>
      </c>
      <c r="S49" s="8">
        <v>0.458333333333333</v>
      </c>
      <c r="T49" s="8">
        <v>0.666666666666667</v>
      </c>
    </row>
    <row r="50" customHeight="1" spans="1:20">
      <c r="A50" s="7">
        <v>10317151</v>
      </c>
      <c r="B50" s="8" t="s">
        <v>52</v>
      </c>
      <c r="C50" s="7" t="s">
        <v>20</v>
      </c>
      <c r="D50" s="7" t="s">
        <v>86</v>
      </c>
      <c r="E50" s="8" t="s">
        <v>22</v>
      </c>
      <c r="F50" s="9">
        <v>1</v>
      </c>
      <c r="G50" s="8">
        <v>0.375</v>
      </c>
      <c r="H50" s="8">
        <v>0.75</v>
      </c>
      <c r="I50" s="8">
        <v>0.375</v>
      </c>
      <c r="J50" s="8">
        <v>0.75</v>
      </c>
      <c r="K50" s="8">
        <v>0.375</v>
      </c>
      <c r="L50" s="8">
        <v>0.75</v>
      </c>
      <c r="M50" s="8">
        <v>0.375</v>
      </c>
      <c r="N50" s="8">
        <v>0.75</v>
      </c>
      <c r="O50" s="8">
        <v>0.375</v>
      </c>
      <c r="P50" s="8">
        <v>0.75</v>
      </c>
      <c r="Q50" s="7" t="s">
        <v>23</v>
      </c>
      <c r="R50" s="7" t="s">
        <v>23</v>
      </c>
      <c r="S50" s="7" t="s">
        <v>23</v>
      </c>
      <c r="T50" s="7" t="s">
        <v>23</v>
      </c>
    </row>
    <row r="51" customHeight="1" spans="1:20">
      <c r="A51" s="7">
        <v>10317524</v>
      </c>
      <c r="B51" s="8" t="s">
        <v>53</v>
      </c>
      <c r="C51" s="7" t="s">
        <v>20</v>
      </c>
      <c r="D51" s="7" t="s">
        <v>21</v>
      </c>
      <c r="E51" s="8" t="s">
        <v>22</v>
      </c>
      <c r="F51" s="9">
        <v>2</v>
      </c>
      <c r="G51" s="7" t="s">
        <v>23</v>
      </c>
      <c r="H51" s="7" t="s">
        <v>23</v>
      </c>
      <c r="I51" s="8">
        <v>0.375</v>
      </c>
      <c r="J51" s="8">
        <v>0.791666666666667</v>
      </c>
      <c r="K51" s="8">
        <v>0.375</v>
      </c>
      <c r="L51" s="8">
        <v>0.791666666666667</v>
      </c>
      <c r="M51" s="8">
        <v>0.375</v>
      </c>
      <c r="N51" s="8">
        <v>0.791666666666667</v>
      </c>
      <c r="O51" s="8">
        <v>0.375</v>
      </c>
      <c r="P51" s="8">
        <v>0.791666666666667</v>
      </c>
      <c r="Q51" s="8">
        <v>0.458333333333333</v>
      </c>
      <c r="R51" s="8">
        <v>0.666666666666667</v>
      </c>
      <c r="S51" s="7" t="s">
        <v>23</v>
      </c>
      <c r="T51" s="7" t="s">
        <v>23</v>
      </c>
    </row>
  </sheetData>
  <mergeCells count="20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A1:A2"/>
    <mergeCell ref="B1:B2"/>
    <mergeCell ref="C1:C2"/>
    <mergeCell ref="D1:D2"/>
    <mergeCell ref="E1:E2"/>
    <mergeCell ref="F1:F2"/>
  </mergeCells>
  <conditionalFormatting sqref="G4:T51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  <cfRule type="containsText" dxfId="3" priority="2" operator="between" text="OFF">
      <formula>NOT(ISERROR(SEARCH("OFF",G4)))</formula>
    </cfRule>
  </conditionalFormatting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47"/>
  <sheetViews>
    <sheetView workbookViewId="0">
      <selection activeCell="A1" sqref="A1:A2"/>
    </sheetView>
  </sheetViews>
  <sheetFormatPr defaultColWidth="12.6272727272727" defaultRowHeight="15.75" customHeight="1"/>
  <cols>
    <col min="2" max="2" width="18.7545454545455" customWidth="1"/>
  </cols>
  <sheetData>
    <row r="1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16">
        <v>45670</v>
      </c>
      <c r="I1" s="116">
        <v>45671</v>
      </c>
      <c r="K1" s="116">
        <v>45672</v>
      </c>
      <c r="M1" s="116">
        <v>45673</v>
      </c>
      <c r="O1" s="116">
        <v>45674</v>
      </c>
      <c r="Q1" s="116">
        <v>45675</v>
      </c>
      <c r="S1" s="116">
        <v>45676</v>
      </c>
    </row>
    <row r="2" customHeight="1" spans="1:19">
      <c r="A2" s="15"/>
      <c r="B2" s="15"/>
      <c r="C2" s="15"/>
      <c r="D2" s="15"/>
      <c r="E2" s="15"/>
      <c r="F2" s="15"/>
      <c r="G2" s="117" t="s">
        <v>6</v>
      </c>
      <c r="I2" s="117" t="s">
        <v>7</v>
      </c>
      <c r="K2" s="117" t="s">
        <v>8</v>
      </c>
      <c r="M2" s="117" t="s">
        <v>9</v>
      </c>
      <c r="O2" s="117" t="s">
        <v>10</v>
      </c>
      <c r="Q2" s="117" t="s">
        <v>11</v>
      </c>
      <c r="S2" s="117" t="s">
        <v>12</v>
      </c>
    </row>
    <row r="3" customHeight="1" spans="1:20">
      <c r="A3" s="49"/>
      <c r="B3" s="49"/>
      <c r="C3" s="49"/>
      <c r="D3" s="49"/>
      <c r="E3" s="49"/>
      <c r="F3" s="118"/>
      <c r="G3" s="119" t="s">
        <v>80</v>
      </c>
      <c r="H3" s="119" t="s">
        <v>81</v>
      </c>
      <c r="I3" s="119" t="s">
        <v>80</v>
      </c>
      <c r="J3" s="119" t="s">
        <v>81</v>
      </c>
      <c r="K3" s="119" t="s">
        <v>80</v>
      </c>
      <c r="L3" s="119" t="s">
        <v>81</v>
      </c>
      <c r="M3" s="119" t="s">
        <v>80</v>
      </c>
      <c r="N3" s="119" t="s">
        <v>81</v>
      </c>
      <c r="O3" s="119" t="s">
        <v>80</v>
      </c>
      <c r="P3" s="119" t="s">
        <v>81</v>
      </c>
      <c r="Q3" s="119" t="s">
        <v>80</v>
      </c>
      <c r="R3" s="119" t="s">
        <v>81</v>
      </c>
      <c r="S3" s="119" t="s">
        <v>80</v>
      </c>
      <c r="T3" s="119" t="s">
        <v>81</v>
      </c>
    </row>
    <row r="4" customHeight="1" spans="1:20">
      <c r="A4" s="7">
        <v>10320410</v>
      </c>
      <c r="B4" s="8" t="s">
        <v>58</v>
      </c>
      <c r="C4" s="7" t="s">
        <v>20</v>
      </c>
      <c r="D4" s="7" t="s">
        <v>21</v>
      </c>
      <c r="E4" s="8" t="s">
        <v>22</v>
      </c>
      <c r="F4" s="9">
        <v>3</v>
      </c>
      <c r="G4" s="8">
        <v>0.5</v>
      </c>
      <c r="H4" s="8">
        <v>0.875</v>
      </c>
      <c r="I4" s="8">
        <v>0.5</v>
      </c>
      <c r="J4" s="8">
        <v>0.875</v>
      </c>
      <c r="K4" s="8">
        <v>0.5</v>
      </c>
      <c r="L4" s="8">
        <v>0.875</v>
      </c>
      <c r="M4" s="8">
        <v>0.5</v>
      </c>
      <c r="N4" s="8">
        <v>0.875</v>
      </c>
      <c r="O4" s="8">
        <v>0.5</v>
      </c>
      <c r="P4" s="8">
        <v>0.875</v>
      </c>
      <c r="Q4" s="7" t="s">
        <v>23</v>
      </c>
      <c r="R4" s="7" t="s">
        <v>23</v>
      </c>
      <c r="S4" s="7" t="s">
        <v>23</v>
      </c>
      <c r="T4" s="7" t="s">
        <v>23</v>
      </c>
    </row>
    <row r="5" customHeight="1" spans="1:20">
      <c r="A5" s="7">
        <v>10320415</v>
      </c>
      <c r="B5" s="8" t="s">
        <v>63</v>
      </c>
      <c r="C5" s="7" t="s">
        <v>20</v>
      </c>
      <c r="D5" s="7" t="s">
        <v>21</v>
      </c>
      <c r="E5" s="8" t="s">
        <v>22</v>
      </c>
      <c r="F5" s="9">
        <v>3</v>
      </c>
      <c r="G5" s="8">
        <v>0.375</v>
      </c>
      <c r="H5" s="8">
        <v>0.791666666666667</v>
      </c>
      <c r="I5" s="8">
        <v>0.375</v>
      </c>
      <c r="J5" s="8">
        <v>0.791666666666667</v>
      </c>
      <c r="K5" s="8">
        <v>0.375</v>
      </c>
      <c r="L5" s="8">
        <v>0.791666666666667</v>
      </c>
      <c r="M5" s="8">
        <v>0.375</v>
      </c>
      <c r="N5" s="8">
        <v>0.791666666666667</v>
      </c>
      <c r="O5" s="7" t="s">
        <v>23</v>
      </c>
      <c r="P5" s="7" t="s">
        <v>23</v>
      </c>
      <c r="Q5" s="7" t="s">
        <v>23</v>
      </c>
      <c r="R5" s="7" t="s">
        <v>23</v>
      </c>
      <c r="S5" s="8">
        <v>0.458333333333333</v>
      </c>
      <c r="T5" s="8">
        <v>0.666666666666667</v>
      </c>
    </row>
    <row r="6" customHeight="1" spans="1:20">
      <c r="A6" s="7">
        <v>10317522</v>
      </c>
      <c r="B6" s="8" t="s">
        <v>31</v>
      </c>
      <c r="C6" s="7" t="s">
        <v>20</v>
      </c>
      <c r="D6" s="7" t="s">
        <v>21</v>
      </c>
      <c r="E6" s="8" t="s">
        <v>22</v>
      </c>
      <c r="F6" s="9">
        <v>2</v>
      </c>
      <c r="G6" s="8">
        <v>0.375</v>
      </c>
      <c r="H6" s="8">
        <v>0.791666666666667</v>
      </c>
      <c r="I6" s="8">
        <v>0.375</v>
      </c>
      <c r="J6" s="8">
        <v>0.791666666666667</v>
      </c>
      <c r="K6" s="8">
        <v>0.375</v>
      </c>
      <c r="L6" s="8">
        <v>0.791666666666667</v>
      </c>
      <c r="M6" s="8">
        <v>0.375</v>
      </c>
      <c r="N6" s="8">
        <v>0.791666666666667</v>
      </c>
      <c r="O6" s="7" t="s">
        <v>23</v>
      </c>
      <c r="P6" s="7" t="s">
        <v>23</v>
      </c>
      <c r="Q6" s="7" t="s">
        <v>23</v>
      </c>
      <c r="R6" s="7" t="s">
        <v>23</v>
      </c>
      <c r="S6" s="8">
        <v>0.458333333333333</v>
      </c>
      <c r="T6" s="8">
        <v>0.666666666666667</v>
      </c>
    </row>
    <row r="7" customHeight="1" spans="1:20">
      <c r="A7" s="7">
        <v>10316549</v>
      </c>
      <c r="B7" s="8" t="s">
        <v>19</v>
      </c>
      <c r="C7" s="7" t="s">
        <v>20</v>
      </c>
      <c r="D7" s="7" t="s">
        <v>86</v>
      </c>
      <c r="E7" s="8" t="s">
        <v>22</v>
      </c>
      <c r="F7" s="9">
        <v>1</v>
      </c>
      <c r="G7" s="8">
        <v>0.375</v>
      </c>
      <c r="H7" s="8">
        <v>0.75</v>
      </c>
      <c r="I7" s="8">
        <v>0.375</v>
      </c>
      <c r="J7" s="8">
        <v>0.75</v>
      </c>
      <c r="K7" s="8">
        <v>0.375</v>
      </c>
      <c r="L7" s="8">
        <v>0.75</v>
      </c>
      <c r="M7" s="8">
        <v>0.375</v>
      </c>
      <c r="N7" s="8">
        <v>0.75</v>
      </c>
      <c r="O7" s="8">
        <v>0.375</v>
      </c>
      <c r="P7" s="8">
        <v>0.75</v>
      </c>
      <c r="Q7" s="7" t="s">
        <v>23</v>
      </c>
      <c r="R7" s="7" t="s">
        <v>23</v>
      </c>
      <c r="S7" s="7" t="s">
        <v>23</v>
      </c>
      <c r="T7" s="7" t="s">
        <v>23</v>
      </c>
    </row>
    <row r="8" customHeight="1" spans="1:20">
      <c r="A8" s="7">
        <v>10320413</v>
      </c>
      <c r="B8" s="8" t="s">
        <v>60</v>
      </c>
      <c r="C8" s="7" t="s">
        <v>20</v>
      </c>
      <c r="D8" s="7" t="s">
        <v>21</v>
      </c>
      <c r="E8" s="8" t="s">
        <v>22</v>
      </c>
      <c r="F8" s="9">
        <v>3</v>
      </c>
      <c r="G8" s="8">
        <v>0.375</v>
      </c>
      <c r="H8" s="8">
        <v>0.791666666666667</v>
      </c>
      <c r="I8" s="8">
        <v>0.375</v>
      </c>
      <c r="J8" s="8">
        <v>0.791666666666667</v>
      </c>
      <c r="K8" s="8">
        <v>0.375</v>
      </c>
      <c r="L8" s="8">
        <v>0.791666666666667</v>
      </c>
      <c r="M8" s="8">
        <v>0.375</v>
      </c>
      <c r="N8" s="8">
        <v>0.791666666666667</v>
      </c>
      <c r="O8" s="7" t="s">
        <v>23</v>
      </c>
      <c r="P8" s="7" t="s">
        <v>23</v>
      </c>
      <c r="Q8" s="7" t="s">
        <v>23</v>
      </c>
      <c r="R8" s="7" t="s">
        <v>23</v>
      </c>
      <c r="S8" s="8">
        <v>0.458333333333333</v>
      </c>
      <c r="T8" s="8">
        <v>0.666666666666667</v>
      </c>
    </row>
    <row r="9" customHeight="1" spans="1:20">
      <c r="A9" s="7">
        <v>10320408</v>
      </c>
      <c r="B9" s="8" t="s">
        <v>56</v>
      </c>
      <c r="C9" s="7" t="s">
        <v>20</v>
      </c>
      <c r="D9" s="7" t="s">
        <v>21</v>
      </c>
      <c r="E9" s="8" t="s">
        <v>22</v>
      </c>
      <c r="F9" s="9">
        <v>3</v>
      </c>
      <c r="G9" s="8">
        <v>0.5</v>
      </c>
      <c r="H9" s="8">
        <v>0.875</v>
      </c>
      <c r="I9" s="8">
        <v>0.5</v>
      </c>
      <c r="J9" s="8">
        <v>0.875</v>
      </c>
      <c r="K9" s="8">
        <v>0.5</v>
      </c>
      <c r="L9" s="8">
        <v>0.875</v>
      </c>
      <c r="M9" s="8">
        <v>0.5</v>
      </c>
      <c r="N9" s="8">
        <v>0.875</v>
      </c>
      <c r="O9" s="7" t="s">
        <v>23</v>
      </c>
      <c r="P9" s="7" t="s">
        <v>23</v>
      </c>
      <c r="Q9" s="7" t="s">
        <v>23</v>
      </c>
      <c r="R9" s="7" t="s">
        <v>23</v>
      </c>
      <c r="S9" s="8">
        <v>0.458333333333333</v>
      </c>
      <c r="T9" s="8">
        <v>0.666666666666667</v>
      </c>
    </row>
    <row r="10" customHeight="1" spans="1:20">
      <c r="A10" s="7">
        <v>10317147</v>
      </c>
      <c r="B10" s="8" t="s">
        <v>24</v>
      </c>
      <c r="C10" s="7" t="s">
        <v>20</v>
      </c>
      <c r="D10" s="7" t="s">
        <v>21</v>
      </c>
      <c r="E10" s="8" t="s">
        <v>22</v>
      </c>
      <c r="F10" s="9">
        <v>1</v>
      </c>
      <c r="G10" s="7" t="s">
        <v>23</v>
      </c>
      <c r="H10" s="7" t="s">
        <v>23</v>
      </c>
      <c r="I10" s="8">
        <v>0.375</v>
      </c>
      <c r="J10" s="8">
        <v>0.791666666666667</v>
      </c>
      <c r="K10" s="8">
        <v>0.375</v>
      </c>
      <c r="L10" s="8">
        <v>0.791666666666667</v>
      </c>
      <c r="M10" s="8">
        <v>0.375</v>
      </c>
      <c r="N10" s="8">
        <v>0.791666666666667</v>
      </c>
      <c r="O10" s="8">
        <v>0.375</v>
      </c>
      <c r="P10" s="8">
        <v>0.791666666666667</v>
      </c>
      <c r="Q10" s="8">
        <v>0.458333333333333</v>
      </c>
      <c r="R10" s="8">
        <v>0.666666666666667</v>
      </c>
      <c r="S10" s="7" t="s">
        <v>23</v>
      </c>
      <c r="T10" s="7" t="s">
        <v>23</v>
      </c>
    </row>
    <row r="11" customHeight="1" spans="1:20">
      <c r="A11" s="7">
        <v>10272259</v>
      </c>
      <c r="B11" s="8" t="s">
        <v>32</v>
      </c>
      <c r="C11" s="7" t="s">
        <v>20</v>
      </c>
      <c r="D11" s="7" t="s">
        <v>21</v>
      </c>
      <c r="E11" s="8" t="s">
        <v>22</v>
      </c>
      <c r="F11" s="9">
        <v>2</v>
      </c>
      <c r="G11" s="8">
        <v>0.333333333333333</v>
      </c>
      <c r="H11" s="8">
        <v>0.708333333333333</v>
      </c>
      <c r="I11" s="7" t="s">
        <v>23</v>
      </c>
      <c r="J11" s="7" t="s">
        <v>23</v>
      </c>
      <c r="K11" s="7" t="s">
        <v>23</v>
      </c>
      <c r="L11" s="7" t="s">
        <v>23</v>
      </c>
      <c r="M11" s="8">
        <v>0.375</v>
      </c>
      <c r="N11" s="8">
        <v>0.75</v>
      </c>
      <c r="O11" s="8">
        <v>0.375</v>
      </c>
      <c r="P11" s="8">
        <v>0.75</v>
      </c>
      <c r="Q11" s="8">
        <v>0.458333333333333</v>
      </c>
      <c r="R11" s="8">
        <v>0.666666666666667</v>
      </c>
      <c r="S11" s="8">
        <v>0.416666666666667</v>
      </c>
      <c r="T11" s="8">
        <v>0.625</v>
      </c>
    </row>
    <row r="12" customHeight="1" spans="1:20">
      <c r="A12" s="7">
        <v>10320412</v>
      </c>
      <c r="B12" s="8" t="s">
        <v>59</v>
      </c>
      <c r="C12" s="7" t="s">
        <v>20</v>
      </c>
      <c r="D12" s="7" t="s">
        <v>21</v>
      </c>
      <c r="E12" s="8" t="s">
        <v>22</v>
      </c>
      <c r="F12" s="9">
        <v>3</v>
      </c>
      <c r="G12" s="8">
        <v>0.375</v>
      </c>
      <c r="H12" s="8">
        <v>0.75</v>
      </c>
      <c r="I12" s="8">
        <v>0.375</v>
      </c>
      <c r="J12" s="8">
        <v>0.75</v>
      </c>
      <c r="K12" s="8">
        <v>0.375</v>
      </c>
      <c r="L12" s="8">
        <v>0.75</v>
      </c>
      <c r="M12" s="8">
        <v>0.375</v>
      </c>
      <c r="N12" s="8">
        <v>0.75</v>
      </c>
      <c r="O12" s="8">
        <v>0.375</v>
      </c>
      <c r="P12" s="8">
        <v>0.75</v>
      </c>
      <c r="Q12" s="7" t="s">
        <v>23</v>
      </c>
      <c r="R12" s="7" t="s">
        <v>23</v>
      </c>
      <c r="S12" s="7" t="s">
        <v>23</v>
      </c>
      <c r="T12" s="7" t="s">
        <v>23</v>
      </c>
    </row>
    <row r="13" customHeight="1" spans="1:20">
      <c r="A13" s="7">
        <v>10320418</v>
      </c>
      <c r="B13" s="8" t="s">
        <v>68</v>
      </c>
      <c r="C13" s="7" t="s">
        <v>20</v>
      </c>
      <c r="D13" s="7" t="s">
        <v>21</v>
      </c>
      <c r="E13" s="8" t="s">
        <v>22</v>
      </c>
      <c r="F13" s="9">
        <v>3</v>
      </c>
      <c r="G13" s="8">
        <v>0.5</v>
      </c>
      <c r="H13" s="8">
        <v>0.875</v>
      </c>
      <c r="I13" s="8">
        <v>0.5</v>
      </c>
      <c r="J13" s="8">
        <v>0.875</v>
      </c>
      <c r="K13" s="8">
        <v>0.5</v>
      </c>
      <c r="L13" s="8">
        <v>0.875</v>
      </c>
      <c r="M13" s="8">
        <v>0.5</v>
      </c>
      <c r="N13" s="8">
        <v>0.875</v>
      </c>
      <c r="O13" s="7" t="s">
        <v>23</v>
      </c>
      <c r="P13" s="7" t="s">
        <v>23</v>
      </c>
      <c r="Q13" s="7" t="s">
        <v>23</v>
      </c>
      <c r="R13" s="7" t="s">
        <v>23</v>
      </c>
      <c r="S13" s="8">
        <v>0.458333333333333</v>
      </c>
      <c r="T13" s="8">
        <v>0.666666666666667</v>
      </c>
    </row>
    <row r="14" customHeight="1" spans="1:20">
      <c r="A14" s="7">
        <v>10316618</v>
      </c>
      <c r="B14" s="8" t="s">
        <v>33</v>
      </c>
      <c r="C14" s="7" t="s">
        <v>20</v>
      </c>
      <c r="D14" s="7" t="s">
        <v>86</v>
      </c>
      <c r="E14" s="8" t="s">
        <v>22</v>
      </c>
      <c r="F14" s="9">
        <v>1</v>
      </c>
      <c r="G14" s="8">
        <v>0.375</v>
      </c>
      <c r="H14" s="8">
        <v>0.75</v>
      </c>
      <c r="I14" s="8">
        <v>0.375</v>
      </c>
      <c r="J14" s="8">
        <v>0.75</v>
      </c>
      <c r="K14" s="8">
        <v>0.375</v>
      </c>
      <c r="L14" s="8">
        <v>0.75</v>
      </c>
      <c r="M14" s="8">
        <v>0.375</v>
      </c>
      <c r="N14" s="8">
        <v>0.75</v>
      </c>
      <c r="O14" s="8">
        <v>0.375</v>
      </c>
      <c r="P14" s="8">
        <v>0.75</v>
      </c>
      <c r="Q14" s="7" t="s">
        <v>23</v>
      </c>
      <c r="R14" s="7" t="s">
        <v>23</v>
      </c>
      <c r="S14" s="7" t="s">
        <v>23</v>
      </c>
      <c r="T14" s="7" t="s">
        <v>23</v>
      </c>
    </row>
    <row r="15" customHeight="1" spans="1:20">
      <c r="A15" s="7">
        <v>10250963</v>
      </c>
      <c r="B15" s="8" t="s">
        <v>25</v>
      </c>
      <c r="C15" s="7" t="s">
        <v>20</v>
      </c>
      <c r="D15" s="7" t="s">
        <v>21</v>
      </c>
      <c r="E15" s="8" t="s">
        <v>22</v>
      </c>
      <c r="F15" s="9">
        <v>1</v>
      </c>
      <c r="G15" s="8">
        <v>0.375</v>
      </c>
      <c r="H15" s="8">
        <v>0.75</v>
      </c>
      <c r="I15" s="8">
        <v>0.375</v>
      </c>
      <c r="J15" s="8">
        <v>0.75</v>
      </c>
      <c r="K15" s="8">
        <v>0.375</v>
      </c>
      <c r="L15" s="8">
        <v>0.75</v>
      </c>
      <c r="M15" s="8">
        <v>0.375</v>
      </c>
      <c r="N15" s="8">
        <v>0.75</v>
      </c>
      <c r="O15" s="8">
        <v>0.375</v>
      </c>
      <c r="P15" s="8">
        <v>0.75</v>
      </c>
      <c r="Q15" s="7" t="s">
        <v>23</v>
      </c>
      <c r="R15" s="7" t="s">
        <v>23</v>
      </c>
      <c r="S15" s="7" t="s">
        <v>23</v>
      </c>
      <c r="T15" s="7" t="s">
        <v>23</v>
      </c>
    </row>
    <row r="16" customHeight="1" spans="1:20">
      <c r="A16" s="7">
        <v>10295555</v>
      </c>
      <c r="B16" s="8" t="s">
        <v>34</v>
      </c>
      <c r="C16" s="7" t="s">
        <v>20</v>
      </c>
      <c r="D16" s="7" t="s">
        <v>21</v>
      </c>
      <c r="E16" s="8" t="s">
        <v>35</v>
      </c>
      <c r="F16" s="9">
        <v>2</v>
      </c>
      <c r="G16" s="8">
        <v>0.375</v>
      </c>
      <c r="H16" s="8">
        <v>0.583333333333333</v>
      </c>
      <c r="I16" s="8">
        <v>0.375</v>
      </c>
      <c r="J16" s="8">
        <v>0.583333333333333</v>
      </c>
      <c r="K16" s="7" t="s">
        <v>23</v>
      </c>
      <c r="L16" s="7" t="s">
        <v>23</v>
      </c>
      <c r="M16" s="7" t="s">
        <v>23</v>
      </c>
      <c r="N16" s="7" t="s">
        <v>23</v>
      </c>
      <c r="O16" s="8">
        <v>0.375</v>
      </c>
      <c r="P16" s="8">
        <v>0.583333333333333</v>
      </c>
      <c r="Q16" s="8">
        <v>0.458333333333333</v>
      </c>
      <c r="R16" s="8">
        <v>0.666666666666667</v>
      </c>
      <c r="S16" s="8">
        <v>0.458333333333333</v>
      </c>
      <c r="T16" s="8">
        <v>0.666666666666667</v>
      </c>
    </row>
    <row r="17" customHeight="1" spans="1:20">
      <c r="A17" s="7">
        <v>10317520</v>
      </c>
      <c r="B17" s="8" t="s">
        <v>37</v>
      </c>
      <c r="C17" s="7" t="s">
        <v>20</v>
      </c>
      <c r="D17" s="7" t="s">
        <v>21</v>
      </c>
      <c r="E17" s="8" t="s">
        <v>22</v>
      </c>
      <c r="F17" s="9">
        <v>2</v>
      </c>
      <c r="G17" s="7" t="s">
        <v>23</v>
      </c>
      <c r="H17" s="7" t="s">
        <v>23</v>
      </c>
      <c r="I17" s="8">
        <v>0.333333333333333</v>
      </c>
      <c r="J17" s="8">
        <v>0.75</v>
      </c>
      <c r="K17" s="8">
        <v>0.333333333333333</v>
      </c>
      <c r="L17" s="8">
        <v>0.75</v>
      </c>
      <c r="M17" s="8">
        <v>0.333333333333333</v>
      </c>
      <c r="N17" s="8">
        <v>0.75</v>
      </c>
      <c r="O17" s="8">
        <v>0.333333333333333</v>
      </c>
      <c r="P17" s="8">
        <v>0.75</v>
      </c>
      <c r="Q17" s="8">
        <v>0.416666666666667</v>
      </c>
      <c r="R17" s="8">
        <v>0.625</v>
      </c>
      <c r="S17" s="7" t="s">
        <v>23</v>
      </c>
      <c r="T17" s="7" t="s">
        <v>23</v>
      </c>
    </row>
    <row r="18" customHeight="1" spans="1:20">
      <c r="A18" s="7">
        <v>10320414</v>
      </c>
      <c r="B18" s="8" t="s">
        <v>62</v>
      </c>
      <c r="C18" s="7" t="s">
        <v>20</v>
      </c>
      <c r="D18" s="7" t="s">
        <v>21</v>
      </c>
      <c r="E18" s="8" t="s">
        <v>22</v>
      </c>
      <c r="F18" s="9">
        <v>3</v>
      </c>
      <c r="G18" s="7" t="s">
        <v>23</v>
      </c>
      <c r="H18" s="7" t="s">
        <v>23</v>
      </c>
      <c r="I18" s="8">
        <v>0.458333333333333</v>
      </c>
      <c r="J18" s="8">
        <v>0.875</v>
      </c>
      <c r="K18" s="8">
        <v>0.458333333333333</v>
      </c>
      <c r="L18" s="8">
        <v>0.875</v>
      </c>
      <c r="M18" s="8">
        <v>0.458333333333333</v>
      </c>
      <c r="N18" s="8">
        <v>0.875</v>
      </c>
      <c r="O18" s="8">
        <v>0.458333333333333</v>
      </c>
      <c r="P18" s="8">
        <v>0.875</v>
      </c>
      <c r="Q18" s="8">
        <v>0.458333333333333</v>
      </c>
      <c r="R18" s="8">
        <v>0.666666666666667</v>
      </c>
      <c r="S18" s="7" t="s">
        <v>23</v>
      </c>
      <c r="T18" s="7" t="s">
        <v>23</v>
      </c>
    </row>
    <row r="19" customHeight="1" spans="1:20">
      <c r="A19" s="7">
        <v>10316681</v>
      </c>
      <c r="B19" s="8" t="s">
        <v>38</v>
      </c>
      <c r="C19" s="7" t="s">
        <v>89</v>
      </c>
      <c r="D19" s="7" t="s">
        <v>21</v>
      </c>
      <c r="E19" s="8" t="s">
        <v>22</v>
      </c>
      <c r="F19" s="9">
        <v>1</v>
      </c>
      <c r="G19" s="8">
        <v>0.375</v>
      </c>
      <c r="H19" s="8">
        <v>0.75</v>
      </c>
      <c r="I19" s="8">
        <v>0.375</v>
      </c>
      <c r="J19" s="8">
        <v>0.75</v>
      </c>
      <c r="K19" s="8">
        <v>0.375</v>
      </c>
      <c r="L19" s="8">
        <v>0.75</v>
      </c>
      <c r="M19" s="8">
        <v>0.375</v>
      </c>
      <c r="N19" s="8">
        <v>0.75</v>
      </c>
      <c r="O19" s="8">
        <v>0.375</v>
      </c>
      <c r="P19" s="8">
        <v>0.75</v>
      </c>
      <c r="Q19" s="7" t="s">
        <v>23</v>
      </c>
      <c r="R19" s="7" t="s">
        <v>23</v>
      </c>
      <c r="S19" s="7" t="s">
        <v>23</v>
      </c>
      <c r="T19" s="7" t="s">
        <v>23</v>
      </c>
    </row>
    <row r="20" customHeight="1" spans="1:20">
      <c r="A20" s="7">
        <v>10316650</v>
      </c>
      <c r="B20" s="8" t="s">
        <v>39</v>
      </c>
      <c r="C20" s="7" t="s">
        <v>20</v>
      </c>
      <c r="D20" s="7" t="s">
        <v>21</v>
      </c>
      <c r="E20" s="8" t="s">
        <v>22</v>
      </c>
      <c r="F20" s="9">
        <v>2</v>
      </c>
      <c r="G20" s="8">
        <v>0.458333333333333</v>
      </c>
      <c r="H20" s="8">
        <v>0.875</v>
      </c>
      <c r="I20" s="8">
        <v>0.458333333333333</v>
      </c>
      <c r="J20" s="8">
        <v>0.875</v>
      </c>
      <c r="K20" s="8">
        <v>0.458333333333333</v>
      </c>
      <c r="L20" s="8">
        <v>0.875</v>
      </c>
      <c r="M20" s="8">
        <v>0.458333333333333</v>
      </c>
      <c r="N20" s="8">
        <v>0.875</v>
      </c>
      <c r="O20" s="7" t="s">
        <v>23</v>
      </c>
      <c r="P20" s="7" t="s">
        <v>23</v>
      </c>
      <c r="Q20" s="7" t="s">
        <v>23</v>
      </c>
      <c r="R20" s="7" t="s">
        <v>23</v>
      </c>
      <c r="S20" s="8">
        <v>0.458333333333333</v>
      </c>
      <c r="T20" s="8">
        <v>0.666666666666667</v>
      </c>
    </row>
    <row r="21" customHeight="1" spans="1:20">
      <c r="A21" s="7">
        <v>10320416</v>
      </c>
      <c r="B21" s="8" t="s">
        <v>66</v>
      </c>
      <c r="C21" s="7" t="s">
        <v>20</v>
      </c>
      <c r="D21" s="7" t="s">
        <v>21</v>
      </c>
      <c r="E21" s="8" t="s">
        <v>22</v>
      </c>
      <c r="F21" s="9">
        <v>3</v>
      </c>
      <c r="G21" s="8">
        <v>0.375</v>
      </c>
      <c r="H21" s="8">
        <v>0.75</v>
      </c>
      <c r="I21" s="8">
        <v>0.375</v>
      </c>
      <c r="J21" s="8">
        <v>0.75</v>
      </c>
      <c r="K21" s="8">
        <v>0.375</v>
      </c>
      <c r="L21" s="8">
        <v>0.75</v>
      </c>
      <c r="M21" s="8">
        <v>0.375</v>
      </c>
      <c r="N21" s="8">
        <v>0.75</v>
      </c>
      <c r="O21" s="8">
        <v>0.375</v>
      </c>
      <c r="P21" s="8">
        <v>0.75</v>
      </c>
      <c r="Q21" s="7" t="s">
        <v>23</v>
      </c>
      <c r="R21" s="7" t="s">
        <v>23</v>
      </c>
      <c r="S21" s="7" t="s">
        <v>23</v>
      </c>
      <c r="T21" s="7" t="s">
        <v>23</v>
      </c>
    </row>
    <row r="22" customHeight="1" spans="1:20">
      <c r="A22" s="7">
        <v>10316530</v>
      </c>
      <c r="B22" s="8" t="s">
        <v>26</v>
      </c>
      <c r="C22" s="7" t="s">
        <v>20</v>
      </c>
      <c r="D22" s="7" t="s">
        <v>21</v>
      </c>
      <c r="E22" s="8" t="s">
        <v>22</v>
      </c>
      <c r="F22" s="9">
        <v>1</v>
      </c>
      <c r="G22" s="8">
        <v>0.375</v>
      </c>
      <c r="H22" s="8">
        <v>0.75</v>
      </c>
      <c r="I22" s="8">
        <v>0.375</v>
      </c>
      <c r="J22" s="8">
        <v>0.75</v>
      </c>
      <c r="K22" s="8">
        <v>0.375</v>
      </c>
      <c r="L22" s="8">
        <v>0.75</v>
      </c>
      <c r="M22" s="8">
        <v>0.375</v>
      </c>
      <c r="N22" s="8">
        <v>0.75</v>
      </c>
      <c r="O22" s="8">
        <v>0.375</v>
      </c>
      <c r="P22" s="8">
        <v>0.75</v>
      </c>
      <c r="Q22" s="7" t="s">
        <v>23</v>
      </c>
      <c r="R22" s="7" t="s">
        <v>23</v>
      </c>
      <c r="S22" s="7" t="s">
        <v>23</v>
      </c>
      <c r="T22" s="7" t="s">
        <v>23</v>
      </c>
    </row>
    <row r="23" customHeight="1" spans="1:20">
      <c r="A23" s="7">
        <v>10316680</v>
      </c>
      <c r="B23" s="8" t="s">
        <v>40</v>
      </c>
      <c r="C23" s="7" t="s">
        <v>20</v>
      </c>
      <c r="D23" s="7" t="s">
        <v>21</v>
      </c>
      <c r="E23" s="8" t="s">
        <v>22</v>
      </c>
      <c r="F23" s="9">
        <v>1</v>
      </c>
      <c r="G23" s="8">
        <v>0.375</v>
      </c>
      <c r="H23" s="8">
        <v>0.75</v>
      </c>
      <c r="I23" s="8">
        <v>0.375</v>
      </c>
      <c r="J23" s="8">
        <v>0.75</v>
      </c>
      <c r="K23" s="8">
        <v>0.375</v>
      </c>
      <c r="L23" s="8">
        <v>0.75</v>
      </c>
      <c r="M23" s="8">
        <v>0.375</v>
      </c>
      <c r="N23" s="8">
        <v>0.75</v>
      </c>
      <c r="O23" s="8">
        <v>0.375</v>
      </c>
      <c r="P23" s="8">
        <v>0.75</v>
      </c>
      <c r="Q23" s="7" t="s">
        <v>23</v>
      </c>
      <c r="R23" s="7" t="s">
        <v>23</v>
      </c>
      <c r="S23" s="7" t="s">
        <v>23</v>
      </c>
      <c r="T23" s="7" t="s">
        <v>23</v>
      </c>
    </row>
    <row r="24" customHeight="1" spans="1:20">
      <c r="A24" s="7">
        <v>10250966</v>
      </c>
      <c r="B24" s="8" t="s">
        <v>61</v>
      </c>
      <c r="C24" s="7" t="s">
        <v>20</v>
      </c>
      <c r="D24" s="7" t="s">
        <v>21</v>
      </c>
      <c r="E24" s="8" t="s">
        <v>22</v>
      </c>
      <c r="F24" s="9">
        <v>3</v>
      </c>
      <c r="G24" s="8">
        <v>0.458333333333333</v>
      </c>
      <c r="H24" s="8">
        <v>0.875</v>
      </c>
      <c r="I24" s="8">
        <v>0.458333333333333</v>
      </c>
      <c r="J24" s="8">
        <v>0.875</v>
      </c>
      <c r="K24" s="8">
        <v>0.458333333333333</v>
      </c>
      <c r="L24" s="8">
        <v>0.875</v>
      </c>
      <c r="M24" s="8">
        <v>0.458333333333333</v>
      </c>
      <c r="N24" s="8">
        <v>0.875</v>
      </c>
      <c r="O24" s="7" t="s">
        <v>23</v>
      </c>
      <c r="P24" s="7" t="s">
        <v>23</v>
      </c>
      <c r="Q24" s="7" t="s">
        <v>23</v>
      </c>
      <c r="R24" s="7" t="s">
        <v>23</v>
      </c>
      <c r="S24" s="8">
        <v>0.458333333333333</v>
      </c>
      <c r="T24" s="8">
        <v>0.666666666666667</v>
      </c>
    </row>
    <row r="25" customHeight="1" spans="1:20">
      <c r="A25" s="7">
        <v>10316543</v>
      </c>
      <c r="B25" s="8" t="s">
        <v>41</v>
      </c>
      <c r="C25" s="7" t="s">
        <v>20</v>
      </c>
      <c r="D25" s="7" t="s">
        <v>21</v>
      </c>
      <c r="E25" s="8" t="s">
        <v>22</v>
      </c>
      <c r="F25" s="9">
        <v>1</v>
      </c>
      <c r="G25" s="8">
        <v>0.375</v>
      </c>
      <c r="H25" s="8">
        <v>0.791666666666667</v>
      </c>
      <c r="I25" s="8">
        <v>0.375</v>
      </c>
      <c r="J25" s="8">
        <v>0.791666666666667</v>
      </c>
      <c r="K25" s="8">
        <v>0.375</v>
      </c>
      <c r="L25" s="8">
        <v>0.791666666666667</v>
      </c>
      <c r="M25" s="8">
        <v>0.375</v>
      </c>
      <c r="N25" s="8">
        <v>0.791666666666667</v>
      </c>
      <c r="O25" s="7" t="s">
        <v>23</v>
      </c>
      <c r="P25" s="7" t="s">
        <v>23</v>
      </c>
      <c r="Q25" s="7" t="s">
        <v>23</v>
      </c>
      <c r="R25" s="7" t="s">
        <v>23</v>
      </c>
      <c r="S25" s="8">
        <v>0.458333333333333</v>
      </c>
      <c r="T25" s="8">
        <v>0.666666666666667</v>
      </c>
    </row>
    <row r="26" customHeight="1" spans="1:20">
      <c r="A26" s="7">
        <v>10317521</v>
      </c>
      <c r="B26" s="8" t="s">
        <v>28</v>
      </c>
      <c r="C26" s="7" t="s">
        <v>20</v>
      </c>
      <c r="D26" s="7" t="s">
        <v>21</v>
      </c>
      <c r="E26" s="8" t="s">
        <v>22</v>
      </c>
      <c r="F26" s="9">
        <v>2</v>
      </c>
      <c r="G26" s="7" t="s">
        <v>23</v>
      </c>
      <c r="H26" s="7" t="s">
        <v>23</v>
      </c>
      <c r="I26" s="8">
        <v>0.333333333333333</v>
      </c>
      <c r="J26" s="8">
        <v>0.75</v>
      </c>
      <c r="K26" s="8">
        <v>0.333333333333333</v>
      </c>
      <c r="L26" s="8">
        <v>0.75</v>
      </c>
      <c r="M26" s="8">
        <v>0.333333333333333</v>
      </c>
      <c r="N26" s="8">
        <v>0.75</v>
      </c>
      <c r="O26" s="8">
        <v>0.333333333333333</v>
      </c>
      <c r="P26" s="8">
        <v>0.75</v>
      </c>
      <c r="Q26" s="8">
        <v>0.416666666666667</v>
      </c>
      <c r="R26" s="8">
        <v>0.625</v>
      </c>
      <c r="S26" s="7" t="s">
        <v>23</v>
      </c>
      <c r="T26" s="7" t="s">
        <v>23</v>
      </c>
    </row>
    <row r="27" customHeight="1" spans="1:20">
      <c r="A27" s="7">
        <v>10317517</v>
      </c>
      <c r="B27" s="8" t="s">
        <v>29</v>
      </c>
      <c r="C27" s="7" t="s">
        <v>20</v>
      </c>
      <c r="D27" s="7" t="s">
        <v>21</v>
      </c>
      <c r="E27" s="8" t="s">
        <v>22</v>
      </c>
      <c r="F27" s="9">
        <v>2</v>
      </c>
      <c r="G27" s="8">
        <v>0.5</v>
      </c>
      <c r="H27" s="8">
        <v>0.875</v>
      </c>
      <c r="I27" s="8">
        <v>0.5</v>
      </c>
      <c r="J27" s="8">
        <v>0.875</v>
      </c>
      <c r="K27" s="8">
        <v>0.5</v>
      </c>
      <c r="L27" s="8">
        <v>0.875</v>
      </c>
      <c r="M27" s="8">
        <v>0.5</v>
      </c>
      <c r="N27" s="8">
        <v>0.875</v>
      </c>
      <c r="O27" s="8">
        <v>0.5</v>
      </c>
      <c r="P27" s="8">
        <v>0.875</v>
      </c>
      <c r="Q27" s="7" t="s">
        <v>23</v>
      </c>
      <c r="R27" s="7" t="s">
        <v>23</v>
      </c>
      <c r="S27" s="7" t="s">
        <v>23</v>
      </c>
      <c r="T27" s="7" t="s">
        <v>23</v>
      </c>
    </row>
    <row r="28" customHeight="1" spans="1:20">
      <c r="A28" s="7">
        <v>10252106</v>
      </c>
      <c r="B28" s="8" t="s">
        <v>43</v>
      </c>
      <c r="C28" s="7" t="s">
        <v>20</v>
      </c>
      <c r="D28" s="7" t="s">
        <v>21</v>
      </c>
      <c r="E28" s="8" t="s">
        <v>22</v>
      </c>
      <c r="F28" s="9">
        <v>2</v>
      </c>
      <c r="G28" s="8">
        <v>0.5</v>
      </c>
      <c r="H28" s="8">
        <v>0.875</v>
      </c>
      <c r="I28" s="7" t="s">
        <v>23</v>
      </c>
      <c r="J28" s="7" t="s">
        <v>23</v>
      </c>
      <c r="K28" s="7" t="s">
        <v>23</v>
      </c>
      <c r="L28" s="7" t="s">
        <v>23</v>
      </c>
      <c r="M28" s="8">
        <v>0.5</v>
      </c>
      <c r="N28" s="8">
        <v>0.875</v>
      </c>
      <c r="O28" s="8">
        <v>0.5</v>
      </c>
      <c r="P28" s="8">
        <v>0.875</v>
      </c>
      <c r="Q28" s="8">
        <v>0.458333333333333</v>
      </c>
      <c r="R28" s="8">
        <v>0.666666666666667</v>
      </c>
      <c r="S28" s="8">
        <v>0.458333333333333</v>
      </c>
      <c r="T28" s="8">
        <v>0.666666666666667</v>
      </c>
    </row>
    <row r="29" customHeight="1" spans="1:20">
      <c r="A29" s="7">
        <v>10320407</v>
      </c>
      <c r="B29" s="8" t="s">
        <v>55</v>
      </c>
      <c r="C29" s="7" t="s">
        <v>20</v>
      </c>
      <c r="D29" s="7" t="s">
        <v>21</v>
      </c>
      <c r="E29" s="8" t="s">
        <v>22</v>
      </c>
      <c r="F29" s="9">
        <v>3</v>
      </c>
      <c r="G29" s="7" t="s">
        <v>23</v>
      </c>
      <c r="H29" s="7" t="s">
        <v>23</v>
      </c>
      <c r="I29" s="8">
        <v>0.458333333333333</v>
      </c>
      <c r="J29" s="8">
        <v>0.875</v>
      </c>
      <c r="K29" s="8">
        <v>0.458333333333333</v>
      </c>
      <c r="L29" s="8">
        <v>0.875</v>
      </c>
      <c r="M29" s="8">
        <v>0.458333333333333</v>
      </c>
      <c r="N29" s="8">
        <v>0.875</v>
      </c>
      <c r="O29" s="8">
        <v>0.458333333333333</v>
      </c>
      <c r="P29" s="8">
        <v>0.875</v>
      </c>
      <c r="Q29" s="8">
        <v>0.458333333333333</v>
      </c>
      <c r="R29" s="8">
        <v>0.666666666666667</v>
      </c>
      <c r="S29" s="7" t="s">
        <v>23</v>
      </c>
      <c r="T29" s="7" t="s">
        <v>23</v>
      </c>
    </row>
    <row r="30" customHeight="1" spans="1:20">
      <c r="A30" s="7">
        <v>10320417</v>
      </c>
      <c r="B30" s="8" t="s">
        <v>67</v>
      </c>
      <c r="C30" s="7" t="s">
        <v>20</v>
      </c>
      <c r="D30" s="7" t="s">
        <v>21</v>
      </c>
      <c r="E30" s="8" t="s">
        <v>22</v>
      </c>
      <c r="F30" s="9">
        <v>3</v>
      </c>
      <c r="G30" s="8">
        <v>0.458333333333333</v>
      </c>
      <c r="H30" s="8">
        <v>0.875</v>
      </c>
      <c r="I30" s="8">
        <v>0.458333333333333</v>
      </c>
      <c r="J30" s="8">
        <v>0.875</v>
      </c>
      <c r="K30" s="8">
        <v>0.458333333333333</v>
      </c>
      <c r="L30" s="8">
        <v>0.875</v>
      </c>
      <c r="M30" s="8">
        <v>0.458333333333333</v>
      </c>
      <c r="N30" s="8">
        <v>0.875</v>
      </c>
      <c r="O30" s="7" t="s">
        <v>23</v>
      </c>
      <c r="P30" s="7" t="s">
        <v>23</v>
      </c>
      <c r="Q30" s="7" t="s">
        <v>23</v>
      </c>
      <c r="R30" s="7" t="s">
        <v>23</v>
      </c>
      <c r="S30" s="8">
        <v>0.458333333333333</v>
      </c>
      <c r="T30" s="8">
        <v>0.666666666666667</v>
      </c>
    </row>
    <row r="31" customHeight="1" spans="1:20">
      <c r="A31" s="7">
        <v>10317154</v>
      </c>
      <c r="B31" s="8" t="s">
        <v>70</v>
      </c>
      <c r="C31" s="7" t="s">
        <v>20</v>
      </c>
      <c r="D31" s="7" t="s">
        <v>21</v>
      </c>
      <c r="E31" s="8" t="s">
        <v>22</v>
      </c>
      <c r="F31" s="9">
        <v>3</v>
      </c>
      <c r="G31" s="8">
        <v>0.416666666666667</v>
      </c>
      <c r="H31" s="8">
        <v>0.833333333333333</v>
      </c>
      <c r="I31" s="8">
        <v>0.416666666666667</v>
      </c>
      <c r="J31" s="8">
        <v>0.833333333333333</v>
      </c>
      <c r="K31" s="8">
        <v>0.416666666666667</v>
      </c>
      <c r="L31" s="8">
        <v>0.833333333333333</v>
      </c>
      <c r="M31" s="8">
        <v>0.416666666666667</v>
      </c>
      <c r="N31" s="8">
        <v>0.833333333333333</v>
      </c>
      <c r="O31" s="7" t="s">
        <v>23</v>
      </c>
      <c r="P31" s="7" t="s">
        <v>23</v>
      </c>
      <c r="Q31" s="7" t="s">
        <v>23</v>
      </c>
      <c r="R31" s="7" t="s">
        <v>23</v>
      </c>
      <c r="S31" s="8">
        <v>0.416666666666667</v>
      </c>
      <c r="T31" s="8">
        <v>0.625</v>
      </c>
    </row>
    <row r="32" customHeight="1" spans="1:20">
      <c r="A32" s="7">
        <v>10320436</v>
      </c>
      <c r="B32" s="8" t="s">
        <v>90</v>
      </c>
      <c r="C32" s="7" t="s">
        <v>20</v>
      </c>
      <c r="D32" s="7" t="s">
        <v>21</v>
      </c>
      <c r="E32" s="8" t="s">
        <v>22</v>
      </c>
      <c r="F32" s="9">
        <v>3</v>
      </c>
      <c r="G32" s="8">
        <v>0.458333333333333</v>
      </c>
      <c r="H32" s="8">
        <v>0.875</v>
      </c>
      <c r="I32" s="8">
        <v>0.458333333333333</v>
      </c>
      <c r="J32" s="8">
        <v>0.875</v>
      </c>
      <c r="K32" s="8">
        <v>0.458333333333333</v>
      </c>
      <c r="L32" s="8">
        <v>0.875</v>
      </c>
      <c r="M32" s="8">
        <v>0.458333333333333</v>
      </c>
      <c r="N32" s="8">
        <v>0.875</v>
      </c>
      <c r="O32" s="7" t="s">
        <v>23</v>
      </c>
      <c r="P32" s="7" t="s">
        <v>23</v>
      </c>
      <c r="Q32" s="7" t="s">
        <v>23</v>
      </c>
      <c r="R32" s="7" t="s">
        <v>23</v>
      </c>
      <c r="S32" s="8">
        <v>0.458333333333333</v>
      </c>
      <c r="T32" s="8">
        <v>0.666666666666667</v>
      </c>
    </row>
    <row r="33" customHeight="1" spans="1:20">
      <c r="A33" s="7">
        <v>10316538</v>
      </c>
      <c r="B33" s="8" t="s">
        <v>44</v>
      </c>
      <c r="C33" s="7" t="s">
        <v>20</v>
      </c>
      <c r="D33" s="7" t="s">
        <v>21</v>
      </c>
      <c r="E33" s="8" t="s">
        <v>22</v>
      </c>
      <c r="F33" s="9">
        <v>1</v>
      </c>
      <c r="G33" s="8">
        <v>0.375</v>
      </c>
      <c r="H33" s="8">
        <v>0.75</v>
      </c>
      <c r="I33" s="8">
        <v>0.375</v>
      </c>
      <c r="J33" s="8">
        <v>0.75</v>
      </c>
      <c r="K33" s="7" t="s">
        <v>23</v>
      </c>
      <c r="L33" s="7" t="s">
        <v>23</v>
      </c>
      <c r="M33" s="7" t="s">
        <v>23</v>
      </c>
      <c r="N33" s="7" t="s">
        <v>23</v>
      </c>
      <c r="O33" s="8">
        <v>0.375</v>
      </c>
      <c r="P33" s="8">
        <v>0.75</v>
      </c>
      <c r="Q33" s="8">
        <v>0.458333333333333</v>
      </c>
      <c r="R33" s="8">
        <v>0.666666666666667</v>
      </c>
      <c r="S33" s="8">
        <v>0.458333333333333</v>
      </c>
      <c r="T33" s="8">
        <v>0.666666666666667</v>
      </c>
    </row>
    <row r="34" customHeight="1" spans="1:20">
      <c r="A34" s="7">
        <v>10293607</v>
      </c>
      <c r="B34" s="8" t="s">
        <v>65</v>
      </c>
      <c r="C34" s="7" t="s">
        <v>20</v>
      </c>
      <c r="D34" s="7" t="s">
        <v>21</v>
      </c>
      <c r="E34" s="8" t="s">
        <v>22</v>
      </c>
      <c r="F34" s="9">
        <v>3</v>
      </c>
      <c r="G34" s="8">
        <v>0.375</v>
      </c>
      <c r="H34" s="8">
        <v>0.791666666666667</v>
      </c>
      <c r="I34" s="8">
        <v>0.375</v>
      </c>
      <c r="J34" s="8">
        <v>0.791666666666667</v>
      </c>
      <c r="K34" s="8">
        <v>0.375</v>
      </c>
      <c r="L34" s="8">
        <v>0.791666666666667</v>
      </c>
      <c r="M34" s="8">
        <v>0.375</v>
      </c>
      <c r="N34" s="8">
        <v>0.791666666666667</v>
      </c>
      <c r="O34" s="7" t="s">
        <v>23</v>
      </c>
      <c r="P34" s="7" t="s">
        <v>23</v>
      </c>
      <c r="Q34" s="7" t="s">
        <v>23</v>
      </c>
      <c r="R34" s="7" t="s">
        <v>23</v>
      </c>
      <c r="S34" s="8">
        <v>0.458333333333333</v>
      </c>
      <c r="T34" s="8">
        <v>0.666666666666667</v>
      </c>
    </row>
    <row r="35" customHeight="1" spans="1:20">
      <c r="A35" s="7">
        <v>10316545</v>
      </c>
      <c r="B35" s="8" t="s">
        <v>45</v>
      </c>
      <c r="C35" s="7" t="s">
        <v>20</v>
      </c>
      <c r="D35" s="7" t="s">
        <v>21</v>
      </c>
      <c r="E35" s="8" t="s">
        <v>22</v>
      </c>
      <c r="F35" s="9">
        <v>1</v>
      </c>
      <c r="G35" s="8">
        <v>0.5</v>
      </c>
      <c r="H35" s="8">
        <v>0.875</v>
      </c>
      <c r="I35" s="8">
        <v>0.5</v>
      </c>
      <c r="J35" s="8">
        <v>0.875</v>
      </c>
      <c r="K35" s="8">
        <v>0.5</v>
      </c>
      <c r="L35" s="8">
        <v>0.875</v>
      </c>
      <c r="M35" s="8">
        <v>0.5</v>
      </c>
      <c r="N35" s="8">
        <v>0.875</v>
      </c>
      <c r="O35" s="8">
        <v>0.5</v>
      </c>
      <c r="P35" s="8">
        <v>0.875</v>
      </c>
      <c r="Q35" s="7" t="s">
        <v>23</v>
      </c>
      <c r="R35" s="7" t="s">
        <v>23</v>
      </c>
      <c r="S35" s="7" t="s">
        <v>23</v>
      </c>
      <c r="T35" s="7" t="s">
        <v>23</v>
      </c>
    </row>
    <row r="36" customHeight="1" spans="1:20">
      <c r="A36" s="7">
        <v>10316572</v>
      </c>
      <c r="B36" s="8" t="s">
        <v>46</v>
      </c>
      <c r="C36" s="7" t="s">
        <v>20</v>
      </c>
      <c r="D36" s="7" t="s">
        <v>21</v>
      </c>
      <c r="E36" s="8" t="s">
        <v>22</v>
      </c>
      <c r="F36" s="9">
        <v>2</v>
      </c>
      <c r="G36" s="8">
        <v>0.333333333333333</v>
      </c>
      <c r="H36" s="8">
        <v>0.75</v>
      </c>
      <c r="I36" s="8">
        <v>0.375</v>
      </c>
      <c r="J36" s="8">
        <v>0.791666666666667</v>
      </c>
      <c r="K36" s="8">
        <v>0.375</v>
      </c>
      <c r="L36" s="8">
        <v>0.791666666666667</v>
      </c>
      <c r="M36" s="8">
        <v>0.375</v>
      </c>
      <c r="N36" s="8">
        <v>0.791666666666667</v>
      </c>
      <c r="O36" s="7" t="s">
        <v>23</v>
      </c>
      <c r="P36" s="7" t="s">
        <v>23</v>
      </c>
      <c r="Q36" s="7" t="s">
        <v>23</v>
      </c>
      <c r="R36" s="7" t="s">
        <v>23</v>
      </c>
      <c r="S36" s="8">
        <v>0.416666666666667</v>
      </c>
      <c r="T36" s="8">
        <v>0.625</v>
      </c>
    </row>
    <row r="37" customHeight="1" spans="1:20">
      <c r="A37" s="7">
        <v>10316685</v>
      </c>
      <c r="B37" s="8" t="s">
        <v>47</v>
      </c>
      <c r="C37" s="7" t="s">
        <v>89</v>
      </c>
      <c r="D37" s="7" t="s">
        <v>21</v>
      </c>
      <c r="E37" s="8" t="s">
        <v>22</v>
      </c>
      <c r="F37" s="9">
        <v>1</v>
      </c>
      <c r="G37" s="8">
        <v>0.375</v>
      </c>
      <c r="H37" s="8">
        <v>0.75</v>
      </c>
      <c r="I37" s="8">
        <v>0.375</v>
      </c>
      <c r="J37" s="8">
        <v>0.75</v>
      </c>
      <c r="K37" s="8">
        <v>0.375</v>
      </c>
      <c r="L37" s="8">
        <v>0.75</v>
      </c>
      <c r="M37" s="8">
        <v>0.375</v>
      </c>
      <c r="N37" s="8">
        <v>0.75</v>
      </c>
      <c r="O37" s="8">
        <v>0.375</v>
      </c>
      <c r="P37" s="8">
        <v>0.75</v>
      </c>
      <c r="Q37" s="7" t="s">
        <v>23</v>
      </c>
      <c r="R37" s="7" t="s">
        <v>23</v>
      </c>
      <c r="S37" s="7" t="s">
        <v>23</v>
      </c>
      <c r="T37" s="7" t="s">
        <v>23</v>
      </c>
    </row>
    <row r="38" customHeight="1" spans="1:20">
      <c r="A38" s="7">
        <v>10276839</v>
      </c>
      <c r="B38" s="8" t="s">
        <v>54</v>
      </c>
      <c r="C38" s="7" t="s">
        <v>20</v>
      </c>
      <c r="D38" s="7" t="s">
        <v>21</v>
      </c>
      <c r="E38" s="8" t="s">
        <v>22</v>
      </c>
      <c r="F38" s="9">
        <v>2</v>
      </c>
      <c r="G38" s="8">
        <v>0.375</v>
      </c>
      <c r="H38" s="8">
        <v>0.791666666666667</v>
      </c>
      <c r="I38" s="8">
        <v>0.375</v>
      </c>
      <c r="J38" s="8">
        <v>0.791666666666667</v>
      </c>
      <c r="K38" s="8">
        <v>0.375</v>
      </c>
      <c r="L38" s="8">
        <v>0.791666666666667</v>
      </c>
      <c r="M38" s="8">
        <v>0.375</v>
      </c>
      <c r="N38" s="8">
        <v>0.791666666666667</v>
      </c>
      <c r="O38" s="7" t="s">
        <v>23</v>
      </c>
      <c r="P38" s="7" t="s">
        <v>23</v>
      </c>
      <c r="Q38" s="7" t="s">
        <v>23</v>
      </c>
      <c r="R38" s="7" t="s">
        <v>23</v>
      </c>
      <c r="S38" s="8">
        <v>0.458333333333333</v>
      </c>
      <c r="T38" s="8">
        <v>0.666666666666667</v>
      </c>
    </row>
    <row r="39" customHeight="1" spans="1:20">
      <c r="A39" s="7">
        <v>10320419</v>
      </c>
      <c r="B39" s="8" t="s">
        <v>69</v>
      </c>
      <c r="C39" s="7" t="s">
        <v>20</v>
      </c>
      <c r="D39" s="7" t="s">
        <v>21</v>
      </c>
      <c r="E39" s="8" t="s">
        <v>22</v>
      </c>
      <c r="F39" s="9">
        <v>3</v>
      </c>
      <c r="G39" s="7" t="s">
        <v>23</v>
      </c>
      <c r="H39" s="7" t="s">
        <v>23</v>
      </c>
      <c r="I39" s="8">
        <v>0.458333333333333</v>
      </c>
      <c r="J39" s="8">
        <v>0.875</v>
      </c>
      <c r="K39" s="8">
        <v>0.458333333333333</v>
      </c>
      <c r="L39" s="8">
        <v>0.875</v>
      </c>
      <c r="M39" s="8">
        <v>0.458333333333333</v>
      </c>
      <c r="N39" s="8">
        <v>0.875</v>
      </c>
      <c r="O39" s="8">
        <v>0.458333333333333</v>
      </c>
      <c r="P39" s="8">
        <v>0.875</v>
      </c>
      <c r="Q39" s="8">
        <v>0.458333333333333</v>
      </c>
      <c r="R39" s="8">
        <v>0.666666666666667</v>
      </c>
      <c r="S39" s="7" t="s">
        <v>23</v>
      </c>
      <c r="T39" s="7" t="s">
        <v>23</v>
      </c>
    </row>
    <row r="40" customHeight="1" spans="1:20">
      <c r="A40" s="7">
        <v>10316551</v>
      </c>
      <c r="B40" s="8" t="s">
        <v>87</v>
      </c>
      <c r="C40" s="7" t="s">
        <v>20</v>
      </c>
      <c r="D40" s="7" t="s">
        <v>21</v>
      </c>
      <c r="E40" s="8" t="s">
        <v>22</v>
      </c>
      <c r="F40" s="9">
        <v>1</v>
      </c>
      <c r="G40" s="8">
        <v>0.375</v>
      </c>
      <c r="H40" s="8">
        <v>0.791666666666667</v>
      </c>
      <c r="I40" s="8">
        <v>0.375</v>
      </c>
      <c r="J40" s="8">
        <v>0.791666666666667</v>
      </c>
      <c r="K40" s="8">
        <v>0.375</v>
      </c>
      <c r="L40" s="8">
        <v>0.791666666666667</v>
      </c>
      <c r="M40" s="8">
        <v>0.375</v>
      </c>
      <c r="N40" s="8">
        <v>0.791666666666667</v>
      </c>
      <c r="O40" s="7" t="s">
        <v>23</v>
      </c>
      <c r="P40" s="7" t="s">
        <v>23</v>
      </c>
      <c r="Q40" s="7" t="s">
        <v>23</v>
      </c>
      <c r="R40" s="7" t="s">
        <v>23</v>
      </c>
      <c r="S40" s="8">
        <v>0.458333333333333</v>
      </c>
      <c r="T40" s="8">
        <v>0.666666666666667</v>
      </c>
    </row>
    <row r="41" customHeight="1" spans="1:20">
      <c r="A41" s="7">
        <v>10320435</v>
      </c>
      <c r="B41" s="8" t="s">
        <v>71</v>
      </c>
      <c r="C41" s="7" t="s">
        <v>20</v>
      </c>
      <c r="D41" s="7" t="s">
        <v>21</v>
      </c>
      <c r="E41" s="8" t="s">
        <v>22</v>
      </c>
      <c r="F41" s="9">
        <v>3</v>
      </c>
      <c r="G41" s="8">
        <v>0.5</v>
      </c>
      <c r="H41" s="8">
        <v>0.875</v>
      </c>
      <c r="I41" s="8">
        <v>0.5</v>
      </c>
      <c r="J41" s="8">
        <v>0.875</v>
      </c>
      <c r="K41" s="8">
        <v>0.5</v>
      </c>
      <c r="L41" s="8">
        <v>0.875</v>
      </c>
      <c r="M41" s="8">
        <v>0.5</v>
      </c>
      <c r="N41" s="8">
        <v>0.875</v>
      </c>
      <c r="O41" s="8">
        <v>0.5</v>
      </c>
      <c r="P41" s="8">
        <v>0.875</v>
      </c>
      <c r="Q41" s="7" t="s">
        <v>23</v>
      </c>
      <c r="R41" s="7" t="s">
        <v>23</v>
      </c>
      <c r="S41" s="7" t="s">
        <v>23</v>
      </c>
      <c r="T41" s="7" t="s">
        <v>23</v>
      </c>
    </row>
    <row r="42" customHeight="1" spans="1:20">
      <c r="A42" s="7">
        <v>10316683</v>
      </c>
      <c r="B42" s="8" t="s">
        <v>51</v>
      </c>
      <c r="C42" s="7" t="s">
        <v>20</v>
      </c>
      <c r="D42" s="7" t="s">
        <v>21</v>
      </c>
      <c r="E42" s="8" t="s">
        <v>22</v>
      </c>
      <c r="F42" s="9">
        <v>1</v>
      </c>
      <c r="G42" s="8">
        <v>0.5</v>
      </c>
      <c r="H42" s="8">
        <v>0.875</v>
      </c>
      <c r="I42" s="8">
        <v>0.5</v>
      </c>
      <c r="J42" s="8">
        <v>0.875</v>
      </c>
      <c r="K42" s="8">
        <v>0.5</v>
      </c>
      <c r="L42" s="8">
        <v>0.875</v>
      </c>
      <c r="M42" s="8">
        <v>0.5</v>
      </c>
      <c r="N42" s="8">
        <v>0.875</v>
      </c>
      <c r="O42" s="8">
        <v>0.5</v>
      </c>
      <c r="P42" s="8">
        <v>0.875</v>
      </c>
      <c r="Q42" s="7" t="s">
        <v>23</v>
      </c>
      <c r="R42" s="7" t="s">
        <v>23</v>
      </c>
      <c r="S42" s="7" t="s">
        <v>23</v>
      </c>
      <c r="T42" s="7" t="s">
        <v>23</v>
      </c>
    </row>
    <row r="43" customHeight="1" spans="1:20">
      <c r="A43" s="7">
        <v>10316540</v>
      </c>
      <c r="B43" s="8" t="s">
        <v>30</v>
      </c>
      <c r="C43" s="7" t="s">
        <v>20</v>
      </c>
      <c r="D43" s="7" t="s">
        <v>86</v>
      </c>
      <c r="E43" s="8" t="s">
        <v>22</v>
      </c>
      <c r="F43" s="9">
        <v>1</v>
      </c>
      <c r="G43" s="8">
        <v>0.375</v>
      </c>
      <c r="H43" s="8">
        <v>0.75</v>
      </c>
      <c r="I43" s="8">
        <v>0.375</v>
      </c>
      <c r="J43" s="8">
        <v>0.75</v>
      </c>
      <c r="K43" s="8">
        <v>0.375</v>
      </c>
      <c r="L43" s="8">
        <v>0.75</v>
      </c>
      <c r="M43" s="8">
        <v>0.375</v>
      </c>
      <c r="N43" s="8">
        <v>0.75</v>
      </c>
      <c r="O43" s="8">
        <v>0.375</v>
      </c>
      <c r="P43" s="8">
        <v>0.75</v>
      </c>
      <c r="Q43" s="7" t="s">
        <v>23</v>
      </c>
      <c r="R43" s="7" t="s">
        <v>23</v>
      </c>
      <c r="S43" s="7" t="s">
        <v>23</v>
      </c>
      <c r="T43" s="7" t="s">
        <v>23</v>
      </c>
    </row>
    <row r="44" customHeight="1" spans="1:20">
      <c r="A44" s="7">
        <v>10293627</v>
      </c>
      <c r="B44" s="8" t="s">
        <v>92</v>
      </c>
      <c r="C44" s="7" t="s">
        <v>20</v>
      </c>
      <c r="D44" s="7" t="s">
        <v>21</v>
      </c>
      <c r="E44" s="8" t="s">
        <v>22</v>
      </c>
      <c r="F44" s="9">
        <v>3</v>
      </c>
      <c r="G44" s="8">
        <v>0.458333333333333</v>
      </c>
      <c r="H44" s="8">
        <v>0.875</v>
      </c>
      <c r="I44" s="8">
        <v>0.458333333333333</v>
      </c>
      <c r="J44" s="8">
        <v>0.875</v>
      </c>
      <c r="K44" s="8">
        <v>0.458333333333333</v>
      </c>
      <c r="L44" s="8">
        <v>0.875</v>
      </c>
      <c r="M44" s="8">
        <v>0.458333333333333</v>
      </c>
      <c r="N44" s="8">
        <v>0.875</v>
      </c>
      <c r="O44" s="7" t="s">
        <v>23</v>
      </c>
      <c r="P44" s="7" t="s">
        <v>23</v>
      </c>
      <c r="Q44" s="7" t="s">
        <v>23</v>
      </c>
      <c r="R44" s="7" t="s">
        <v>23</v>
      </c>
      <c r="S44" s="8">
        <v>0.458333333333333</v>
      </c>
      <c r="T44" s="8">
        <v>0.666666666666667</v>
      </c>
    </row>
    <row r="45" customHeight="1" spans="1:20">
      <c r="A45" s="7">
        <v>10320409</v>
      </c>
      <c r="B45" s="8" t="s">
        <v>57</v>
      </c>
      <c r="C45" s="7" t="s">
        <v>20</v>
      </c>
      <c r="D45" s="7" t="s">
        <v>21</v>
      </c>
      <c r="E45" s="8" t="s">
        <v>22</v>
      </c>
      <c r="F45" s="9">
        <v>3</v>
      </c>
      <c r="G45" s="8">
        <v>0.375</v>
      </c>
      <c r="H45" s="8">
        <v>0.75</v>
      </c>
      <c r="I45" s="7" t="s">
        <v>23</v>
      </c>
      <c r="J45" s="7" t="s">
        <v>23</v>
      </c>
      <c r="K45" s="7" t="s">
        <v>23</v>
      </c>
      <c r="L45" s="7" t="s">
        <v>23</v>
      </c>
      <c r="M45" s="8">
        <v>0.375</v>
      </c>
      <c r="N45" s="8">
        <v>0.75</v>
      </c>
      <c r="O45" s="8">
        <v>0.375</v>
      </c>
      <c r="P45" s="8">
        <v>0.75</v>
      </c>
      <c r="Q45" s="8">
        <v>0.458333333333333</v>
      </c>
      <c r="R45" s="8">
        <v>0.666666666666667</v>
      </c>
      <c r="S45" s="8">
        <v>0.458333333333333</v>
      </c>
      <c r="T45" s="8">
        <v>0.666666666666667</v>
      </c>
    </row>
    <row r="46" customHeight="1" spans="1:20">
      <c r="A46" s="7">
        <v>10317151</v>
      </c>
      <c r="B46" s="8" t="s">
        <v>52</v>
      </c>
      <c r="C46" s="7" t="s">
        <v>20</v>
      </c>
      <c r="D46" s="7" t="s">
        <v>86</v>
      </c>
      <c r="E46" s="8" t="s">
        <v>22</v>
      </c>
      <c r="F46" s="9">
        <v>1</v>
      </c>
      <c r="G46" s="8">
        <v>0.375</v>
      </c>
      <c r="H46" s="8">
        <v>0.75</v>
      </c>
      <c r="I46" s="8">
        <v>0.375</v>
      </c>
      <c r="J46" s="8">
        <v>0.75</v>
      </c>
      <c r="K46" s="8">
        <v>0.375</v>
      </c>
      <c r="L46" s="8">
        <v>0.75</v>
      </c>
      <c r="M46" s="8">
        <v>0.375</v>
      </c>
      <c r="N46" s="8">
        <v>0.75</v>
      </c>
      <c r="O46" s="8">
        <v>0.375</v>
      </c>
      <c r="P46" s="8">
        <v>0.75</v>
      </c>
      <c r="Q46" s="7" t="s">
        <v>23</v>
      </c>
      <c r="R46" s="7" t="s">
        <v>23</v>
      </c>
      <c r="S46" s="7" t="s">
        <v>23</v>
      </c>
      <c r="T46" s="7" t="s">
        <v>23</v>
      </c>
    </row>
    <row r="47" customHeight="1" spans="1:20">
      <c r="A47" s="7">
        <v>10317524</v>
      </c>
      <c r="B47" s="8" t="s">
        <v>53</v>
      </c>
      <c r="C47" s="7" t="s">
        <v>20</v>
      </c>
      <c r="D47" s="7" t="s">
        <v>21</v>
      </c>
      <c r="E47" s="8" t="s">
        <v>22</v>
      </c>
      <c r="F47" s="9">
        <v>2</v>
      </c>
      <c r="G47" s="7" t="s">
        <v>23</v>
      </c>
      <c r="H47" s="7" t="s">
        <v>23</v>
      </c>
      <c r="I47" s="8">
        <v>0.375</v>
      </c>
      <c r="J47" s="8">
        <v>0.791666666666667</v>
      </c>
      <c r="K47" s="8">
        <v>0.375</v>
      </c>
      <c r="L47" s="8">
        <v>0.791666666666667</v>
      </c>
      <c r="M47" s="8">
        <v>0.375</v>
      </c>
      <c r="N47" s="8">
        <v>0.791666666666667</v>
      </c>
      <c r="O47" s="8">
        <v>0.375</v>
      </c>
      <c r="P47" s="8">
        <v>0.791666666666667</v>
      </c>
      <c r="Q47" s="8">
        <v>0.458333333333333</v>
      </c>
      <c r="R47" s="8">
        <v>0.666666666666667</v>
      </c>
      <c r="S47" s="7" t="s">
        <v>23</v>
      </c>
      <c r="T47" s="7" t="s">
        <v>23</v>
      </c>
    </row>
  </sheetData>
  <mergeCells count="20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A1:A2"/>
    <mergeCell ref="B1:B2"/>
    <mergeCell ref="C1:C2"/>
    <mergeCell ref="D1:D2"/>
    <mergeCell ref="E1:E2"/>
    <mergeCell ref="F1:F2"/>
  </mergeCells>
  <conditionalFormatting sqref="G4:T47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  <cfRule type="containsText" dxfId="3" priority="2" operator="between" text="OFF">
      <formula>NOT(ISERROR(SEARCH("OFF",G4)))</formula>
    </cfRule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G998"/>
  <sheetViews>
    <sheetView workbookViewId="0">
      <selection activeCell="A1" sqref="A1:A3"/>
    </sheetView>
  </sheetViews>
  <sheetFormatPr defaultColWidth="12.6272727272727" defaultRowHeight="15.75" customHeight="1"/>
  <cols>
    <col min="1" max="1" width="10.2545454545455" customWidth="1"/>
    <col min="2" max="2" width="24.7545454545455" customWidth="1"/>
    <col min="3" max="4" width="9" customWidth="1"/>
    <col min="5" max="5" width="13.3818181818182" customWidth="1"/>
    <col min="6" max="6" width="8" customWidth="1"/>
    <col min="7" max="7" width="9.38181818181818" customWidth="1"/>
    <col min="8" max="8" width="7.5" customWidth="1"/>
    <col min="9" max="9" width="9.38181818181818" customWidth="1"/>
    <col min="10" max="10" width="7.5" customWidth="1"/>
    <col min="11" max="11" width="9.38181818181818" customWidth="1"/>
    <col min="12" max="12" width="7.5" customWidth="1"/>
    <col min="13" max="13" width="9.38181818181818" customWidth="1"/>
    <col min="14" max="14" width="7.5" customWidth="1"/>
    <col min="15" max="15" width="9.38181818181818" customWidth="1"/>
    <col min="16" max="16" width="7.5" customWidth="1"/>
    <col min="17" max="17" width="9.38181818181818" customWidth="1"/>
    <col min="18" max="18" width="7.5" customWidth="1"/>
    <col min="19" max="19" width="9.5" customWidth="1"/>
    <col min="20" max="20" width="7.5" customWidth="1"/>
    <col min="21" max="21" width="15.2545454545455" customWidth="1"/>
    <col min="22" max="23" width="10.8818181818182" customWidth="1"/>
    <col min="24" max="24" width="7.62727272727273" customWidth="1"/>
    <col min="25" max="25" width="46.2545454545455" customWidth="1"/>
  </cols>
  <sheetData>
    <row r="1" customHeight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2">
        <v>45621</v>
      </c>
      <c r="H1" s="14"/>
      <c r="I1" s="112">
        <v>45622</v>
      </c>
      <c r="J1" s="14"/>
      <c r="K1" s="112">
        <v>45623</v>
      </c>
      <c r="L1" s="14"/>
      <c r="M1" s="112">
        <v>45624</v>
      </c>
      <c r="N1" s="14"/>
      <c r="O1" s="112">
        <v>45625</v>
      </c>
      <c r="P1" s="14"/>
      <c r="Q1" s="112">
        <v>45626</v>
      </c>
      <c r="R1" s="14"/>
      <c r="S1" s="112">
        <v>45627</v>
      </c>
      <c r="T1" s="14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</row>
    <row r="2" customHeight="1" spans="1:33">
      <c r="A2" s="15"/>
      <c r="B2" s="15"/>
      <c r="C2" s="15"/>
      <c r="D2" s="15"/>
      <c r="E2" s="15"/>
      <c r="F2" s="15"/>
      <c r="G2" s="48" t="s">
        <v>6</v>
      </c>
      <c r="H2" s="14"/>
      <c r="I2" s="48" t="s">
        <v>7</v>
      </c>
      <c r="J2" s="14"/>
      <c r="K2" s="48" t="s">
        <v>8</v>
      </c>
      <c r="L2" s="14"/>
      <c r="M2" s="48" t="s">
        <v>9</v>
      </c>
      <c r="N2" s="14"/>
      <c r="O2" s="48" t="s">
        <v>10</v>
      </c>
      <c r="P2" s="14"/>
      <c r="Q2" s="48" t="s">
        <v>11</v>
      </c>
      <c r="R2" s="14"/>
      <c r="S2" s="48" t="s">
        <v>12</v>
      </c>
      <c r="T2" s="14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</row>
    <row r="3" customHeight="1" spans="1:33">
      <c r="A3" s="15"/>
      <c r="B3" s="15"/>
      <c r="C3" s="15"/>
      <c r="D3" s="15"/>
      <c r="E3" s="15"/>
      <c r="F3" s="5"/>
      <c r="G3" s="59" t="s">
        <v>80</v>
      </c>
      <c r="H3" s="59" t="s">
        <v>81</v>
      </c>
      <c r="I3" s="59" t="s">
        <v>80</v>
      </c>
      <c r="J3" s="59" t="s">
        <v>81</v>
      </c>
      <c r="K3" s="59" t="s">
        <v>80</v>
      </c>
      <c r="L3" s="59" t="s">
        <v>81</v>
      </c>
      <c r="M3" s="59" t="s">
        <v>80</v>
      </c>
      <c r="N3" s="59" t="s">
        <v>81</v>
      </c>
      <c r="O3" s="59" t="s">
        <v>80</v>
      </c>
      <c r="P3" s="59" t="s">
        <v>81</v>
      </c>
      <c r="Q3" s="59" t="s">
        <v>80</v>
      </c>
      <c r="R3" s="59" t="s">
        <v>81</v>
      </c>
      <c r="S3" s="59" t="s">
        <v>80</v>
      </c>
      <c r="T3" s="59" t="s">
        <v>81</v>
      </c>
      <c r="U3" s="17" t="s">
        <v>82</v>
      </c>
      <c r="V3" s="17" t="s">
        <v>83</v>
      </c>
      <c r="W3" s="17" t="s">
        <v>84</v>
      </c>
      <c r="X3" s="17" t="s">
        <v>85</v>
      </c>
      <c r="Y3" s="17" t="s">
        <v>18</v>
      </c>
      <c r="Z3" s="61"/>
      <c r="AA3" s="61"/>
      <c r="AB3" s="61"/>
      <c r="AC3" s="61"/>
      <c r="AD3" s="61"/>
      <c r="AE3" s="61"/>
      <c r="AF3" s="61"/>
      <c r="AG3" s="61"/>
    </row>
    <row r="4" customHeight="1" spans="1:33">
      <c r="A4" s="21">
        <v>10317524</v>
      </c>
      <c r="B4" s="86" t="s">
        <v>53</v>
      </c>
      <c r="C4" s="21" t="s">
        <v>20</v>
      </c>
      <c r="D4" s="21" t="s">
        <v>21</v>
      </c>
      <c r="E4" s="54" t="str">
        <f t="array" ref="E4">_xlfn.XLOOKUP(A4,'Schedule Wk 47'!A:A,'Schedule Wk 47'!E:E,"")</f>
        <v>FT</v>
      </c>
      <c r="F4" s="103">
        <f t="array" ref="F4">_xlfn.XLOOKUP(A4,'Schedule Wk 47'!A:A,'Schedule Wk 47'!F:F,"")</f>
        <v>2</v>
      </c>
      <c r="G4" s="54">
        <v>0.375</v>
      </c>
      <c r="H4" s="54">
        <f t="shared" ref="H4:H5" si="0">IFERROR(G4+$Y4,"OFF")</f>
        <v>0.75</v>
      </c>
      <c r="I4" s="54">
        <v>0.375</v>
      </c>
      <c r="J4" s="54">
        <f t="shared" ref="J4:J5" si="1">IFERROR(I4+$Y4,"OFF")</f>
        <v>0.75</v>
      </c>
      <c r="K4" s="54">
        <v>0.375</v>
      </c>
      <c r="L4" s="54">
        <f t="shared" ref="L4:L5" si="2">IFERROR(K4+$Y4,"OFF")</f>
        <v>0.75</v>
      </c>
      <c r="M4" s="54">
        <v>0.375</v>
      </c>
      <c r="N4" s="54">
        <f t="shared" ref="N4:N7" si="3">IFERROR(M4+$Y4,"OFF")</f>
        <v>0.75</v>
      </c>
      <c r="O4" s="54">
        <v>0.375</v>
      </c>
      <c r="P4" s="54">
        <f>IFERROR(O4+$Y4,"OFF")</f>
        <v>0.75</v>
      </c>
      <c r="Q4" s="21" t="s">
        <v>23</v>
      </c>
      <c r="R4" s="21" t="s">
        <v>23</v>
      </c>
      <c r="S4" s="21" t="s">
        <v>23</v>
      </c>
      <c r="T4" s="21" t="s">
        <v>23</v>
      </c>
      <c r="U4" s="21">
        <f>IFERROR(__xludf.DUMMYFUNCTION("TO_PURE_NUMBER(SUM(FILTER(G4:T4, ISEVEN(COLUMN(G4:T4))))-SUM(FILTER(G4:T4, ISODD(COLUMN(G4:T4)))))*24"),45)</f>
        <v>45</v>
      </c>
      <c r="V4" s="17">
        <f t="array" ref="V4">_xlfn.XLOOKUP(A4,'WK 47'!A:A,'WK 47'!V:V,"")</f>
        <v>45</v>
      </c>
      <c r="W4" s="17" t="str">
        <f t="array" ref="W4">_xlfn.XLOOKUP(A4,'WK 47'!A:A,'WK 47'!AA:AA,"")</f>
        <v>early</v>
      </c>
      <c r="X4" s="7">
        <f t="shared" ref="X4:X51" si="4">V4-U4</f>
        <v>0</v>
      </c>
      <c r="Y4" s="20">
        <f t="array" ref="Y4">_xlfn.XLOOKUP(A4,'WK 45'!A:A,'WK 45'!X:X,"")</f>
        <v>0.375</v>
      </c>
      <c r="Z4" s="61"/>
      <c r="AA4" s="61"/>
      <c r="AB4" s="61"/>
      <c r="AC4" s="61"/>
      <c r="AD4" s="61"/>
      <c r="AE4" s="61"/>
      <c r="AF4" s="61"/>
      <c r="AG4" s="61"/>
    </row>
    <row r="5" customHeight="1" spans="1:33">
      <c r="A5" s="21">
        <v>10316683</v>
      </c>
      <c r="B5" s="86" t="s">
        <v>51</v>
      </c>
      <c r="C5" s="21" t="s">
        <v>20</v>
      </c>
      <c r="D5" s="21" t="s">
        <v>21</v>
      </c>
      <c r="E5" s="54" t="str">
        <f t="array" ref="E5">_xlfn.XLOOKUP(A5,'Schedule Wk 47'!A:A,'Schedule Wk 47'!E:E,"")</f>
        <v>FT</v>
      </c>
      <c r="F5" s="103">
        <f t="array" ref="F5">_xlfn.XLOOKUP(A5,'Schedule Wk 47'!A:A,'Schedule Wk 47'!F:F,"")</f>
        <v>1</v>
      </c>
      <c r="G5" s="54">
        <v>0.375</v>
      </c>
      <c r="H5" s="54">
        <f t="shared" si="0"/>
        <v>0.791666666666667</v>
      </c>
      <c r="I5" s="54">
        <v>0.375</v>
      </c>
      <c r="J5" s="54">
        <f t="shared" si="1"/>
        <v>0.791666666666667</v>
      </c>
      <c r="K5" s="54">
        <v>0.375</v>
      </c>
      <c r="L5" s="54">
        <f t="shared" si="2"/>
        <v>0.791666666666667</v>
      </c>
      <c r="M5" s="54">
        <v>0.375</v>
      </c>
      <c r="N5" s="54">
        <f t="shared" si="3"/>
        <v>0.791666666666667</v>
      </c>
      <c r="O5" s="21" t="s">
        <v>23</v>
      </c>
      <c r="P5" s="21" t="s">
        <v>23</v>
      </c>
      <c r="Q5" s="21" t="s">
        <v>23</v>
      </c>
      <c r="R5" s="21" t="s">
        <v>23</v>
      </c>
      <c r="S5" s="54">
        <v>0.458333333333333</v>
      </c>
      <c r="T5" s="54">
        <v>0.666666666666667</v>
      </c>
      <c r="U5" s="21">
        <f>IFERROR(__xludf.DUMMYFUNCTION("TO_PURE_NUMBER(SUM(FILTER(G5:T5, ISEVEN(COLUMN(G5:T5))))-SUM(FILTER(G5:T5, ISODD(COLUMN(G5:T5)))))*24"),44.9999999999999)</f>
        <v>44.9999999999999</v>
      </c>
      <c r="V5" s="17">
        <f t="array" ref="V5">_xlfn.XLOOKUP(A5,'WK 47'!A:A,'WK 47'!V:V,"")</f>
        <v>45</v>
      </c>
      <c r="W5" s="17" t="str">
        <f t="array" ref="W5">_xlfn.XLOOKUP(A5,'WK 47'!A:A,'WK 47'!AA:AA,"")</f>
        <v>early</v>
      </c>
      <c r="X5" s="7">
        <f t="shared" si="4"/>
        <v>9.9475983006414e-14</v>
      </c>
      <c r="Y5" s="20">
        <f t="array" ref="Y5">_xlfn.XLOOKUP(A5,'WK 45'!A:A,'WK 45'!X:X,"")</f>
        <v>0.416666666666667</v>
      </c>
      <c r="Z5" s="61"/>
      <c r="AA5" s="61"/>
      <c r="AB5" s="61"/>
      <c r="AC5" s="61"/>
      <c r="AD5" s="61"/>
      <c r="AE5" s="61"/>
      <c r="AF5" s="61"/>
      <c r="AG5" s="61"/>
    </row>
    <row r="6" customHeight="1" spans="1:33">
      <c r="A6" s="21">
        <v>10320419</v>
      </c>
      <c r="B6" s="86" t="s">
        <v>69</v>
      </c>
      <c r="C6" s="21" t="s">
        <v>20</v>
      </c>
      <c r="D6" s="21" t="s">
        <v>21</v>
      </c>
      <c r="E6" s="54" t="str">
        <f t="array" ref="E6">_xlfn.XLOOKUP(A6,'Schedule Wk 47'!A:A,'Schedule Wk 47'!E:E,"")</f>
        <v>FT</v>
      </c>
      <c r="F6" s="103">
        <f t="array" ref="F6">_xlfn.XLOOKUP(A6,'Schedule Wk 47'!A:A,'Schedule Wk 47'!F:F,"")</f>
        <v>3</v>
      </c>
      <c r="G6" s="54">
        <v>0.375</v>
      </c>
      <c r="H6" s="54">
        <v>0.75</v>
      </c>
      <c r="I6" s="21" t="s">
        <v>23</v>
      </c>
      <c r="J6" s="21" t="s">
        <v>23</v>
      </c>
      <c r="K6" s="21" t="s">
        <v>23</v>
      </c>
      <c r="L6" s="21" t="s">
        <v>23</v>
      </c>
      <c r="M6" s="54">
        <v>0.375</v>
      </c>
      <c r="N6" s="54">
        <f t="shared" si="3"/>
        <v>0.791666666666667</v>
      </c>
      <c r="O6" s="54">
        <v>0.375</v>
      </c>
      <c r="P6" s="54">
        <f t="shared" ref="P6:P7" si="5">IFERROR(O6+$Y6,"OFF")</f>
        <v>0.791666666666667</v>
      </c>
      <c r="Q6" s="54">
        <v>0.458333333333333</v>
      </c>
      <c r="R6" s="54">
        <v>0.666666666666667</v>
      </c>
      <c r="S6" s="54">
        <v>0.458333333333333</v>
      </c>
      <c r="T6" s="54">
        <v>0.666666666666667</v>
      </c>
      <c r="U6" s="113">
        <f>IFERROR(__xludf.DUMMYFUNCTION("TO_PURE_NUMBER(SUM(FILTER(G6:T6, ISEVEN(COLUMN(G6:T6))))-SUM(FILTER(G6:T6, ISODD(COLUMN(G6:T6)))))*24"),38.9999999999999)</f>
        <v>38.9999999999999</v>
      </c>
      <c r="V6" s="17">
        <f t="array" ref="V6">_xlfn.XLOOKUP(A6,'WK 47'!A:A,'WK 47'!V:V,"")</f>
        <v>45</v>
      </c>
      <c r="W6" s="17" t="str">
        <f t="array" ref="W6">_xlfn.XLOOKUP(A6,'WK 47'!A:A,'WK 47'!AA:AA,"")</f>
        <v>early</v>
      </c>
      <c r="X6" s="7">
        <f t="shared" si="4"/>
        <v>6.0000000000001</v>
      </c>
      <c r="Y6" s="20">
        <v>0.416666666666667</v>
      </c>
      <c r="Z6" s="61"/>
      <c r="AA6" s="61"/>
      <c r="AB6" s="61"/>
      <c r="AC6" s="61"/>
      <c r="AD6" s="61"/>
      <c r="AE6" s="61"/>
      <c r="AF6" s="61"/>
      <c r="AG6" s="61"/>
    </row>
    <row r="7" customHeight="1" spans="1:33">
      <c r="A7" s="21">
        <v>10316572</v>
      </c>
      <c r="B7" s="86" t="s">
        <v>46</v>
      </c>
      <c r="C7" s="21" t="s">
        <v>20</v>
      </c>
      <c r="D7" s="21" t="s">
        <v>21</v>
      </c>
      <c r="E7" s="54" t="str">
        <f t="array" ref="E7">_xlfn.XLOOKUP(A7,'Schedule Wk 47'!A:A,'Schedule Wk 47'!E:E,"")</f>
        <v>FT</v>
      </c>
      <c r="F7" s="103">
        <f t="array" ref="F7">_xlfn.XLOOKUP(A7,'Schedule Wk 47'!A:A,'Schedule Wk 47'!F:F,"")</f>
        <v>2</v>
      </c>
      <c r="G7" s="54">
        <v>0.5</v>
      </c>
      <c r="H7" s="54">
        <f>IFERROR(G7+$Y7,"OFF")</f>
        <v>0.875</v>
      </c>
      <c r="I7" s="54">
        <v>0.5</v>
      </c>
      <c r="J7" s="54">
        <f>IFERROR(I7+$Y7,"OFF")</f>
        <v>0.875</v>
      </c>
      <c r="K7" s="54">
        <v>0.5</v>
      </c>
      <c r="L7" s="54">
        <f>IFERROR(K7+$Y7,"OFF")</f>
        <v>0.875</v>
      </c>
      <c r="M7" s="54">
        <v>0.5</v>
      </c>
      <c r="N7" s="54">
        <f t="shared" si="3"/>
        <v>0.875</v>
      </c>
      <c r="O7" s="54">
        <v>0.5</v>
      </c>
      <c r="P7" s="54">
        <f t="shared" si="5"/>
        <v>0.875</v>
      </c>
      <c r="Q7" s="21" t="s">
        <v>23</v>
      </c>
      <c r="R7" s="21" t="s">
        <v>23</v>
      </c>
      <c r="S7" s="21" t="s">
        <v>23</v>
      </c>
      <c r="T7" s="21" t="s">
        <v>23</v>
      </c>
      <c r="U7" s="21">
        <f>IFERROR(__xludf.DUMMYFUNCTION("TO_PURE_NUMBER(SUM(FILTER(G7:T7, ISEVEN(COLUMN(G7:T7))))-SUM(FILTER(G7:T7, ISODD(COLUMN(G7:T7)))))*24"),45)</f>
        <v>45</v>
      </c>
      <c r="V7" s="17">
        <f t="array" ref="V7">_xlfn.XLOOKUP(A7,'WK 47'!A:A,'WK 47'!V:V,"")</f>
        <v>45</v>
      </c>
      <c r="W7" s="17" t="str">
        <f t="array" ref="W7">_xlfn.XLOOKUP(A7,'WK 47'!A:A,'WK 47'!AA:AA,"")</f>
        <v>late</v>
      </c>
      <c r="X7" s="7">
        <f t="shared" si="4"/>
        <v>0</v>
      </c>
      <c r="Y7" s="20">
        <f t="array" ref="Y7">_xlfn.XLOOKUP(A7,'WK 45'!A:A,'WK 45'!X:X,"")</f>
        <v>0.375</v>
      </c>
      <c r="Z7" s="61"/>
      <c r="AA7" s="61"/>
      <c r="AB7" s="61"/>
      <c r="AC7" s="61"/>
      <c r="AD7" s="61"/>
      <c r="AE7" s="61"/>
      <c r="AF7" s="61"/>
      <c r="AG7" s="61"/>
    </row>
    <row r="8" customHeight="1" spans="1:33">
      <c r="A8" s="21">
        <v>10316545</v>
      </c>
      <c r="B8" s="86" t="s">
        <v>45</v>
      </c>
      <c r="C8" s="21" t="s">
        <v>20</v>
      </c>
      <c r="D8" s="21" t="s">
        <v>21</v>
      </c>
      <c r="E8" s="54" t="str">
        <f t="array" ref="E8">_xlfn.XLOOKUP(A8,'Schedule Wk 47'!A:A,'Schedule Wk 47'!E:E,"")</f>
        <v>FT</v>
      </c>
      <c r="F8" s="103">
        <f t="array" ref="F8">_xlfn.XLOOKUP(A8,'Schedule Wk 47'!A:A,'Schedule Wk 47'!F:F,"")</f>
        <v>1</v>
      </c>
      <c r="G8" s="54">
        <v>0.375</v>
      </c>
      <c r="H8" s="54">
        <v>0.75</v>
      </c>
      <c r="I8" s="54">
        <v>0.375</v>
      </c>
      <c r="J8" s="54">
        <v>0.75</v>
      </c>
      <c r="K8" s="54">
        <v>0.375</v>
      </c>
      <c r="L8" s="54">
        <v>0.75</v>
      </c>
      <c r="M8" s="54">
        <v>0.375</v>
      </c>
      <c r="N8" s="54">
        <v>0.75</v>
      </c>
      <c r="O8" s="54">
        <v>0.375</v>
      </c>
      <c r="P8" s="54">
        <v>0.75</v>
      </c>
      <c r="Q8" s="21" t="s">
        <v>23</v>
      </c>
      <c r="R8" s="21" t="s">
        <v>23</v>
      </c>
      <c r="S8" s="21" t="s">
        <v>23</v>
      </c>
      <c r="T8" s="21" t="s">
        <v>23</v>
      </c>
      <c r="U8" s="21">
        <f>IFERROR(__xludf.DUMMYFUNCTION("TO_PURE_NUMBER(SUM(FILTER(G8:T8, ISEVEN(COLUMN(G8:T8))))-SUM(FILTER(G8:T8, ISODD(COLUMN(G8:T8)))))*24"),45)</f>
        <v>45</v>
      </c>
      <c r="V8" s="17">
        <f t="array" ref="V8">_xlfn.XLOOKUP(A8,'WK 47'!A:A,'WK 47'!V:V,"")</f>
        <v>45</v>
      </c>
      <c r="W8" s="17" t="str">
        <f t="array" ref="W8">_xlfn.XLOOKUP(A8,'WK 47'!A:A,'WK 47'!AA:AA,"")</f>
        <v>early</v>
      </c>
      <c r="X8" s="7">
        <f t="shared" si="4"/>
        <v>0</v>
      </c>
      <c r="Y8" s="20">
        <f t="array" ref="Y8">_xlfn.XLOOKUP(A8,'WK 45'!A:A,'WK 45'!X:X,"")</f>
        <v>0.416666666666667</v>
      </c>
      <c r="Z8" s="61"/>
      <c r="AA8" s="61"/>
      <c r="AB8" s="61"/>
      <c r="AC8" s="61"/>
      <c r="AD8" s="61"/>
      <c r="AE8" s="61"/>
      <c r="AF8" s="61"/>
      <c r="AG8" s="61"/>
    </row>
    <row r="9" customHeight="1" spans="1:33">
      <c r="A9" s="21">
        <v>10317517</v>
      </c>
      <c r="B9" s="86" t="s">
        <v>29</v>
      </c>
      <c r="C9" s="21" t="s">
        <v>20</v>
      </c>
      <c r="D9" s="21" t="s">
        <v>21</v>
      </c>
      <c r="E9" s="54" t="str">
        <f t="array" ref="E9">_xlfn.XLOOKUP(A9,'Schedule Wk 47'!A:A,'Schedule Wk 47'!E:E,"")</f>
        <v>FT</v>
      </c>
      <c r="F9" s="103">
        <f t="array" ref="F9">_xlfn.XLOOKUP(A9,'Schedule Wk 47'!A:A,'Schedule Wk 47'!F:F,"")</f>
        <v>2</v>
      </c>
      <c r="G9" s="54">
        <v>0.375</v>
      </c>
      <c r="H9" s="54">
        <v>0.791666666666667</v>
      </c>
      <c r="I9" s="54">
        <v>0.375</v>
      </c>
      <c r="J9" s="54">
        <v>0.791666666666667</v>
      </c>
      <c r="K9" s="54">
        <v>0.375</v>
      </c>
      <c r="L9" s="54">
        <v>0.791666666666667</v>
      </c>
      <c r="M9" s="54">
        <v>0.375</v>
      </c>
      <c r="N9" s="54">
        <v>0.791666666666667</v>
      </c>
      <c r="O9" s="21" t="s">
        <v>23</v>
      </c>
      <c r="P9" s="21" t="s">
        <v>23</v>
      </c>
      <c r="Q9" s="21" t="s">
        <v>23</v>
      </c>
      <c r="R9" s="21" t="s">
        <v>23</v>
      </c>
      <c r="S9" s="54">
        <v>0.458333333333333</v>
      </c>
      <c r="T9" s="54">
        <v>0.666666666666667</v>
      </c>
      <c r="U9" s="21">
        <f>IFERROR(__xludf.DUMMYFUNCTION("TO_PURE_NUMBER(SUM(FILTER(G9:T9, ISEVEN(COLUMN(G9:T9))))-SUM(FILTER(G9:T9, ISODD(COLUMN(G9:T9)))))*24"),44.9999999999999)</f>
        <v>44.9999999999999</v>
      </c>
      <c r="V9" s="17">
        <f t="array" ref="V9">_xlfn.XLOOKUP(A9,'WK 47'!A:A,'WK 47'!V:V,"")</f>
        <v>45</v>
      </c>
      <c r="W9" s="17" t="str">
        <f t="array" ref="W9">_xlfn.XLOOKUP(A9,'WK 47'!A:A,'WK 47'!AA:AA,"")</f>
        <v>early</v>
      </c>
      <c r="X9" s="7">
        <f t="shared" si="4"/>
        <v>9.9475983006414e-14</v>
      </c>
      <c r="Y9" s="20">
        <f t="array" ref="Y9">_xlfn.XLOOKUP(A9,'WK 45'!A:A,'WK 45'!X:X,"")</f>
        <v>0.375</v>
      </c>
      <c r="Z9" s="61"/>
      <c r="AA9" s="61"/>
      <c r="AB9" s="61"/>
      <c r="AC9" s="61"/>
      <c r="AD9" s="61"/>
      <c r="AE9" s="61"/>
      <c r="AF9" s="61"/>
      <c r="AG9" s="61"/>
    </row>
    <row r="10" customHeight="1" spans="1:33">
      <c r="A10" s="21">
        <v>10317521</v>
      </c>
      <c r="B10" s="86" t="s">
        <v>28</v>
      </c>
      <c r="C10" s="21" t="s">
        <v>20</v>
      </c>
      <c r="D10" s="21" t="s">
        <v>21</v>
      </c>
      <c r="E10" s="54" t="str">
        <f t="array" ref="E10">_xlfn.XLOOKUP(A10,'Schedule Wk 47'!A:A,'Schedule Wk 47'!E:E,"")</f>
        <v>FT</v>
      </c>
      <c r="F10" s="103">
        <f t="array" ref="F10">_xlfn.XLOOKUP(A10,'Schedule Wk 47'!A:A,'Schedule Wk 47'!F:F,"")</f>
        <v>2</v>
      </c>
      <c r="G10" s="54">
        <v>0.375</v>
      </c>
      <c r="H10" s="54">
        <v>0.75</v>
      </c>
      <c r="I10" s="54">
        <v>0.375</v>
      </c>
      <c r="J10" s="54">
        <v>0.75</v>
      </c>
      <c r="K10" s="54">
        <v>0.375</v>
      </c>
      <c r="L10" s="54">
        <v>0.75</v>
      </c>
      <c r="M10" s="54">
        <v>0.375</v>
      </c>
      <c r="N10" s="54">
        <v>0.75</v>
      </c>
      <c r="O10" s="54">
        <v>0.375</v>
      </c>
      <c r="P10" s="54">
        <v>0.75</v>
      </c>
      <c r="Q10" s="21" t="s">
        <v>23</v>
      </c>
      <c r="R10" s="21" t="s">
        <v>23</v>
      </c>
      <c r="S10" s="21" t="s">
        <v>23</v>
      </c>
      <c r="T10" s="21" t="s">
        <v>23</v>
      </c>
      <c r="U10" s="21">
        <f>IFERROR(__xludf.DUMMYFUNCTION("TO_PURE_NUMBER(SUM(FILTER(G10:T10, ISEVEN(COLUMN(G10:T10))))-SUM(FILTER(G10:T10, ISODD(COLUMN(G10:T10)))))*24"),45)</f>
        <v>45</v>
      </c>
      <c r="V10" s="17">
        <f t="array" ref="V10">_xlfn.XLOOKUP(A10,'WK 47'!A:A,'WK 47'!V:V,"")</f>
        <v>45</v>
      </c>
      <c r="W10" s="17" t="str">
        <f t="array" ref="W10">_xlfn.XLOOKUP(A10,'WK 47'!A:A,'WK 47'!AA:AA,"")</f>
        <v>early</v>
      </c>
      <c r="X10" s="7">
        <f t="shared" si="4"/>
        <v>0</v>
      </c>
      <c r="Y10" s="20">
        <f t="array" ref="Y10">_xlfn.XLOOKUP(A10,'WK 45'!A:A,'WK 45'!X:X,"")</f>
        <v>0.375</v>
      </c>
      <c r="Z10" s="61"/>
      <c r="AA10" s="61"/>
      <c r="AB10" s="61"/>
      <c r="AC10" s="61"/>
      <c r="AD10" s="61"/>
      <c r="AE10" s="61"/>
      <c r="AF10" s="61"/>
      <c r="AG10" s="61"/>
    </row>
    <row r="11" customHeight="1" spans="1:33">
      <c r="A11" s="21">
        <v>10316680</v>
      </c>
      <c r="B11" s="86" t="s">
        <v>40</v>
      </c>
      <c r="C11" s="21" t="s">
        <v>20</v>
      </c>
      <c r="D11" s="21" t="s">
        <v>21</v>
      </c>
      <c r="E11" s="54" t="str">
        <f t="array" ref="E11">_xlfn.XLOOKUP(A11,'Schedule Wk 47'!A:A,'Schedule Wk 47'!E:E,"")</f>
        <v>FT</v>
      </c>
      <c r="F11" s="103">
        <f t="array" ref="F11">_xlfn.XLOOKUP(A11,'Schedule Wk 47'!A:A,'Schedule Wk 47'!F:F,"")</f>
        <v>1</v>
      </c>
      <c r="G11" s="21" t="s">
        <v>23</v>
      </c>
      <c r="H11" s="21" t="s">
        <v>23</v>
      </c>
      <c r="I11" s="54">
        <v>0.458333333333333</v>
      </c>
      <c r="J11" s="54">
        <v>0.875</v>
      </c>
      <c r="K11" s="54">
        <v>0.458333333333333</v>
      </c>
      <c r="L11" s="54">
        <v>0.875</v>
      </c>
      <c r="M11" s="54">
        <v>0.458333333333333</v>
      </c>
      <c r="N11" s="54">
        <v>0.875</v>
      </c>
      <c r="O11" s="54">
        <v>0.458333333333333</v>
      </c>
      <c r="P11" s="54">
        <v>0.875</v>
      </c>
      <c r="Q11" s="54">
        <v>0.458333333333333</v>
      </c>
      <c r="R11" s="54">
        <v>0.666666666666667</v>
      </c>
      <c r="S11" s="21" t="s">
        <v>23</v>
      </c>
      <c r="T11" s="21" t="s">
        <v>23</v>
      </c>
      <c r="U11" s="21">
        <f>IFERROR(__xludf.DUMMYFUNCTION("TO_PURE_NUMBER(SUM(FILTER(G11:T11, ISEVEN(COLUMN(G11:T11))))-SUM(FILTER(G11:T11, ISODD(COLUMN(G11:T11)))))*24"),45)</f>
        <v>45</v>
      </c>
      <c r="V11" s="17">
        <f t="array" ref="V11">_xlfn.XLOOKUP(A11,'WK 47'!A:A,'WK 47'!V:V,"")</f>
        <v>45</v>
      </c>
      <c r="W11" s="17" t="str">
        <f t="array" ref="W11">_xlfn.XLOOKUP(A11,'WK 47'!A:A,'WK 47'!AA:AA,"")</f>
        <v>late</v>
      </c>
      <c r="X11" s="7">
        <f t="shared" si="4"/>
        <v>0</v>
      </c>
      <c r="Y11" s="20">
        <f t="array" ref="Y11">_xlfn.XLOOKUP(A11,'WK 45'!A:A,'WK 45'!X:X,"")</f>
        <v>0.416666666666667</v>
      </c>
      <c r="Z11" s="61"/>
      <c r="AA11" s="61"/>
      <c r="AB11" s="61"/>
      <c r="AC11" s="61"/>
      <c r="AD11" s="61"/>
      <c r="AE11" s="61"/>
      <c r="AF11" s="61"/>
      <c r="AG11" s="61"/>
    </row>
    <row r="12" customHeight="1" spans="1:33">
      <c r="A12" s="21">
        <v>10320416</v>
      </c>
      <c r="B12" s="86" t="s">
        <v>66</v>
      </c>
      <c r="C12" s="21" t="s">
        <v>20</v>
      </c>
      <c r="D12" s="21" t="s">
        <v>21</v>
      </c>
      <c r="E12" s="54" t="str">
        <f t="array" ref="E12">_xlfn.XLOOKUP(A12,'Schedule Wk 47'!A:A,'Schedule Wk 47'!E:E,"")</f>
        <v>FT</v>
      </c>
      <c r="F12" s="103">
        <f t="array" ref="F12">_xlfn.XLOOKUP(A12,'Schedule Wk 47'!A:A,'Schedule Wk 47'!F:F,"")</f>
        <v>3</v>
      </c>
      <c r="G12" s="54">
        <v>0.375</v>
      </c>
      <c r="H12" s="54">
        <v>0.75</v>
      </c>
      <c r="I12" s="21" t="s">
        <v>23</v>
      </c>
      <c r="J12" s="21" t="s">
        <v>23</v>
      </c>
      <c r="K12" s="21" t="s">
        <v>23</v>
      </c>
      <c r="L12" s="21" t="s">
        <v>23</v>
      </c>
      <c r="M12" s="54">
        <v>0.375</v>
      </c>
      <c r="N12" s="54">
        <v>0.791666666666667</v>
      </c>
      <c r="O12" s="54">
        <v>0.375</v>
      </c>
      <c r="P12" s="54">
        <v>0.791666666666667</v>
      </c>
      <c r="Q12" s="54">
        <v>0.458333333333333</v>
      </c>
      <c r="R12" s="54">
        <v>0.666666666666667</v>
      </c>
      <c r="S12" s="54">
        <v>0.458333333333333</v>
      </c>
      <c r="T12" s="54">
        <v>0.666666666666667</v>
      </c>
      <c r="U12" s="113">
        <f>IFERROR(__xludf.DUMMYFUNCTION("TO_PURE_NUMBER(SUM(FILTER(G12:T12, ISEVEN(COLUMN(G12:T12))))-SUM(FILTER(G12:T12, ISODD(COLUMN(G12:T12)))))*24"),38.9999999999999)</f>
        <v>38.9999999999999</v>
      </c>
      <c r="V12" s="17">
        <f t="array" ref="V12">_xlfn.XLOOKUP(A12,'WK 47'!A:A,'WK 47'!V:V,"")</f>
        <v>45</v>
      </c>
      <c r="W12" s="17" t="str">
        <f t="array" ref="W12">_xlfn.XLOOKUP(A12,'WK 47'!A:A,'WK 47'!AA:AA,"")</f>
        <v>early</v>
      </c>
      <c r="X12" s="7">
        <f t="shared" si="4"/>
        <v>6.0000000000001</v>
      </c>
      <c r="Y12" s="17" t="str">
        <f t="array" ref="Y12">_xlfn.XLOOKUP(A12,'WK 45'!A:A,'WK 45'!X:X,"")</f>
        <v/>
      </c>
      <c r="Z12" s="61"/>
      <c r="AA12" s="61"/>
      <c r="AB12" s="61"/>
      <c r="AC12" s="61"/>
      <c r="AD12" s="61"/>
      <c r="AE12" s="61"/>
      <c r="AF12" s="61"/>
      <c r="AG12" s="61"/>
    </row>
    <row r="13" customHeight="1" spans="1:33">
      <c r="A13" s="21">
        <v>10316650</v>
      </c>
      <c r="B13" s="86" t="s">
        <v>39</v>
      </c>
      <c r="C13" s="21" t="s">
        <v>20</v>
      </c>
      <c r="D13" s="21" t="s">
        <v>21</v>
      </c>
      <c r="E13" s="54" t="str">
        <f t="array" ref="E13">_xlfn.XLOOKUP(A13,'Schedule Wk 47'!A:A,'Schedule Wk 47'!E:E,"")</f>
        <v>FT</v>
      </c>
      <c r="F13" s="103">
        <f t="array" ref="F13">_xlfn.XLOOKUP(A13,'Schedule Wk 47'!A:A,'Schedule Wk 47'!F:F,"")</f>
        <v>2</v>
      </c>
      <c r="G13" s="54">
        <v>0.5</v>
      </c>
      <c r="H13" s="54">
        <v>0.875</v>
      </c>
      <c r="I13" s="54">
        <v>0.5</v>
      </c>
      <c r="J13" s="54">
        <v>0.875</v>
      </c>
      <c r="K13" s="54">
        <v>0.5</v>
      </c>
      <c r="L13" s="54">
        <v>0.875</v>
      </c>
      <c r="M13" s="54">
        <v>0.5</v>
      </c>
      <c r="N13" s="54">
        <v>0.875</v>
      </c>
      <c r="O13" s="54">
        <v>0.5</v>
      </c>
      <c r="P13" s="54">
        <v>0.875</v>
      </c>
      <c r="Q13" s="21" t="s">
        <v>23</v>
      </c>
      <c r="R13" s="21" t="s">
        <v>23</v>
      </c>
      <c r="S13" s="21" t="s">
        <v>23</v>
      </c>
      <c r="T13" s="21" t="s">
        <v>23</v>
      </c>
      <c r="U13" s="21">
        <f>IFERROR(__xludf.DUMMYFUNCTION("TO_PURE_NUMBER(SUM(FILTER(G13:T13, ISEVEN(COLUMN(G13:T13))))-SUM(FILTER(G13:T13, ISODD(COLUMN(G13:T13)))))*24"),45)</f>
        <v>45</v>
      </c>
      <c r="V13" s="17">
        <f t="array" ref="V13">_xlfn.XLOOKUP(A13,'WK 47'!A:A,'WK 47'!V:V,"")</f>
        <v>45</v>
      </c>
      <c r="W13" s="17" t="str">
        <f t="array" ref="W13">_xlfn.XLOOKUP(A13,'WK 47'!A:A,'WK 47'!AA:AA,"")</f>
        <v>early</v>
      </c>
      <c r="X13" s="7">
        <f t="shared" si="4"/>
        <v>0</v>
      </c>
      <c r="Y13" s="20">
        <f t="array" ref="Y13">_xlfn.XLOOKUP(A13,'WK 45'!A:A,'WK 45'!X:X,"")</f>
        <v>0.375</v>
      </c>
      <c r="Z13" s="61"/>
      <c r="AA13" s="61"/>
      <c r="AB13" s="61"/>
      <c r="AC13" s="61"/>
      <c r="AD13" s="61"/>
      <c r="AE13" s="61"/>
      <c r="AF13" s="61"/>
      <c r="AG13" s="61"/>
    </row>
    <row r="14" customHeight="1" spans="1:33">
      <c r="A14" s="21">
        <v>10317520</v>
      </c>
      <c r="B14" s="86" t="s">
        <v>37</v>
      </c>
      <c r="C14" s="21" t="s">
        <v>20</v>
      </c>
      <c r="D14" s="21" t="s">
        <v>21</v>
      </c>
      <c r="E14" s="54" t="str">
        <f t="array" ref="E14">_xlfn.XLOOKUP(A14,'Schedule Wk 47'!A:A,'Schedule Wk 47'!E:E,"")</f>
        <v>FT</v>
      </c>
      <c r="F14" s="103">
        <f t="array" ref="F14">_xlfn.XLOOKUP(A14,'Schedule Wk 47'!A:A,'Schedule Wk 47'!F:F,"")</f>
        <v>2</v>
      </c>
      <c r="G14" s="54">
        <v>0.375</v>
      </c>
      <c r="H14" s="54">
        <v>0.75</v>
      </c>
      <c r="I14" s="54">
        <v>0.375</v>
      </c>
      <c r="J14" s="54">
        <v>0.75</v>
      </c>
      <c r="K14" s="54">
        <v>0.375</v>
      </c>
      <c r="L14" s="54">
        <v>0.75</v>
      </c>
      <c r="M14" s="54">
        <v>0.375</v>
      </c>
      <c r="N14" s="54">
        <v>0.75</v>
      </c>
      <c r="O14" s="54">
        <v>0.375</v>
      </c>
      <c r="P14" s="54">
        <v>0.75</v>
      </c>
      <c r="Q14" s="21" t="s">
        <v>23</v>
      </c>
      <c r="R14" s="21" t="s">
        <v>23</v>
      </c>
      <c r="S14" s="21" t="s">
        <v>23</v>
      </c>
      <c r="T14" s="21" t="s">
        <v>23</v>
      </c>
      <c r="U14" s="21">
        <f>IFERROR(__xludf.DUMMYFUNCTION("TO_PURE_NUMBER(SUM(FILTER(G14:T14, ISEVEN(COLUMN(G14:T14))))-SUM(FILTER(G14:T14, ISODD(COLUMN(G14:T14)))))*24"),45)</f>
        <v>45</v>
      </c>
      <c r="V14" s="17">
        <f t="array" ref="V14">_xlfn.XLOOKUP(A14,'WK 47'!A:A,'WK 47'!V:V,"")</f>
        <v>45</v>
      </c>
      <c r="W14" s="17" t="str">
        <f t="array" ref="W14">_xlfn.XLOOKUP(A14,'WK 47'!A:A,'WK 47'!AA:AA,"")</f>
        <v>early</v>
      </c>
      <c r="X14" s="7">
        <f t="shared" si="4"/>
        <v>0</v>
      </c>
      <c r="Y14" s="20">
        <f t="array" ref="Y14">_xlfn.XLOOKUP(A14,'WK 45'!A:A,'WK 45'!X:X,"")</f>
        <v>0.375</v>
      </c>
      <c r="Z14" s="61"/>
      <c r="AA14" s="61"/>
      <c r="AB14" s="61"/>
      <c r="AC14" s="61"/>
      <c r="AD14" s="61"/>
      <c r="AE14" s="61"/>
      <c r="AF14" s="61"/>
      <c r="AG14" s="61"/>
    </row>
    <row r="15" customHeight="1" spans="1:33">
      <c r="A15" s="21">
        <v>10317147</v>
      </c>
      <c r="B15" s="86" t="s">
        <v>24</v>
      </c>
      <c r="C15" s="21" t="s">
        <v>20</v>
      </c>
      <c r="D15" s="21" t="s">
        <v>21</v>
      </c>
      <c r="E15" s="54" t="str">
        <f t="array" ref="E15">_xlfn.XLOOKUP(A15,'Schedule Wk 47'!A:A,'Schedule Wk 47'!E:E,"")</f>
        <v>FT</v>
      </c>
      <c r="F15" s="103">
        <f t="array" ref="F15">_xlfn.XLOOKUP(A15,'Schedule Wk 47'!A:A,'Schedule Wk 47'!F:F,"")</f>
        <v>1</v>
      </c>
      <c r="G15" s="21" t="s">
        <v>23</v>
      </c>
      <c r="H15" s="21" t="s">
        <v>23</v>
      </c>
      <c r="I15" s="54">
        <v>0.458333333333333</v>
      </c>
      <c r="J15" s="54">
        <v>0.875</v>
      </c>
      <c r="K15" s="54">
        <v>0.458333333333333</v>
      </c>
      <c r="L15" s="54">
        <v>0.875</v>
      </c>
      <c r="M15" s="54">
        <v>0.458333333333333</v>
      </c>
      <c r="N15" s="54">
        <v>0.875</v>
      </c>
      <c r="O15" s="54">
        <v>0.458333333333333</v>
      </c>
      <c r="P15" s="54">
        <v>0.875</v>
      </c>
      <c r="Q15" s="54">
        <v>0.458333333333333</v>
      </c>
      <c r="R15" s="54">
        <v>0.666666666666667</v>
      </c>
      <c r="S15" s="21" t="s">
        <v>23</v>
      </c>
      <c r="T15" s="21" t="s">
        <v>23</v>
      </c>
      <c r="U15" s="21">
        <f>IFERROR(__xludf.DUMMYFUNCTION("TO_PURE_NUMBER(SUM(FILTER(G15:T15, ISEVEN(COLUMN(G15:T15))))-SUM(FILTER(G15:T15, ISODD(COLUMN(G15:T15)))))*24"),45)</f>
        <v>45</v>
      </c>
      <c r="V15" s="17">
        <f t="array" ref="V15">_xlfn.XLOOKUP(A15,'WK 47'!A:A,'WK 47'!V:V,"")</f>
        <v>45</v>
      </c>
      <c r="W15" s="17" t="str">
        <f t="array" ref="W15">_xlfn.XLOOKUP(A15,'WK 47'!A:A,'WK 47'!AA:AA,"")</f>
        <v>early</v>
      </c>
      <c r="X15" s="7">
        <f t="shared" si="4"/>
        <v>0</v>
      </c>
      <c r="Y15" s="20">
        <f t="array" ref="Y15">_xlfn.XLOOKUP(A15,'WK 45'!A:A,'WK 45'!X:X,"")</f>
        <v>0.416666666666667</v>
      </c>
      <c r="Z15" s="61"/>
      <c r="AA15" s="61"/>
      <c r="AB15" s="61"/>
      <c r="AC15" s="61"/>
      <c r="AD15" s="61"/>
      <c r="AE15" s="61"/>
      <c r="AF15" s="61"/>
      <c r="AG15" s="61"/>
    </row>
    <row r="16" customHeight="1" spans="1:33">
      <c r="A16" s="21">
        <v>10320413</v>
      </c>
      <c r="B16" s="86" t="s">
        <v>60</v>
      </c>
      <c r="C16" s="21" t="s">
        <v>20</v>
      </c>
      <c r="D16" s="21" t="s">
        <v>21</v>
      </c>
      <c r="E16" s="54" t="str">
        <f t="array" ref="E16">_xlfn.XLOOKUP(A16,'Schedule Wk 47'!A:A,'Schedule Wk 47'!E:E,"")</f>
        <v>FT</v>
      </c>
      <c r="F16" s="103">
        <f t="array" ref="F16">_xlfn.XLOOKUP(A16,'Schedule Wk 47'!A:A,'Schedule Wk 47'!F:F,"")</f>
        <v>3</v>
      </c>
      <c r="G16" s="54">
        <v>0.375</v>
      </c>
      <c r="H16" s="54">
        <v>0.75</v>
      </c>
      <c r="I16" s="21" t="s">
        <v>23</v>
      </c>
      <c r="J16" s="21" t="s">
        <v>23</v>
      </c>
      <c r="K16" s="21" t="s">
        <v>23</v>
      </c>
      <c r="L16" s="21" t="s">
        <v>23</v>
      </c>
      <c r="M16" s="54">
        <v>0.375</v>
      </c>
      <c r="N16" s="54">
        <v>0.791666666666667</v>
      </c>
      <c r="O16" s="54">
        <v>0.375</v>
      </c>
      <c r="P16" s="54">
        <v>0.791666666666667</v>
      </c>
      <c r="Q16" s="54">
        <v>0.458333333333333</v>
      </c>
      <c r="R16" s="54">
        <v>0.666666666666667</v>
      </c>
      <c r="S16" s="54">
        <v>0.458333333333333</v>
      </c>
      <c r="T16" s="54">
        <v>0.666666666666667</v>
      </c>
      <c r="U16" s="113">
        <f>IFERROR(__xludf.DUMMYFUNCTION("TO_PURE_NUMBER(SUM(FILTER(G16:T16, ISEVEN(COLUMN(G16:T16))))-SUM(FILTER(G16:T16, ISODD(COLUMN(G16:T16)))))*24"),38.9999999999999)</f>
        <v>38.9999999999999</v>
      </c>
      <c r="V16" s="17">
        <f t="array" ref="V16">_xlfn.XLOOKUP(A16,'WK 47'!A:A,'WK 47'!V:V,"")</f>
        <v>45</v>
      </c>
      <c r="W16" s="17" t="str">
        <f t="array" ref="W16">_xlfn.XLOOKUP(A16,'WK 47'!A:A,'WK 47'!AA:AA,"")</f>
        <v>early</v>
      </c>
      <c r="X16" s="7">
        <f t="shared" si="4"/>
        <v>6.0000000000001</v>
      </c>
      <c r="Y16" s="17" t="str">
        <f t="array" ref="Y16">_xlfn.XLOOKUP(A16,'WK 45'!A:A,'WK 45'!X:X,"")</f>
        <v/>
      </c>
      <c r="Z16" s="61"/>
      <c r="AA16" s="61"/>
      <c r="AB16" s="61"/>
      <c r="AC16" s="61"/>
      <c r="AD16" s="61"/>
      <c r="AE16" s="61"/>
      <c r="AF16" s="61"/>
      <c r="AG16" s="61"/>
    </row>
    <row r="17" customHeight="1" spans="1:33">
      <c r="A17" s="21">
        <v>10317522</v>
      </c>
      <c r="B17" s="86" t="s">
        <v>31</v>
      </c>
      <c r="C17" s="21" t="s">
        <v>20</v>
      </c>
      <c r="D17" s="21" t="s">
        <v>21</v>
      </c>
      <c r="E17" s="54" t="str">
        <f t="array" ref="E17">_xlfn.XLOOKUP(A17,'Schedule Wk 47'!A:A,'Schedule Wk 47'!E:E,"")</f>
        <v>FT</v>
      </c>
      <c r="F17" s="103">
        <f t="array" ref="F17">_xlfn.XLOOKUP(A17,'Schedule Wk 47'!A:A,'Schedule Wk 47'!F:F,"")</f>
        <v>2</v>
      </c>
      <c r="G17" s="21" t="s">
        <v>23</v>
      </c>
      <c r="H17" s="21" t="s">
        <v>23</v>
      </c>
      <c r="I17" s="54">
        <v>0.458333333333333</v>
      </c>
      <c r="J17" s="54">
        <v>0.875</v>
      </c>
      <c r="K17" s="54">
        <v>0.458333333333333</v>
      </c>
      <c r="L17" s="54">
        <v>0.875</v>
      </c>
      <c r="M17" s="54">
        <v>0.458333333333333</v>
      </c>
      <c r="N17" s="54">
        <v>0.875</v>
      </c>
      <c r="O17" s="54">
        <v>0.458333333333333</v>
      </c>
      <c r="P17" s="54">
        <v>0.875</v>
      </c>
      <c r="Q17" s="54">
        <v>0.458333333333333</v>
      </c>
      <c r="R17" s="54">
        <v>0.666666666666667</v>
      </c>
      <c r="S17" s="21" t="s">
        <v>23</v>
      </c>
      <c r="T17" s="21" t="s">
        <v>23</v>
      </c>
      <c r="U17" s="21">
        <f>IFERROR(__xludf.DUMMYFUNCTION("TO_PURE_NUMBER(SUM(FILTER(G17:T17, ISEVEN(COLUMN(G17:T17))))-SUM(FILTER(G17:T17, ISODD(COLUMN(G17:T17)))))*24"),45)</f>
        <v>45</v>
      </c>
      <c r="V17" s="17">
        <f t="array" ref="V17">_xlfn.XLOOKUP(A17,'WK 47'!A:A,'WK 47'!V:V,"")</f>
        <v>45</v>
      </c>
      <c r="W17" s="17" t="str">
        <f t="array" ref="W17">_xlfn.XLOOKUP(A17,'WK 47'!A:A,'WK 47'!AA:AA,"")</f>
        <v>late</v>
      </c>
      <c r="X17" s="7">
        <f t="shared" si="4"/>
        <v>0</v>
      </c>
      <c r="Y17" s="20">
        <f t="array" ref="Y17">_xlfn.XLOOKUP(A17,'WK 45'!A:A,'WK 45'!X:X,"")</f>
        <v>0.375</v>
      </c>
      <c r="Z17" s="61"/>
      <c r="AA17" s="61"/>
      <c r="AB17" s="61"/>
      <c r="AC17" s="61"/>
      <c r="AD17" s="61"/>
      <c r="AE17" s="61"/>
      <c r="AF17" s="61"/>
      <c r="AG17" s="61"/>
    </row>
    <row r="18" customHeight="1" spans="1:33">
      <c r="A18" s="21">
        <v>10317151</v>
      </c>
      <c r="B18" s="86" t="s">
        <v>52</v>
      </c>
      <c r="C18" s="21" t="s">
        <v>20</v>
      </c>
      <c r="D18" s="21" t="s">
        <v>86</v>
      </c>
      <c r="E18" s="54" t="str">
        <f t="array" ref="E18">_xlfn.XLOOKUP(A18,'Schedule Wk 47'!A:A,'Schedule Wk 47'!E:E,"")</f>
        <v>FT</v>
      </c>
      <c r="F18" s="103">
        <f t="array" ref="F18">_xlfn.XLOOKUP(A18,'Schedule Wk 47'!A:A,'Schedule Wk 47'!F:F,"")</f>
        <v>1</v>
      </c>
      <c r="G18" s="54">
        <v>0.375</v>
      </c>
      <c r="H18" s="54">
        <v>0.75</v>
      </c>
      <c r="I18" s="54">
        <v>0.375</v>
      </c>
      <c r="J18" s="54">
        <v>0.75</v>
      </c>
      <c r="K18" s="54">
        <v>0.375</v>
      </c>
      <c r="L18" s="54">
        <v>0.75</v>
      </c>
      <c r="M18" s="54">
        <v>0.375</v>
      </c>
      <c r="N18" s="54">
        <v>0.75</v>
      </c>
      <c r="O18" s="54">
        <v>0.375</v>
      </c>
      <c r="P18" s="54">
        <v>0.75</v>
      </c>
      <c r="Q18" s="114" t="s">
        <v>23</v>
      </c>
      <c r="R18" s="114" t="s">
        <v>23</v>
      </c>
      <c r="S18" s="114" t="s">
        <v>23</v>
      </c>
      <c r="T18" s="114" t="s">
        <v>23</v>
      </c>
      <c r="U18" s="21">
        <f>IFERROR(__xludf.DUMMYFUNCTION("TO_PURE_NUMBER(SUM(FILTER(G18:T18, ISEVEN(COLUMN(G18:T18))))-SUM(FILTER(G18:T18, ISODD(COLUMN(G18:T18)))))*24"),45)</f>
        <v>45</v>
      </c>
      <c r="V18" s="17">
        <f t="array" ref="V18">_xlfn.XLOOKUP(A18,'WK 47'!A:A,'WK 47'!V:V,"")</f>
        <v>45</v>
      </c>
      <c r="W18" s="17" t="str">
        <f t="array" ref="W18">_xlfn.XLOOKUP(A18,'WK 47'!A:A,'WK 47'!AA:AA,"")</f>
        <v>early</v>
      </c>
      <c r="X18" s="7">
        <f t="shared" si="4"/>
        <v>0</v>
      </c>
      <c r="Y18" s="20">
        <f t="array" ref="Y18">_xlfn.XLOOKUP(A18,'WK 45'!A:A,'WK 45'!X:X,"")</f>
        <v>0.416666666666667</v>
      </c>
      <c r="Z18" s="61"/>
      <c r="AA18" s="61"/>
      <c r="AB18" s="61"/>
      <c r="AC18" s="61"/>
      <c r="AD18" s="61"/>
      <c r="AE18" s="61"/>
      <c r="AF18" s="61"/>
      <c r="AG18" s="61"/>
    </row>
    <row r="19" customHeight="1" spans="1:33">
      <c r="A19" s="21">
        <v>10320409</v>
      </c>
      <c r="B19" s="86" t="s">
        <v>57</v>
      </c>
      <c r="C19" s="21" t="s">
        <v>20</v>
      </c>
      <c r="D19" s="21" t="s">
        <v>21</v>
      </c>
      <c r="E19" s="54" t="str">
        <f t="array" ref="E19">_xlfn.XLOOKUP(A19,'Schedule Wk 47'!A:A,'Schedule Wk 47'!E:E,"")</f>
        <v>FT</v>
      </c>
      <c r="F19" s="103">
        <f t="array" ref="F19">_xlfn.XLOOKUP(A19,'Schedule Wk 47'!A:A,'Schedule Wk 47'!F:F,"")</f>
        <v>3</v>
      </c>
      <c r="G19" s="54">
        <v>0.375</v>
      </c>
      <c r="H19" s="54">
        <v>0.75</v>
      </c>
      <c r="I19" s="21" t="s">
        <v>23</v>
      </c>
      <c r="J19" s="21" t="s">
        <v>23</v>
      </c>
      <c r="K19" s="21" t="s">
        <v>23</v>
      </c>
      <c r="L19" s="21" t="s">
        <v>23</v>
      </c>
      <c r="M19" s="54">
        <v>0.375</v>
      </c>
      <c r="N19" s="54">
        <v>0.75</v>
      </c>
      <c r="O19" s="54">
        <v>0.375</v>
      </c>
      <c r="P19" s="54">
        <v>0.75</v>
      </c>
      <c r="Q19" s="54">
        <v>0.458333333333333</v>
      </c>
      <c r="R19" s="54">
        <v>0.666666666666667</v>
      </c>
      <c r="S19" s="54">
        <v>0.458333333333333</v>
      </c>
      <c r="T19" s="54">
        <v>0.666666666666667</v>
      </c>
      <c r="U19" s="113">
        <f>IFERROR(__xludf.DUMMYFUNCTION("TO_PURE_NUMBER(SUM(FILTER(G19:T19, ISEVEN(COLUMN(G19:T19))))-SUM(FILTER(G19:T19, ISODD(COLUMN(G19:T19)))))*24"),37)</f>
        <v>37</v>
      </c>
      <c r="V19" s="17">
        <f t="array" ref="V19">_xlfn.XLOOKUP(A19,'WK 47'!A:A,'WK 47'!V:V,"")</f>
        <v>45</v>
      </c>
      <c r="W19" s="17" t="str">
        <f t="array" ref="W19">_xlfn.XLOOKUP(A19,'WK 47'!A:A,'WK 47'!AA:AA,"")</f>
        <v>early</v>
      </c>
      <c r="X19" s="7">
        <f t="shared" si="4"/>
        <v>8</v>
      </c>
      <c r="Y19" s="17" t="str">
        <f t="array" ref="Y19">_xlfn.XLOOKUP(A19,'WK 45'!A:A,'WK 45'!X:X,"")</f>
        <v/>
      </c>
      <c r="Z19" s="61"/>
      <c r="AA19" s="61"/>
      <c r="AB19" s="61"/>
      <c r="AC19" s="61"/>
      <c r="AD19" s="61"/>
      <c r="AE19" s="61"/>
      <c r="AF19" s="61"/>
      <c r="AG19" s="61"/>
    </row>
    <row r="20" customHeight="1" spans="1:33">
      <c r="A20" s="21">
        <v>10293627</v>
      </c>
      <c r="B20" s="86" t="s">
        <v>64</v>
      </c>
      <c r="C20" s="21" t="s">
        <v>20</v>
      </c>
      <c r="D20" s="21" t="s">
        <v>21</v>
      </c>
      <c r="E20" s="54" t="str">
        <f t="array" ref="E20">_xlfn.XLOOKUP(A20,'Schedule Wk 47'!A:A,'Schedule Wk 47'!E:E,"")</f>
        <v>FT</v>
      </c>
      <c r="F20" s="103">
        <f t="array" ref="F20">_xlfn.XLOOKUP(A20,'Schedule Wk 47'!A:A,'Schedule Wk 47'!F:F,"")</f>
        <v>3</v>
      </c>
      <c r="G20" s="54">
        <v>0.375</v>
      </c>
      <c r="H20" s="54">
        <v>0.75</v>
      </c>
      <c r="I20" s="54">
        <v>0.375</v>
      </c>
      <c r="J20" s="54">
        <v>0.75</v>
      </c>
      <c r="K20" s="21" t="s">
        <v>23</v>
      </c>
      <c r="L20" s="21" t="s">
        <v>23</v>
      </c>
      <c r="M20" s="21" t="s">
        <v>23</v>
      </c>
      <c r="N20" s="21" t="s">
        <v>23</v>
      </c>
      <c r="O20" s="54">
        <v>0.375</v>
      </c>
      <c r="P20" s="54">
        <v>0.75</v>
      </c>
      <c r="Q20" s="54">
        <v>0.458333333333333</v>
      </c>
      <c r="R20" s="54">
        <v>0.666666666666667</v>
      </c>
      <c r="S20" s="54">
        <v>0.458333333333333</v>
      </c>
      <c r="T20" s="54">
        <v>0.666666666666667</v>
      </c>
      <c r="U20" s="113">
        <f>IFERROR(__xludf.DUMMYFUNCTION("TO_PURE_NUMBER(SUM(FILTER(G20:T20, ISEVEN(COLUMN(G20:T20))))-SUM(FILTER(G20:T20, ISODD(COLUMN(G20:T20)))))*24"),37)</f>
        <v>37</v>
      </c>
      <c r="V20" s="17">
        <f t="array" ref="V20">_xlfn.XLOOKUP(A20,'WK 47'!A:A,'WK 47'!V:V,"")</f>
        <v>45</v>
      </c>
      <c r="W20" s="17" t="str">
        <f t="array" ref="W20">_xlfn.XLOOKUP(A20,'WK 47'!A:A,'WK 47'!AA:AA,"")</f>
        <v>early</v>
      </c>
      <c r="X20" s="7">
        <f t="shared" si="4"/>
        <v>8</v>
      </c>
      <c r="Y20" s="20">
        <v>0.416666666666667</v>
      </c>
      <c r="Z20" s="61"/>
      <c r="AA20" s="61"/>
      <c r="AB20" s="61"/>
      <c r="AC20" s="61"/>
      <c r="AD20" s="61"/>
      <c r="AE20" s="61"/>
      <c r="AF20" s="61"/>
      <c r="AG20" s="61"/>
    </row>
    <row r="21" customHeight="1" spans="1:33">
      <c r="A21" s="21">
        <v>10316540</v>
      </c>
      <c r="B21" s="86" t="s">
        <v>30</v>
      </c>
      <c r="C21" s="21" t="s">
        <v>20</v>
      </c>
      <c r="D21" s="21" t="s">
        <v>86</v>
      </c>
      <c r="E21" s="54" t="str">
        <f t="array" ref="E21">_xlfn.XLOOKUP(A21,'Schedule Wk 47'!A:A,'Schedule Wk 47'!E:E,"")</f>
        <v>FT</v>
      </c>
      <c r="F21" s="103">
        <f t="array" ref="F21">_xlfn.XLOOKUP(A21,'Schedule Wk 47'!A:A,'Schedule Wk 47'!F:F,"")</f>
        <v>1</v>
      </c>
      <c r="G21" s="54">
        <v>0.375</v>
      </c>
      <c r="H21" s="54">
        <v>0.75</v>
      </c>
      <c r="I21" s="54">
        <v>0.375</v>
      </c>
      <c r="J21" s="54">
        <v>0.75</v>
      </c>
      <c r="K21" s="54">
        <v>0.375</v>
      </c>
      <c r="L21" s="54">
        <v>0.75</v>
      </c>
      <c r="M21" s="54">
        <v>0.375</v>
      </c>
      <c r="N21" s="54">
        <v>0.75</v>
      </c>
      <c r="O21" s="54">
        <v>0.375</v>
      </c>
      <c r="P21" s="54">
        <v>0.75</v>
      </c>
      <c r="Q21" s="114" t="s">
        <v>23</v>
      </c>
      <c r="R21" s="114" t="s">
        <v>23</v>
      </c>
      <c r="S21" s="114" t="s">
        <v>23</v>
      </c>
      <c r="T21" s="114" t="s">
        <v>23</v>
      </c>
      <c r="U21" s="21">
        <f>IFERROR(__xludf.DUMMYFUNCTION("TO_PURE_NUMBER(SUM(FILTER(G21:T21, ISEVEN(COLUMN(G21:T21))))-SUM(FILTER(G21:T21, ISODD(COLUMN(G21:T21)))))*24"),45)</f>
        <v>45</v>
      </c>
      <c r="V21" s="17">
        <f t="array" ref="V21">_xlfn.XLOOKUP(A21,'WK 47'!A:A,'WK 47'!V:V,"")</f>
        <v>45</v>
      </c>
      <c r="W21" s="17" t="str">
        <f t="array" ref="W21">_xlfn.XLOOKUP(A21,'WK 47'!A:A,'WK 47'!AA:AA,"")</f>
        <v>late</v>
      </c>
      <c r="X21" s="7">
        <f t="shared" si="4"/>
        <v>0</v>
      </c>
      <c r="Y21" s="20">
        <f t="array" ref="Y21">_xlfn.XLOOKUP(A21,'WK 45'!A:A,'WK 45'!X:X,"")</f>
        <v>0.416666666666667</v>
      </c>
      <c r="Z21" s="61"/>
      <c r="AA21" s="61"/>
      <c r="AB21" s="61"/>
      <c r="AC21" s="61"/>
      <c r="AD21" s="61"/>
      <c r="AE21" s="61"/>
      <c r="AF21" s="61"/>
      <c r="AG21" s="61"/>
    </row>
    <row r="22" customHeight="1" spans="1:33">
      <c r="A22" s="21">
        <v>10320435</v>
      </c>
      <c r="B22" s="86" t="s">
        <v>71</v>
      </c>
      <c r="C22" s="21" t="s">
        <v>20</v>
      </c>
      <c r="D22" s="21" t="s">
        <v>21</v>
      </c>
      <c r="E22" s="54" t="str">
        <f t="array" ref="E22">_xlfn.XLOOKUP(A22,'Schedule Wk 47'!A:A,'Schedule Wk 47'!E:E,"")</f>
        <v>FT</v>
      </c>
      <c r="F22" s="103">
        <f t="array" ref="F22">_xlfn.XLOOKUP(A22,'Schedule Wk 47'!A:A,'Schedule Wk 47'!F:F,"")</f>
        <v>3</v>
      </c>
      <c r="G22" s="54">
        <v>0.375</v>
      </c>
      <c r="H22" s="54">
        <v>0.75</v>
      </c>
      <c r="I22" s="21" t="s">
        <v>23</v>
      </c>
      <c r="J22" s="21" t="s">
        <v>23</v>
      </c>
      <c r="K22" s="21" t="s">
        <v>23</v>
      </c>
      <c r="L22" s="21" t="s">
        <v>23</v>
      </c>
      <c r="M22" s="54">
        <v>0.375</v>
      </c>
      <c r="N22" s="54">
        <v>0.75</v>
      </c>
      <c r="O22" s="54">
        <v>0.375</v>
      </c>
      <c r="P22" s="54">
        <v>0.75</v>
      </c>
      <c r="Q22" s="54">
        <v>0.458333333333333</v>
      </c>
      <c r="R22" s="54">
        <v>0.666666666666667</v>
      </c>
      <c r="S22" s="54">
        <v>0.458333333333333</v>
      </c>
      <c r="T22" s="54">
        <v>0.666666666666667</v>
      </c>
      <c r="U22" s="113">
        <f>IFERROR(__xludf.DUMMYFUNCTION("TO_PURE_NUMBER(SUM(FILTER(G22:T22, ISEVEN(COLUMN(G22:T22))))-SUM(FILTER(G22:T22, ISODD(COLUMN(G22:T22)))))*24"),37)</f>
        <v>37</v>
      </c>
      <c r="V22" s="17">
        <f t="array" ref="V22">_xlfn.XLOOKUP(A22,'WK 47'!A:A,'WK 47'!V:V,"")</f>
        <v>45</v>
      </c>
      <c r="W22" s="17" t="str">
        <f t="array" ref="W22">_xlfn.XLOOKUP(A22,'WK 47'!A:A,'WK 47'!AA:AA,"")</f>
        <v>early</v>
      </c>
      <c r="X22" s="7">
        <f t="shared" si="4"/>
        <v>8</v>
      </c>
      <c r="Y22" s="17" t="str">
        <f t="array" ref="Y22">_xlfn.XLOOKUP(A22,'WK 45'!A:A,'WK 45'!X:X,"")</f>
        <v/>
      </c>
      <c r="Z22" s="61"/>
      <c r="AA22" s="61"/>
      <c r="AB22" s="61"/>
      <c r="AC22" s="61"/>
      <c r="AD22" s="61"/>
      <c r="AE22" s="61"/>
      <c r="AF22" s="61"/>
      <c r="AG22" s="61"/>
    </row>
    <row r="23" customHeight="1" spans="1:33">
      <c r="A23" s="21">
        <v>10316551</v>
      </c>
      <c r="B23" s="86" t="s">
        <v>87</v>
      </c>
      <c r="C23" s="21" t="s">
        <v>20</v>
      </c>
      <c r="D23" s="21" t="s">
        <v>21</v>
      </c>
      <c r="E23" s="54" t="str">
        <f t="array" ref="E23">_xlfn.XLOOKUP(A23,'Schedule Wk 47'!A:A,'Schedule Wk 47'!E:E,"")</f>
        <v>FT</v>
      </c>
      <c r="F23" s="103">
        <f t="array" ref="F23">_xlfn.XLOOKUP(A23,'Schedule Wk 47'!A:A,'Schedule Wk 47'!F:F,"")</f>
        <v>1</v>
      </c>
      <c r="G23" s="54">
        <v>0.5</v>
      </c>
      <c r="H23" s="54">
        <v>0.875</v>
      </c>
      <c r="I23" s="54">
        <v>0.5</v>
      </c>
      <c r="J23" s="54">
        <v>0.875</v>
      </c>
      <c r="K23" s="21" t="s">
        <v>23</v>
      </c>
      <c r="L23" s="21" t="s">
        <v>23</v>
      </c>
      <c r="M23" s="21" t="s">
        <v>23</v>
      </c>
      <c r="N23" s="21" t="s">
        <v>23</v>
      </c>
      <c r="O23" s="54">
        <v>0.5</v>
      </c>
      <c r="P23" s="54">
        <v>0.875</v>
      </c>
      <c r="Q23" s="54">
        <v>0.458333333333333</v>
      </c>
      <c r="R23" s="54">
        <v>0.666666666666667</v>
      </c>
      <c r="S23" s="54">
        <v>0.458333333333333</v>
      </c>
      <c r="T23" s="54">
        <v>0.666666666666667</v>
      </c>
      <c r="U23" s="21">
        <f>IFERROR(__xludf.DUMMYFUNCTION("TO_PURE_NUMBER(SUM(FILTER(G23:T23, ISEVEN(COLUMN(G23:T23))))-SUM(FILTER(G23:T23, ISODD(COLUMN(G23:T23)))))*24"),37)</f>
        <v>37</v>
      </c>
      <c r="V23" s="17">
        <f t="array" ref="V23">_xlfn.XLOOKUP(A23,'WK 47'!A:A,'WK 47'!V:V,"")</f>
        <v>45</v>
      </c>
      <c r="W23" s="17" t="str">
        <f t="array" ref="W23">_xlfn.XLOOKUP(A23,'WK 47'!A:A,'WK 47'!AA:AA,"")</f>
        <v>early</v>
      </c>
      <c r="X23" s="7">
        <f t="shared" si="4"/>
        <v>8</v>
      </c>
      <c r="Y23" s="20">
        <v>0.416666666666667</v>
      </c>
      <c r="Z23" s="61"/>
      <c r="AA23" s="61"/>
      <c r="AB23" s="61"/>
      <c r="AC23" s="61"/>
      <c r="AD23" s="61"/>
      <c r="AE23" s="61"/>
      <c r="AF23" s="61"/>
      <c r="AG23" s="61"/>
    </row>
    <row r="24" customHeight="1" spans="1:33">
      <c r="A24" s="21">
        <v>10316546</v>
      </c>
      <c r="B24" s="86" t="s">
        <v>49</v>
      </c>
      <c r="C24" s="21" t="s">
        <v>20</v>
      </c>
      <c r="D24" s="21" t="s">
        <v>21</v>
      </c>
      <c r="E24" s="54" t="str">
        <f t="array" ref="E24">_xlfn.XLOOKUP(A24,'Schedule Wk 47'!A:A,'Schedule Wk 47'!E:E,"")</f>
        <v>FT</v>
      </c>
      <c r="F24" s="103">
        <f t="array" ref="F24">_xlfn.XLOOKUP(A24,'Schedule Wk 47'!A:A,'Schedule Wk 47'!F:F,"")</f>
        <v>1</v>
      </c>
      <c r="G24" s="54">
        <v>0.5</v>
      </c>
      <c r="H24" s="54">
        <v>0.875</v>
      </c>
      <c r="I24" s="54">
        <v>0.5</v>
      </c>
      <c r="J24" s="54">
        <v>0.875</v>
      </c>
      <c r="K24" s="54">
        <v>0.5</v>
      </c>
      <c r="L24" s="54">
        <v>0.875</v>
      </c>
      <c r="M24" s="21" t="s">
        <v>23</v>
      </c>
      <c r="N24" s="21" t="s">
        <v>23</v>
      </c>
      <c r="O24" s="21" t="s">
        <v>23</v>
      </c>
      <c r="P24" s="21" t="s">
        <v>23</v>
      </c>
      <c r="Q24" s="54">
        <v>0.458333333333333</v>
      </c>
      <c r="R24" s="54">
        <v>0.666666666666667</v>
      </c>
      <c r="S24" s="54">
        <v>0.458333333333333</v>
      </c>
      <c r="T24" s="54">
        <v>0.666666666666667</v>
      </c>
      <c r="U24" s="21">
        <f>IFERROR(__xludf.DUMMYFUNCTION("TO_PURE_NUMBER(SUM(FILTER(G24:T24, ISEVEN(COLUMN(G24:T24))))-SUM(FILTER(G24:T24, ISODD(COLUMN(G24:T24)))))*24"),37)</f>
        <v>37</v>
      </c>
      <c r="V24" s="17">
        <v>37</v>
      </c>
      <c r="W24" s="17" t="str">
        <f t="array" ref="W24">_xlfn.XLOOKUP(A24,'WK 47'!A:A,'WK 47'!AA:AA,"")</f>
        <v>early</v>
      </c>
      <c r="X24" s="7">
        <f t="shared" si="4"/>
        <v>0</v>
      </c>
      <c r="Y24" s="20">
        <v>0.375</v>
      </c>
      <c r="Z24" s="61"/>
      <c r="AA24" s="61"/>
      <c r="AB24" s="61"/>
      <c r="AC24" s="61"/>
      <c r="AD24" s="61"/>
      <c r="AE24" s="61"/>
      <c r="AF24" s="61"/>
      <c r="AG24" s="61"/>
    </row>
    <row r="25" customHeight="1" spans="1:33">
      <c r="A25" s="21">
        <v>10276839</v>
      </c>
      <c r="B25" s="86" t="s">
        <v>54</v>
      </c>
      <c r="C25" s="21" t="s">
        <v>20</v>
      </c>
      <c r="D25" s="21" t="s">
        <v>21</v>
      </c>
      <c r="E25" s="54" t="str">
        <f t="array" ref="E25">_xlfn.XLOOKUP(A25,'Schedule Wk 47'!A:A,'Schedule Wk 47'!E:E,"")</f>
        <v>FT</v>
      </c>
      <c r="F25" s="103">
        <f t="array" ref="F25">_xlfn.XLOOKUP(A25,'Schedule Wk 47'!A:A,'Schedule Wk 47'!F:F,"")</f>
        <v>2</v>
      </c>
      <c r="G25" s="54">
        <v>0.375</v>
      </c>
      <c r="H25" s="54">
        <v>0.791666666666667</v>
      </c>
      <c r="I25" s="54">
        <v>0.375</v>
      </c>
      <c r="J25" s="54">
        <v>0.791666666666667</v>
      </c>
      <c r="K25" s="54">
        <v>0.375</v>
      </c>
      <c r="L25" s="54">
        <v>0.791666666666667</v>
      </c>
      <c r="M25" s="54">
        <v>0.375</v>
      </c>
      <c r="N25" s="54">
        <v>0.791666666666667</v>
      </c>
      <c r="O25" s="21" t="s">
        <v>23</v>
      </c>
      <c r="P25" s="21" t="s">
        <v>23</v>
      </c>
      <c r="Q25" s="21" t="s">
        <v>23</v>
      </c>
      <c r="R25" s="21" t="s">
        <v>23</v>
      </c>
      <c r="S25" s="54">
        <v>0.458333333333333</v>
      </c>
      <c r="T25" s="54">
        <v>0.666666666666667</v>
      </c>
      <c r="U25" s="21">
        <f>IFERROR(__xludf.DUMMYFUNCTION("TO_PURE_NUMBER(SUM(FILTER(G25:T25, ISEVEN(COLUMN(G25:T25))))-SUM(FILTER(G25:T25, ISODD(COLUMN(G25:T25)))))*24"),44.9999999999999)</f>
        <v>44.9999999999999</v>
      </c>
      <c r="V25" s="17">
        <f t="array" ref="V25">_xlfn.XLOOKUP(A25,'WK 47'!A:A,'WK 47'!V:V,"")</f>
        <v>45</v>
      </c>
      <c r="W25" s="17" t="str">
        <f t="array" ref="W25">_xlfn.XLOOKUP(A25,'WK 47'!A:A,'WK 47'!AA:AA,"")</f>
        <v>early</v>
      </c>
      <c r="X25" s="7">
        <f t="shared" si="4"/>
        <v>9.9475983006414e-14</v>
      </c>
      <c r="Y25" s="20">
        <f t="array" ref="Y25">_xlfn.XLOOKUP(A25,'WK 45'!A:A,'WK 45'!X:X,"")</f>
        <v>0.375</v>
      </c>
      <c r="Z25" s="61"/>
      <c r="AA25" s="61"/>
      <c r="AB25" s="61"/>
      <c r="AC25" s="61"/>
      <c r="AD25" s="61"/>
      <c r="AE25" s="61"/>
      <c r="AF25" s="61"/>
      <c r="AG25" s="61"/>
    </row>
    <row r="26" customHeight="1" spans="1:33">
      <c r="A26" s="21">
        <v>10274446</v>
      </c>
      <c r="B26" s="86" t="s">
        <v>88</v>
      </c>
      <c r="C26" s="21" t="s">
        <v>20</v>
      </c>
      <c r="D26" s="21" t="s">
        <v>21</v>
      </c>
      <c r="E26" s="54" t="str">
        <f t="array" ref="E26">_xlfn.XLOOKUP(A26,'Schedule Wk 47'!A:A,'Schedule Wk 47'!E:E,"")</f>
        <v>FT</v>
      </c>
      <c r="F26" s="103">
        <f t="array" ref="F26">_xlfn.XLOOKUP(A26,'Schedule Wk 47'!A:A,'Schedule Wk 47'!F:F,"")</f>
        <v>2</v>
      </c>
      <c r="G26" s="54">
        <v>0.5</v>
      </c>
      <c r="H26" s="54">
        <v>0.875</v>
      </c>
      <c r="I26" s="21" t="s">
        <v>23</v>
      </c>
      <c r="J26" s="21" t="s">
        <v>23</v>
      </c>
      <c r="K26" s="21" t="s">
        <v>23</v>
      </c>
      <c r="L26" s="21" t="s">
        <v>23</v>
      </c>
      <c r="M26" s="54">
        <v>0.5</v>
      </c>
      <c r="N26" s="54">
        <v>0.875</v>
      </c>
      <c r="O26" s="54">
        <v>0.5</v>
      </c>
      <c r="P26" s="54">
        <v>0.875</v>
      </c>
      <c r="Q26" s="54">
        <v>0.458333333333333</v>
      </c>
      <c r="R26" s="54">
        <v>0.666666666666667</v>
      </c>
      <c r="S26" s="54">
        <v>0.458333333333333</v>
      </c>
      <c r="T26" s="54">
        <v>0.666666666666667</v>
      </c>
      <c r="U26" s="21">
        <f>IFERROR(__xludf.DUMMYFUNCTION("TO_PURE_NUMBER(SUM(FILTER(G26:T26, ISEVEN(COLUMN(G26:T26))))-SUM(FILTER(G26:T26, ISODD(COLUMN(G26:T26)))))*24"),37)</f>
        <v>37</v>
      </c>
      <c r="V26" s="17">
        <v>37</v>
      </c>
      <c r="W26" s="17" t="str">
        <f t="array" ref="W26">_xlfn.XLOOKUP(A26,'WK 47'!A:A,'WK 47'!AA:AA,"")</f>
        <v>late</v>
      </c>
      <c r="X26" s="7">
        <f t="shared" si="4"/>
        <v>0</v>
      </c>
      <c r="Y26" s="20">
        <v>0.375</v>
      </c>
      <c r="Z26" s="61"/>
      <c r="AA26" s="61"/>
      <c r="AB26" s="61"/>
      <c r="AC26" s="61"/>
      <c r="AD26" s="61"/>
      <c r="AE26" s="61"/>
      <c r="AF26" s="61"/>
      <c r="AG26" s="61"/>
    </row>
    <row r="27" customHeight="1" spans="1:33">
      <c r="A27" s="21">
        <v>10316685</v>
      </c>
      <c r="B27" s="86" t="s">
        <v>47</v>
      </c>
      <c r="C27" s="21" t="s">
        <v>89</v>
      </c>
      <c r="D27" s="21" t="s">
        <v>21</v>
      </c>
      <c r="E27" s="54" t="str">
        <f t="array" ref="E27">_xlfn.XLOOKUP(A27,'Schedule Wk 47'!A:A,'Schedule Wk 47'!E:E,"")</f>
        <v>FT</v>
      </c>
      <c r="F27" s="103">
        <f t="array" ref="F27">_xlfn.XLOOKUP(A27,'Schedule Wk 47'!A:A,'Schedule Wk 47'!F:F,"")</f>
        <v>1</v>
      </c>
      <c r="G27" s="54">
        <v>0.375</v>
      </c>
      <c r="H27" s="54">
        <v>0.75</v>
      </c>
      <c r="I27" s="54">
        <v>0.375</v>
      </c>
      <c r="J27" s="54">
        <v>0.75</v>
      </c>
      <c r="K27" s="54">
        <v>0.375</v>
      </c>
      <c r="L27" s="54">
        <v>0.75</v>
      </c>
      <c r="M27" s="54">
        <v>0.375</v>
      </c>
      <c r="N27" s="54">
        <v>0.75</v>
      </c>
      <c r="O27" s="54">
        <v>0.375</v>
      </c>
      <c r="P27" s="54">
        <v>0.75</v>
      </c>
      <c r="Q27" s="115" t="s">
        <v>23</v>
      </c>
      <c r="R27" s="115" t="s">
        <v>23</v>
      </c>
      <c r="S27" s="21" t="s">
        <v>23</v>
      </c>
      <c r="T27" s="21" t="s">
        <v>23</v>
      </c>
      <c r="U27" s="21">
        <f>IFERROR(__xludf.DUMMYFUNCTION("TO_PURE_NUMBER(SUM(FILTER(G27:T27, ISEVEN(COLUMN(G27:T27))))-SUM(FILTER(G27:T27, ISODD(COLUMN(G27:T27)))))*24"),45)</f>
        <v>45</v>
      </c>
      <c r="V27" s="17">
        <f t="array" ref="V27">_xlfn.XLOOKUP(A27,'WK 47'!A:A,'WK 47'!V:V,"")</f>
        <v>45</v>
      </c>
      <c r="W27" s="17" t="str">
        <f t="array" ref="W27">_xlfn.XLOOKUP(A27,'WK 47'!A:A,'WK 47'!AA:AA,"")</f>
        <v>late</v>
      </c>
      <c r="X27" s="7">
        <f t="shared" si="4"/>
        <v>0</v>
      </c>
      <c r="Y27" s="20">
        <f t="array" ref="Y27">_xlfn.XLOOKUP(A27,'WK 45'!A:A,'WK 45'!X:X,"")</f>
        <v>0.416666666666667</v>
      </c>
      <c r="Z27" s="61"/>
      <c r="AA27" s="61"/>
      <c r="AB27" s="61"/>
      <c r="AC27" s="61"/>
      <c r="AD27" s="61"/>
      <c r="AE27" s="61"/>
      <c r="AF27" s="61"/>
      <c r="AG27" s="61"/>
    </row>
    <row r="28" customHeight="1" spans="1:33">
      <c r="A28" s="21">
        <v>10293607</v>
      </c>
      <c r="B28" s="86" t="s">
        <v>65</v>
      </c>
      <c r="C28" s="21" t="s">
        <v>20</v>
      </c>
      <c r="D28" s="21" t="s">
        <v>21</v>
      </c>
      <c r="E28" s="54" t="str">
        <f t="array" ref="E28">_xlfn.XLOOKUP(A28,'Schedule Wk 47'!A:A,'Schedule Wk 47'!E:E,"")</f>
        <v>FT</v>
      </c>
      <c r="F28" s="103">
        <f t="array" ref="F28">_xlfn.XLOOKUP(A28,'Schedule Wk 47'!A:A,'Schedule Wk 47'!F:F,"")</f>
        <v>3</v>
      </c>
      <c r="G28" s="54">
        <v>0.375</v>
      </c>
      <c r="H28" s="54">
        <v>0.75</v>
      </c>
      <c r="I28" s="54">
        <v>0.375</v>
      </c>
      <c r="J28" s="54">
        <v>0.75</v>
      </c>
      <c r="K28" s="21" t="s">
        <v>23</v>
      </c>
      <c r="L28" s="21" t="s">
        <v>23</v>
      </c>
      <c r="M28" s="21" t="s">
        <v>23</v>
      </c>
      <c r="N28" s="21" t="s">
        <v>23</v>
      </c>
      <c r="O28" s="54">
        <v>0.375</v>
      </c>
      <c r="P28" s="54">
        <v>0.75</v>
      </c>
      <c r="Q28" s="54">
        <v>0.458333333333333</v>
      </c>
      <c r="R28" s="54">
        <v>0.666666666666667</v>
      </c>
      <c r="S28" s="54">
        <v>0.458333333333333</v>
      </c>
      <c r="T28" s="54">
        <v>0.666666666666667</v>
      </c>
      <c r="U28" s="113">
        <f>IFERROR(__xludf.DUMMYFUNCTION("TO_PURE_NUMBER(SUM(FILTER(G28:T28, ISEVEN(COLUMN(G28:T28))))-SUM(FILTER(G28:T28, ISODD(COLUMN(G28:T28)))))*24"),37)</f>
        <v>37</v>
      </c>
      <c r="V28" s="17">
        <f t="array" ref="V28">_xlfn.XLOOKUP(A28,'WK 47'!A:A,'WK 47'!V:V,"")</f>
        <v>45</v>
      </c>
      <c r="W28" s="17" t="str">
        <f t="array" ref="W28">_xlfn.XLOOKUP(A28,'WK 47'!A:A,'WK 47'!AA:AA,"")</f>
        <v>early</v>
      </c>
      <c r="X28" s="7">
        <f t="shared" si="4"/>
        <v>8</v>
      </c>
      <c r="Y28" s="17" t="str">
        <f t="array" ref="Y28">_xlfn.XLOOKUP(A28,'WK 45'!A:A,'WK 45'!X:X,"")</f>
        <v/>
      </c>
      <c r="Z28" s="61"/>
      <c r="AA28" s="61"/>
      <c r="AB28" s="61"/>
      <c r="AC28" s="61"/>
      <c r="AD28" s="61"/>
      <c r="AE28" s="61"/>
      <c r="AF28" s="61"/>
      <c r="AG28" s="61"/>
    </row>
    <row r="29" customHeight="1" spans="1:33">
      <c r="A29" s="21">
        <v>10316538</v>
      </c>
      <c r="B29" s="86" t="s">
        <v>44</v>
      </c>
      <c r="C29" s="21" t="s">
        <v>20</v>
      </c>
      <c r="D29" s="21" t="s">
        <v>21</v>
      </c>
      <c r="E29" s="54" t="str">
        <f t="array" ref="E29">_xlfn.XLOOKUP(A29,'Schedule Wk 47'!A:A,'Schedule Wk 47'!E:E,"")</f>
        <v>FT</v>
      </c>
      <c r="F29" s="103">
        <f t="array" ref="F29">_xlfn.XLOOKUP(A29,'Schedule Wk 47'!A:A,'Schedule Wk 47'!F:F,"")</f>
        <v>1</v>
      </c>
      <c r="G29" s="54">
        <v>0.5</v>
      </c>
      <c r="H29" s="54">
        <v>0.875</v>
      </c>
      <c r="I29" s="54">
        <v>0.5</v>
      </c>
      <c r="J29" s="54">
        <v>0.875</v>
      </c>
      <c r="K29" s="21" t="s">
        <v>23</v>
      </c>
      <c r="L29" s="21" t="s">
        <v>23</v>
      </c>
      <c r="M29" s="21" t="s">
        <v>23</v>
      </c>
      <c r="N29" s="21" t="s">
        <v>23</v>
      </c>
      <c r="O29" s="54">
        <v>0.5</v>
      </c>
      <c r="P29" s="54">
        <v>0.875</v>
      </c>
      <c r="Q29" s="54">
        <v>0.458333333333333</v>
      </c>
      <c r="R29" s="54">
        <v>0.666666666666667</v>
      </c>
      <c r="S29" s="54">
        <v>0.458333333333333</v>
      </c>
      <c r="T29" s="54">
        <v>0.666666666666667</v>
      </c>
      <c r="U29" s="21">
        <f>IFERROR(__xludf.DUMMYFUNCTION("TO_PURE_NUMBER(SUM(FILTER(G29:T29, ISEVEN(COLUMN(G29:T29))))-SUM(FILTER(G29:T29, ISODD(COLUMN(G29:T29)))))*24"),37)</f>
        <v>37</v>
      </c>
      <c r="V29" s="17">
        <f t="array" ref="V29">_xlfn.XLOOKUP(A29,'WK 47'!A:A,'WK 47'!V:V,"")</f>
        <v>37</v>
      </c>
      <c r="W29" s="17" t="str">
        <f t="array" ref="W29">_xlfn.XLOOKUP(A29,'WK 47'!A:A,'WK 47'!AA:AA,"")</f>
        <v>late</v>
      </c>
      <c r="X29" s="7">
        <f t="shared" si="4"/>
        <v>0</v>
      </c>
      <c r="Y29" s="20">
        <f t="array" ref="Y29">_xlfn.XLOOKUP(A29,'WK 45'!A:A,'WK 45'!X:X,"")</f>
        <v>0.416666666666667</v>
      </c>
      <c r="Z29" s="61"/>
      <c r="AA29" s="61"/>
      <c r="AB29" s="61"/>
      <c r="AC29" s="61"/>
      <c r="AD29" s="61"/>
      <c r="AE29" s="61"/>
      <c r="AF29" s="61"/>
      <c r="AG29" s="61"/>
    </row>
    <row r="30" customHeight="1" spans="1:33">
      <c r="A30" s="21">
        <v>10320436</v>
      </c>
      <c r="B30" s="86" t="s">
        <v>90</v>
      </c>
      <c r="C30" s="21" t="s">
        <v>20</v>
      </c>
      <c r="D30" s="21" t="s">
        <v>21</v>
      </c>
      <c r="E30" s="54" t="str">
        <f t="array" ref="E30">_xlfn.XLOOKUP(A30,'Schedule Wk 47'!A:A,'Schedule Wk 47'!E:E,"")</f>
        <v>FT</v>
      </c>
      <c r="F30" s="103">
        <f t="array" ref="F30">_xlfn.XLOOKUP(A30,'Schedule Wk 47'!A:A,'Schedule Wk 47'!F:F,"")</f>
        <v>3</v>
      </c>
      <c r="G30" s="54">
        <v>0.375</v>
      </c>
      <c r="H30" s="54">
        <v>0.75</v>
      </c>
      <c r="I30" s="54">
        <v>0.375</v>
      </c>
      <c r="J30" s="54">
        <v>0.75</v>
      </c>
      <c r="K30" s="54">
        <v>0.375</v>
      </c>
      <c r="L30" s="54">
        <v>0.75</v>
      </c>
      <c r="M30" s="54">
        <v>0.375</v>
      </c>
      <c r="N30" s="54">
        <v>0.75</v>
      </c>
      <c r="O30" s="54">
        <v>0.375</v>
      </c>
      <c r="P30" s="54">
        <v>0.75</v>
      </c>
      <c r="Q30" s="21" t="s">
        <v>23</v>
      </c>
      <c r="R30" s="21" t="s">
        <v>23</v>
      </c>
      <c r="S30" s="21" t="s">
        <v>23</v>
      </c>
      <c r="T30" s="21" t="s">
        <v>23</v>
      </c>
      <c r="U30" s="21">
        <f>IFERROR(__xludf.DUMMYFUNCTION("TO_PURE_NUMBER(SUM(FILTER(G30:T30, ISEVEN(COLUMN(G30:T30))))-SUM(FILTER(G30:T30, ISODD(COLUMN(G30:T30)))))*24"),45)</f>
        <v>45</v>
      </c>
      <c r="V30" s="17">
        <f t="array" ref="V30">_xlfn.XLOOKUP(A30,'WK 47'!A:A,'WK 47'!V:V,"")</f>
        <v>45</v>
      </c>
      <c r="W30" s="17" t="str">
        <f t="array" ref="W30">_xlfn.XLOOKUP(A30,'WK 47'!A:A,'WK 47'!AA:AA,"")</f>
        <v>early</v>
      </c>
      <c r="X30" s="7">
        <f t="shared" si="4"/>
        <v>0</v>
      </c>
      <c r="Y30" s="17" t="str">
        <f t="array" ref="Y30">_xlfn.XLOOKUP(A30,'WK 45'!A:A,'WK 45'!X:X,"")</f>
        <v/>
      </c>
      <c r="Z30" s="61"/>
      <c r="AA30" s="61"/>
      <c r="AB30" s="61"/>
      <c r="AC30" s="61"/>
      <c r="AD30" s="61"/>
      <c r="AE30" s="61"/>
      <c r="AF30" s="61"/>
      <c r="AG30" s="61"/>
    </row>
    <row r="31" customHeight="1" spans="1:33">
      <c r="A31" s="21">
        <v>10317154</v>
      </c>
      <c r="B31" s="86" t="s">
        <v>70</v>
      </c>
      <c r="C31" s="21" t="s">
        <v>20</v>
      </c>
      <c r="D31" s="21" t="s">
        <v>21</v>
      </c>
      <c r="E31" s="54" t="str">
        <f t="array" ref="E31">_xlfn.XLOOKUP(A31,'Schedule Wk 47'!A:A,'Schedule Wk 47'!E:E,"")</f>
        <v>FT</v>
      </c>
      <c r="F31" s="103">
        <f t="array" ref="F31">_xlfn.XLOOKUP(A31,'Schedule Wk 47'!A:A,'Schedule Wk 47'!F:F,"")</f>
        <v>3</v>
      </c>
      <c r="G31" s="54">
        <v>0.375</v>
      </c>
      <c r="H31" s="54">
        <v>0.75</v>
      </c>
      <c r="I31" s="54">
        <v>0.375</v>
      </c>
      <c r="J31" s="54">
        <v>0.75</v>
      </c>
      <c r="K31" s="54">
        <v>0.375</v>
      </c>
      <c r="L31" s="54">
        <v>0.75</v>
      </c>
      <c r="M31" s="54">
        <v>0.375</v>
      </c>
      <c r="N31" s="54">
        <v>0.75</v>
      </c>
      <c r="O31" s="54">
        <v>0.375</v>
      </c>
      <c r="P31" s="54">
        <v>0.75</v>
      </c>
      <c r="Q31" s="21" t="s">
        <v>23</v>
      </c>
      <c r="R31" s="21" t="s">
        <v>23</v>
      </c>
      <c r="S31" s="21" t="s">
        <v>23</v>
      </c>
      <c r="T31" s="21" t="s">
        <v>23</v>
      </c>
      <c r="U31" s="21">
        <f>IFERROR(__xludf.DUMMYFUNCTION("TO_PURE_NUMBER(SUM(FILTER(G31:T31, ISEVEN(COLUMN(G31:T31))))-SUM(FILTER(G31:T31, ISODD(COLUMN(G31:T31)))))*24"),45)</f>
        <v>45</v>
      </c>
      <c r="V31" s="17">
        <f t="array" ref="V31">_xlfn.XLOOKUP(A31,'WK 47'!A:A,'WK 47'!V:V,"")</f>
        <v>45</v>
      </c>
      <c r="W31" s="17" t="str">
        <f t="array" ref="W31">_xlfn.XLOOKUP(A31,'WK 47'!A:A,'WK 47'!AA:AA,"")</f>
        <v>early</v>
      </c>
      <c r="X31" s="7">
        <f t="shared" si="4"/>
        <v>0</v>
      </c>
      <c r="Y31" s="17" t="str">
        <f t="array" ref="Y31">_xlfn.XLOOKUP(A31,'WK 45'!A:A,'WK 45'!X:X,"")</f>
        <v/>
      </c>
      <c r="Z31" s="61"/>
      <c r="AA31" s="61"/>
      <c r="AB31" s="61"/>
      <c r="AC31" s="61"/>
      <c r="AD31" s="61"/>
      <c r="AE31" s="61"/>
      <c r="AF31" s="61"/>
      <c r="AG31" s="61"/>
    </row>
    <row r="32" customHeight="1" spans="1:33">
      <c r="A32" s="21">
        <v>10320417</v>
      </c>
      <c r="B32" s="86" t="s">
        <v>67</v>
      </c>
      <c r="C32" s="21" t="s">
        <v>20</v>
      </c>
      <c r="D32" s="21" t="s">
        <v>21</v>
      </c>
      <c r="E32" s="54" t="str">
        <f t="array" ref="E32">_xlfn.XLOOKUP(A32,'Schedule Wk 47'!A:A,'Schedule Wk 47'!E:E,"")</f>
        <v>FT</v>
      </c>
      <c r="F32" s="103">
        <f t="array" ref="F32">_xlfn.XLOOKUP(A32,'Schedule Wk 47'!A:A,'Schedule Wk 47'!F:F,"")</f>
        <v>3</v>
      </c>
      <c r="G32" s="54">
        <v>0.375</v>
      </c>
      <c r="H32" s="54">
        <v>0.75</v>
      </c>
      <c r="I32" s="54">
        <v>0.375</v>
      </c>
      <c r="J32" s="54">
        <v>0.75</v>
      </c>
      <c r="K32" s="54">
        <v>0.375</v>
      </c>
      <c r="L32" s="54">
        <v>0.75</v>
      </c>
      <c r="M32" s="54">
        <v>0.375</v>
      </c>
      <c r="N32" s="54">
        <v>0.75</v>
      </c>
      <c r="O32" s="54">
        <v>0.375</v>
      </c>
      <c r="P32" s="54">
        <v>0.75</v>
      </c>
      <c r="Q32" s="21" t="s">
        <v>23</v>
      </c>
      <c r="R32" s="21" t="s">
        <v>23</v>
      </c>
      <c r="S32" s="21" t="s">
        <v>23</v>
      </c>
      <c r="T32" s="21" t="s">
        <v>23</v>
      </c>
      <c r="U32" s="21">
        <f>IFERROR(__xludf.DUMMYFUNCTION("TO_PURE_NUMBER(SUM(FILTER(G32:T32, ISEVEN(COLUMN(G32:T32))))-SUM(FILTER(G32:T32, ISODD(COLUMN(G32:T32)))))*24"),45)</f>
        <v>45</v>
      </c>
      <c r="V32" s="17">
        <f t="array" ref="V32">_xlfn.XLOOKUP(A32,'WK 47'!A:A,'WK 47'!V:V,"")</f>
        <v>45</v>
      </c>
      <c r="W32" s="17" t="str">
        <f t="array" ref="W32">_xlfn.XLOOKUP(A32,'WK 47'!A:A,'WK 47'!AA:AA,"")</f>
        <v>early</v>
      </c>
      <c r="X32" s="7">
        <f t="shared" si="4"/>
        <v>0</v>
      </c>
      <c r="Y32" s="20">
        <v>0.208333333333333</v>
      </c>
      <c r="Z32" s="61"/>
      <c r="AA32" s="61"/>
      <c r="AB32" s="61"/>
      <c r="AC32" s="61"/>
      <c r="AD32" s="61"/>
      <c r="AE32" s="61"/>
      <c r="AF32" s="61"/>
      <c r="AG32" s="61"/>
    </row>
    <row r="33" customHeight="1" spans="1:33">
      <c r="A33" s="21">
        <v>10320407</v>
      </c>
      <c r="B33" s="86" t="s">
        <v>55</v>
      </c>
      <c r="C33" s="21" t="s">
        <v>20</v>
      </c>
      <c r="D33" s="21" t="s">
        <v>21</v>
      </c>
      <c r="E33" s="54" t="str">
        <f t="array" ref="E33">_xlfn.XLOOKUP(A33,'Schedule Wk 47'!A:A,'Schedule Wk 47'!E:E,"")</f>
        <v>FT</v>
      </c>
      <c r="F33" s="103">
        <f t="array" ref="F33">_xlfn.XLOOKUP(A33,'Schedule Wk 47'!A:A,'Schedule Wk 47'!F:F,"")</f>
        <v>3</v>
      </c>
      <c r="G33" s="54">
        <v>0.375</v>
      </c>
      <c r="H33" s="54">
        <v>0.75</v>
      </c>
      <c r="I33" s="54">
        <v>0.375</v>
      </c>
      <c r="J33" s="54">
        <v>0.75</v>
      </c>
      <c r="K33" s="54">
        <v>0.375</v>
      </c>
      <c r="L33" s="54">
        <v>0.75</v>
      </c>
      <c r="M33" s="54">
        <v>0.375</v>
      </c>
      <c r="N33" s="54">
        <v>0.75</v>
      </c>
      <c r="O33" s="54">
        <v>0.375</v>
      </c>
      <c r="P33" s="54">
        <v>0.75</v>
      </c>
      <c r="Q33" s="21" t="s">
        <v>23</v>
      </c>
      <c r="R33" s="21" t="s">
        <v>23</v>
      </c>
      <c r="S33" s="21" t="s">
        <v>23</v>
      </c>
      <c r="T33" s="21" t="s">
        <v>23</v>
      </c>
      <c r="U33" s="21">
        <f>IFERROR(__xludf.DUMMYFUNCTION("TO_PURE_NUMBER(SUM(FILTER(G33:T33, ISEVEN(COLUMN(G33:T33))))-SUM(FILTER(G33:T33, ISODD(COLUMN(G33:T33)))))*24"),45)</f>
        <v>45</v>
      </c>
      <c r="V33" s="17">
        <f t="array" ref="V33">_xlfn.XLOOKUP(A33,'WK 47'!A:A,'WK 47'!V:V,"")</f>
        <v>45</v>
      </c>
      <c r="W33" s="17" t="str">
        <f t="array" ref="W33">_xlfn.XLOOKUP(A33,'WK 47'!A:A,'WK 47'!AA:AA,"")</f>
        <v>early</v>
      </c>
      <c r="X33" s="7">
        <f t="shared" si="4"/>
        <v>0</v>
      </c>
      <c r="Y33" s="17" t="str">
        <f t="array" ref="Y33">_xlfn.XLOOKUP(A33,Pref!A:A,Pref!E:E,"")</f>
        <v>10 hours (4 weekdays) + 5 hours (1 weekends) (45hrs/Week)</v>
      </c>
      <c r="Z33" s="61"/>
      <c r="AA33" s="61"/>
      <c r="AB33" s="61"/>
      <c r="AC33" s="61"/>
      <c r="AD33" s="61"/>
      <c r="AE33" s="61"/>
      <c r="AF33" s="61"/>
      <c r="AG33" s="61"/>
    </row>
    <row r="34" customHeight="1" spans="1:33">
      <c r="A34" s="21">
        <v>10252106</v>
      </c>
      <c r="B34" s="86" t="s">
        <v>43</v>
      </c>
      <c r="C34" s="21" t="s">
        <v>20</v>
      </c>
      <c r="D34" s="21" t="s">
        <v>21</v>
      </c>
      <c r="E34" s="54" t="str">
        <f t="array" ref="E34">_xlfn.XLOOKUP(A34,'Schedule Wk 47'!A:A,'Schedule Wk 47'!E:E,"")</f>
        <v>FT</v>
      </c>
      <c r="F34" s="103">
        <f t="array" ref="F34">_xlfn.XLOOKUP(A34,'Schedule Wk 47'!A:A,'Schedule Wk 47'!F:F,"")</f>
        <v>2</v>
      </c>
      <c r="G34" s="21" t="s">
        <v>23</v>
      </c>
      <c r="H34" s="21" t="s">
        <v>23</v>
      </c>
      <c r="I34" s="54">
        <v>0.375</v>
      </c>
      <c r="J34" s="54">
        <v>0.75</v>
      </c>
      <c r="K34" s="21" t="s">
        <v>23</v>
      </c>
      <c r="L34" s="21" t="s">
        <v>23</v>
      </c>
      <c r="M34" s="54">
        <v>0.375</v>
      </c>
      <c r="N34" s="54">
        <v>0.75</v>
      </c>
      <c r="O34" s="54">
        <v>0.375</v>
      </c>
      <c r="P34" s="54">
        <v>0.75</v>
      </c>
      <c r="Q34" s="54">
        <v>0.458333333333333</v>
      </c>
      <c r="R34" s="54">
        <v>0.666666666666667</v>
      </c>
      <c r="S34" s="54">
        <v>0.458333333333333</v>
      </c>
      <c r="T34" s="54">
        <v>0.666666666666667</v>
      </c>
      <c r="U34" s="21">
        <f>IFERROR(__xludf.DUMMYFUNCTION("TO_PURE_NUMBER(SUM(FILTER(G34:T34, ISEVEN(COLUMN(G34:T34))))-SUM(FILTER(G34:T34, ISODD(COLUMN(G34:T34)))))*24"),37)</f>
        <v>37</v>
      </c>
      <c r="V34" s="17">
        <f t="array" ref="V34">_xlfn.XLOOKUP(A34,'WK 47'!A:A,'WK 47'!V:V,"")</f>
        <v>37</v>
      </c>
      <c r="W34" s="17" t="str">
        <f t="array" ref="W34">_xlfn.XLOOKUP(A34,'WK 47'!A:A,'WK 47'!AA:AA,"")</f>
        <v>early</v>
      </c>
      <c r="X34" s="7">
        <f t="shared" si="4"/>
        <v>0</v>
      </c>
      <c r="Y34" s="20">
        <v>0.375</v>
      </c>
      <c r="Z34" s="61"/>
      <c r="AA34" s="61"/>
      <c r="AB34" s="61"/>
      <c r="AC34" s="61"/>
      <c r="AD34" s="61"/>
      <c r="AE34" s="61"/>
      <c r="AF34" s="61"/>
      <c r="AG34" s="61"/>
    </row>
    <row r="35" customHeight="1" spans="1:33">
      <c r="A35" s="21">
        <v>10317153</v>
      </c>
      <c r="B35" s="86" t="s">
        <v>42</v>
      </c>
      <c r="C35" s="21" t="s">
        <v>20</v>
      </c>
      <c r="D35" s="21" t="s">
        <v>21</v>
      </c>
      <c r="E35" s="54" t="str">
        <f t="array" ref="E35">_xlfn.XLOOKUP(A35,'Schedule Wk 47'!A:A,'Schedule Wk 47'!E:E,"")</f>
        <v>FT</v>
      </c>
      <c r="F35" s="103">
        <f t="array" ref="F35">_xlfn.XLOOKUP(A35,'Schedule Wk 47'!A:A,'Schedule Wk 47'!F:F,"")</f>
        <v>1</v>
      </c>
      <c r="G35" s="21" t="s">
        <v>23</v>
      </c>
      <c r="H35" s="21" t="s">
        <v>23</v>
      </c>
      <c r="I35" s="54">
        <v>0.375</v>
      </c>
      <c r="J35" s="54">
        <v>0.791666666666667</v>
      </c>
      <c r="K35" s="54">
        <v>0.375</v>
      </c>
      <c r="L35" s="54">
        <v>0.791666666666667</v>
      </c>
      <c r="M35" s="54">
        <v>0.375</v>
      </c>
      <c r="N35" s="54">
        <v>0.791666666666667</v>
      </c>
      <c r="O35" s="54">
        <v>0.375</v>
      </c>
      <c r="P35" s="54">
        <v>0.791666666666667</v>
      </c>
      <c r="Q35" s="54">
        <v>0.458333333333333</v>
      </c>
      <c r="R35" s="54">
        <v>0.666666666666667</v>
      </c>
      <c r="S35" s="21" t="s">
        <v>23</v>
      </c>
      <c r="T35" s="21" t="s">
        <v>23</v>
      </c>
      <c r="U35" s="21">
        <f>IFERROR(__xludf.DUMMYFUNCTION("TO_PURE_NUMBER(SUM(FILTER(G35:T35, ISEVEN(COLUMN(G35:T35))))-SUM(FILTER(G35:T35, ISODD(COLUMN(G35:T35)))))*24"),44.9999999999999)</f>
        <v>44.9999999999999</v>
      </c>
      <c r="V35" s="17">
        <f t="array" ref="V35">_xlfn.XLOOKUP(A35,'WK 47'!A:A,'WK 47'!V:V,"")</f>
        <v>45</v>
      </c>
      <c r="W35" s="17" t="str">
        <f t="array" ref="W35">_xlfn.XLOOKUP(A35,'WK 47'!A:A,'WK 47'!AA:AA,"")</f>
        <v>early</v>
      </c>
      <c r="X35" s="7">
        <f t="shared" si="4"/>
        <v>9.9475983006414e-14</v>
      </c>
      <c r="Y35" s="20">
        <v>0.416666666666667</v>
      </c>
      <c r="Z35" s="61"/>
      <c r="AA35" s="61"/>
      <c r="AB35" s="61"/>
      <c r="AC35" s="61"/>
      <c r="AD35" s="61"/>
      <c r="AE35" s="61"/>
      <c r="AF35" s="61"/>
      <c r="AG35" s="61"/>
    </row>
    <row r="36" customHeight="1" spans="1:33">
      <c r="A36" s="21">
        <v>10316543</v>
      </c>
      <c r="B36" s="86" t="s">
        <v>41</v>
      </c>
      <c r="C36" s="21" t="s">
        <v>20</v>
      </c>
      <c r="D36" s="21" t="s">
        <v>21</v>
      </c>
      <c r="E36" s="54" t="str">
        <f t="array" ref="E36">_xlfn.XLOOKUP(A36,'Schedule Wk 47'!A:A,'Schedule Wk 47'!E:E,"")</f>
        <v>FT</v>
      </c>
      <c r="F36" s="103">
        <f t="array" ref="F36">_xlfn.XLOOKUP(A36,'Schedule Wk 47'!A:A,'Schedule Wk 47'!F:F,"")</f>
        <v>1</v>
      </c>
      <c r="G36" s="54">
        <v>0.458333333333333</v>
      </c>
      <c r="H36" s="54">
        <v>0.875</v>
      </c>
      <c r="I36" s="54">
        <v>0.458333333333333</v>
      </c>
      <c r="J36" s="54">
        <v>0.875</v>
      </c>
      <c r="K36" s="54">
        <v>0.458333333333333</v>
      </c>
      <c r="L36" s="54">
        <v>0.875</v>
      </c>
      <c r="M36" s="54">
        <v>0.458333333333333</v>
      </c>
      <c r="N36" s="54">
        <v>0.875</v>
      </c>
      <c r="O36" s="21" t="s">
        <v>23</v>
      </c>
      <c r="P36" s="21" t="s">
        <v>23</v>
      </c>
      <c r="Q36" s="21" t="s">
        <v>23</v>
      </c>
      <c r="R36" s="21" t="s">
        <v>23</v>
      </c>
      <c r="S36" s="54">
        <v>0.458333333333333</v>
      </c>
      <c r="T36" s="54">
        <v>0.666666666666667</v>
      </c>
      <c r="U36" s="21">
        <f>IFERROR(__xludf.DUMMYFUNCTION("TO_PURE_NUMBER(SUM(FILTER(G36:T36, ISEVEN(COLUMN(G36:T36))))-SUM(FILTER(G36:T36, ISODD(COLUMN(G36:T36)))))*24"),45)</f>
        <v>45</v>
      </c>
      <c r="V36" s="17">
        <f t="array" ref="V36">_xlfn.XLOOKUP(A36,'WK 47'!A:A,'WK 47'!V:V,"")</f>
        <v>45</v>
      </c>
      <c r="W36" s="17" t="str">
        <f t="array" ref="W36">_xlfn.XLOOKUP(A36,'WK 47'!A:A,'WK 47'!AA:AA,"")</f>
        <v>late</v>
      </c>
      <c r="X36" s="7">
        <f t="shared" si="4"/>
        <v>0</v>
      </c>
      <c r="Y36" s="20">
        <v>0.416666666666667</v>
      </c>
      <c r="Z36" s="61"/>
      <c r="AA36" s="61"/>
      <c r="AB36" s="61"/>
      <c r="AC36" s="61"/>
      <c r="AD36" s="61"/>
      <c r="AE36" s="61"/>
      <c r="AF36" s="61"/>
      <c r="AG36" s="61"/>
    </row>
    <row r="37" customHeight="1" spans="1:33">
      <c r="A37" s="21">
        <v>10250966</v>
      </c>
      <c r="B37" s="86" t="s">
        <v>61</v>
      </c>
      <c r="C37" s="21" t="s">
        <v>20</v>
      </c>
      <c r="D37" s="21" t="s">
        <v>21</v>
      </c>
      <c r="E37" s="54" t="str">
        <f t="array" ref="E37">_xlfn.XLOOKUP(A37,'Schedule Wk 47'!A:A,'Schedule Wk 47'!E:E,"")</f>
        <v>FT</v>
      </c>
      <c r="F37" s="103">
        <f t="array" ref="F37">_xlfn.XLOOKUP(A37,'Schedule Wk 47'!A:A,'Schedule Wk 47'!F:F,"")</f>
        <v>3</v>
      </c>
      <c r="G37" s="54">
        <v>0.375</v>
      </c>
      <c r="H37" s="54">
        <v>0.75</v>
      </c>
      <c r="I37" s="54">
        <v>0.375</v>
      </c>
      <c r="J37" s="54">
        <v>0.75</v>
      </c>
      <c r="K37" s="54">
        <v>0.375</v>
      </c>
      <c r="L37" s="54">
        <v>0.75</v>
      </c>
      <c r="M37" s="54">
        <v>0.375</v>
      </c>
      <c r="N37" s="54">
        <v>0.75</v>
      </c>
      <c r="O37" s="54">
        <v>0.375</v>
      </c>
      <c r="P37" s="54">
        <v>0.75</v>
      </c>
      <c r="Q37" s="21" t="s">
        <v>23</v>
      </c>
      <c r="R37" s="21" t="s">
        <v>23</v>
      </c>
      <c r="S37" s="21" t="s">
        <v>23</v>
      </c>
      <c r="T37" s="21" t="s">
        <v>23</v>
      </c>
      <c r="U37" s="21">
        <f>IFERROR(__xludf.DUMMYFUNCTION("TO_PURE_NUMBER(SUM(FILTER(G37:T37, ISEVEN(COLUMN(G37:T37))))-SUM(FILTER(G37:T37, ISODD(COLUMN(G37:T37)))))*24"),45)</f>
        <v>45</v>
      </c>
      <c r="V37" s="17">
        <f t="array" ref="V37">_xlfn.XLOOKUP(A37,'WK 47'!A:A,'WK 47'!V:V,"")</f>
        <v>45</v>
      </c>
      <c r="W37" s="17" t="str">
        <f t="array" ref="W37">_xlfn.XLOOKUP(A37,'WK 47'!A:A,'WK 47'!AA:AA,"")</f>
        <v>early</v>
      </c>
      <c r="X37" s="7">
        <f t="shared" si="4"/>
        <v>0</v>
      </c>
      <c r="Y37" s="20">
        <v>0.416666666666667</v>
      </c>
      <c r="Z37" s="61"/>
      <c r="AA37" s="61"/>
      <c r="AB37" s="61"/>
      <c r="AC37" s="61"/>
      <c r="AD37" s="61"/>
      <c r="AE37" s="61"/>
      <c r="AF37" s="61"/>
      <c r="AG37" s="61"/>
    </row>
    <row r="38" customHeight="1" spans="1:33">
      <c r="A38" s="21">
        <v>10317943</v>
      </c>
      <c r="B38" s="86" t="s">
        <v>27</v>
      </c>
      <c r="C38" s="21" t="s">
        <v>20</v>
      </c>
      <c r="D38" s="21" t="s">
        <v>21</v>
      </c>
      <c r="E38" s="54" t="str">
        <f t="array" ref="E38">_xlfn.XLOOKUP(A38,'Schedule Wk 47'!A:A,'Schedule Wk 47'!E:E,"")</f>
        <v>FT</v>
      </c>
      <c r="F38" s="103">
        <f t="array" ref="F38">_xlfn.XLOOKUP(A38,'Schedule Wk 47'!A:A,'Schedule Wk 47'!F:F,"")</f>
        <v>2</v>
      </c>
      <c r="G38" s="54">
        <v>0.458333333333333</v>
      </c>
      <c r="H38" s="54">
        <v>0.875</v>
      </c>
      <c r="I38" s="54">
        <v>0.458333333333333</v>
      </c>
      <c r="J38" s="54">
        <v>0.875</v>
      </c>
      <c r="K38" s="54">
        <v>0.458333333333333</v>
      </c>
      <c r="L38" s="54">
        <v>0.875</v>
      </c>
      <c r="M38" s="54">
        <v>0.458333333333333</v>
      </c>
      <c r="N38" s="54">
        <v>0.875</v>
      </c>
      <c r="O38" s="21" t="s">
        <v>23</v>
      </c>
      <c r="P38" s="21" t="s">
        <v>23</v>
      </c>
      <c r="Q38" s="21" t="s">
        <v>23</v>
      </c>
      <c r="R38" s="21" t="s">
        <v>23</v>
      </c>
      <c r="S38" s="54">
        <v>0.458333333333333</v>
      </c>
      <c r="T38" s="54">
        <v>0.666666666666667</v>
      </c>
      <c r="U38" s="21">
        <f>IFERROR(__xludf.DUMMYFUNCTION("TO_PURE_NUMBER(SUM(FILTER(G38:T38, ISEVEN(COLUMN(G38:T38))))-SUM(FILTER(G38:T38, ISODD(COLUMN(G38:T38)))))*24"),45)</f>
        <v>45</v>
      </c>
      <c r="V38" s="17">
        <f t="array" ref="V38">_xlfn.XLOOKUP(A38,'WK 47'!A:A,'WK 47'!V:V,"")</f>
        <v>45</v>
      </c>
      <c r="W38" s="17" t="str">
        <f t="array" ref="W38">_xlfn.XLOOKUP(A38,'WK 47'!A:A,'WK 47'!AA:AA,"")</f>
        <v>early</v>
      </c>
      <c r="X38" s="7">
        <f t="shared" si="4"/>
        <v>0</v>
      </c>
      <c r="Y38" s="20">
        <v>0.416666666666667</v>
      </c>
      <c r="Z38" s="61"/>
      <c r="AA38" s="61"/>
      <c r="AB38" s="61"/>
      <c r="AC38" s="61"/>
      <c r="AD38" s="61"/>
      <c r="AE38" s="61"/>
      <c r="AF38" s="61"/>
      <c r="AG38" s="61"/>
    </row>
    <row r="39" customHeight="1" spans="1:33">
      <c r="A39" s="21">
        <v>10316530</v>
      </c>
      <c r="B39" s="86" t="s">
        <v>26</v>
      </c>
      <c r="C39" s="21" t="s">
        <v>20</v>
      </c>
      <c r="D39" s="21" t="s">
        <v>21</v>
      </c>
      <c r="E39" s="54" t="str">
        <f t="array" ref="E39">_xlfn.XLOOKUP(A39,'Schedule Wk 47'!A:A,'Schedule Wk 47'!E:E,"")</f>
        <v>FT</v>
      </c>
      <c r="F39" s="103">
        <f t="array" ref="F39">_xlfn.XLOOKUP(A39,'Schedule Wk 47'!A:A,'Schedule Wk 47'!F:F,"")</f>
        <v>1</v>
      </c>
      <c r="G39" s="21" t="s">
        <v>23</v>
      </c>
      <c r="H39" s="21" t="s">
        <v>23</v>
      </c>
      <c r="I39" s="54">
        <v>0.458333333333333</v>
      </c>
      <c r="J39" s="54">
        <v>0.875</v>
      </c>
      <c r="K39" s="54">
        <v>0.458333333333333</v>
      </c>
      <c r="L39" s="54">
        <v>0.875</v>
      </c>
      <c r="M39" s="54">
        <v>0.458333333333333</v>
      </c>
      <c r="N39" s="54">
        <v>0.875</v>
      </c>
      <c r="O39" s="54">
        <v>0.458333333333333</v>
      </c>
      <c r="P39" s="54">
        <v>0.875</v>
      </c>
      <c r="Q39" s="54">
        <v>0.458333333333333</v>
      </c>
      <c r="R39" s="54">
        <v>0.666666666666667</v>
      </c>
      <c r="S39" s="21" t="s">
        <v>23</v>
      </c>
      <c r="T39" s="21" t="s">
        <v>23</v>
      </c>
      <c r="U39" s="21">
        <f>IFERROR(__xludf.DUMMYFUNCTION("TO_PURE_NUMBER(SUM(FILTER(G39:T39, ISEVEN(COLUMN(G39:T39))))-SUM(FILTER(G39:T39, ISODD(COLUMN(G39:T39)))))*24"),45)</f>
        <v>45</v>
      </c>
      <c r="V39" s="17">
        <f t="array" ref="V39">_xlfn.XLOOKUP(A39,'WK 47'!A:A,'WK 47'!V:V,"")</f>
        <v>45</v>
      </c>
      <c r="W39" s="17" t="str">
        <f t="array" ref="W39">_xlfn.XLOOKUP(A39,'WK 47'!A:A,'WK 47'!AA:AA,"")</f>
        <v>late</v>
      </c>
      <c r="X39" s="7">
        <f t="shared" si="4"/>
        <v>0</v>
      </c>
      <c r="Y39" s="20">
        <v>0.416666666666667</v>
      </c>
      <c r="Z39" s="61"/>
      <c r="AA39" s="61"/>
      <c r="AB39" s="61"/>
      <c r="AC39" s="61"/>
      <c r="AD39" s="61"/>
      <c r="AE39" s="61"/>
      <c r="AF39" s="61"/>
      <c r="AG39" s="61"/>
    </row>
    <row r="40" customHeight="1" spans="1:33">
      <c r="A40" s="21">
        <v>10316681</v>
      </c>
      <c r="B40" s="86" t="s">
        <v>38</v>
      </c>
      <c r="C40" s="21" t="s">
        <v>89</v>
      </c>
      <c r="D40" s="21" t="s">
        <v>21</v>
      </c>
      <c r="E40" s="54" t="str">
        <f t="array" ref="E40">_xlfn.XLOOKUP(A40,'Schedule Wk 47'!A:A,'Schedule Wk 47'!E:E,"")</f>
        <v>FT</v>
      </c>
      <c r="F40" s="103">
        <f t="array" ref="F40">_xlfn.XLOOKUP(A40,'Schedule Wk 47'!A:A,'Schedule Wk 47'!F:F,"")</f>
        <v>1</v>
      </c>
      <c r="G40" s="54">
        <v>0.375</v>
      </c>
      <c r="H40" s="54">
        <v>0.75</v>
      </c>
      <c r="I40" s="54">
        <v>0.375</v>
      </c>
      <c r="J40" s="54">
        <v>0.75</v>
      </c>
      <c r="K40" s="54">
        <v>0.375</v>
      </c>
      <c r="L40" s="54">
        <v>0.75</v>
      </c>
      <c r="M40" s="54">
        <v>0.375</v>
      </c>
      <c r="N40" s="54">
        <v>0.75</v>
      </c>
      <c r="O40" s="54">
        <v>0.375</v>
      </c>
      <c r="P40" s="54">
        <v>0.75</v>
      </c>
      <c r="Q40" s="21" t="s">
        <v>23</v>
      </c>
      <c r="R40" s="21" t="s">
        <v>23</v>
      </c>
      <c r="S40" s="21" t="s">
        <v>23</v>
      </c>
      <c r="T40" s="21" t="s">
        <v>23</v>
      </c>
      <c r="U40" s="21">
        <f>IFERROR(__xludf.DUMMYFUNCTION("TO_PURE_NUMBER(SUM(FILTER(G40:T40, ISEVEN(COLUMN(G40:T40))))-SUM(FILTER(G40:T40, ISODD(COLUMN(G40:T40)))))*24"),45)</f>
        <v>45</v>
      </c>
      <c r="V40" s="17">
        <f t="array" ref="V40">_xlfn.XLOOKUP(A40,'WK 47'!A:A,'WK 47'!V:V,"")</f>
        <v>45</v>
      </c>
      <c r="W40" s="17" t="str">
        <f t="array" ref="W40">_xlfn.XLOOKUP(A40,'WK 47'!A:A,'WK 47'!AA:AA,"")</f>
        <v>early</v>
      </c>
      <c r="X40" s="7">
        <f t="shared" si="4"/>
        <v>0</v>
      </c>
      <c r="Y40" s="20">
        <f t="array" ref="Y40">_xlfn.XLOOKUP(A40,'WK 45'!A:A,'WK 45'!X:X,"")</f>
        <v>0.375</v>
      </c>
      <c r="Z40" s="61"/>
      <c r="AA40" s="61"/>
      <c r="AB40" s="61"/>
      <c r="AC40" s="61"/>
      <c r="AD40" s="61"/>
      <c r="AE40" s="61"/>
      <c r="AF40" s="61"/>
      <c r="AG40" s="61"/>
    </row>
    <row r="41" customHeight="1" spans="1:33">
      <c r="A41" s="21">
        <v>10320414</v>
      </c>
      <c r="B41" s="86" t="s">
        <v>62</v>
      </c>
      <c r="C41" s="21" t="s">
        <v>20</v>
      </c>
      <c r="D41" s="21" t="s">
        <v>21</v>
      </c>
      <c r="E41" s="54" t="str">
        <f t="array" ref="E41">_xlfn.XLOOKUP(A41,'Schedule Wk 47'!A:A,'Schedule Wk 47'!E:E,"")</f>
        <v>FT</v>
      </c>
      <c r="F41" s="103">
        <f t="array" ref="F41">_xlfn.XLOOKUP(A41,'Schedule Wk 47'!A:A,'Schedule Wk 47'!F:F,"")</f>
        <v>3</v>
      </c>
      <c r="G41" s="54">
        <v>0.375</v>
      </c>
      <c r="H41" s="54">
        <v>0.75</v>
      </c>
      <c r="I41" s="54">
        <v>0.375</v>
      </c>
      <c r="J41" s="54">
        <v>0.75</v>
      </c>
      <c r="K41" s="54">
        <v>0.375</v>
      </c>
      <c r="L41" s="54">
        <v>0.75</v>
      </c>
      <c r="M41" s="54">
        <v>0.375</v>
      </c>
      <c r="N41" s="54">
        <v>0.75</v>
      </c>
      <c r="O41" s="54">
        <v>0.375</v>
      </c>
      <c r="P41" s="54">
        <v>0.75</v>
      </c>
      <c r="Q41" s="21" t="s">
        <v>23</v>
      </c>
      <c r="R41" s="21" t="s">
        <v>23</v>
      </c>
      <c r="S41" s="21" t="s">
        <v>23</v>
      </c>
      <c r="T41" s="21" t="s">
        <v>23</v>
      </c>
      <c r="U41" s="21">
        <f>IFERROR(__xludf.DUMMYFUNCTION("TO_PURE_NUMBER(SUM(FILTER(G41:T41, ISEVEN(COLUMN(G41:T41))))-SUM(FILTER(G41:T41, ISODD(COLUMN(G41:T41)))))*24"),45)</f>
        <v>45</v>
      </c>
      <c r="V41" s="17">
        <f t="array" ref="V41">_xlfn.XLOOKUP(A41,'WK 47'!A:A,'WK 47'!V:V,"")</f>
        <v>45</v>
      </c>
      <c r="W41" s="17" t="str">
        <f t="array" ref="W41">_xlfn.XLOOKUP(A41,'WK 47'!A:A,'WK 47'!AA:AA,"")</f>
        <v>early</v>
      </c>
      <c r="X41" s="7">
        <f t="shared" si="4"/>
        <v>0</v>
      </c>
      <c r="Y41" s="20">
        <v>0.416666666666667</v>
      </c>
      <c r="Z41" s="61"/>
      <c r="AA41" s="61"/>
      <c r="AB41" s="61"/>
      <c r="AC41" s="61"/>
      <c r="AD41" s="61"/>
      <c r="AE41" s="61"/>
      <c r="AF41" s="61"/>
      <c r="AG41" s="61"/>
    </row>
    <row r="42" customHeight="1" spans="1:33">
      <c r="A42" s="21">
        <v>10295555</v>
      </c>
      <c r="B42" s="86" t="s">
        <v>34</v>
      </c>
      <c r="C42" s="21" t="s">
        <v>20</v>
      </c>
      <c r="D42" s="21" t="s">
        <v>21</v>
      </c>
      <c r="E42" s="54" t="str">
        <f t="array" ref="E42">_xlfn.XLOOKUP(A42,'Schedule Wk 47'!A:A,'Schedule Wk 47'!E:E,"")</f>
        <v>PT</v>
      </c>
      <c r="F42" s="103">
        <f t="array" ref="F42">_xlfn.XLOOKUP(A42,'Schedule Wk 47'!A:A,'Schedule Wk 47'!F:F,"")</f>
        <v>2</v>
      </c>
      <c r="G42" s="54">
        <v>0.375</v>
      </c>
      <c r="H42" s="54">
        <v>0.583333333333333</v>
      </c>
      <c r="I42" s="54">
        <v>0.375</v>
      </c>
      <c r="J42" s="54">
        <v>0.583333333333333</v>
      </c>
      <c r="K42" s="54">
        <v>0.375</v>
      </c>
      <c r="L42" s="54">
        <v>0.583333333333333</v>
      </c>
      <c r="M42" s="21" t="s">
        <v>23</v>
      </c>
      <c r="N42" s="21" t="s">
        <v>23</v>
      </c>
      <c r="O42" s="21" t="s">
        <v>23</v>
      </c>
      <c r="P42" s="21" t="s">
        <v>23</v>
      </c>
      <c r="Q42" s="54">
        <v>0.458333333333333</v>
      </c>
      <c r="R42" s="54">
        <v>0.666666666666667</v>
      </c>
      <c r="S42" s="54">
        <v>0.458333333333333</v>
      </c>
      <c r="T42" s="54">
        <v>0.666666666666667</v>
      </c>
      <c r="U42" s="21">
        <f>IFERROR(__xludf.DUMMYFUNCTION("TO_PURE_NUMBER(SUM(FILTER(G42:T42, ISEVEN(COLUMN(G42:T42))))-SUM(FILTER(G42:T42, ISODD(COLUMN(G42:T42)))))*24"),24.9999999999999)</f>
        <v>24.9999999999999</v>
      </c>
      <c r="V42" s="17">
        <f t="array" ref="V42">_xlfn.XLOOKUP(A42,'WK 47'!A:A,'WK 47'!V:V,"")</f>
        <v>25</v>
      </c>
      <c r="W42" s="17" t="str">
        <f t="array" ref="W42">_xlfn.XLOOKUP(A42,'WK 47'!A:A,'WK 47'!AA:AA,"")</f>
        <v/>
      </c>
      <c r="X42" s="17">
        <f t="shared" si="4"/>
        <v>9.9475983006414e-14</v>
      </c>
      <c r="Y42" s="20">
        <f t="array" ref="Y42">_xlfn.XLOOKUP(A42,'WK 45'!A:A,'WK 45'!X:X,"")</f>
        <v>0.208333333333333</v>
      </c>
      <c r="Z42" s="61"/>
      <c r="AA42" s="61"/>
      <c r="AB42" s="61"/>
      <c r="AC42" s="61"/>
      <c r="AD42" s="61"/>
      <c r="AE42" s="61"/>
      <c r="AF42" s="61"/>
      <c r="AG42" s="61"/>
    </row>
    <row r="43" customHeight="1" spans="1:33">
      <c r="A43" s="21">
        <v>10250963</v>
      </c>
      <c r="B43" s="86" t="s">
        <v>25</v>
      </c>
      <c r="C43" s="21" t="s">
        <v>20</v>
      </c>
      <c r="D43" s="21" t="s">
        <v>21</v>
      </c>
      <c r="E43" s="54" t="str">
        <f t="array" ref="E43">_xlfn.XLOOKUP(A43,'Schedule Wk 47'!A:A,'Schedule Wk 47'!E:E,"")</f>
        <v>FT</v>
      </c>
      <c r="F43" s="103">
        <f t="array" ref="F43">_xlfn.XLOOKUP(A43,'Schedule Wk 47'!A:A,'Schedule Wk 47'!F:F,"")</f>
        <v>1</v>
      </c>
      <c r="G43" s="21" t="s">
        <v>23</v>
      </c>
      <c r="H43" s="21" t="s">
        <v>23</v>
      </c>
      <c r="I43" s="54">
        <v>0.458333333333333</v>
      </c>
      <c r="J43" s="54">
        <v>0.875</v>
      </c>
      <c r="K43" s="54">
        <v>0.458333333333333</v>
      </c>
      <c r="L43" s="54">
        <v>0.875</v>
      </c>
      <c r="M43" s="54">
        <v>0.458333333333333</v>
      </c>
      <c r="N43" s="54">
        <v>0.875</v>
      </c>
      <c r="O43" s="54">
        <v>0.458333333333333</v>
      </c>
      <c r="P43" s="54">
        <v>0.875</v>
      </c>
      <c r="Q43" s="54">
        <v>0.458333333333333</v>
      </c>
      <c r="R43" s="54">
        <v>0.666666666666667</v>
      </c>
      <c r="S43" s="21" t="s">
        <v>23</v>
      </c>
      <c r="T43" s="21" t="s">
        <v>23</v>
      </c>
      <c r="U43" s="21">
        <f>IFERROR(__xludf.DUMMYFUNCTION("TO_PURE_NUMBER(SUM(FILTER(G43:T43, ISEVEN(COLUMN(G43:T43))))-SUM(FILTER(G43:T43, ISODD(COLUMN(G43:T43)))))*24"),45)</f>
        <v>45</v>
      </c>
      <c r="V43" s="17">
        <f t="array" ref="V43">_xlfn.XLOOKUP(A43,'WK 47'!A:A,'WK 47'!V:V,"")</f>
        <v>45</v>
      </c>
      <c r="W43" s="17" t="str">
        <f t="array" ref="W43">_xlfn.XLOOKUP(A43,'WK 47'!A:A,'WK 47'!AA:AA,"")</f>
        <v>late</v>
      </c>
      <c r="X43" s="7">
        <f t="shared" si="4"/>
        <v>0</v>
      </c>
      <c r="Y43" s="20">
        <v>0.416666666666667</v>
      </c>
      <c r="Z43" s="61"/>
      <c r="AA43" s="61"/>
      <c r="AB43" s="61"/>
      <c r="AC43" s="61"/>
      <c r="AD43" s="61"/>
      <c r="AE43" s="61"/>
      <c r="AF43" s="61"/>
      <c r="AG43" s="61"/>
    </row>
    <row r="44" customHeight="1" spans="1:33">
      <c r="A44" s="21">
        <v>10316618</v>
      </c>
      <c r="B44" s="86" t="s">
        <v>33</v>
      </c>
      <c r="C44" s="21" t="s">
        <v>20</v>
      </c>
      <c r="D44" s="21" t="s">
        <v>86</v>
      </c>
      <c r="E44" s="54" t="str">
        <f t="array" ref="E44">_xlfn.XLOOKUP(A44,'Schedule Wk 47'!A:A,'Schedule Wk 47'!E:E,"")</f>
        <v>FT</v>
      </c>
      <c r="F44" s="103">
        <f t="array" ref="F44">_xlfn.XLOOKUP(A44,'Schedule Wk 47'!A:A,'Schedule Wk 47'!F:F,"")</f>
        <v>1</v>
      </c>
      <c r="G44" s="54">
        <v>0.375</v>
      </c>
      <c r="H44" s="54">
        <v>0.75</v>
      </c>
      <c r="I44" s="54">
        <v>0.375</v>
      </c>
      <c r="J44" s="54">
        <v>0.75</v>
      </c>
      <c r="K44" s="54">
        <v>0.375</v>
      </c>
      <c r="L44" s="54">
        <v>0.75</v>
      </c>
      <c r="M44" s="54">
        <v>0.375</v>
      </c>
      <c r="N44" s="54">
        <v>0.75</v>
      </c>
      <c r="O44" s="54">
        <v>0.375</v>
      </c>
      <c r="P44" s="54">
        <v>0.75</v>
      </c>
      <c r="Q44" s="114" t="s">
        <v>23</v>
      </c>
      <c r="R44" s="114" t="s">
        <v>23</v>
      </c>
      <c r="S44" s="114" t="s">
        <v>23</v>
      </c>
      <c r="T44" s="114" t="s">
        <v>23</v>
      </c>
      <c r="U44" s="21">
        <f>IFERROR(__xludf.DUMMYFUNCTION("TO_PURE_NUMBER(SUM(FILTER(G44:T44, ISEVEN(COLUMN(G44:T44))))-SUM(FILTER(G44:T44, ISODD(COLUMN(G44:T44)))))*24"),45)</f>
        <v>45</v>
      </c>
      <c r="V44" s="17">
        <f t="array" ref="V44">_xlfn.XLOOKUP(A44,'WK 47'!A:A,'WK 47'!V:V,"")</f>
        <v>45</v>
      </c>
      <c r="W44" s="17" t="str">
        <f t="array" ref="W44">_xlfn.XLOOKUP(A44,'WK 47'!A:A,'WK 47'!AA:AA,"")</f>
        <v>late</v>
      </c>
      <c r="X44" s="7">
        <f t="shared" si="4"/>
        <v>0</v>
      </c>
      <c r="Y44" s="20">
        <f t="array" ref="Y44">_xlfn.XLOOKUP(A44,'WK 45'!A:A,'WK 45'!X:X,"")</f>
        <v>0.416666666666667</v>
      </c>
      <c r="Z44" s="61"/>
      <c r="AA44" s="61"/>
      <c r="AB44" s="61"/>
      <c r="AC44" s="61"/>
      <c r="AD44" s="61"/>
      <c r="AE44" s="61"/>
      <c r="AF44" s="61"/>
      <c r="AG44" s="61"/>
    </row>
    <row r="45" customHeight="1" spans="1:33">
      <c r="A45" s="21">
        <v>10320418</v>
      </c>
      <c r="B45" s="86" t="s">
        <v>68</v>
      </c>
      <c r="C45" s="21" t="s">
        <v>20</v>
      </c>
      <c r="D45" s="21" t="s">
        <v>21</v>
      </c>
      <c r="E45" s="54" t="str">
        <f t="array" ref="E45">_xlfn.XLOOKUP(A45,'Schedule Wk 47'!A:A,'Schedule Wk 47'!E:E,"")</f>
        <v>FT</v>
      </c>
      <c r="F45" s="103">
        <f t="array" ref="F45">_xlfn.XLOOKUP(A45,'Schedule Wk 47'!A:A,'Schedule Wk 47'!F:F,"")</f>
        <v>3</v>
      </c>
      <c r="G45" s="54">
        <v>0.375</v>
      </c>
      <c r="H45" s="54">
        <v>0.75</v>
      </c>
      <c r="I45" s="54">
        <v>0.375</v>
      </c>
      <c r="J45" s="54">
        <v>0.75</v>
      </c>
      <c r="K45" s="54">
        <v>0.375</v>
      </c>
      <c r="L45" s="54">
        <v>0.75</v>
      </c>
      <c r="M45" s="54">
        <v>0.375</v>
      </c>
      <c r="N45" s="54">
        <v>0.75</v>
      </c>
      <c r="O45" s="54">
        <v>0.375</v>
      </c>
      <c r="P45" s="54">
        <v>0.75</v>
      </c>
      <c r="Q45" s="21" t="s">
        <v>23</v>
      </c>
      <c r="R45" s="21" t="s">
        <v>23</v>
      </c>
      <c r="S45" s="21" t="s">
        <v>23</v>
      </c>
      <c r="T45" s="21" t="s">
        <v>23</v>
      </c>
      <c r="U45" s="21">
        <f>IFERROR(__xludf.DUMMYFUNCTION("TO_PURE_NUMBER(SUM(FILTER(G45:T45, ISEVEN(COLUMN(G45:T45))))-SUM(FILTER(G45:T45, ISODD(COLUMN(G45:T45)))))*24"),45)</f>
        <v>45</v>
      </c>
      <c r="V45" s="17">
        <f t="array" ref="V45">_xlfn.XLOOKUP(A45,'WK 47'!A:A,'WK 47'!V:V,"")</f>
        <v>45</v>
      </c>
      <c r="W45" s="17" t="str">
        <f t="array" ref="W45">_xlfn.XLOOKUP(A45,'WK 47'!A:A,'WK 47'!AA:AA,"")</f>
        <v>early</v>
      </c>
      <c r="X45" s="7">
        <f t="shared" si="4"/>
        <v>0</v>
      </c>
      <c r="Y45" s="20">
        <v>0.416666666666667</v>
      </c>
      <c r="Z45" s="61"/>
      <c r="AA45" s="61"/>
      <c r="AB45" s="61"/>
      <c r="AC45" s="61"/>
      <c r="AD45" s="61"/>
      <c r="AE45" s="61"/>
      <c r="AF45" s="61"/>
      <c r="AG45" s="61"/>
    </row>
    <row r="46" customHeight="1" spans="1:33">
      <c r="A46" s="21">
        <v>10320412</v>
      </c>
      <c r="B46" s="86" t="s">
        <v>59</v>
      </c>
      <c r="C46" s="21" t="s">
        <v>20</v>
      </c>
      <c r="D46" s="21" t="s">
        <v>21</v>
      </c>
      <c r="E46" s="54" t="str">
        <f t="array" ref="E46">_xlfn.XLOOKUP(A46,'Schedule Wk 47'!A:A,'Schedule Wk 47'!E:E,"")</f>
        <v>FT</v>
      </c>
      <c r="F46" s="103">
        <f t="array" ref="F46">_xlfn.XLOOKUP(A46,'Schedule Wk 47'!A:A,'Schedule Wk 47'!F:F,"")</f>
        <v>3</v>
      </c>
      <c r="G46" s="54">
        <v>0.5</v>
      </c>
      <c r="H46" s="54">
        <v>0.875</v>
      </c>
      <c r="I46" s="54">
        <v>0.5</v>
      </c>
      <c r="J46" s="54">
        <v>0.875</v>
      </c>
      <c r="K46" s="54">
        <v>0.5</v>
      </c>
      <c r="L46" s="54">
        <v>0.875</v>
      </c>
      <c r="M46" s="54">
        <v>0.5</v>
      </c>
      <c r="N46" s="54">
        <v>0.875</v>
      </c>
      <c r="O46" s="54">
        <v>0.5</v>
      </c>
      <c r="P46" s="54">
        <v>0.875</v>
      </c>
      <c r="Q46" s="21" t="s">
        <v>23</v>
      </c>
      <c r="R46" s="21" t="s">
        <v>23</v>
      </c>
      <c r="S46" s="21" t="s">
        <v>23</v>
      </c>
      <c r="T46" s="21" t="s">
        <v>23</v>
      </c>
      <c r="U46" s="21">
        <f>IFERROR(__xludf.DUMMYFUNCTION("TO_PURE_NUMBER(SUM(FILTER(G46:T46, ISEVEN(COLUMN(G46:T46))))-SUM(FILTER(G46:T46, ISODD(COLUMN(G46:T46)))))*24"),45)</f>
        <v>45</v>
      </c>
      <c r="V46" s="17">
        <f t="array" ref="V46">_xlfn.XLOOKUP(A46,'WK 47'!A:A,'WK 47'!V:V,"")</f>
        <v>45</v>
      </c>
      <c r="W46" s="17" t="str">
        <f t="array" ref="W46">_xlfn.XLOOKUP(A46,'WK 47'!A:A,'WK 47'!AA:AA,"")</f>
        <v>early</v>
      </c>
      <c r="X46" s="7">
        <f t="shared" si="4"/>
        <v>0</v>
      </c>
      <c r="Y46" s="20">
        <v>0.375</v>
      </c>
      <c r="Z46" s="61"/>
      <c r="AA46" s="61"/>
      <c r="AB46" s="61"/>
      <c r="AC46" s="61"/>
      <c r="AD46" s="61"/>
      <c r="AE46" s="61"/>
      <c r="AF46" s="61"/>
      <c r="AG46" s="61"/>
    </row>
    <row r="47" customHeight="1" spans="1:33">
      <c r="A47" s="21">
        <v>10272259</v>
      </c>
      <c r="B47" s="86" t="s">
        <v>32</v>
      </c>
      <c r="C47" s="21" t="s">
        <v>20</v>
      </c>
      <c r="D47" s="21" t="s">
        <v>21</v>
      </c>
      <c r="E47" s="54" t="str">
        <f t="array" ref="E47">_xlfn.XLOOKUP(A47,'Schedule Wk 47'!A:A,'Schedule Wk 47'!E:E,"")</f>
        <v>FT</v>
      </c>
      <c r="F47" s="103">
        <f t="array" ref="F47">_xlfn.XLOOKUP(A47,'Schedule Wk 47'!A:A,'Schedule Wk 47'!F:F,"")</f>
        <v>2</v>
      </c>
      <c r="G47" s="54">
        <v>0.5</v>
      </c>
      <c r="H47" s="54">
        <v>0.875</v>
      </c>
      <c r="I47" s="21" t="s">
        <v>23</v>
      </c>
      <c r="J47" s="21" t="s">
        <v>23</v>
      </c>
      <c r="K47" s="21" t="s">
        <v>23</v>
      </c>
      <c r="L47" s="21" t="s">
        <v>23</v>
      </c>
      <c r="M47" s="54">
        <v>0.5</v>
      </c>
      <c r="N47" s="54">
        <v>0.875</v>
      </c>
      <c r="O47" s="54">
        <v>0.5</v>
      </c>
      <c r="P47" s="54">
        <v>0.875</v>
      </c>
      <c r="Q47" s="54">
        <v>0.458333333333333</v>
      </c>
      <c r="R47" s="54">
        <v>0.666666666666667</v>
      </c>
      <c r="S47" s="54">
        <v>0.458333333333333</v>
      </c>
      <c r="T47" s="54">
        <v>0.666666666666667</v>
      </c>
      <c r="U47" s="21">
        <f>IFERROR(__xludf.DUMMYFUNCTION("TO_PURE_NUMBER(SUM(FILTER(G47:T47, ISEVEN(COLUMN(G47:T47))))-SUM(FILTER(G47:T47, ISODD(COLUMN(G47:T47)))))*24"),37)</f>
        <v>37</v>
      </c>
      <c r="V47" s="17">
        <f t="array" ref="V47">_xlfn.XLOOKUP(A47,'WK 47'!A:A,'WK 47'!V:V,"")</f>
        <v>37</v>
      </c>
      <c r="W47" s="17" t="str">
        <f t="array" ref="W47">_xlfn.XLOOKUP(A47,'WK 47'!A:A,'WK 47'!AA:AA,"")</f>
        <v/>
      </c>
      <c r="X47" s="7">
        <f t="shared" si="4"/>
        <v>0</v>
      </c>
      <c r="Y47" s="20">
        <v>0.416666666666667</v>
      </c>
      <c r="Z47" s="61"/>
      <c r="AA47" s="61"/>
      <c r="AB47" s="61"/>
      <c r="AC47" s="61"/>
      <c r="AD47" s="61"/>
      <c r="AE47" s="61"/>
      <c r="AF47" s="61"/>
      <c r="AG47" s="61"/>
    </row>
    <row r="48" customHeight="1" spans="1:33">
      <c r="A48" s="21">
        <v>10320408</v>
      </c>
      <c r="B48" s="86" t="s">
        <v>56</v>
      </c>
      <c r="C48" s="21" t="s">
        <v>20</v>
      </c>
      <c r="D48" s="21" t="s">
        <v>21</v>
      </c>
      <c r="E48" s="54" t="str">
        <f t="array" ref="E48">_xlfn.XLOOKUP(A48,'Schedule Wk 47'!A:A,'Schedule Wk 47'!E:E,"")</f>
        <v>FT</v>
      </c>
      <c r="F48" s="103">
        <f t="array" ref="F48">_xlfn.XLOOKUP(A48,'Schedule Wk 47'!A:A,'Schedule Wk 47'!F:F,"")</f>
        <v>3</v>
      </c>
      <c r="G48" s="54">
        <v>0.375</v>
      </c>
      <c r="H48" s="54">
        <v>0.75</v>
      </c>
      <c r="I48" s="54">
        <v>0.375</v>
      </c>
      <c r="J48" s="54">
        <v>0.75</v>
      </c>
      <c r="K48" s="54">
        <v>0.375</v>
      </c>
      <c r="L48" s="54">
        <v>0.75</v>
      </c>
      <c r="M48" s="54">
        <v>0.375</v>
      </c>
      <c r="N48" s="54">
        <v>0.75</v>
      </c>
      <c r="O48" s="54">
        <v>0.375</v>
      </c>
      <c r="P48" s="54">
        <v>0.75</v>
      </c>
      <c r="Q48" s="21" t="s">
        <v>23</v>
      </c>
      <c r="R48" s="21" t="s">
        <v>23</v>
      </c>
      <c r="S48" s="21" t="s">
        <v>23</v>
      </c>
      <c r="T48" s="21" t="s">
        <v>23</v>
      </c>
      <c r="U48" s="21">
        <f>IFERROR(__xludf.DUMMYFUNCTION("TO_PURE_NUMBER(SUM(FILTER(G48:T48, ISEVEN(COLUMN(G48:T48))))-SUM(FILTER(G48:T48, ISODD(COLUMN(G48:T48)))))*24"),45)</f>
        <v>45</v>
      </c>
      <c r="V48" s="17">
        <f t="array" ref="V48">_xlfn.XLOOKUP(A48,'WK 47'!A:A,'WK 47'!V:V,"")</f>
        <v>45</v>
      </c>
      <c r="W48" s="17" t="str">
        <f t="array" ref="W48">_xlfn.XLOOKUP(A48,'WK 47'!A:A,'WK 47'!AA:AA,"")</f>
        <v>early</v>
      </c>
      <c r="X48" s="7">
        <f t="shared" si="4"/>
        <v>0</v>
      </c>
      <c r="Y48" s="20">
        <v>0.416666666666667</v>
      </c>
      <c r="Z48" s="61"/>
      <c r="AA48" s="61"/>
      <c r="AB48" s="61"/>
      <c r="AC48" s="61"/>
      <c r="AD48" s="61"/>
      <c r="AE48" s="61"/>
      <c r="AF48" s="61"/>
      <c r="AG48" s="61"/>
    </row>
    <row r="49" customHeight="1" spans="1:33">
      <c r="A49" s="21">
        <v>10316549</v>
      </c>
      <c r="B49" s="86" t="s">
        <v>19</v>
      </c>
      <c r="C49" s="21" t="s">
        <v>20</v>
      </c>
      <c r="D49" s="21" t="s">
        <v>86</v>
      </c>
      <c r="E49" s="54" t="str">
        <f t="array" ref="E49">_xlfn.XLOOKUP(A49,'Schedule Wk 47'!A:A,'Schedule Wk 47'!E:E,"")</f>
        <v>FT</v>
      </c>
      <c r="F49" s="103">
        <f t="array" ref="F49">_xlfn.XLOOKUP(A49,'Schedule Wk 47'!A:A,'Schedule Wk 47'!F:F,"")</f>
        <v>1</v>
      </c>
      <c r="G49" s="54">
        <v>0.375</v>
      </c>
      <c r="H49" s="54">
        <v>0.75</v>
      </c>
      <c r="I49" s="54">
        <v>0.375</v>
      </c>
      <c r="J49" s="54">
        <v>0.75</v>
      </c>
      <c r="K49" s="54">
        <v>0.375</v>
      </c>
      <c r="L49" s="54">
        <v>0.75</v>
      </c>
      <c r="M49" s="54">
        <v>0.375</v>
      </c>
      <c r="N49" s="54">
        <v>0.75</v>
      </c>
      <c r="O49" s="54">
        <v>0.375</v>
      </c>
      <c r="P49" s="54">
        <v>0.75</v>
      </c>
      <c r="Q49" s="114" t="s">
        <v>23</v>
      </c>
      <c r="R49" s="114" t="s">
        <v>23</v>
      </c>
      <c r="S49" s="114" t="s">
        <v>23</v>
      </c>
      <c r="T49" s="114" t="s">
        <v>23</v>
      </c>
      <c r="U49" s="21">
        <f>IFERROR(__xludf.DUMMYFUNCTION("TO_PURE_NUMBER(SUM(FILTER(G49:T49, ISEVEN(COLUMN(G49:T49))))-SUM(FILTER(G49:T49, ISODD(COLUMN(G49:T49)))))*24"),45)</f>
        <v>45</v>
      </c>
      <c r="V49" s="17">
        <f t="array" ref="V49">_xlfn.XLOOKUP(A49,'WK 47'!A:A,'WK 47'!V:V,"")</f>
        <v>45</v>
      </c>
      <c r="W49" s="17" t="str">
        <f t="array" ref="W49">_xlfn.XLOOKUP(A49,'WK 47'!A:A,'WK 47'!AA:AA,"")</f>
        <v>late</v>
      </c>
      <c r="X49" s="7">
        <f t="shared" si="4"/>
        <v>0</v>
      </c>
      <c r="Y49" s="20">
        <f t="array" ref="Y49">_xlfn.XLOOKUP(A49,'WK 45'!A:A,'WK 45'!X:X,"")</f>
        <v>0.416666666666667</v>
      </c>
      <c r="Z49" s="61"/>
      <c r="AA49" s="61"/>
      <c r="AB49" s="61"/>
      <c r="AC49" s="61"/>
      <c r="AD49" s="61"/>
      <c r="AE49" s="61"/>
      <c r="AF49" s="61"/>
      <c r="AG49" s="61"/>
    </row>
    <row r="50" customHeight="1" spans="1:33">
      <c r="A50" s="21">
        <v>10320415</v>
      </c>
      <c r="B50" s="86" t="s">
        <v>63</v>
      </c>
      <c r="C50" s="21" t="s">
        <v>20</v>
      </c>
      <c r="D50" s="21" t="s">
        <v>21</v>
      </c>
      <c r="E50" s="54" t="str">
        <f t="array" ref="E50">_xlfn.XLOOKUP(A50,'Schedule Wk 47'!A:A,'Schedule Wk 47'!E:E,"")</f>
        <v>FT</v>
      </c>
      <c r="F50" s="103">
        <f t="array" ref="F50">_xlfn.XLOOKUP(A50,'Schedule Wk 47'!A:A,'Schedule Wk 47'!F:F,"")</f>
        <v>3</v>
      </c>
      <c r="G50" s="54">
        <v>0.5</v>
      </c>
      <c r="H50" s="54">
        <v>0.875</v>
      </c>
      <c r="I50" s="54">
        <v>0.5</v>
      </c>
      <c r="J50" s="54">
        <v>0.875</v>
      </c>
      <c r="K50" s="54">
        <v>0.5</v>
      </c>
      <c r="L50" s="54">
        <v>0.875</v>
      </c>
      <c r="M50" s="54">
        <v>0.5</v>
      </c>
      <c r="N50" s="54">
        <v>0.875</v>
      </c>
      <c r="O50" s="54">
        <v>0.5</v>
      </c>
      <c r="P50" s="54">
        <v>0.875</v>
      </c>
      <c r="Q50" s="21" t="s">
        <v>23</v>
      </c>
      <c r="R50" s="21" t="s">
        <v>23</v>
      </c>
      <c r="S50" s="21" t="s">
        <v>23</v>
      </c>
      <c r="T50" s="21" t="s">
        <v>23</v>
      </c>
      <c r="U50" s="21">
        <f>IFERROR(__xludf.DUMMYFUNCTION("TO_PURE_NUMBER(SUM(FILTER(G50:T50, ISEVEN(COLUMN(G50:T50))))-SUM(FILTER(G50:T50, ISODD(COLUMN(G50:T50)))))*24"),45)</f>
        <v>45</v>
      </c>
      <c r="V50" s="17">
        <f t="array" ref="V50">_xlfn.XLOOKUP(A50,'WK 47'!A:A,'WK 47'!V:V,"")</f>
        <v>45</v>
      </c>
      <c r="W50" s="17" t="str">
        <f t="array" ref="W50">_xlfn.XLOOKUP(A50,'WK 47'!A:A,'WK 47'!AA:AA,"")</f>
        <v>early</v>
      </c>
      <c r="X50" s="7">
        <f t="shared" si="4"/>
        <v>0</v>
      </c>
      <c r="Y50" s="20">
        <v>0.416666666666667</v>
      </c>
      <c r="Z50" s="61"/>
      <c r="AA50" s="61"/>
      <c r="AB50" s="61"/>
      <c r="AC50" s="61"/>
      <c r="AD50" s="61"/>
      <c r="AE50" s="61"/>
      <c r="AF50" s="61"/>
      <c r="AG50" s="61"/>
    </row>
    <row r="51" customHeight="1" spans="1:33">
      <c r="A51" s="21">
        <v>10320410</v>
      </c>
      <c r="B51" s="86" t="s">
        <v>58</v>
      </c>
      <c r="C51" s="21" t="s">
        <v>20</v>
      </c>
      <c r="D51" s="21" t="s">
        <v>21</v>
      </c>
      <c r="E51" s="54" t="str">
        <f t="array" ref="E51">_xlfn.XLOOKUP(A51,'Schedule Wk 47'!A:A,'Schedule Wk 47'!E:E,"")</f>
        <v>FT</v>
      </c>
      <c r="F51" s="103">
        <f t="array" ref="F51">_xlfn.XLOOKUP(A51,'Schedule Wk 47'!A:A,'Schedule Wk 47'!F:F,"")</f>
        <v>3</v>
      </c>
      <c r="G51" s="54">
        <v>0.375</v>
      </c>
      <c r="H51" s="54">
        <v>0.75</v>
      </c>
      <c r="I51" s="54">
        <v>0.375</v>
      </c>
      <c r="J51" s="54">
        <v>0.75</v>
      </c>
      <c r="K51" s="54">
        <v>0.375</v>
      </c>
      <c r="L51" s="54">
        <v>0.75</v>
      </c>
      <c r="M51" s="54">
        <v>0.375</v>
      </c>
      <c r="N51" s="54">
        <v>0.75</v>
      </c>
      <c r="O51" s="54">
        <v>0.375</v>
      </c>
      <c r="P51" s="54">
        <v>0.75</v>
      </c>
      <c r="Q51" s="21" t="s">
        <v>23</v>
      </c>
      <c r="R51" s="21" t="s">
        <v>23</v>
      </c>
      <c r="S51" s="21" t="s">
        <v>23</v>
      </c>
      <c r="T51" s="21" t="s">
        <v>23</v>
      </c>
      <c r="U51" s="21">
        <f>IFERROR(__xludf.DUMMYFUNCTION("TO_PURE_NUMBER(SUM(FILTER(G51:T51, ISEVEN(COLUMN(G51:T51))))-SUM(FILTER(G51:T51, ISODD(COLUMN(G51:T51)))))*24"),45)</f>
        <v>45</v>
      </c>
      <c r="V51" s="17">
        <f t="array" ref="V51">_xlfn.XLOOKUP(A51,'WK 47'!A:A,'WK 47'!V:V,"")</f>
        <v>45</v>
      </c>
      <c r="W51" s="17" t="str">
        <f t="array" ref="W51">_xlfn.XLOOKUP(A51,'WK 47'!A:A,'WK 47'!AA:AA,"")</f>
        <v>early</v>
      </c>
      <c r="X51" s="7">
        <f t="shared" si="4"/>
        <v>0</v>
      </c>
      <c r="Y51" s="17" t="str">
        <f t="array" ref="Y51">_xlfn.XLOOKUP(A51,'WK 45'!A:A,'WK 45'!X:X,"")</f>
        <v/>
      </c>
      <c r="Z51" s="61"/>
      <c r="AA51" s="61"/>
      <c r="AB51" s="61"/>
      <c r="AC51" s="61"/>
      <c r="AD51" s="61"/>
      <c r="AE51" s="61"/>
      <c r="AF51" s="61"/>
      <c r="AG51" s="61"/>
    </row>
    <row r="52" hidden="1" customHeight="1" spans="1:33">
      <c r="A52" s="2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</row>
    <row r="53" hidden="1" customHeight="1" spans="1:33">
      <c r="A53" s="2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</row>
    <row r="54" hidden="1" customHeight="1" spans="1:33">
      <c r="A54" s="21"/>
      <c r="B54" s="61"/>
      <c r="C54" s="61"/>
      <c r="D54" s="61"/>
      <c r="E54" s="7"/>
      <c r="F54" s="50" t="s">
        <v>6</v>
      </c>
      <c r="G54" s="50" t="s">
        <v>7</v>
      </c>
      <c r="H54" s="50" t="s">
        <v>8</v>
      </c>
      <c r="I54" s="50" t="s">
        <v>9</v>
      </c>
      <c r="J54" s="50" t="s">
        <v>10</v>
      </c>
      <c r="K54" s="50" t="s">
        <v>11</v>
      </c>
      <c r="L54" s="50" t="s">
        <v>12</v>
      </c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</row>
    <row r="55" hidden="1" customHeight="1" spans="1:33">
      <c r="A55" s="21"/>
      <c r="B55" s="61"/>
      <c r="C55" s="61"/>
      <c r="D55" s="61"/>
      <c r="E55" s="7" t="s">
        <v>73</v>
      </c>
      <c r="F55" s="88">
        <v>309.9</v>
      </c>
      <c r="G55" s="88">
        <v>260.8</v>
      </c>
      <c r="H55" s="88">
        <v>254.7</v>
      </c>
      <c r="I55" s="88">
        <v>233.8</v>
      </c>
      <c r="J55" s="88">
        <v>251.8</v>
      </c>
      <c r="K55" s="88">
        <v>112</v>
      </c>
      <c r="L55" s="88">
        <v>69.8</v>
      </c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</row>
    <row r="56" hidden="1" customHeight="1" spans="1:33">
      <c r="A56" s="21"/>
      <c r="B56" s="61"/>
      <c r="C56" s="61"/>
      <c r="D56" s="61"/>
      <c r="E56" s="7" t="s">
        <v>74</v>
      </c>
      <c r="F56" s="7">
        <f>F58*8</f>
        <v>312</v>
      </c>
      <c r="G56" s="7">
        <f t="shared" ref="G56:J56" si="6">G58*7.5</f>
        <v>292.5</v>
      </c>
      <c r="H56" s="7">
        <f t="shared" si="6"/>
        <v>255</v>
      </c>
      <c r="I56" s="7">
        <f t="shared" si="6"/>
        <v>300</v>
      </c>
      <c r="J56" s="7">
        <f t="shared" si="6"/>
        <v>292.5</v>
      </c>
      <c r="K56" s="7">
        <f t="shared" ref="K56:L56" si="7">K58*4.5</f>
        <v>90</v>
      </c>
      <c r="L56" s="7">
        <f t="shared" si="7"/>
        <v>85.5</v>
      </c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</row>
    <row r="57" hidden="1" customHeight="1" spans="1:33">
      <c r="A57" s="21"/>
      <c r="B57" s="61"/>
      <c r="C57" s="61"/>
      <c r="D57" s="61"/>
      <c r="E57" s="7" t="s">
        <v>75</v>
      </c>
      <c r="F57" s="57">
        <f t="shared" ref="F57:L57" si="8">F56-F55</f>
        <v>2.10000000000002</v>
      </c>
      <c r="G57" s="57">
        <f t="shared" si="8"/>
        <v>31.7</v>
      </c>
      <c r="H57" s="57">
        <f t="shared" si="8"/>
        <v>0.300000000000011</v>
      </c>
      <c r="I57" s="57">
        <f t="shared" si="8"/>
        <v>66.2</v>
      </c>
      <c r="J57" s="57">
        <f t="shared" si="8"/>
        <v>40.7</v>
      </c>
      <c r="K57" s="57">
        <f t="shared" si="8"/>
        <v>-22</v>
      </c>
      <c r="L57" s="57">
        <f t="shared" si="8"/>
        <v>15.7</v>
      </c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</row>
    <row r="58" hidden="1" customHeight="1" spans="1:33">
      <c r="A58" s="21"/>
      <c r="B58" s="61"/>
      <c r="C58" s="61"/>
      <c r="D58" s="61"/>
      <c r="E58" s="7" t="s">
        <v>76</v>
      </c>
      <c r="F58" s="7">
        <f>IFERROR(__xludf.DUMMYFUNCTION("COUNTA(FILTER($C$4:$C$51, $C$4:$C$51=""CSR"", G4:G51&lt;&gt;"""", NOT(ISTEXT(G4:G51))))"),39)</f>
        <v>39</v>
      </c>
      <c r="G58" s="7">
        <f>IFERROR(__xludf.DUMMYFUNCTION("COUNTA(FILTER($C$4:$C$51, $C$4:$C$51=""CSR"", I4:I51&lt;&gt;"""", NOT(ISTEXT(I4:I51))))"),39)</f>
        <v>39</v>
      </c>
      <c r="H58" s="7">
        <f>IFERROR(__xludf.DUMMYFUNCTION("COUNTA(FILTER($C$4:$C$51, $C$4:$C$51=""CSR"", K4:K51&lt;&gt;"""", NOT(ISTEXT(K4:K51))))"),34)</f>
        <v>34</v>
      </c>
      <c r="I58" s="7">
        <f>IFERROR(__xludf.DUMMYFUNCTION("COUNTA(FILTER($C$4:$C$51, $C$4:$C$51=""CSR"", M4:M51&lt;&gt;"""", NOT(ISTEXT(M4:M51))))"),40)</f>
        <v>40</v>
      </c>
      <c r="J58" s="7">
        <f>IFERROR(__xludf.DUMMYFUNCTION("COUNTA(FILTER($C$4:$C$51, $C$4:$C$51=""CSR"", O4:O51&lt;&gt;"""", NOT(ISTEXT(O4:O51))))"),39)</f>
        <v>39</v>
      </c>
      <c r="K58" s="7">
        <f>IFERROR(__xludf.DUMMYFUNCTION("COUNTA(FILTER($C$4:$C$51, $C$4:$C$51=""CSR"", Q4:Q51&lt;&gt;"""", NOT(ISTEXT(Q4:Q51))))"),20)</f>
        <v>20</v>
      </c>
      <c r="L58" s="7">
        <f>IFERROR(__xludf.DUMMYFUNCTION("COUNTA(FILTER($C$4:$C$51, $C$4:$C$51=""CSR"", S4:S51&lt;&gt;"""", NOT(ISTEXT(S4:S51))))"),19)</f>
        <v>19</v>
      </c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</row>
    <row r="59" hidden="1" customHeight="1" spans="1:33">
      <c r="A59" s="21"/>
      <c r="B59" s="61"/>
      <c r="C59" s="61"/>
      <c r="D59" s="61"/>
      <c r="E59" s="7" t="s">
        <v>77</v>
      </c>
      <c r="F59" s="56">
        <f t="shared" ref="F59:J59" si="9">F55/8</f>
        <v>38.7375</v>
      </c>
      <c r="G59" s="56">
        <f t="shared" si="9"/>
        <v>32.6</v>
      </c>
      <c r="H59" s="56">
        <f t="shared" si="9"/>
        <v>31.8375</v>
      </c>
      <c r="I59" s="56">
        <f t="shared" si="9"/>
        <v>29.225</v>
      </c>
      <c r="J59" s="56">
        <f t="shared" si="9"/>
        <v>31.475</v>
      </c>
      <c r="K59" s="56">
        <f t="shared" ref="K59:L59" si="10">K55/4.5</f>
        <v>24.8888888888889</v>
      </c>
      <c r="L59" s="56">
        <f t="shared" si="10"/>
        <v>15.5111111111111</v>
      </c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</row>
    <row r="60" hidden="1" customHeight="1" spans="1:33">
      <c r="A60" s="21"/>
      <c r="B60" s="61"/>
      <c r="C60" s="61"/>
      <c r="D60" s="61"/>
      <c r="E60" s="7" t="s">
        <v>78</v>
      </c>
      <c r="F60" s="57">
        <f t="shared" ref="F60:L60" si="11">F58-F59</f>
        <v>0.262500000000003</v>
      </c>
      <c r="G60" s="57">
        <f t="shared" si="11"/>
        <v>6.4</v>
      </c>
      <c r="H60" s="57">
        <f t="shared" si="11"/>
        <v>2.1625</v>
      </c>
      <c r="I60" s="57">
        <f t="shared" si="11"/>
        <v>10.775</v>
      </c>
      <c r="J60" s="57">
        <f t="shared" si="11"/>
        <v>7.525</v>
      </c>
      <c r="K60" s="57">
        <f t="shared" si="11"/>
        <v>-4.88888888888889</v>
      </c>
      <c r="L60" s="57">
        <f t="shared" si="11"/>
        <v>3.48888888888889</v>
      </c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</row>
    <row r="61" hidden="1" customHeight="1" spans="1:33">
      <c r="A61" s="21"/>
      <c r="B61" s="61"/>
      <c r="C61" s="61"/>
      <c r="D61" s="61"/>
      <c r="E61" s="7" t="s">
        <v>79</v>
      </c>
      <c r="F61" s="107">
        <f t="shared" ref="F61:L61" si="12">F60/F59</f>
        <v>0.0067763794772508</v>
      </c>
      <c r="G61" s="107">
        <f t="shared" si="12"/>
        <v>0.196319018404908</v>
      </c>
      <c r="H61" s="107">
        <f t="shared" si="12"/>
        <v>0.0679230467216333</v>
      </c>
      <c r="I61" s="107">
        <f t="shared" si="12"/>
        <v>0.36869118905047</v>
      </c>
      <c r="J61" s="107">
        <f t="shared" si="12"/>
        <v>0.239078633836378</v>
      </c>
      <c r="K61" s="107">
        <f t="shared" si="12"/>
        <v>-0.196428571428571</v>
      </c>
      <c r="L61" s="107">
        <f t="shared" si="12"/>
        <v>0.224928366762178</v>
      </c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</row>
    <row r="62" customHeight="1" spans="1:33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</row>
    <row r="63" customHeight="1" spans="1:33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</row>
    <row r="64" customHeight="1" spans="1:33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</row>
    <row r="65" customHeight="1" spans="1:33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</row>
    <row r="66" customHeight="1" spans="1:33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</row>
    <row r="67" customHeight="1" spans="1:33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</row>
    <row r="68" customHeight="1" spans="1:33">
      <c r="A68" s="22" t="s">
        <v>0</v>
      </c>
      <c r="B68" s="67" t="s">
        <v>98</v>
      </c>
      <c r="C68" s="67" t="s">
        <v>2</v>
      </c>
      <c r="D68" s="68">
        <v>45621</v>
      </c>
      <c r="E68" s="14"/>
      <c r="F68" s="68">
        <v>45622</v>
      </c>
      <c r="G68" s="14"/>
      <c r="H68" s="68">
        <v>45623</v>
      </c>
      <c r="I68" s="14"/>
      <c r="J68" s="68">
        <v>45624</v>
      </c>
      <c r="K68" s="14"/>
      <c r="L68" s="68">
        <v>45625</v>
      </c>
      <c r="M68" s="14"/>
      <c r="N68" s="68">
        <v>45626</v>
      </c>
      <c r="O68" s="14"/>
      <c r="P68" s="68">
        <v>45627</v>
      </c>
      <c r="Q68" s="14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</row>
    <row r="69" customHeight="1" spans="1:33">
      <c r="A69" s="15"/>
      <c r="B69" s="69"/>
      <c r="C69" s="69"/>
      <c r="D69" s="70" t="s">
        <v>6</v>
      </c>
      <c r="E69" s="71"/>
      <c r="F69" s="70" t="s">
        <v>7</v>
      </c>
      <c r="G69" s="71"/>
      <c r="H69" s="70" t="s">
        <v>8</v>
      </c>
      <c r="I69" s="71"/>
      <c r="J69" s="70" t="s">
        <v>9</v>
      </c>
      <c r="K69" s="71"/>
      <c r="L69" s="70" t="s">
        <v>10</v>
      </c>
      <c r="M69" s="71"/>
      <c r="N69" s="70" t="s">
        <v>11</v>
      </c>
      <c r="O69" s="71"/>
      <c r="P69" s="70" t="s">
        <v>12</v>
      </c>
      <c r="Q69" s="7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</row>
    <row r="70" customHeight="1" spans="1:33">
      <c r="A70" s="5"/>
      <c r="B70" s="71"/>
      <c r="C70" s="71"/>
      <c r="D70" s="73" t="s">
        <v>13</v>
      </c>
      <c r="E70" s="73" t="s">
        <v>14</v>
      </c>
      <c r="F70" s="73" t="s">
        <v>13</v>
      </c>
      <c r="G70" s="73" t="s">
        <v>14</v>
      </c>
      <c r="H70" s="73" t="s">
        <v>13</v>
      </c>
      <c r="I70" s="73" t="s">
        <v>14</v>
      </c>
      <c r="J70" s="73" t="s">
        <v>13</v>
      </c>
      <c r="K70" s="73" t="s">
        <v>14</v>
      </c>
      <c r="L70" s="73" t="s">
        <v>13</v>
      </c>
      <c r="M70" s="73" t="s">
        <v>14</v>
      </c>
      <c r="N70" s="73" t="s">
        <v>13</v>
      </c>
      <c r="O70" s="73" t="s">
        <v>14</v>
      </c>
      <c r="P70" s="73" t="s">
        <v>13</v>
      </c>
      <c r="Q70" s="73" t="s">
        <v>14</v>
      </c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</row>
    <row r="71" customHeight="1" spans="1:33">
      <c r="A71" s="75">
        <v>10316835</v>
      </c>
      <c r="B71" s="76" t="s">
        <v>161</v>
      </c>
      <c r="C71" s="76" t="s">
        <v>162</v>
      </c>
      <c r="D71" s="77">
        <v>0.458333333333333</v>
      </c>
      <c r="E71" s="78">
        <v>0.875</v>
      </c>
      <c r="F71" s="77">
        <v>0.458333333333333</v>
      </c>
      <c r="G71" s="78">
        <v>0.875</v>
      </c>
      <c r="H71" s="77">
        <v>0.458333333333333</v>
      </c>
      <c r="I71" s="78">
        <v>0.875</v>
      </c>
      <c r="J71" s="77">
        <v>0.458333333333333</v>
      </c>
      <c r="K71" s="78">
        <v>0.875</v>
      </c>
      <c r="L71" s="79" t="s">
        <v>23</v>
      </c>
      <c r="M71" s="79" t="s">
        <v>23</v>
      </c>
      <c r="N71" s="81" t="s">
        <v>23</v>
      </c>
      <c r="O71" s="81" t="s">
        <v>23</v>
      </c>
      <c r="P71" s="82">
        <v>0.458333333333333</v>
      </c>
      <c r="Q71" s="83">
        <v>0.666666666666667</v>
      </c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</row>
    <row r="72" customHeight="1" spans="1:33">
      <c r="A72" s="75">
        <v>10225640</v>
      </c>
      <c r="B72" s="76" t="s">
        <v>100</v>
      </c>
      <c r="C72" s="76" t="s">
        <v>162</v>
      </c>
      <c r="D72" s="79" t="s">
        <v>23</v>
      </c>
      <c r="E72" s="79" t="s">
        <v>23</v>
      </c>
      <c r="F72" s="77">
        <v>0.458333333333333</v>
      </c>
      <c r="G72" s="78">
        <v>0.875</v>
      </c>
      <c r="H72" s="77">
        <v>0.458333333333333</v>
      </c>
      <c r="I72" s="78">
        <v>0.875</v>
      </c>
      <c r="J72" s="77">
        <v>0.458333333333333</v>
      </c>
      <c r="K72" s="78">
        <v>0.875</v>
      </c>
      <c r="L72" s="77">
        <v>0.458333333333333</v>
      </c>
      <c r="M72" s="78">
        <v>0.875</v>
      </c>
      <c r="N72" s="82">
        <v>0.458333333333333</v>
      </c>
      <c r="O72" s="83">
        <v>0.666666666666667</v>
      </c>
      <c r="P72" s="81" t="s">
        <v>23</v>
      </c>
      <c r="Q72" s="81" t="s">
        <v>23</v>
      </c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</row>
    <row r="73" customHeight="1" spans="1:33">
      <c r="A73" s="75">
        <v>10303312</v>
      </c>
      <c r="B73" s="76" t="s">
        <v>163</v>
      </c>
      <c r="C73" s="76" t="s">
        <v>164</v>
      </c>
      <c r="D73" s="78">
        <v>0.375</v>
      </c>
      <c r="E73" s="77">
        <v>0.75</v>
      </c>
      <c r="F73" s="78">
        <v>0.375</v>
      </c>
      <c r="G73" s="77">
        <v>0.75</v>
      </c>
      <c r="H73" s="78">
        <v>0.375</v>
      </c>
      <c r="I73" s="77">
        <v>0.75</v>
      </c>
      <c r="J73" s="78">
        <v>0.375</v>
      </c>
      <c r="K73" s="77">
        <v>0.75</v>
      </c>
      <c r="L73" s="78">
        <v>0.375</v>
      </c>
      <c r="M73" s="77">
        <v>0.75</v>
      </c>
      <c r="N73" s="79" t="s">
        <v>23</v>
      </c>
      <c r="O73" s="79" t="s">
        <v>23</v>
      </c>
      <c r="P73" s="79" t="s">
        <v>23</v>
      </c>
      <c r="Q73" s="79" t="s">
        <v>23</v>
      </c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</row>
    <row r="74" customHeight="1" spans="1:33">
      <c r="A74" s="75">
        <v>10306591</v>
      </c>
      <c r="B74" s="76" t="s">
        <v>108</v>
      </c>
      <c r="C74" s="76" t="s">
        <v>164</v>
      </c>
      <c r="D74" s="78">
        <v>0.375</v>
      </c>
      <c r="E74" s="77">
        <v>0.75</v>
      </c>
      <c r="F74" s="78">
        <v>0.375</v>
      </c>
      <c r="G74" s="77">
        <v>0.75</v>
      </c>
      <c r="H74" s="78">
        <v>0.375</v>
      </c>
      <c r="I74" s="77">
        <v>0.75</v>
      </c>
      <c r="J74" s="78">
        <v>0.375</v>
      </c>
      <c r="K74" s="77">
        <v>0.75</v>
      </c>
      <c r="L74" s="78">
        <v>0.375</v>
      </c>
      <c r="M74" s="77">
        <v>0.75</v>
      </c>
      <c r="N74" s="79" t="s">
        <v>23</v>
      </c>
      <c r="O74" s="79" t="s">
        <v>23</v>
      </c>
      <c r="P74" s="79" t="s">
        <v>23</v>
      </c>
      <c r="Q74" s="79" t="s">
        <v>23</v>
      </c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</row>
    <row r="75" customHeight="1" spans="1:33">
      <c r="A75" s="75">
        <v>10271545</v>
      </c>
      <c r="B75" s="76" t="s">
        <v>165</v>
      </c>
      <c r="C75" s="76" t="s">
        <v>166</v>
      </c>
      <c r="D75" s="78">
        <v>0.375</v>
      </c>
      <c r="E75" s="77">
        <v>0.75</v>
      </c>
      <c r="F75" s="78">
        <v>0.375</v>
      </c>
      <c r="G75" s="77">
        <v>0.75</v>
      </c>
      <c r="H75" s="78">
        <v>0.375</v>
      </c>
      <c r="I75" s="77">
        <v>0.75</v>
      </c>
      <c r="J75" s="78">
        <v>0.375</v>
      </c>
      <c r="K75" s="77">
        <v>0.75</v>
      </c>
      <c r="L75" s="78">
        <v>0.375</v>
      </c>
      <c r="M75" s="77">
        <v>0.75</v>
      </c>
      <c r="N75" s="79" t="s">
        <v>23</v>
      </c>
      <c r="O75" s="79" t="s">
        <v>23</v>
      </c>
      <c r="P75" s="79" t="s">
        <v>23</v>
      </c>
      <c r="Q75" s="79" t="s">
        <v>23</v>
      </c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</row>
    <row r="76" customHeight="1" spans="1:33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</row>
    <row r="77" customHeight="1" spans="1:33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</row>
    <row r="78" customHeight="1" spans="1:33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</row>
    <row r="79" customHeight="1" spans="1:33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</row>
    <row r="80" customHeight="1" spans="1:33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</row>
    <row r="81" customHeight="1" spans="1:33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</row>
    <row r="82" customHeight="1" spans="1:33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</row>
    <row r="83" customHeight="1" spans="1:3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</row>
    <row r="84" customHeight="1" spans="1:33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</row>
    <row r="85" customHeight="1" spans="1:33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</row>
    <row r="86" customHeight="1" spans="1:33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</row>
    <row r="87" customHeight="1" spans="1:33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</row>
    <row r="88" customHeight="1" spans="1:33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</row>
    <row r="89" customHeight="1" spans="1:33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</row>
    <row r="90" customHeight="1" spans="1:33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</row>
    <row r="91" customHeight="1" spans="1:33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</row>
    <row r="92" customHeight="1" spans="1:33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</row>
    <row r="93" customHeight="1" spans="1:3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</row>
    <row r="94" customHeight="1" spans="1:33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</row>
    <row r="95" customHeight="1" spans="1:33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</row>
    <row r="96" customHeight="1" spans="1:33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</row>
    <row r="97" customHeight="1" spans="1:33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</row>
    <row r="98" customHeight="1" spans="1:33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</row>
    <row r="99" customHeight="1" spans="1:33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</row>
    <row r="100" customHeight="1" spans="1:33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</row>
    <row r="101" customHeight="1" spans="1:33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</row>
    <row r="102" customHeight="1" spans="1:33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</row>
    <row r="103" customHeight="1" spans="1:3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</row>
    <row r="104" customHeight="1" spans="1:33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</row>
    <row r="105" customHeight="1" spans="1:33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</row>
    <row r="106" customHeight="1" spans="1:33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</row>
    <row r="107" customHeight="1" spans="1:33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</row>
    <row r="108" customHeight="1" spans="1:33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</row>
    <row r="109" customHeight="1" spans="1:33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</row>
    <row r="110" customHeight="1" spans="1:33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</row>
    <row r="111" customHeight="1" spans="1:33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</row>
    <row r="112" customHeight="1" spans="1:33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</row>
    <row r="113" customHeight="1" spans="1:3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</row>
    <row r="114" customHeight="1" spans="1:33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</row>
    <row r="115" customHeight="1" spans="1:33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</row>
    <row r="116" customHeight="1" spans="1:33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</row>
    <row r="117" customHeight="1" spans="1:33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</row>
    <row r="118" customHeight="1" spans="1:33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</row>
    <row r="119" customHeight="1" spans="1:33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</row>
    <row r="120" customHeight="1" spans="1:33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</row>
    <row r="121" customHeight="1" spans="1:33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</row>
    <row r="122" customHeight="1" spans="1:33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</row>
    <row r="123" customHeight="1" spans="1:3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</row>
    <row r="124" customHeight="1" spans="1:33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</row>
    <row r="125" customHeight="1" spans="1:33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</row>
    <row r="126" customHeight="1" spans="1:33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</row>
    <row r="127" customHeight="1" spans="1:33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</row>
    <row r="128" customHeight="1" spans="1:33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</row>
    <row r="129" customHeight="1" spans="1:33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</row>
    <row r="130" customHeight="1" spans="1:33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</row>
    <row r="131" customHeight="1" spans="1:33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</row>
    <row r="132" customHeight="1" spans="1:33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</row>
    <row r="133" customHeight="1" spans="1:3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</row>
    <row r="134" customHeight="1" spans="1:33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</row>
    <row r="135" customHeight="1" spans="1:33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</row>
    <row r="136" customHeight="1" spans="1:33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</row>
    <row r="137" customHeight="1" spans="1:33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</row>
    <row r="138" customHeight="1" spans="1:33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</row>
    <row r="139" customHeight="1" spans="1:33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</row>
    <row r="140" customHeight="1" spans="1:33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</row>
    <row r="141" customHeight="1" spans="1:33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</row>
    <row r="142" customHeight="1" spans="1:33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</row>
    <row r="143" customHeight="1" spans="1:3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</row>
    <row r="144" customHeight="1" spans="1:33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</row>
    <row r="145" customHeight="1" spans="1:33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</row>
    <row r="146" customHeight="1" spans="1:33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</row>
    <row r="147" customHeight="1" spans="1:33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</row>
    <row r="148" customHeight="1" spans="1:33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</row>
    <row r="149" customHeight="1" spans="1:33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</row>
    <row r="150" customHeight="1" spans="1:33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</row>
    <row r="151" customHeight="1" spans="1:33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</row>
    <row r="152" customHeight="1" spans="1:33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</row>
    <row r="153" customHeight="1" spans="1:3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</row>
    <row r="154" customHeight="1" spans="1:33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</row>
    <row r="155" customHeight="1" spans="1:33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</row>
    <row r="156" customHeight="1" spans="1:33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</row>
    <row r="157" customHeight="1" spans="1:33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</row>
    <row r="158" customHeight="1" spans="1:33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</row>
    <row r="159" customHeight="1" spans="1:33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</row>
    <row r="160" customHeight="1" spans="1:33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</row>
    <row r="161" customHeight="1" spans="1:33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</row>
    <row r="162" customHeight="1" spans="1:33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</row>
    <row r="163" customHeight="1" spans="1:3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</row>
    <row r="164" customHeight="1" spans="1:33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</row>
    <row r="165" customHeight="1" spans="1:33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</row>
    <row r="166" customHeight="1" spans="1:33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</row>
    <row r="167" customHeight="1" spans="1:33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</row>
    <row r="168" customHeight="1" spans="1:33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</row>
    <row r="169" customHeight="1" spans="1:33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</row>
    <row r="170" customHeight="1" spans="1:33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</row>
    <row r="171" customHeight="1" spans="1:33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</row>
    <row r="172" customHeight="1" spans="1:33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</row>
    <row r="173" customHeight="1" spans="1:3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</row>
    <row r="174" customHeight="1" spans="1:33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</row>
    <row r="175" customHeight="1" spans="1:33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</row>
    <row r="176" customHeight="1" spans="1:33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</row>
    <row r="177" customHeight="1" spans="1:33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</row>
    <row r="178" customHeight="1" spans="1:33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</row>
    <row r="179" customHeight="1" spans="1:33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</row>
    <row r="180" customHeight="1" spans="1:33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</row>
    <row r="181" customHeight="1" spans="1:33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</row>
    <row r="182" customHeight="1" spans="1:33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</row>
    <row r="183" customHeight="1" spans="1:3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</row>
    <row r="184" customHeight="1" spans="1:33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</row>
    <row r="185" customHeight="1" spans="1:33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</row>
    <row r="186" customHeight="1" spans="1:33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</row>
    <row r="187" customHeight="1" spans="1:33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</row>
    <row r="188" customHeight="1" spans="1:33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</row>
    <row r="189" customHeight="1" spans="1:33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</row>
    <row r="190" customHeight="1" spans="1:33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</row>
    <row r="191" customHeight="1" spans="1:33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</row>
    <row r="192" customHeight="1" spans="1:33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</row>
    <row r="193" customHeight="1" spans="1:3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</row>
    <row r="194" customHeight="1" spans="1:33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</row>
    <row r="195" customHeight="1" spans="1:33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</row>
    <row r="196" customHeight="1" spans="1:33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</row>
    <row r="197" customHeight="1" spans="1:33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</row>
    <row r="198" customHeight="1" spans="1:33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</row>
    <row r="199" customHeight="1" spans="1:33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</row>
    <row r="200" customHeight="1" spans="1:33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</row>
    <row r="201" customHeight="1" spans="1:33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</row>
    <row r="202" customHeight="1" spans="1:33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</row>
    <row r="203" customHeight="1" spans="1:3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</row>
    <row r="204" customHeight="1" spans="1:33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</row>
    <row r="205" customHeight="1" spans="1:33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</row>
    <row r="206" customHeight="1" spans="1:33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</row>
    <row r="207" customHeight="1" spans="1:33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</row>
    <row r="208" customHeight="1" spans="1:33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</row>
    <row r="209" customHeight="1" spans="1:33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</row>
    <row r="210" customHeight="1" spans="1:33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</row>
    <row r="211" customHeight="1" spans="1:33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</row>
    <row r="212" customHeight="1" spans="1:33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</row>
    <row r="213" customHeight="1" spans="1:3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</row>
    <row r="214" customHeight="1" spans="1:33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</row>
    <row r="215" customHeight="1" spans="1:33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</row>
    <row r="216" customHeight="1" spans="1:33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</row>
    <row r="217" customHeight="1" spans="1:33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</row>
    <row r="218" customHeight="1" spans="1:33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</row>
    <row r="219" customHeight="1" spans="1:33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</row>
    <row r="220" customHeight="1" spans="1:33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</row>
    <row r="221" customHeight="1" spans="1:33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</row>
    <row r="222" customHeight="1" spans="1:33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</row>
    <row r="223" customHeight="1" spans="1:3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</row>
    <row r="224" customHeight="1" spans="1:33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</row>
    <row r="225" customHeight="1" spans="1:33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</row>
    <row r="226" customHeight="1" spans="1:33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</row>
    <row r="227" customHeight="1" spans="1:33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</row>
    <row r="228" customHeight="1" spans="1:33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</row>
    <row r="229" customHeight="1" spans="1:33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</row>
    <row r="230" customHeight="1" spans="1:33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</row>
    <row r="231" customHeight="1" spans="1:33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</row>
    <row r="232" customHeight="1" spans="1:33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</row>
    <row r="233" customHeight="1" spans="1: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</row>
    <row r="234" customHeight="1" spans="1:33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</row>
    <row r="235" customHeight="1" spans="1:33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</row>
    <row r="236" customHeight="1" spans="1:33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</row>
    <row r="237" customHeight="1" spans="1:33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</row>
    <row r="238" customHeight="1" spans="1:33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</row>
    <row r="239" customHeight="1" spans="1:33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</row>
    <row r="240" customHeight="1" spans="1:33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</row>
    <row r="241" customHeight="1" spans="1:33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</row>
    <row r="242" customHeight="1" spans="1:33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</row>
    <row r="243" customHeight="1" spans="1:3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</row>
    <row r="244" customHeight="1" spans="1:33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</row>
    <row r="245" customHeight="1" spans="1:33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</row>
    <row r="246" customHeight="1" spans="1:33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</row>
    <row r="247" customHeight="1" spans="1:33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</row>
    <row r="248" customHeight="1" spans="1:33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</row>
    <row r="249" customHeight="1" spans="1:33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</row>
    <row r="250" customHeight="1" spans="1:33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</row>
    <row r="251" customHeight="1" spans="1:33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</row>
    <row r="252" customHeight="1" spans="1:33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</row>
    <row r="253" customHeight="1" spans="1:3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</row>
    <row r="254" customHeight="1" spans="1:33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</row>
    <row r="255" customHeight="1" spans="1:33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</row>
    <row r="256" customHeight="1" spans="1:33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</row>
    <row r="257" customHeight="1" spans="1:33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</row>
    <row r="258" customHeight="1" spans="1:33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</row>
    <row r="259" customHeight="1" spans="1:33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</row>
    <row r="260" customHeight="1" spans="1:33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</row>
    <row r="261" customHeight="1" spans="1:33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</row>
    <row r="262" customHeight="1" spans="1:33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</row>
    <row r="263" customHeight="1" spans="1:3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</row>
    <row r="264" customHeight="1" spans="1:33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</row>
    <row r="265" customHeight="1" spans="1:33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</row>
    <row r="266" customHeight="1" spans="1:33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</row>
    <row r="267" customHeight="1" spans="1:33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</row>
    <row r="268" customHeight="1" spans="1:33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</row>
    <row r="269" customHeight="1" spans="1:33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</row>
    <row r="270" customHeight="1" spans="1:33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</row>
    <row r="271" customHeight="1" spans="1:33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</row>
    <row r="272" customHeight="1" spans="1:33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</row>
    <row r="273" customHeight="1" spans="1:3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</row>
    <row r="274" customHeight="1" spans="1:33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</row>
    <row r="275" customHeight="1" spans="1:33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</row>
    <row r="276" customHeight="1" spans="1:33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</row>
    <row r="277" customHeight="1" spans="1:33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</row>
    <row r="278" customHeight="1" spans="1:33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</row>
    <row r="279" customHeight="1" spans="1:33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</row>
    <row r="280" customHeight="1" spans="1:33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</row>
    <row r="281" customHeight="1" spans="1:33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</row>
    <row r="282" customHeight="1" spans="1:33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</row>
    <row r="283" customHeight="1" spans="1:3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</row>
    <row r="284" customHeight="1" spans="1:33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</row>
    <row r="285" customHeight="1" spans="1:33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</row>
    <row r="286" customHeight="1" spans="1:33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</row>
    <row r="287" customHeight="1" spans="1:33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</row>
    <row r="288" customHeight="1" spans="1:33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</row>
    <row r="289" customHeight="1" spans="1:33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</row>
    <row r="290" customHeight="1" spans="1:33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</row>
    <row r="291" customHeight="1" spans="1:33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</row>
    <row r="292" customHeight="1" spans="1:33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</row>
    <row r="293" customHeight="1" spans="1:3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</row>
    <row r="294" customHeight="1" spans="1:33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</row>
    <row r="295" customHeight="1" spans="1:33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</row>
    <row r="296" customHeight="1" spans="1:33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</row>
    <row r="297" customHeight="1" spans="1:33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</row>
    <row r="298" customHeight="1" spans="1:33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</row>
    <row r="299" customHeight="1" spans="1:33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</row>
    <row r="300" customHeight="1" spans="1:33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</row>
    <row r="301" customHeight="1" spans="1:33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</row>
    <row r="302" customHeight="1" spans="1:33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</row>
    <row r="303" customHeight="1" spans="1:3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</row>
    <row r="304" customHeight="1" spans="1:33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</row>
    <row r="305" customHeight="1" spans="1:33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</row>
    <row r="306" customHeight="1" spans="1:33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</row>
    <row r="307" customHeight="1" spans="1:33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</row>
    <row r="308" customHeight="1" spans="1:33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</row>
    <row r="309" customHeight="1" spans="1:33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</row>
    <row r="310" customHeight="1" spans="1:33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</row>
    <row r="311" customHeight="1" spans="1:33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</row>
    <row r="312" customHeight="1" spans="1:33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</row>
    <row r="313" customHeight="1" spans="1:3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</row>
    <row r="314" customHeight="1" spans="1:33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</row>
    <row r="315" customHeight="1" spans="1:33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</row>
    <row r="316" customHeight="1" spans="1:33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</row>
    <row r="317" customHeight="1" spans="1:33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</row>
    <row r="318" customHeight="1" spans="1:33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</row>
    <row r="319" customHeight="1" spans="1:33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</row>
    <row r="320" customHeight="1" spans="1:33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</row>
    <row r="321" customHeight="1" spans="1:33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</row>
    <row r="322" customHeight="1" spans="1:33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</row>
    <row r="323" customHeight="1" spans="1:3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</row>
    <row r="324" customHeight="1" spans="1:33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</row>
    <row r="325" customHeight="1" spans="1:33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</row>
    <row r="326" customHeight="1" spans="1:33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</row>
    <row r="327" customHeight="1" spans="1:33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</row>
    <row r="328" customHeight="1" spans="1:33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</row>
    <row r="329" customHeight="1" spans="1:33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</row>
    <row r="330" customHeight="1" spans="1:33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</row>
    <row r="331" customHeight="1" spans="1:33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</row>
    <row r="332" customHeight="1" spans="1:33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</row>
    <row r="333" customHeight="1" spans="1: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</row>
    <row r="334" customHeight="1" spans="1:33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</row>
    <row r="335" customHeight="1" spans="1:33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</row>
    <row r="336" customHeight="1" spans="1:33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</row>
    <row r="337" customHeight="1" spans="1:33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</row>
    <row r="338" customHeight="1" spans="1:33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</row>
    <row r="339" customHeight="1" spans="1:33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</row>
    <row r="340" customHeight="1" spans="1:33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</row>
    <row r="341" customHeight="1" spans="1:33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</row>
    <row r="342" customHeight="1" spans="1:33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</row>
    <row r="343" customHeight="1" spans="1:3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</row>
    <row r="344" customHeight="1" spans="1:33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</row>
    <row r="345" customHeight="1" spans="1:33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</row>
    <row r="346" customHeight="1" spans="1:33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</row>
    <row r="347" customHeight="1" spans="1:33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</row>
    <row r="348" customHeight="1" spans="1:33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</row>
    <row r="349" customHeight="1" spans="1:33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</row>
    <row r="350" customHeight="1" spans="1:33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</row>
    <row r="351" customHeight="1" spans="1:33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</row>
    <row r="352" customHeight="1" spans="1:33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</row>
    <row r="353" customHeight="1" spans="1:3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</row>
    <row r="354" customHeight="1" spans="1:33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</row>
    <row r="355" customHeight="1" spans="1:33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</row>
    <row r="356" customHeight="1" spans="1:33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</row>
    <row r="357" customHeight="1" spans="1:33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</row>
    <row r="358" customHeight="1" spans="1:33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</row>
    <row r="359" customHeight="1" spans="1:33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</row>
    <row r="360" customHeight="1" spans="1:33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</row>
    <row r="361" customHeight="1" spans="1:33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</row>
    <row r="362" customHeight="1" spans="1:33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</row>
    <row r="363" customHeight="1" spans="1:3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</row>
    <row r="364" customHeight="1" spans="1:33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</row>
    <row r="365" customHeight="1" spans="1:33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</row>
    <row r="366" customHeight="1" spans="1:33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</row>
    <row r="367" customHeight="1" spans="1:33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</row>
    <row r="368" customHeight="1" spans="1:33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</row>
    <row r="369" customHeight="1" spans="1:33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</row>
    <row r="370" customHeight="1" spans="1:33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</row>
    <row r="371" customHeight="1" spans="1:33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</row>
    <row r="372" customHeight="1" spans="1:33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</row>
    <row r="373" customHeight="1" spans="1:3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</row>
    <row r="374" customHeight="1" spans="1:33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</row>
    <row r="375" customHeight="1" spans="1:33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</row>
    <row r="376" customHeight="1" spans="1:33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</row>
    <row r="377" customHeight="1" spans="1:33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</row>
    <row r="378" customHeight="1" spans="1:33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</row>
    <row r="379" customHeight="1" spans="1:33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</row>
    <row r="380" customHeight="1" spans="1:33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</row>
    <row r="381" customHeight="1" spans="1:33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</row>
    <row r="382" customHeight="1" spans="1:33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</row>
    <row r="383" customHeight="1" spans="1:3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</row>
    <row r="384" customHeight="1" spans="1:33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</row>
    <row r="385" customHeight="1" spans="1:33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</row>
    <row r="386" customHeight="1" spans="1:33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</row>
    <row r="387" customHeight="1" spans="1:33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</row>
    <row r="388" customHeight="1" spans="1:33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</row>
    <row r="389" customHeight="1" spans="1:33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</row>
    <row r="390" customHeight="1" spans="1:33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</row>
    <row r="391" customHeight="1" spans="1:33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</row>
    <row r="392" customHeight="1" spans="1:33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</row>
    <row r="393" customHeight="1" spans="1:3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</row>
    <row r="394" customHeight="1" spans="1:33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</row>
    <row r="395" customHeight="1" spans="1:33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</row>
    <row r="396" customHeight="1" spans="1:33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</row>
    <row r="397" customHeight="1" spans="1:33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</row>
    <row r="398" customHeight="1" spans="1:33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</row>
    <row r="399" customHeight="1" spans="1:33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</row>
    <row r="400" customHeight="1" spans="1:33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</row>
    <row r="401" customHeight="1" spans="1:33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</row>
    <row r="402" customHeight="1" spans="1:33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</row>
    <row r="403" customHeight="1" spans="1:3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</row>
    <row r="404" customHeight="1" spans="1:33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</row>
    <row r="405" customHeight="1" spans="1:33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</row>
    <row r="406" customHeight="1" spans="1:33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</row>
    <row r="407" customHeight="1" spans="1:33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</row>
    <row r="408" customHeight="1" spans="1:33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</row>
    <row r="409" customHeight="1" spans="1:33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</row>
    <row r="410" customHeight="1" spans="1:33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</row>
    <row r="411" customHeight="1" spans="1:33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</row>
    <row r="412" customHeight="1" spans="1:33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</row>
    <row r="413" customHeight="1" spans="1:3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</row>
    <row r="414" customHeight="1" spans="1:33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</row>
    <row r="415" customHeight="1" spans="1:33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</row>
    <row r="416" customHeight="1" spans="1:33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</row>
    <row r="417" customHeight="1" spans="1:33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</row>
    <row r="418" customHeight="1" spans="1:33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</row>
    <row r="419" customHeight="1" spans="1:33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</row>
    <row r="420" customHeight="1" spans="1:33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</row>
    <row r="421" customHeight="1" spans="1:33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</row>
    <row r="422" customHeight="1" spans="1:33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</row>
    <row r="423" customHeight="1" spans="1:3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</row>
    <row r="424" customHeight="1" spans="1:33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</row>
    <row r="425" customHeight="1" spans="1:33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</row>
    <row r="426" customHeight="1" spans="1:33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</row>
    <row r="427" customHeight="1" spans="1:33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</row>
    <row r="428" customHeight="1" spans="1:33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</row>
    <row r="429" customHeight="1" spans="1:33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</row>
    <row r="430" customHeight="1" spans="1:33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</row>
    <row r="431" customHeight="1" spans="1:33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</row>
    <row r="432" customHeight="1" spans="1:33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</row>
    <row r="433" customHeight="1" spans="1: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</row>
    <row r="434" customHeight="1" spans="1:33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</row>
    <row r="435" customHeight="1" spans="1:33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</row>
    <row r="436" customHeight="1" spans="1:33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</row>
    <row r="437" customHeight="1" spans="1:33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</row>
    <row r="438" customHeight="1" spans="1:33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</row>
    <row r="439" customHeight="1" spans="1:33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</row>
    <row r="440" customHeight="1" spans="1:33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</row>
    <row r="441" customHeight="1" spans="1:33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</row>
    <row r="442" customHeight="1" spans="1:33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</row>
    <row r="443" customHeight="1" spans="1:3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</row>
    <row r="444" customHeight="1" spans="1:33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</row>
    <row r="445" customHeight="1" spans="1:33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</row>
    <row r="446" customHeight="1" spans="1:33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</row>
    <row r="447" customHeight="1" spans="1:33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</row>
    <row r="448" customHeight="1" spans="1:33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</row>
    <row r="449" customHeight="1" spans="1:33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</row>
    <row r="450" customHeight="1" spans="1:33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</row>
    <row r="451" customHeight="1" spans="1:33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</row>
    <row r="452" customHeight="1" spans="1:33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</row>
    <row r="453" customHeight="1" spans="1:3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</row>
    <row r="454" customHeight="1" spans="1:33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</row>
    <row r="455" customHeight="1" spans="1:33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</row>
    <row r="456" customHeight="1" spans="1:33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</row>
    <row r="457" customHeight="1" spans="1:33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</row>
    <row r="458" customHeight="1" spans="1:33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</row>
    <row r="459" customHeight="1" spans="1:33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</row>
    <row r="460" customHeight="1" spans="1:33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</row>
    <row r="461" customHeight="1" spans="1:33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</row>
    <row r="462" customHeight="1" spans="1:33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</row>
    <row r="463" customHeight="1" spans="1:3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</row>
    <row r="464" customHeight="1" spans="1:33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</row>
    <row r="465" customHeight="1" spans="1:33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</row>
    <row r="466" customHeight="1" spans="1:33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</row>
    <row r="467" customHeight="1" spans="1:33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</row>
    <row r="468" customHeight="1" spans="1:33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</row>
    <row r="469" customHeight="1" spans="1:33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</row>
    <row r="470" customHeight="1" spans="1:33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</row>
    <row r="471" customHeight="1" spans="1:33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</row>
    <row r="472" customHeight="1" spans="1:33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</row>
    <row r="473" customHeight="1" spans="1:3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</row>
    <row r="474" customHeight="1" spans="1:33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</row>
    <row r="475" customHeight="1" spans="1:33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</row>
    <row r="476" customHeight="1" spans="1:33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</row>
    <row r="477" customHeight="1" spans="1:33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</row>
    <row r="478" customHeight="1" spans="1:33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</row>
    <row r="479" customHeight="1" spans="1:33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</row>
    <row r="480" customHeight="1" spans="1:33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</row>
    <row r="481" customHeight="1" spans="1:33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</row>
    <row r="482" customHeight="1" spans="1:33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</row>
    <row r="483" customHeight="1" spans="1:3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</row>
    <row r="484" customHeight="1" spans="1:33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</row>
    <row r="485" customHeight="1" spans="1:33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</row>
    <row r="486" customHeight="1" spans="1:33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</row>
    <row r="487" customHeight="1" spans="1:33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</row>
    <row r="488" customHeight="1" spans="1:33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</row>
    <row r="489" customHeight="1" spans="1:33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</row>
    <row r="490" customHeight="1" spans="1:33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</row>
    <row r="491" customHeight="1" spans="1:33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</row>
    <row r="492" customHeight="1" spans="1:33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</row>
    <row r="493" customHeight="1" spans="1:3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</row>
    <row r="494" customHeight="1" spans="1:33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</row>
    <row r="495" customHeight="1" spans="1:33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</row>
    <row r="496" customHeight="1" spans="1:33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</row>
    <row r="497" customHeight="1" spans="1:33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</row>
    <row r="498" customHeight="1" spans="1:33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</row>
    <row r="499" customHeight="1" spans="1:33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</row>
    <row r="500" customHeight="1" spans="1:33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</row>
    <row r="501" customHeight="1" spans="1:33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</row>
    <row r="502" customHeight="1" spans="1:33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</row>
    <row r="503" customHeight="1" spans="1:3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</row>
    <row r="504" customHeight="1" spans="1:33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</row>
    <row r="505" customHeight="1" spans="1:33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</row>
    <row r="506" customHeight="1" spans="1:33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</row>
    <row r="507" customHeight="1" spans="1:33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</row>
    <row r="508" customHeight="1" spans="1:33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</row>
    <row r="509" customHeight="1" spans="1:33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</row>
    <row r="510" customHeight="1" spans="1:33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</row>
    <row r="511" customHeight="1" spans="1:33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</row>
    <row r="512" customHeight="1" spans="1:33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</row>
    <row r="513" customHeight="1" spans="1:3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</row>
    <row r="514" customHeight="1" spans="1:33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</row>
    <row r="515" customHeight="1" spans="1:33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</row>
    <row r="516" customHeight="1" spans="1:33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</row>
    <row r="517" customHeight="1" spans="1:33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</row>
    <row r="518" customHeight="1" spans="1:33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</row>
    <row r="519" customHeight="1" spans="1:33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</row>
    <row r="520" customHeight="1" spans="1:33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</row>
    <row r="521" customHeight="1" spans="1:33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</row>
    <row r="522" customHeight="1" spans="1:33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</row>
    <row r="523" customHeight="1" spans="1:3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</row>
    <row r="524" customHeight="1" spans="1:33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</row>
    <row r="525" customHeight="1" spans="1:33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</row>
    <row r="526" customHeight="1" spans="1:33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</row>
    <row r="527" customHeight="1" spans="1:33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</row>
    <row r="528" customHeight="1" spans="1:33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</row>
    <row r="529" customHeight="1" spans="1:33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</row>
    <row r="530" customHeight="1" spans="1:33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</row>
    <row r="531" customHeight="1" spans="1:33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</row>
    <row r="532" customHeight="1" spans="1:33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</row>
    <row r="533" customHeight="1" spans="1: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</row>
    <row r="534" customHeight="1" spans="1:33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</row>
    <row r="535" customHeight="1" spans="1:33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</row>
    <row r="536" customHeight="1" spans="1:33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</row>
    <row r="537" customHeight="1" spans="1:33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</row>
    <row r="538" customHeight="1" spans="1:33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</row>
    <row r="539" customHeight="1" spans="1:33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</row>
    <row r="540" customHeight="1" spans="1:33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</row>
    <row r="541" customHeight="1" spans="1:33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</row>
    <row r="542" customHeight="1" spans="1:33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</row>
    <row r="543" customHeight="1" spans="1:3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</row>
    <row r="544" customHeight="1" spans="1:33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</row>
    <row r="545" customHeight="1" spans="1:33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</row>
    <row r="546" customHeight="1" spans="1:33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</row>
    <row r="547" customHeight="1" spans="1:33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</row>
    <row r="548" customHeight="1" spans="1:33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</row>
    <row r="549" customHeight="1" spans="1:33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</row>
    <row r="550" customHeight="1" spans="1:33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</row>
    <row r="551" customHeight="1" spans="1:33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</row>
    <row r="552" customHeight="1" spans="1:33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</row>
    <row r="553" customHeight="1" spans="1:3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</row>
    <row r="554" customHeight="1" spans="1:33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</row>
    <row r="555" customHeight="1" spans="1:33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</row>
    <row r="556" customHeight="1" spans="1:33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</row>
    <row r="557" customHeight="1" spans="1:33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</row>
    <row r="558" customHeight="1" spans="1:33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</row>
    <row r="559" customHeight="1" spans="1:33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</row>
    <row r="560" customHeight="1" spans="1:33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</row>
    <row r="561" customHeight="1" spans="1:33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</row>
    <row r="562" customHeight="1" spans="1:33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</row>
    <row r="563" customHeight="1" spans="1:3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</row>
    <row r="564" customHeight="1" spans="1:33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</row>
    <row r="565" customHeight="1" spans="1:33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</row>
    <row r="566" customHeight="1" spans="1:33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</row>
    <row r="567" customHeight="1" spans="1:33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</row>
    <row r="568" customHeight="1" spans="1:33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</row>
    <row r="569" customHeight="1" spans="1:33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</row>
    <row r="570" customHeight="1" spans="1:33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</row>
    <row r="571" customHeight="1" spans="1:33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</row>
    <row r="572" customHeight="1" spans="1:33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</row>
    <row r="573" customHeight="1" spans="1:3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</row>
    <row r="574" customHeight="1" spans="1:33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</row>
    <row r="575" customHeight="1" spans="1:33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</row>
    <row r="576" customHeight="1" spans="1:33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</row>
    <row r="577" customHeight="1" spans="1:33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</row>
    <row r="578" customHeight="1" spans="1:33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</row>
    <row r="579" customHeight="1" spans="1:33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</row>
    <row r="580" customHeight="1" spans="1:33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</row>
    <row r="581" customHeight="1" spans="1:33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</row>
    <row r="582" customHeight="1" spans="1:33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</row>
    <row r="583" customHeight="1" spans="1:3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</row>
    <row r="584" customHeight="1" spans="1:33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</row>
    <row r="585" customHeight="1" spans="1:33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</row>
    <row r="586" customHeight="1" spans="1:33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</row>
    <row r="587" customHeight="1" spans="1:33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</row>
    <row r="588" customHeight="1" spans="1:33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</row>
    <row r="589" customHeight="1" spans="1:33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</row>
    <row r="590" customHeight="1" spans="1:33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</row>
    <row r="591" customHeight="1" spans="1:33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</row>
    <row r="592" customHeight="1" spans="1:33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</row>
    <row r="593" customHeight="1" spans="1:3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</row>
    <row r="594" customHeight="1" spans="1:33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</row>
    <row r="595" customHeight="1" spans="1:33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</row>
    <row r="596" customHeight="1" spans="1:33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</row>
    <row r="597" customHeight="1" spans="1:33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</row>
    <row r="598" customHeight="1" spans="1:33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</row>
    <row r="599" customHeight="1" spans="1:33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</row>
    <row r="600" customHeight="1" spans="1:33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</row>
    <row r="601" customHeight="1" spans="1:33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</row>
    <row r="602" customHeight="1" spans="1:33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</row>
    <row r="603" customHeight="1" spans="1:3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</row>
    <row r="604" customHeight="1" spans="1:33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</row>
    <row r="605" customHeight="1" spans="1:33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</row>
    <row r="606" customHeight="1" spans="1:33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</row>
    <row r="607" customHeight="1" spans="1:33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</row>
    <row r="608" customHeight="1" spans="1:33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</row>
    <row r="609" customHeight="1" spans="1:33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</row>
    <row r="610" customHeight="1" spans="1:33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</row>
    <row r="611" customHeight="1" spans="1:33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</row>
    <row r="612" customHeight="1" spans="1:33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</row>
    <row r="613" customHeight="1" spans="1:3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</row>
    <row r="614" customHeight="1" spans="1:33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</row>
    <row r="615" customHeight="1" spans="1:33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</row>
    <row r="616" customHeight="1" spans="1:33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</row>
    <row r="617" customHeight="1" spans="1:33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</row>
    <row r="618" customHeight="1" spans="1:33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</row>
    <row r="619" customHeight="1" spans="1:33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</row>
    <row r="620" customHeight="1" spans="1:33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</row>
    <row r="621" customHeight="1" spans="1:33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</row>
    <row r="622" customHeight="1" spans="1:33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</row>
    <row r="623" customHeight="1" spans="1:3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</row>
    <row r="624" customHeight="1" spans="1:33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</row>
    <row r="625" customHeight="1" spans="1:33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</row>
    <row r="626" customHeight="1" spans="1:33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</row>
    <row r="627" customHeight="1" spans="1:33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</row>
    <row r="628" customHeight="1" spans="1:33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</row>
    <row r="629" customHeight="1" spans="1:33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</row>
    <row r="630" customHeight="1" spans="1:33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</row>
    <row r="631" customHeight="1" spans="1:33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</row>
    <row r="632" customHeight="1" spans="1:33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</row>
    <row r="633" customHeight="1" spans="1: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</row>
    <row r="634" customHeight="1" spans="1:33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</row>
    <row r="635" customHeight="1" spans="1:33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</row>
    <row r="636" customHeight="1" spans="1:33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</row>
    <row r="637" customHeight="1" spans="1:33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</row>
    <row r="638" customHeight="1" spans="1:33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</row>
    <row r="639" customHeight="1" spans="1:33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</row>
    <row r="640" customHeight="1" spans="1:33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</row>
    <row r="641" customHeight="1" spans="1:33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</row>
    <row r="642" customHeight="1" spans="1:33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</row>
    <row r="643" customHeight="1" spans="1:3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</row>
    <row r="644" customHeight="1" spans="1:33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</row>
    <row r="645" customHeight="1" spans="1:33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</row>
    <row r="646" customHeight="1" spans="1:33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</row>
    <row r="647" customHeight="1" spans="1:33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</row>
    <row r="648" customHeight="1" spans="1:33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</row>
    <row r="649" customHeight="1" spans="1:33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</row>
    <row r="650" customHeight="1" spans="1:33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</row>
    <row r="651" customHeight="1" spans="1:33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</row>
    <row r="652" customHeight="1" spans="1:33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</row>
    <row r="653" customHeight="1" spans="1:3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</row>
    <row r="654" customHeight="1" spans="1:33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</row>
    <row r="655" customHeight="1" spans="1:33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</row>
    <row r="656" customHeight="1" spans="1:33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</row>
    <row r="657" customHeight="1" spans="1:33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</row>
    <row r="658" customHeight="1" spans="1:33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</row>
    <row r="659" customHeight="1" spans="1:33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</row>
    <row r="660" customHeight="1" spans="1:33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</row>
    <row r="661" customHeight="1" spans="1:33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</row>
    <row r="662" customHeight="1" spans="1:33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</row>
    <row r="663" customHeight="1" spans="1:3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</row>
    <row r="664" customHeight="1" spans="1:33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</row>
    <row r="665" customHeight="1" spans="1:33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</row>
    <row r="666" customHeight="1" spans="1:33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</row>
    <row r="667" customHeight="1" spans="1:33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</row>
    <row r="668" customHeight="1" spans="1:33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</row>
    <row r="669" customHeight="1" spans="1:33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</row>
    <row r="670" customHeight="1" spans="1:33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</row>
    <row r="671" customHeight="1" spans="1:33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</row>
    <row r="672" customHeight="1" spans="1:33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</row>
    <row r="673" customHeight="1" spans="1:3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</row>
    <row r="674" customHeight="1" spans="1:33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</row>
    <row r="675" customHeight="1" spans="1:33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</row>
    <row r="676" customHeight="1" spans="1:33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</row>
    <row r="677" customHeight="1" spans="1:33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</row>
    <row r="678" customHeight="1" spans="1:33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</row>
    <row r="679" customHeight="1" spans="1:33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</row>
    <row r="680" customHeight="1" spans="1:33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</row>
    <row r="681" customHeight="1" spans="1:33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</row>
    <row r="682" customHeight="1" spans="1:33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</row>
    <row r="683" customHeight="1" spans="1:3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</row>
    <row r="684" customHeight="1" spans="1:33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</row>
    <row r="685" customHeight="1" spans="1:33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</row>
    <row r="686" customHeight="1" spans="1:33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</row>
    <row r="687" customHeight="1" spans="1:33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</row>
    <row r="688" customHeight="1" spans="1:33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</row>
    <row r="689" customHeight="1" spans="1:33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</row>
    <row r="690" customHeight="1" spans="1:33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</row>
    <row r="691" customHeight="1" spans="1:33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</row>
    <row r="692" customHeight="1" spans="1:33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</row>
    <row r="693" customHeight="1" spans="1:3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</row>
    <row r="694" customHeight="1" spans="1:33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</row>
    <row r="695" customHeight="1" spans="1:33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</row>
    <row r="696" customHeight="1" spans="1:33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</row>
    <row r="697" customHeight="1" spans="1:33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</row>
    <row r="698" customHeight="1" spans="1:33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</row>
    <row r="699" customHeight="1" spans="1:33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</row>
    <row r="700" customHeight="1" spans="1:33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</row>
    <row r="701" customHeight="1" spans="1:33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</row>
    <row r="702" customHeight="1" spans="1:33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</row>
    <row r="703" customHeight="1" spans="1:3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</row>
    <row r="704" customHeight="1" spans="1:33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</row>
    <row r="705" customHeight="1" spans="1:33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</row>
    <row r="706" customHeight="1" spans="1:33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</row>
    <row r="707" customHeight="1" spans="1:33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</row>
    <row r="708" customHeight="1" spans="1:33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</row>
    <row r="709" customHeight="1" spans="1:33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</row>
    <row r="710" customHeight="1" spans="1:33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</row>
    <row r="711" customHeight="1" spans="1:33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</row>
    <row r="712" customHeight="1" spans="1:33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</row>
    <row r="713" customHeight="1" spans="1:3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</row>
    <row r="714" customHeight="1" spans="1:33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</row>
    <row r="715" customHeight="1" spans="1:33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</row>
    <row r="716" customHeight="1" spans="1:33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</row>
    <row r="717" customHeight="1" spans="1:33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</row>
    <row r="718" customHeight="1" spans="1:33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</row>
    <row r="719" customHeight="1" spans="1:33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</row>
    <row r="720" customHeight="1" spans="1:33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</row>
    <row r="721" customHeight="1" spans="1:33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</row>
    <row r="722" customHeight="1" spans="1:33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</row>
    <row r="723" customHeight="1" spans="1:3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</row>
    <row r="724" customHeight="1" spans="1:33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</row>
    <row r="725" customHeight="1" spans="1:33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</row>
    <row r="726" customHeight="1" spans="1:33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</row>
    <row r="727" customHeight="1" spans="1:33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</row>
    <row r="728" customHeight="1" spans="1:33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</row>
    <row r="729" customHeight="1" spans="1:33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</row>
    <row r="730" customHeight="1" spans="1:33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</row>
    <row r="731" customHeight="1" spans="1:33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</row>
    <row r="732" customHeight="1" spans="1:33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</row>
    <row r="733" customHeight="1" spans="1: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</row>
    <row r="734" customHeight="1" spans="1:33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</row>
    <row r="735" customHeight="1" spans="1:33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</row>
    <row r="736" customHeight="1" spans="1:33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</row>
    <row r="737" customHeight="1" spans="1:33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</row>
    <row r="738" customHeight="1" spans="1:33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</row>
    <row r="739" customHeight="1" spans="1:33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</row>
    <row r="740" customHeight="1" spans="1:33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</row>
    <row r="741" customHeight="1" spans="1:33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</row>
    <row r="742" customHeight="1" spans="1:33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</row>
    <row r="743" customHeight="1" spans="1:3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</row>
    <row r="744" customHeight="1" spans="1:33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</row>
    <row r="745" customHeight="1" spans="1:33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</row>
    <row r="746" customHeight="1" spans="1:33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</row>
    <row r="747" customHeight="1" spans="1:33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</row>
    <row r="748" customHeight="1" spans="1:33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</row>
    <row r="749" customHeight="1" spans="1:33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</row>
    <row r="750" customHeight="1" spans="1:33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</row>
    <row r="751" customHeight="1" spans="1:33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</row>
    <row r="752" customHeight="1" spans="1:33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</row>
    <row r="753" customHeight="1" spans="1:3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</row>
    <row r="754" customHeight="1" spans="1:33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</row>
    <row r="755" customHeight="1" spans="1:33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</row>
    <row r="756" customHeight="1" spans="1:33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</row>
    <row r="757" customHeight="1" spans="1:33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</row>
    <row r="758" customHeight="1" spans="1:33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</row>
    <row r="759" customHeight="1" spans="1:33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</row>
    <row r="760" customHeight="1" spans="1:33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</row>
    <row r="761" customHeight="1" spans="1:33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</row>
    <row r="762" customHeight="1" spans="1:33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</row>
    <row r="763" customHeight="1" spans="1:3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</row>
    <row r="764" customHeight="1" spans="1:33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</row>
    <row r="765" customHeight="1" spans="1:33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</row>
    <row r="766" customHeight="1" spans="1:33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</row>
    <row r="767" customHeight="1" spans="1:33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</row>
    <row r="768" customHeight="1" spans="1:33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</row>
    <row r="769" customHeight="1" spans="1:33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</row>
    <row r="770" customHeight="1" spans="1:33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</row>
    <row r="771" customHeight="1" spans="1:33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</row>
    <row r="772" customHeight="1" spans="1:33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</row>
    <row r="773" customHeight="1" spans="1:3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</row>
    <row r="774" customHeight="1" spans="1:33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</row>
    <row r="775" customHeight="1" spans="1:33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</row>
    <row r="776" customHeight="1" spans="1:33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</row>
    <row r="777" customHeight="1" spans="1:33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</row>
    <row r="778" customHeight="1" spans="1:33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</row>
    <row r="779" customHeight="1" spans="1:33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</row>
    <row r="780" customHeight="1" spans="1:33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</row>
    <row r="781" customHeight="1" spans="1:33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</row>
    <row r="782" customHeight="1" spans="1:33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</row>
    <row r="783" customHeight="1" spans="1:3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</row>
    <row r="784" customHeight="1" spans="1:33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</row>
    <row r="785" customHeight="1" spans="1:33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</row>
    <row r="786" customHeight="1" spans="1:33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</row>
    <row r="787" customHeight="1" spans="1:33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</row>
    <row r="788" customHeight="1" spans="1:33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</row>
    <row r="789" customHeight="1" spans="1:33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</row>
    <row r="790" customHeight="1" spans="1:33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</row>
    <row r="791" customHeight="1" spans="1:33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</row>
    <row r="792" customHeight="1" spans="1:33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</row>
    <row r="793" customHeight="1" spans="1:3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</row>
    <row r="794" customHeight="1" spans="1:33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</row>
    <row r="795" customHeight="1" spans="1:33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</row>
    <row r="796" customHeight="1" spans="1:33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</row>
    <row r="797" customHeight="1" spans="1:33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</row>
    <row r="798" customHeight="1" spans="1:33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</row>
    <row r="799" customHeight="1" spans="1:33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</row>
    <row r="800" customHeight="1" spans="1:33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</row>
    <row r="801" customHeight="1" spans="1:33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</row>
    <row r="802" customHeight="1" spans="1:33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</row>
    <row r="803" customHeight="1" spans="1:3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</row>
    <row r="804" customHeight="1" spans="1:33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</row>
    <row r="805" customHeight="1" spans="1:33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</row>
    <row r="806" customHeight="1" spans="1:33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</row>
    <row r="807" customHeight="1" spans="1:33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</row>
    <row r="808" customHeight="1" spans="1:33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</row>
    <row r="809" customHeight="1" spans="1:33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</row>
    <row r="810" customHeight="1" spans="1:33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</row>
    <row r="811" customHeight="1" spans="1:33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</row>
    <row r="812" customHeight="1" spans="1:33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</row>
    <row r="813" customHeight="1" spans="1:3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</row>
    <row r="814" customHeight="1" spans="1:33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</row>
    <row r="815" customHeight="1" spans="1:33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</row>
    <row r="816" customHeight="1" spans="1:33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</row>
    <row r="817" customHeight="1" spans="1:33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</row>
    <row r="818" customHeight="1" spans="1:33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</row>
    <row r="819" customHeight="1" spans="1:33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</row>
    <row r="820" customHeight="1" spans="1:33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</row>
    <row r="821" customHeight="1" spans="1:33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</row>
    <row r="822" customHeight="1" spans="1:33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</row>
    <row r="823" customHeight="1" spans="1:3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</row>
    <row r="824" customHeight="1" spans="1:33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</row>
    <row r="825" customHeight="1" spans="1:33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</row>
    <row r="826" customHeight="1" spans="1:33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</row>
    <row r="827" customHeight="1" spans="1:33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</row>
    <row r="828" customHeight="1" spans="1:33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</row>
    <row r="829" customHeight="1" spans="1:33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</row>
    <row r="830" customHeight="1" spans="1:33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</row>
    <row r="831" customHeight="1" spans="1:33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</row>
    <row r="832" customHeight="1" spans="1:33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</row>
    <row r="833" customHeight="1" spans="1: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</row>
    <row r="834" customHeight="1" spans="1:33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</row>
    <row r="835" customHeight="1" spans="1:33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</row>
    <row r="836" customHeight="1" spans="1:33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</row>
    <row r="837" customHeight="1" spans="1:33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</row>
    <row r="838" customHeight="1" spans="1:33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</row>
    <row r="839" customHeight="1" spans="1:33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</row>
    <row r="840" customHeight="1" spans="1:33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</row>
    <row r="841" customHeight="1" spans="1:33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</row>
    <row r="842" customHeight="1" spans="1:33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</row>
    <row r="843" customHeight="1" spans="1:3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</row>
    <row r="844" customHeight="1" spans="1:33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</row>
    <row r="845" customHeight="1" spans="1:33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</row>
    <row r="846" customHeight="1" spans="1:33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</row>
    <row r="847" customHeight="1" spans="1:33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</row>
    <row r="848" customHeight="1" spans="1:33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</row>
    <row r="849" customHeight="1" spans="1:33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</row>
    <row r="850" customHeight="1" spans="1:33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</row>
    <row r="851" customHeight="1" spans="1:33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</row>
    <row r="852" customHeight="1" spans="1:33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</row>
    <row r="853" customHeight="1" spans="1:3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</row>
    <row r="854" customHeight="1" spans="1:33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</row>
    <row r="855" customHeight="1" spans="1:33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</row>
    <row r="856" customHeight="1" spans="1:33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</row>
    <row r="857" customHeight="1" spans="1:33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</row>
    <row r="858" customHeight="1" spans="1:33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</row>
    <row r="859" customHeight="1" spans="1:33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</row>
    <row r="860" customHeight="1" spans="1:33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</row>
    <row r="861" customHeight="1" spans="1:33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</row>
    <row r="862" customHeight="1" spans="1:33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</row>
    <row r="863" customHeight="1" spans="1:3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</row>
    <row r="864" customHeight="1" spans="1:33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</row>
    <row r="865" customHeight="1" spans="1:33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</row>
    <row r="866" customHeight="1" spans="1:33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</row>
    <row r="867" customHeight="1" spans="1:33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</row>
    <row r="868" customHeight="1" spans="1:33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</row>
    <row r="869" customHeight="1" spans="1:33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</row>
    <row r="870" customHeight="1" spans="1:33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</row>
    <row r="871" customHeight="1" spans="1:33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</row>
    <row r="872" customHeight="1" spans="1:33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</row>
    <row r="873" customHeight="1" spans="1:3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</row>
    <row r="874" customHeight="1" spans="1:33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</row>
    <row r="875" customHeight="1" spans="1:33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</row>
    <row r="876" customHeight="1" spans="1:33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</row>
    <row r="877" customHeight="1" spans="1:33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</row>
    <row r="878" customHeight="1" spans="1:33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</row>
    <row r="879" customHeight="1" spans="1:33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</row>
    <row r="880" customHeight="1" spans="1:33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</row>
    <row r="881" customHeight="1" spans="1:33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</row>
    <row r="882" customHeight="1" spans="1:33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</row>
    <row r="883" customHeight="1" spans="1:3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</row>
    <row r="884" customHeight="1" spans="1:33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</row>
    <row r="885" customHeight="1" spans="1:33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</row>
    <row r="886" customHeight="1" spans="1:33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</row>
    <row r="887" customHeight="1" spans="1:33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</row>
    <row r="888" customHeight="1" spans="1:33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</row>
    <row r="889" customHeight="1" spans="1:33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</row>
    <row r="890" customHeight="1" spans="1:33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</row>
    <row r="891" customHeight="1" spans="1:33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</row>
    <row r="892" customHeight="1" spans="1:33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</row>
    <row r="893" customHeight="1" spans="1:3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</row>
    <row r="894" customHeight="1" spans="1:33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</row>
    <row r="895" customHeight="1" spans="1:33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</row>
    <row r="896" customHeight="1" spans="1:33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</row>
    <row r="897" customHeight="1" spans="1:33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</row>
    <row r="898" customHeight="1" spans="1:33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</row>
    <row r="899" customHeight="1" spans="1:33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</row>
    <row r="900" customHeight="1" spans="1:33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</row>
    <row r="901" customHeight="1" spans="1:33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</row>
    <row r="902" customHeight="1" spans="1:33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</row>
    <row r="903" customHeight="1" spans="1:3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</row>
    <row r="904" customHeight="1" spans="1:33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</row>
    <row r="905" customHeight="1" spans="1:33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</row>
    <row r="906" customHeight="1" spans="1:33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</row>
    <row r="907" customHeight="1" spans="1:33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</row>
    <row r="908" customHeight="1" spans="1:33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</row>
    <row r="909" customHeight="1" spans="1:33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</row>
    <row r="910" customHeight="1" spans="1:33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</row>
    <row r="911" customHeight="1" spans="1:33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</row>
    <row r="912" customHeight="1" spans="1:33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</row>
    <row r="913" customHeight="1" spans="1:3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</row>
    <row r="914" customHeight="1" spans="1:33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</row>
    <row r="915" customHeight="1" spans="1:33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</row>
    <row r="916" customHeight="1" spans="1:33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</row>
    <row r="917" customHeight="1" spans="1:33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</row>
    <row r="918" customHeight="1" spans="1:33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</row>
    <row r="919" customHeight="1" spans="1:33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</row>
    <row r="920" customHeight="1" spans="1:33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</row>
    <row r="921" customHeight="1" spans="1:33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</row>
    <row r="922" customHeight="1" spans="1:33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</row>
    <row r="923" customHeight="1" spans="1:3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</row>
    <row r="924" customHeight="1" spans="1:33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</row>
    <row r="925" customHeight="1" spans="1:33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</row>
    <row r="926" customHeight="1" spans="1:33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</row>
    <row r="927" customHeight="1" spans="1:33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</row>
    <row r="928" customHeight="1" spans="1:33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</row>
    <row r="929" customHeight="1" spans="1:33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</row>
    <row r="930" customHeight="1" spans="1:33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</row>
    <row r="931" customHeight="1" spans="1:33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</row>
    <row r="932" customHeight="1" spans="1:33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</row>
    <row r="933" customHeight="1" spans="1:3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</row>
    <row r="934" customHeight="1" spans="1:33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</row>
    <row r="935" customHeight="1" spans="1:33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</row>
    <row r="936" customHeight="1" spans="1:33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</row>
    <row r="937" customHeight="1" spans="1:33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</row>
    <row r="938" customHeight="1" spans="1:33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</row>
    <row r="939" customHeight="1" spans="1:33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</row>
    <row r="940" customHeight="1" spans="1:33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</row>
    <row r="941" customHeight="1" spans="1:33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</row>
    <row r="942" customHeight="1" spans="1:33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</row>
    <row r="943" customHeight="1" spans="1:33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</row>
    <row r="944" customHeight="1" spans="1:33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</row>
    <row r="945" customHeight="1" spans="1:33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</row>
    <row r="946" customHeight="1" spans="1:33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</row>
    <row r="947" customHeight="1" spans="1:33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</row>
    <row r="948" customHeight="1" spans="1:33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</row>
    <row r="949" customHeight="1" spans="1:33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</row>
    <row r="950" customHeight="1" spans="1:33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</row>
    <row r="951" customHeight="1" spans="1:33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</row>
    <row r="952" customHeight="1" spans="1:33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</row>
    <row r="953" customHeight="1" spans="1:33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</row>
    <row r="954" customHeight="1" spans="1:33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</row>
    <row r="955" customHeight="1" spans="1:33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</row>
    <row r="956" customHeight="1" spans="1:33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</row>
    <row r="957" customHeight="1" spans="1:33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</row>
    <row r="958" customHeight="1" spans="1:33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</row>
    <row r="959" customHeight="1" spans="1:33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</row>
    <row r="960" customHeight="1" spans="1:33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</row>
    <row r="961" customHeight="1" spans="1:33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</row>
    <row r="962" customHeight="1" spans="1:33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</row>
    <row r="963" customHeight="1" spans="1:33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</row>
    <row r="964" customHeight="1" spans="1:33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</row>
    <row r="965" customHeight="1" spans="1:33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</row>
    <row r="966" customHeight="1" spans="1:33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</row>
    <row r="967" customHeight="1" spans="1:33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</row>
    <row r="968" customHeight="1" spans="1:33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</row>
    <row r="969" customHeight="1" spans="1:33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</row>
    <row r="970" customHeight="1" spans="1:33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</row>
    <row r="971" customHeight="1" spans="1:33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</row>
    <row r="972" customHeight="1" spans="1:33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</row>
    <row r="973" customHeight="1" spans="1:33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</row>
    <row r="974" customHeight="1" spans="1:33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</row>
    <row r="975" customHeight="1" spans="1:33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</row>
    <row r="976" customHeight="1" spans="1:33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</row>
    <row r="977" customHeight="1" spans="1:33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</row>
    <row r="978" customHeight="1" spans="1:33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</row>
    <row r="979" customHeight="1" spans="1:33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</row>
    <row r="980" customHeight="1" spans="1:33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</row>
    <row r="981" customHeight="1" spans="1:33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</row>
    <row r="982" customHeight="1" spans="1:33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</row>
    <row r="983" customHeight="1" spans="1:33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</row>
    <row r="984" customHeight="1" spans="1:33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</row>
    <row r="985" customHeight="1" spans="1:33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  <c r="AD985" s="61"/>
      <c r="AE985" s="61"/>
      <c r="AF985" s="61"/>
      <c r="AG985" s="61"/>
    </row>
    <row r="986" customHeight="1" spans="1:33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</row>
    <row r="987" customHeight="1" spans="1:33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  <c r="AD987" s="61"/>
      <c r="AE987" s="61"/>
      <c r="AF987" s="61"/>
      <c r="AG987" s="61"/>
    </row>
    <row r="988" customHeight="1" spans="1:33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</row>
    <row r="989" customHeight="1" spans="1:33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  <c r="AD989" s="61"/>
      <c r="AE989" s="61"/>
      <c r="AF989" s="61"/>
      <c r="AG989" s="61"/>
    </row>
    <row r="990" customHeight="1" spans="1:33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</row>
    <row r="991" customHeight="1" spans="1:33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1"/>
    </row>
    <row r="992" customHeight="1" spans="1:33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</row>
    <row r="993" customHeight="1" spans="1:33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  <c r="AD993" s="61"/>
      <c r="AE993" s="61"/>
      <c r="AF993" s="61"/>
      <c r="AG993" s="61"/>
    </row>
    <row r="994" customHeight="1" spans="1:33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</row>
    <row r="995" customHeight="1" spans="1:33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  <c r="AG995" s="61"/>
    </row>
    <row r="996" customHeight="1" spans="1:33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</row>
    <row r="997" customHeight="1" spans="1:33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  <c r="AD997" s="61"/>
      <c r="AE997" s="61"/>
      <c r="AF997" s="61"/>
      <c r="AG997" s="61"/>
    </row>
    <row r="998" customHeight="1" spans="1:33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  <c r="AD998" s="61"/>
      <c r="AE998" s="61"/>
      <c r="AF998" s="61"/>
      <c r="AG998" s="61"/>
    </row>
  </sheetData>
  <customSheetViews>
    <customSheetView guid="{1AE8F616-6DF1-4BE7-ABB8-842FEECB574A}" filter="1" showAutoFilter="1">
      <autoFilter ref="Q1:R51"/>
    </customSheetView>
    <customSheetView guid="{DCE95A5E-FF37-4E04-937B-25E48CB5870C}" filter="1" showAutoFilter="1">
      <autoFilter ref="S1:T51">
        <filterColumn colId="1">
          <filters blank="1">
            <filter val="16:00"/>
            <filter val="To"/>
          </filters>
        </filterColumn>
      </autoFilter>
    </customSheetView>
  </customSheetViews>
  <mergeCells count="37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D68:E68"/>
    <mergeCell ref="F68:G68"/>
    <mergeCell ref="H68:I68"/>
    <mergeCell ref="J68:K68"/>
    <mergeCell ref="L68:M68"/>
    <mergeCell ref="N68:O68"/>
    <mergeCell ref="P68:Q68"/>
    <mergeCell ref="D69:E69"/>
    <mergeCell ref="F69:G69"/>
    <mergeCell ref="H69:I69"/>
    <mergeCell ref="J69:K69"/>
    <mergeCell ref="L69:M69"/>
    <mergeCell ref="N69:O69"/>
    <mergeCell ref="P69:Q69"/>
    <mergeCell ref="A1:A3"/>
    <mergeCell ref="A68:A70"/>
    <mergeCell ref="B1:B3"/>
    <mergeCell ref="B68:B70"/>
    <mergeCell ref="C1:C3"/>
    <mergeCell ref="C68:C70"/>
    <mergeCell ref="D1:D3"/>
    <mergeCell ref="E1:E3"/>
    <mergeCell ref="F1:F3"/>
  </mergeCells>
  <conditionalFormatting sqref="F57:S57">
    <cfRule type="cellIs" dxfId="0" priority="4" operator="lessThan">
      <formula>0</formula>
    </cfRule>
  </conditionalFormatting>
  <conditionalFormatting sqref="A4:A61 A68:A75">
    <cfRule type="expression" dxfId="1" priority="1">
      <formula>COUNTIF(A:A,A49)&gt;1</formula>
    </cfRule>
  </conditionalFormatting>
  <conditionalFormatting sqref="C4:C51 G4:T51">
    <cfRule type="colorScale" priority="5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X4:X41 X43:X51">
    <cfRule type="cellIs" dxfId="0" priority="2" operator="greaterThanOrEqual">
      <formula>1</formula>
    </cfRule>
    <cfRule type="cellIs" dxfId="0" priority="3" operator="lessThanOrEqual">
      <formula>-1</formula>
    </cfRule>
  </conditionalFormatting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K1000"/>
  <sheetViews>
    <sheetView workbookViewId="0">
      <selection activeCell="A1" sqref="A1:A3"/>
    </sheetView>
  </sheetViews>
  <sheetFormatPr defaultColWidth="12.6272727272727" defaultRowHeight="15.75" customHeight="1"/>
  <cols>
    <col min="1" max="1" width="8.38181818181818" customWidth="1"/>
    <col min="2" max="2" width="18.7545454545455" customWidth="1"/>
    <col min="3" max="3" width="6.5" customWidth="1"/>
    <col min="4" max="4" width="9" customWidth="1"/>
    <col min="5" max="5" width="4.75454545454545" customWidth="1"/>
    <col min="6" max="6" width="13.3818181818182" customWidth="1"/>
    <col min="7" max="7" width="9.25454545454545" customWidth="1"/>
    <col min="8" max="8" width="6.62727272727273" customWidth="1"/>
    <col min="9" max="9" width="9.25454545454545" customWidth="1"/>
    <col min="10" max="10" width="7.12727272727273" customWidth="1"/>
    <col min="11" max="11" width="9.25454545454545" customWidth="1"/>
    <col min="12" max="12" width="7.25454545454545" customWidth="1"/>
    <col min="13" max="13" width="8.38181818181818" customWidth="1"/>
    <col min="14" max="14" width="5.12727272727273" customWidth="1"/>
    <col min="15" max="15" width="9.38181818181818" customWidth="1"/>
    <col min="16" max="16" width="5.12727272727273" customWidth="1"/>
    <col min="17" max="17" width="9.38181818181818" customWidth="1"/>
    <col min="18" max="18" width="5.12727272727273" customWidth="1"/>
    <col min="19" max="19" width="9.38181818181818" customWidth="1"/>
    <col min="20" max="20" width="5.12727272727273" customWidth="1"/>
    <col min="21" max="21" width="11.7545454545455" customWidth="1"/>
    <col min="22" max="22" width="8" customWidth="1"/>
    <col min="23" max="23" width="4.88181818181818" customWidth="1"/>
    <col min="24" max="24" width="6.38181818181818" customWidth="1"/>
    <col min="25" max="25" width="8" customWidth="1"/>
    <col min="26" max="26" width="8.5" customWidth="1"/>
    <col min="27" max="37" width="8.62727272727273" customWidth="1"/>
  </cols>
  <sheetData>
    <row r="1" customHeight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02">
        <v>45614</v>
      </c>
      <c r="H1" s="14"/>
      <c r="I1" s="102">
        <f>G1+1</f>
        <v>45615</v>
      </c>
      <c r="J1" s="14"/>
      <c r="K1" s="102">
        <f>I1+7</f>
        <v>45622</v>
      </c>
      <c r="L1" s="14"/>
      <c r="M1" s="102">
        <f>K1+7</f>
        <v>45629</v>
      </c>
      <c r="N1" s="14"/>
      <c r="O1" s="102">
        <f>M1+7</f>
        <v>45636</v>
      </c>
      <c r="P1" s="14"/>
      <c r="Q1" s="102">
        <f>O1+7</f>
        <v>45643</v>
      </c>
      <c r="R1" s="14"/>
      <c r="S1" s="102">
        <f>Q1+7</f>
        <v>45650</v>
      </c>
      <c r="T1" s="14"/>
      <c r="U1" s="61"/>
      <c r="V1" s="61"/>
      <c r="W1" s="61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 customHeight="1" spans="1:37">
      <c r="A2" s="15"/>
      <c r="B2" s="15"/>
      <c r="C2" s="15"/>
      <c r="D2" s="15"/>
      <c r="E2" s="15"/>
      <c r="F2" s="15"/>
      <c r="G2" s="48" t="s">
        <v>6</v>
      </c>
      <c r="H2" s="14"/>
      <c r="I2" s="48" t="s">
        <v>7</v>
      </c>
      <c r="J2" s="14"/>
      <c r="K2" s="48" t="s">
        <v>8</v>
      </c>
      <c r="L2" s="14"/>
      <c r="M2" s="48" t="s">
        <v>9</v>
      </c>
      <c r="N2" s="14"/>
      <c r="O2" s="48" t="s">
        <v>10</v>
      </c>
      <c r="P2" s="14"/>
      <c r="Q2" s="48" t="s">
        <v>11</v>
      </c>
      <c r="R2" s="14"/>
      <c r="S2" s="48" t="s">
        <v>12</v>
      </c>
      <c r="T2" s="14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</row>
    <row r="3" customHeight="1" spans="1:37">
      <c r="A3" s="5"/>
      <c r="B3" s="5"/>
      <c r="C3" s="5"/>
      <c r="D3" s="5"/>
      <c r="E3" s="5"/>
      <c r="F3" s="5"/>
      <c r="G3" s="59" t="s">
        <v>80</v>
      </c>
      <c r="H3" s="59" t="s">
        <v>81</v>
      </c>
      <c r="I3" s="59" t="s">
        <v>80</v>
      </c>
      <c r="J3" s="59" t="s">
        <v>81</v>
      </c>
      <c r="K3" s="59" t="s">
        <v>80</v>
      </c>
      <c r="L3" s="59" t="s">
        <v>81</v>
      </c>
      <c r="M3" s="59" t="s">
        <v>80</v>
      </c>
      <c r="N3" s="59" t="s">
        <v>81</v>
      </c>
      <c r="O3" s="59" t="s">
        <v>80</v>
      </c>
      <c r="P3" s="59" t="s">
        <v>81</v>
      </c>
      <c r="Q3" s="59" t="s">
        <v>80</v>
      </c>
      <c r="R3" s="59" t="s">
        <v>81</v>
      </c>
      <c r="S3" s="59" t="s">
        <v>80</v>
      </c>
      <c r="T3" s="59" t="s">
        <v>81</v>
      </c>
      <c r="U3" s="17" t="s">
        <v>82</v>
      </c>
      <c r="V3" s="17" t="s">
        <v>83</v>
      </c>
      <c r="W3" s="17" t="s">
        <v>85</v>
      </c>
      <c r="X3" s="17" t="s">
        <v>18</v>
      </c>
      <c r="Y3" s="17" t="s">
        <v>84</v>
      </c>
      <c r="Z3" s="61" t="s">
        <v>167</v>
      </c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</row>
    <row r="4" customHeight="1" spans="1:37">
      <c r="A4" s="21">
        <v>10316530</v>
      </c>
      <c r="B4" s="86" t="s">
        <v>26</v>
      </c>
      <c r="C4" s="21" t="s">
        <v>20</v>
      </c>
      <c r="D4" s="21" t="s">
        <v>21</v>
      </c>
      <c r="E4" s="54" t="str">
        <f t="array" ref="E4">_xlfn.XLOOKUP(A4,'WK 47'!A:A,'WK 47'!E:E,"")</f>
        <v>FT</v>
      </c>
      <c r="F4" s="103">
        <f t="array" ref="F4">_xlfn.XLOOKUP(A4,'WK 47'!A:A,'WK 47'!F:F,"")</f>
        <v>1</v>
      </c>
      <c r="G4" s="21" t="s">
        <v>23</v>
      </c>
      <c r="H4" s="21" t="s">
        <v>23</v>
      </c>
      <c r="I4" s="54">
        <v>0.375</v>
      </c>
      <c r="J4" s="54">
        <v>0.791666666666667</v>
      </c>
      <c r="K4" s="54">
        <v>0.375</v>
      </c>
      <c r="L4" s="54">
        <v>0.791666666666667</v>
      </c>
      <c r="M4" s="54">
        <v>0.375</v>
      </c>
      <c r="N4" s="54">
        <v>0.791666666666667</v>
      </c>
      <c r="O4" s="54">
        <v>0.375</v>
      </c>
      <c r="P4" s="54">
        <v>0.791666666666667</v>
      </c>
      <c r="Q4" s="54">
        <v>0.458333333333333</v>
      </c>
      <c r="R4" s="54">
        <v>0.666666666666667</v>
      </c>
      <c r="S4" s="21" t="s">
        <v>23</v>
      </c>
      <c r="T4" s="21" t="s">
        <v>23</v>
      </c>
      <c r="U4" s="21">
        <f>IFERROR(__xludf.DUMMYFUNCTION("TO_PURE_NUMBER(SUM(FILTER(G4:T4, ISEVEN(COLUMN(G4:T4))))-SUM(FILTER(G4:T4, ISODD(COLUMN(G4:T4)))))*24"),44.9999999999999)</f>
        <v>44.9999999999999</v>
      </c>
      <c r="V4" s="17">
        <f t="array" ref="V4">_xlfn.XLOOKUP(A4,'WK 47'!A:A,'WK 47'!V:V,"")</f>
        <v>45</v>
      </c>
      <c r="W4" s="7">
        <f t="shared" ref="W4:W51" si="0">V4-U4</f>
        <v>9.9475983006414e-14</v>
      </c>
      <c r="X4" s="20">
        <f t="array" ref="X4">_xlfn.XLOOKUP(A4,'WK 45'!A:A,'WK 45'!X:X,"")</f>
        <v>0.416666666666667</v>
      </c>
      <c r="Y4" s="17" t="str">
        <f t="array" ref="Y4">_xlfn.XLOOKUP(A4,'WK 47'!A:A,'WK 47'!AA:AA,"")</f>
        <v>late</v>
      </c>
      <c r="Z4" s="61" t="str">
        <f t="shared" ref="Z4:Z51" si="1">IF(Y4="early","late"," early")</f>
        <v> early</v>
      </c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</row>
    <row r="5" customHeight="1" spans="1:37">
      <c r="A5" s="21">
        <v>10316680</v>
      </c>
      <c r="B5" s="86" t="s">
        <v>40</v>
      </c>
      <c r="C5" s="21" t="s">
        <v>20</v>
      </c>
      <c r="D5" s="21" t="s">
        <v>21</v>
      </c>
      <c r="E5" s="54" t="str">
        <f t="array" ref="E5">_xlfn.XLOOKUP(A5,'WK 47'!A:A,'WK 47'!E:E,"")</f>
        <v>FT</v>
      </c>
      <c r="F5" s="103">
        <f t="array" ref="F5">_xlfn.XLOOKUP(A5,'WK 47'!A:A,'WK 47'!F:F,"")</f>
        <v>1</v>
      </c>
      <c r="G5" s="21" t="s">
        <v>23</v>
      </c>
      <c r="H5" s="21" t="s">
        <v>23</v>
      </c>
      <c r="I5" s="54">
        <v>0.375</v>
      </c>
      <c r="J5" s="54">
        <v>0.791666666666667</v>
      </c>
      <c r="K5" s="54">
        <v>0.375</v>
      </c>
      <c r="L5" s="54">
        <v>0.791666666666667</v>
      </c>
      <c r="M5" s="54">
        <v>0.375</v>
      </c>
      <c r="N5" s="54">
        <v>0.791666666666667</v>
      </c>
      <c r="O5" s="54">
        <v>0.375</v>
      </c>
      <c r="P5" s="54">
        <v>0.791666666666667</v>
      </c>
      <c r="Q5" s="54">
        <v>0.458333333333333</v>
      </c>
      <c r="R5" s="54">
        <v>0.666666666666667</v>
      </c>
      <c r="S5" s="21" t="s">
        <v>23</v>
      </c>
      <c r="T5" s="21" t="s">
        <v>23</v>
      </c>
      <c r="U5" s="21">
        <f>IFERROR(__xludf.DUMMYFUNCTION("TO_PURE_NUMBER(SUM(FILTER(G5:T5, ISEVEN(COLUMN(G5:T5))))-SUM(FILTER(G5:T5, ISODD(COLUMN(G5:T5)))))*24"),44.9999999999999)</f>
        <v>44.9999999999999</v>
      </c>
      <c r="V5" s="17">
        <f t="array" ref="V5">_xlfn.XLOOKUP(A5,'WK 47'!A:A,'WK 47'!V:V,"")</f>
        <v>45</v>
      </c>
      <c r="W5" s="7">
        <f t="shared" si="0"/>
        <v>9.9475983006414e-14</v>
      </c>
      <c r="X5" s="20">
        <f t="array" ref="X5">_xlfn.XLOOKUP(A5,'WK 45'!A:A,'WK 45'!X:X,"")</f>
        <v>0.416666666666667</v>
      </c>
      <c r="Y5" s="17" t="str">
        <f t="array" ref="Y5">_xlfn.XLOOKUP(A5,'WK 47'!A:A,'WK 47'!AA:AA,"")</f>
        <v>late</v>
      </c>
      <c r="Z5" s="61" t="str">
        <f t="shared" si="1"/>
        <v> early</v>
      </c>
      <c r="AA5" s="106"/>
      <c r="AB5" s="61"/>
      <c r="AC5" s="61"/>
      <c r="AD5" s="61"/>
      <c r="AE5" s="61"/>
      <c r="AF5" s="61"/>
      <c r="AG5" s="61"/>
      <c r="AH5" s="61"/>
      <c r="AI5" s="61"/>
      <c r="AJ5" s="61"/>
      <c r="AK5" s="61"/>
    </row>
    <row r="6" customHeight="1" spans="1:37">
      <c r="A6" s="21">
        <v>10317147</v>
      </c>
      <c r="B6" s="86" t="s">
        <v>24</v>
      </c>
      <c r="C6" s="21" t="s">
        <v>20</v>
      </c>
      <c r="D6" s="21" t="s">
        <v>21</v>
      </c>
      <c r="E6" s="54" t="str">
        <f t="array" ref="E6">_xlfn.XLOOKUP(A6,'WK 47'!A:A,'WK 47'!E:E,"")</f>
        <v>FT</v>
      </c>
      <c r="F6" s="103">
        <f t="array" ref="F6">_xlfn.XLOOKUP(A6,'WK 47'!A:A,'WK 47'!F:F,"")</f>
        <v>1</v>
      </c>
      <c r="G6" s="21" t="s">
        <v>23</v>
      </c>
      <c r="H6" s="21" t="s">
        <v>23</v>
      </c>
      <c r="I6" s="54">
        <v>0.375</v>
      </c>
      <c r="J6" s="54">
        <v>0.791666666666667</v>
      </c>
      <c r="K6" s="54">
        <v>0.375</v>
      </c>
      <c r="L6" s="54">
        <v>0.791666666666667</v>
      </c>
      <c r="M6" s="54">
        <v>0.375</v>
      </c>
      <c r="N6" s="54">
        <v>0.791666666666667</v>
      </c>
      <c r="O6" s="54">
        <v>0.375</v>
      </c>
      <c r="P6" s="54">
        <v>0.791666666666667</v>
      </c>
      <c r="Q6" s="54">
        <v>0.458333333333333</v>
      </c>
      <c r="R6" s="54">
        <v>0.666666666666667</v>
      </c>
      <c r="S6" s="21" t="s">
        <v>23</v>
      </c>
      <c r="T6" s="21" t="s">
        <v>23</v>
      </c>
      <c r="U6" s="21">
        <f>IFERROR(__xludf.DUMMYFUNCTION("TO_PURE_NUMBER(SUM(FILTER(G6:T6, ISEVEN(COLUMN(G6:T6))))-SUM(FILTER(G6:T6, ISODD(COLUMN(G6:T6)))))*24"),44.9999999999999)</f>
        <v>44.9999999999999</v>
      </c>
      <c r="V6" s="17">
        <f t="array" ref="V6">_xlfn.XLOOKUP(A6,'WK 47'!A:A,'WK 47'!V:V,"")</f>
        <v>45</v>
      </c>
      <c r="W6" s="7">
        <f t="shared" si="0"/>
        <v>9.9475983006414e-14</v>
      </c>
      <c r="X6" s="20">
        <f t="array" ref="X6">_xlfn.XLOOKUP(A6,'WK 45'!A:A,'WK 45'!X:X,"")</f>
        <v>0.416666666666667</v>
      </c>
      <c r="Y6" s="17" t="str">
        <f t="array" ref="Y6">_xlfn.XLOOKUP(A6,'WK 47'!A:A,'WK 47'!AA:AA,"")</f>
        <v>early</v>
      </c>
      <c r="Z6" s="61" t="str">
        <f t="shared" si="1"/>
        <v>late</v>
      </c>
      <c r="AA6" s="106"/>
      <c r="AB6" s="61"/>
      <c r="AC6" s="61"/>
      <c r="AD6" s="61"/>
      <c r="AE6" s="61"/>
      <c r="AF6" s="61"/>
      <c r="AG6" s="61"/>
      <c r="AH6" s="61"/>
      <c r="AI6" s="61"/>
      <c r="AJ6" s="61"/>
      <c r="AK6" s="61"/>
    </row>
    <row r="7" customHeight="1" spans="1:37">
      <c r="A7" s="21">
        <v>10250963</v>
      </c>
      <c r="B7" s="86" t="s">
        <v>25</v>
      </c>
      <c r="C7" s="21" t="s">
        <v>20</v>
      </c>
      <c r="D7" s="21" t="s">
        <v>21</v>
      </c>
      <c r="E7" s="54" t="str">
        <f t="array" ref="E7">_xlfn.XLOOKUP(A7,'WK 47'!A:A,'WK 47'!E:E,"")</f>
        <v>FT</v>
      </c>
      <c r="F7" s="103">
        <f t="array" ref="F7">_xlfn.XLOOKUP(A7,'WK 47'!A:A,'WK 47'!F:F,"")</f>
        <v>1</v>
      </c>
      <c r="G7" s="21" t="s">
        <v>23</v>
      </c>
      <c r="H7" s="21" t="s">
        <v>23</v>
      </c>
      <c r="I7" s="54">
        <v>0.375</v>
      </c>
      <c r="J7" s="54">
        <v>0.791666666666667</v>
      </c>
      <c r="K7" s="54">
        <v>0.375</v>
      </c>
      <c r="L7" s="54">
        <v>0.791666666666667</v>
      </c>
      <c r="M7" s="54">
        <v>0.375</v>
      </c>
      <c r="N7" s="54">
        <v>0.791666666666667</v>
      </c>
      <c r="O7" s="54">
        <v>0.375</v>
      </c>
      <c r="P7" s="54">
        <v>0.791666666666667</v>
      </c>
      <c r="Q7" s="54">
        <v>0.458333333333333</v>
      </c>
      <c r="R7" s="54">
        <v>0.666666666666667</v>
      </c>
      <c r="S7" s="21" t="s">
        <v>23</v>
      </c>
      <c r="T7" s="21" t="s">
        <v>23</v>
      </c>
      <c r="U7" s="21">
        <f>IFERROR(__xludf.DUMMYFUNCTION("TO_PURE_NUMBER(SUM(FILTER(G7:T7, ISEVEN(COLUMN(G7:T7))))-SUM(FILTER(G7:T7, ISODD(COLUMN(G7:T7)))))*24"),44.9999999999999)</f>
        <v>44.9999999999999</v>
      </c>
      <c r="V7" s="17">
        <f t="array" ref="V7">_xlfn.XLOOKUP(A7,'WK 47'!A:A,'WK 47'!V:V,"")</f>
        <v>45</v>
      </c>
      <c r="W7" s="7">
        <f t="shared" si="0"/>
        <v>9.9475983006414e-14</v>
      </c>
      <c r="X7" s="20">
        <f t="array" ref="X7">_xlfn.XLOOKUP(A7,'WK 45'!A:A,'WK 45'!X:X,"")</f>
        <v>0.416666666666667</v>
      </c>
      <c r="Y7" s="17" t="str">
        <f t="array" ref="Y7">_xlfn.XLOOKUP(A7,'WK 47'!A:A,'WK 47'!AA:AA,"")</f>
        <v>late</v>
      </c>
      <c r="Z7" s="61" t="str">
        <f t="shared" si="1"/>
        <v> early</v>
      </c>
      <c r="AA7" s="106"/>
      <c r="AB7" s="61"/>
      <c r="AC7" s="61"/>
      <c r="AD7" s="61"/>
      <c r="AE7" s="61"/>
      <c r="AF7" s="61"/>
      <c r="AG7" s="61"/>
      <c r="AH7" s="61"/>
      <c r="AI7" s="61"/>
      <c r="AJ7" s="61"/>
      <c r="AK7" s="61"/>
    </row>
    <row r="8" customHeight="1" spans="1:37">
      <c r="A8" s="21">
        <v>10316545</v>
      </c>
      <c r="B8" s="86" t="s">
        <v>45</v>
      </c>
      <c r="C8" s="21" t="s">
        <v>20</v>
      </c>
      <c r="D8" s="21" t="s">
        <v>21</v>
      </c>
      <c r="E8" s="54" t="str">
        <f t="array" ref="E8">_xlfn.XLOOKUP(A8,'WK 47'!A:A,'WK 47'!E:E,"")</f>
        <v>FT</v>
      </c>
      <c r="F8" s="103">
        <f t="array" ref="F8">_xlfn.XLOOKUP(A8,'WK 47'!A:A,'WK 47'!F:F,"")</f>
        <v>1</v>
      </c>
      <c r="G8" s="54">
        <v>0.5</v>
      </c>
      <c r="H8" s="54">
        <v>0.875</v>
      </c>
      <c r="I8" s="54">
        <v>0.5</v>
      </c>
      <c r="J8" s="54">
        <v>0.875</v>
      </c>
      <c r="K8" s="54">
        <v>0.5</v>
      </c>
      <c r="L8" s="54">
        <v>0.875</v>
      </c>
      <c r="M8" s="54">
        <v>0.5</v>
      </c>
      <c r="N8" s="54">
        <v>0.875</v>
      </c>
      <c r="O8" s="54">
        <v>0.5</v>
      </c>
      <c r="P8" s="54">
        <v>0.875</v>
      </c>
      <c r="Q8" s="21" t="s">
        <v>23</v>
      </c>
      <c r="R8" s="21" t="s">
        <v>23</v>
      </c>
      <c r="S8" s="21" t="s">
        <v>23</v>
      </c>
      <c r="T8" s="21" t="s">
        <v>23</v>
      </c>
      <c r="U8" s="21">
        <f>IFERROR(__xludf.DUMMYFUNCTION("TO_PURE_NUMBER(SUM(FILTER(G8:T8, ISEVEN(COLUMN(G8:T8))))-SUM(FILTER(G8:T8, ISODD(COLUMN(G8:T8)))))*24"),45)</f>
        <v>45</v>
      </c>
      <c r="V8" s="17">
        <f t="array" ref="V8">_xlfn.XLOOKUP(A8,'WK 47'!A:A,'WK 47'!V:V,"")</f>
        <v>45</v>
      </c>
      <c r="W8" s="7">
        <f t="shared" si="0"/>
        <v>0</v>
      </c>
      <c r="X8" s="20">
        <f t="array" ref="X8">_xlfn.XLOOKUP(A8,'WK 45'!A:A,'WK 45'!X:X,"")</f>
        <v>0.416666666666667</v>
      </c>
      <c r="Y8" s="17" t="str">
        <f t="array" ref="Y8">_xlfn.XLOOKUP(A8,'WK 47'!A:A,'WK 47'!AA:AA,"")</f>
        <v>early</v>
      </c>
      <c r="Z8" s="61" t="str">
        <f t="shared" si="1"/>
        <v>late</v>
      </c>
      <c r="AA8" s="106"/>
      <c r="AB8" s="61"/>
      <c r="AC8" s="61"/>
      <c r="AD8" s="61"/>
      <c r="AE8" s="61"/>
      <c r="AF8" s="61"/>
      <c r="AG8" s="61"/>
      <c r="AH8" s="61"/>
      <c r="AI8" s="61"/>
      <c r="AJ8" s="61"/>
      <c r="AK8" s="61"/>
    </row>
    <row r="9" customHeight="1" spans="1:37">
      <c r="A9" s="21">
        <v>10317153</v>
      </c>
      <c r="B9" s="86" t="s">
        <v>42</v>
      </c>
      <c r="C9" s="21" t="s">
        <v>20</v>
      </c>
      <c r="D9" s="21" t="s">
        <v>21</v>
      </c>
      <c r="E9" s="54" t="str">
        <f t="array" ref="E9">_xlfn.XLOOKUP(A9,'WK 47'!A:A,'WK 47'!E:E,"")</f>
        <v>FT</v>
      </c>
      <c r="F9" s="103">
        <f t="array" ref="F9">_xlfn.XLOOKUP(A9,'WK 47'!A:A,'WK 47'!F:F,"")</f>
        <v>1</v>
      </c>
      <c r="G9" s="54">
        <v>0.5</v>
      </c>
      <c r="H9" s="54">
        <v>0.875</v>
      </c>
      <c r="I9" s="54">
        <v>0.5</v>
      </c>
      <c r="J9" s="54">
        <v>0.875</v>
      </c>
      <c r="K9" s="54">
        <v>0.5</v>
      </c>
      <c r="L9" s="54">
        <v>0.875</v>
      </c>
      <c r="M9" s="54">
        <v>0.5</v>
      </c>
      <c r="N9" s="54">
        <v>0.875</v>
      </c>
      <c r="O9" s="54">
        <v>0.5</v>
      </c>
      <c r="P9" s="54">
        <v>0.875</v>
      </c>
      <c r="Q9" s="21" t="s">
        <v>23</v>
      </c>
      <c r="R9" s="21" t="s">
        <v>23</v>
      </c>
      <c r="S9" s="21" t="s">
        <v>23</v>
      </c>
      <c r="T9" s="21" t="s">
        <v>23</v>
      </c>
      <c r="U9" s="21">
        <f>IFERROR(__xludf.DUMMYFUNCTION("TO_PURE_NUMBER(SUM(FILTER(G9:T9, ISEVEN(COLUMN(G9:T9))))-SUM(FILTER(G9:T9, ISODD(COLUMN(G9:T9)))))*24"),45)</f>
        <v>45</v>
      </c>
      <c r="V9" s="17">
        <f t="array" ref="V9">_xlfn.XLOOKUP(A9,'WK 47'!A:A,'WK 47'!V:V,"")</f>
        <v>45</v>
      </c>
      <c r="W9" s="7">
        <f t="shared" si="0"/>
        <v>0</v>
      </c>
      <c r="X9" s="20">
        <f t="array" ref="X9">_xlfn.XLOOKUP(A9,'WK 45'!A:A,'WK 45'!X:X,"")</f>
        <v>0.416666666666667</v>
      </c>
      <c r="Y9" s="17" t="str">
        <f t="array" ref="Y9">_xlfn.XLOOKUP(A9,'WK 47'!A:A,'WK 47'!AA:AA,"")</f>
        <v>early</v>
      </c>
      <c r="Z9" s="61" t="str">
        <f t="shared" si="1"/>
        <v>late</v>
      </c>
      <c r="AA9" s="20"/>
      <c r="AB9" s="61"/>
      <c r="AC9" s="61"/>
      <c r="AD9" s="61"/>
      <c r="AE9" s="61"/>
      <c r="AF9" s="61"/>
      <c r="AG9" s="61"/>
      <c r="AH9" s="61"/>
      <c r="AI9" s="61"/>
      <c r="AJ9" s="61"/>
      <c r="AK9" s="61"/>
    </row>
    <row r="10" customHeight="1" spans="1:37">
      <c r="A10" s="21">
        <v>10252106</v>
      </c>
      <c r="B10" s="86" t="s">
        <v>43</v>
      </c>
      <c r="C10" s="21" t="s">
        <v>20</v>
      </c>
      <c r="D10" s="21" t="s">
        <v>21</v>
      </c>
      <c r="E10" s="54" t="str">
        <f t="array" ref="E10">_xlfn.XLOOKUP(A10,'WK 47'!A:A,'WK 47'!E:E,"")</f>
        <v>FT</v>
      </c>
      <c r="F10" s="103">
        <f t="array" ref="F10">_xlfn.XLOOKUP(A10,'WK 47'!A:A,'WK 47'!F:F,"")</f>
        <v>2</v>
      </c>
      <c r="G10" s="21" t="s">
        <v>23</v>
      </c>
      <c r="H10" s="54" t="str">
        <f>IFERROR(G10+$X10,"OFF")</f>
        <v>OFF</v>
      </c>
      <c r="I10" s="54">
        <v>0.5</v>
      </c>
      <c r="J10" s="54">
        <v>0.875</v>
      </c>
      <c r="K10" s="21" t="s">
        <v>23</v>
      </c>
      <c r="L10" s="54" t="str">
        <f>IFERROR(K10+$X10,"OFF")</f>
        <v>OFF</v>
      </c>
      <c r="M10" s="54">
        <v>0.5</v>
      </c>
      <c r="N10" s="54">
        <f>IFERROR(M10+$X10,"OFF")</f>
        <v>0.875</v>
      </c>
      <c r="O10" s="54">
        <v>0.5</v>
      </c>
      <c r="P10" s="54">
        <f>IFERROR(O10+$X10,"OFF")</f>
        <v>0.875</v>
      </c>
      <c r="Q10" s="54">
        <v>0.458333333333333</v>
      </c>
      <c r="R10" s="54">
        <v>0.666666666666667</v>
      </c>
      <c r="S10" s="54">
        <v>0.458333333333333</v>
      </c>
      <c r="T10" s="54">
        <v>0.666666666666667</v>
      </c>
      <c r="U10" s="21">
        <f>IFERROR(__xludf.DUMMYFUNCTION("TO_PURE_NUMBER(SUM(FILTER(G10:T10, ISEVEN(COLUMN(G10:T10))))-SUM(FILTER(G10:T10, ISODD(COLUMN(G10:T10)))))*24"),37)</f>
        <v>37</v>
      </c>
      <c r="V10" s="17">
        <f t="array" ref="V10">_xlfn.XLOOKUP(A10,'WK 47'!A:A,'WK 47'!V:V,"")</f>
        <v>37</v>
      </c>
      <c r="W10" s="7">
        <f t="shared" si="0"/>
        <v>0</v>
      </c>
      <c r="X10" s="20">
        <f t="array" ref="X10">_xlfn.XLOOKUP(A10,'WK 45'!A:A,'WK 45'!X:X,"")</f>
        <v>0.375</v>
      </c>
      <c r="Y10" s="17" t="str">
        <f t="array" ref="Y10">_xlfn.XLOOKUP(A10,'WK 47'!A:A,'WK 47'!AA:AA,"")</f>
        <v>early</v>
      </c>
      <c r="Z10" s="61" t="str">
        <f t="shared" si="1"/>
        <v>late</v>
      </c>
      <c r="AA10" s="20"/>
      <c r="AB10" s="61"/>
      <c r="AC10" s="61"/>
      <c r="AD10" s="61"/>
      <c r="AE10" s="61"/>
      <c r="AF10" s="61"/>
      <c r="AG10" s="61"/>
      <c r="AH10" s="61"/>
      <c r="AI10" s="61"/>
      <c r="AJ10" s="61"/>
      <c r="AK10" s="61"/>
    </row>
    <row r="11" customHeight="1" spans="1:37">
      <c r="A11" s="21">
        <v>10316681</v>
      </c>
      <c r="B11" s="86" t="s">
        <v>38</v>
      </c>
      <c r="C11" s="21" t="s">
        <v>20</v>
      </c>
      <c r="D11" s="21" t="s">
        <v>21</v>
      </c>
      <c r="E11" s="54" t="str">
        <f t="array" ref="E11">_xlfn.XLOOKUP(A11,'WK 47'!A:A,'WK 47'!E:E,"")</f>
        <v>FT</v>
      </c>
      <c r="F11" s="103">
        <f t="array" ref="F11">_xlfn.XLOOKUP(A11,'WK 47'!A:A,'WK 47'!F:F,"")</f>
        <v>1</v>
      </c>
      <c r="G11" s="54">
        <v>0.5</v>
      </c>
      <c r="H11" s="54">
        <v>0.875</v>
      </c>
      <c r="I11" s="54">
        <v>0.5</v>
      </c>
      <c r="J11" s="54">
        <v>0.875</v>
      </c>
      <c r="K11" s="54">
        <v>0.5</v>
      </c>
      <c r="L11" s="54">
        <v>0.875</v>
      </c>
      <c r="M11" s="54">
        <v>0.5</v>
      </c>
      <c r="N11" s="54">
        <v>0.875</v>
      </c>
      <c r="O11" s="54">
        <v>0.5</v>
      </c>
      <c r="P11" s="54">
        <v>0.875</v>
      </c>
      <c r="Q11" s="21" t="s">
        <v>23</v>
      </c>
      <c r="R11" s="21" t="s">
        <v>23</v>
      </c>
      <c r="S11" s="21" t="s">
        <v>23</v>
      </c>
      <c r="T11" s="21" t="s">
        <v>23</v>
      </c>
      <c r="U11" s="21">
        <f>IFERROR(__xludf.DUMMYFUNCTION("TO_PURE_NUMBER(SUM(FILTER(G11:T11, ISEVEN(COLUMN(G11:T11))))-SUM(FILTER(G11:T11, ISODD(COLUMN(G11:T11)))))*24"),45)</f>
        <v>45</v>
      </c>
      <c r="V11" s="17">
        <f t="array" ref="V11">_xlfn.XLOOKUP(A11,'WK 47'!A:A,'WK 47'!V:V,"")</f>
        <v>45</v>
      </c>
      <c r="W11" s="7">
        <f t="shared" si="0"/>
        <v>0</v>
      </c>
      <c r="X11" s="20">
        <f t="array" ref="X11">_xlfn.XLOOKUP(A11,'WK 45'!A:A,'WK 45'!X:X,"")</f>
        <v>0.375</v>
      </c>
      <c r="Y11" s="17" t="str">
        <f t="array" ref="Y11">_xlfn.XLOOKUP(A11,'WK 47'!A:A,'WK 47'!AA:AA,"")</f>
        <v>early</v>
      </c>
      <c r="Z11" s="61" t="str">
        <f t="shared" si="1"/>
        <v>late</v>
      </c>
      <c r="AA11" s="17"/>
      <c r="AB11" s="61"/>
      <c r="AC11" s="61"/>
      <c r="AD11" s="61"/>
      <c r="AE11" s="61"/>
      <c r="AF11" s="61"/>
      <c r="AG11" s="61"/>
      <c r="AH11" s="61"/>
      <c r="AI11" s="61"/>
      <c r="AJ11" s="61"/>
      <c r="AK11" s="61"/>
    </row>
    <row r="12" customHeight="1" spans="1:37">
      <c r="A12" s="21">
        <v>10316683</v>
      </c>
      <c r="B12" s="86" t="s">
        <v>51</v>
      </c>
      <c r="C12" s="21" t="s">
        <v>20</v>
      </c>
      <c r="D12" s="21" t="s">
        <v>21</v>
      </c>
      <c r="E12" s="54" t="str">
        <f t="array" ref="E12">_xlfn.XLOOKUP(A12,'WK 47'!A:A,'WK 47'!E:E,"")</f>
        <v>FT</v>
      </c>
      <c r="F12" s="103">
        <f t="array" ref="F12">_xlfn.XLOOKUP(A12,'WK 47'!A:A,'WK 47'!F:F,"")</f>
        <v>1</v>
      </c>
      <c r="G12" s="54">
        <v>0.458333333333333</v>
      </c>
      <c r="H12" s="54">
        <f t="shared" ref="H12:H14" si="2">IFERROR(G12+$X12,"OFF")</f>
        <v>0.875</v>
      </c>
      <c r="I12" s="54">
        <v>0.458333333333333</v>
      </c>
      <c r="J12" s="54">
        <f t="shared" ref="J12:J14" si="3">IFERROR(I12+$X12,"OFF")</f>
        <v>0.875</v>
      </c>
      <c r="K12" s="54">
        <v>0.458333333333333</v>
      </c>
      <c r="L12" s="54">
        <f t="shared" ref="L12:L14" si="4">IFERROR(K12+$X12,"OFF")</f>
        <v>0.875</v>
      </c>
      <c r="M12" s="54">
        <v>0.458333333333333</v>
      </c>
      <c r="N12" s="54">
        <f t="shared" ref="N12:N14" si="5">IFERROR(M12+$X12,"OFF")</f>
        <v>0.875</v>
      </c>
      <c r="O12" s="21" t="s">
        <v>23</v>
      </c>
      <c r="P12" s="21" t="s">
        <v>23</v>
      </c>
      <c r="Q12" s="21" t="s">
        <v>23</v>
      </c>
      <c r="R12" s="21" t="s">
        <v>23</v>
      </c>
      <c r="S12" s="54">
        <v>0.458333333333333</v>
      </c>
      <c r="T12" s="54">
        <v>0.666666666666667</v>
      </c>
      <c r="U12" s="21">
        <f>IFERROR(__xludf.DUMMYFUNCTION("TO_PURE_NUMBER(SUM(FILTER(G12:T12, ISEVEN(COLUMN(G12:T12))))-SUM(FILTER(G12:T12, ISODD(COLUMN(G12:T12)))))*24"),44.9999999999999)</f>
        <v>44.9999999999999</v>
      </c>
      <c r="V12" s="17">
        <f t="array" ref="V12">_xlfn.XLOOKUP(A12,'WK 47'!A:A,'WK 47'!V:V,"")</f>
        <v>45</v>
      </c>
      <c r="W12" s="7">
        <f t="shared" si="0"/>
        <v>9.9475983006414e-14</v>
      </c>
      <c r="X12" s="20">
        <f t="array" ref="X12">_xlfn.XLOOKUP(A12,'WK 45'!A:A,'WK 45'!X:X,"")</f>
        <v>0.416666666666667</v>
      </c>
      <c r="Y12" s="17" t="str">
        <f t="array" ref="Y12">_xlfn.XLOOKUP(A12,'WK 47'!A:A,'WK 47'!AA:AA,"")</f>
        <v>early</v>
      </c>
      <c r="Z12" s="61" t="str">
        <f t="shared" si="1"/>
        <v>late</v>
      </c>
      <c r="AA12" s="106"/>
      <c r="AB12" s="61"/>
      <c r="AC12" s="61"/>
      <c r="AD12" s="61"/>
      <c r="AE12" s="61"/>
      <c r="AF12" s="61"/>
      <c r="AG12" s="61"/>
      <c r="AH12" s="61"/>
      <c r="AI12" s="61"/>
      <c r="AJ12" s="61"/>
      <c r="AK12" s="61"/>
    </row>
    <row r="13" customHeight="1" spans="1:37">
      <c r="A13" s="21">
        <v>10316546</v>
      </c>
      <c r="B13" s="86" t="s">
        <v>49</v>
      </c>
      <c r="C13" s="21" t="s">
        <v>20</v>
      </c>
      <c r="D13" s="21" t="s">
        <v>21</v>
      </c>
      <c r="E13" s="54" t="str">
        <f t="array" ref="E13">_xlfn.XLOOKUP(A13,'WK 47'!A:A,'WK 47'!E:E,"")</f>
        <v>FT</v>
      </c>
      <c r="F13" s="103">
        <f t="array" ref="F13">_xlfn.XLOOKUP(A13,'WK 47'!A:A,'WK 47'!F:F,"")</f>
        <v>1</v>
      </c>
      <c r="G13" s="54">
        <v>0.458333333333333</v>
      </c>
      <c r="H13" s="54">
        <f t="shared" si="2"/>
        <v>0.875</v>
      </c>
      <c r="I13" s="54">
        <v>0.458333333333333</v>
      </c>
      <c r="J13" s="54">
        <f t="shared" si="3"/>
        <v>0.875</v>
      </c>
      <c r="K13" s="54">
        <v>0.458333333333333</v>
      </c>
      <c r="L13" s="54">
        <f t="shared" si="4"/>
        <v>0.875</v>
      </c>
      <c r="M13" s="54">
        <v>0.458333333333333</v>
      </c>
      <c r="N13" s="54">
        <f t="shared" si="5"/>
        <v>0.875</v>
      </c>
      <c r="O13" s="21" t="s">
        <v>23</v>
      </c>
      <c r="P13" s="21" t="s">
        <v>23</v>
      </c>
      <c r="Q13" s="21" t="s">
        <v>23</v>
      </c>
      <c r="R13" s="21" t="s">
        <v>23</v>
      </c>
      <c r="S13" s="54">
        <v>0.458333333333333</v>
      </c>
      <c r="T13" s="54">
        <v>0.666666666666667</v>
      </c>
      <c r="U13" s="21">
        <f>IFERROR(__xludf.DUMMYFUNCTION("TO_PURE_NUMBER(SUM(FILTER(G13:T13, ISEVEN(COLUMN(G13:T13))))-SUM(FILTER(G13:T13, ISODD(COLUMN(G13:T13)))))*24"),45)</f>
        <v>45</v>
      </c>
      <c r="V13" s="17">
        <f t="array" ref="V13">_xlfn.XLOOKUP(A13,'WK 47'!A:A,'WK 47'!V:V,"")</f>
        <v>45</v>
      </c>
      <c r="W13" s="7">
        <f t="shared" si="0"/>
        <v>0</v>
      </c>
      <c r="X13" s="20">
        <f t="array" ref="X13">_xlfn.XLOOKUP(A13,'WK 45'!A:A,'WK 45'!X:X,"")</f>
        <v>0.416666666666667</v>
      </c>
      <c r="Y13" s="17" t="str">
        <f t="array" ref="Y13">_xlfn.XLOOKUP(A13,'WK 47'!A:A,'WK 47'!AA:AA,"")</f>
        <v>early</v>
      </c>
      <c r="Z13" s="61" t="str">
        <f t="shared" si="1"/>
        <v>late</v>
      </c>
      <c r="AA13" s="106"/>
      <c r="AB13" s="61"/>
      <c r="AC13" s="61"/>
      <c r="AD13" s="61"/>
      <c r="AE13" s="61"/>
      <c r="AF13" s="61"/>
      <c r="AG13" s="61"/>
      <c r="AH13" s="61"/>
      <c r="AI13" s="61"/>
      <c r="AJ13" s="61"/>
      <c r="AK13" s="61"/>
    </row>
    <row r="14" customHeight="1" spans="1:37">
      <c r="A14" s="21">
        <v>10317151</v>
      </c>
      <c r="B14" s="86" t="s">
        <v>52</v>
      </c>
      <c r="C14" s="21" t="s">
        <v>20</v>
      </c>
      <c r="D14" s="21" t="s">
        <v>21</v>
      </c>
      <c r="E14" s="54" t="str">
        <f t="array" ref="E14">_xlfn.XLOOKUP(A14,'WK 47'!A:A,'WK 47'!E:E,"")</f>
        <v>FT</v>
      </c>
      <c r="F14" s="103">
        <f t="array" ref="F14">_xlfn.XLOOKUP(A14,'WK 47'!A:A,'WK 47'!F:F,"")</f>
        <v>1</v>
      </c>
      <c r="G14" s="54">
        <v>0.458333333333333</v>
      </c>
      <c r="H14" s="54">
        <f t="shared" si="2"/>
        <v>0.875</v>
      </c>
      <c r="I14" s="54">
        <v>0.458333333333333</v>
      </c>
      <c r="J14" s="54">
        <f t="shared" si="3"/>
        <v>0.875</v>
      </c>
      <c r="K14" s="54">
        <v>0.458333333333333</v>
      </c>
      <c r="L14" s="54">
        <f t="shared" si="4"/>
        <v>0.875</v>
      </c>
      <c r="M14" s="54">
        <v>0.458333333333333</v>
      </c>
      <c r="N14" s="54">
        <f t="shared" si="5"/>
        <v>0.875</v>
      </c>
      <c r="O14" s="21" t="s">
        <v>23</v>
      </c>
      <c r="P14" s="21" t="s">
        <v>23</v>
      </c>
      <c r="Q14" s="21" t="s">
        <v>23</v>
      </c>
      <c r="R14" s="21" t="s">
        <v>23</v>
      </c>
      <c r="S14" s="54">
        <v>0.458333333333333</v>
      </c>
      <c r="T14" s="54">
        <v>0.666666666666667</v>
      </c>
      <c r="U14" s="21">
        <f>IFERROR(__xludf.DUMMYFUNCTION("TO_PURE_NUMBER(SUM(FILTER(G14:T14, ISEVEN(COLUMN(G14:T14))))-SUM(FILTER(G14:T14, ISODD(COLUMN(G14:T14)))))*24"),45)</f>
        <v>45</v>
      </c>
      <c r="V14" s="17">
        <f t="array" ref="V14">_xlfn.XLOOKUP(A14,'WK 47'!A:A,'WK 47'!V:V,"")</f>
        <v>45</v>
      </c>
      <c r="W14" s="7">
        <f t="shared" si="0"/>
        <v>0</v>
      </c>
      <c r="X14" s="20">
        <f t="array" ref="X14">_xlfn.XLOOKUP(A14,'WK 45'!A:A,'WK 45'!X:X,"")</f>
        <v>0.416666666666667</v>
      </c>
      <c r="Y14" s="17" t="str">
        <f t="array" ref="Y14">_xlfn.XLOOKUP(A14,'WK 47'!A:A,'WK 47'!AA:AA,"")</f>
        <v>early</v>
      </c>
      <c r="Z14" s="61" t="str">
        <f t="shared" si="1"/>
        <v>late</v>
      </c>
      <c r="AA14" s="106"/>
      <c r="AB14" s="61"/>
      <c r="AC14" s="61"/>
      <c r="AD14" s="61"/>
      <c r="AE14" s="61"/>
      <c r="AF14" s="61"/>
      <c r="AG14" s="61"/>
      <c r="AH14" s="61"/>
      <c r="AI14" s="61"/>
      <c r="AJ14" s="61"/>
      <c r="AK14" s="61"/>
    </row>
    <row r="15" customHeight="1" spans="1:37">
      <c r="A15" s="21">
        <v>10316618</v>
      </c>
      <c r="B15" s="86" t="s">
        <v>33</v>
      </c>
      <c r="C15" s="21" t="s">
        <v>20</v>
      </c>
      <c r="D15" s="21" t="s">
        <v>21</v>
      </c>
      <c r="E15" s="54" t="str">
        <f t="array" ref="E15">_xlfn.XLOOKUP(A15,'WK 47'!A:A,'WK 47'!E:E,"")</f>
        <v>FT</v>
      </c>
      <c r="F15" s="103">
        <f t="array" ref="F15">_xlfn.XLOOKUP(A15,'WK 47'!A:A,'WK 47'!F:F,"")</f>
        <v>1</v>
      </c>
      <c r="G15" s="54">
        <v>0.375</v>
      </c>
      <c r="H15" s="54">
        <v>0.791666666666667</v>
      </c>
      <c r="I15" s="54">
        <v>0.375</v>
      </c>
      <c r="J15" s="54">
        <v>0.791666666666667</v>
      </c>
      <c r="K15" s="54">
        <v>0.375</v>
      </c>
      <c r="L15" s="54">
        <v>0.791666666666667</v>
      </c>
      <c r="M15" s="54">
        <v>0.375</v>
      </c>
      <c r="N15" s="54">
        <v>0.791666666666667</v>
      </c>
      <c r="O15" s="21" t="s">
        <v>23</v>
      </c>
      <c r="P15" s="21" t="s">
        <v>23</v>
      </c>
      <c r="Q15" s="21" t="s">
        <v>23</v>
      </c>
      <c r="R15" s="21" t="s">
        <v>23</v>
      </c>
      <c r="S15" s="54">
        <v>0.458333333333333</v>
      </c>
      <c r="T15" s="54">
        <v>0.666666666666667</v>
      </c>
      <c r="U15" s="21">
        <f>IFERROR(__xludf.DUMMYFUNCTION("TO_PURE_NUMBER(SUM(FILTER(G15:T15, ISEVEN(COLUMN(G15:T15))))-SUM(FILTER(G15:T15, ISODD(COLUMN(G15:T15)))))*24"),44.9999999999999)</f>
        <v>44.9999999999999</v>
      </c>
      <c r="V15" s="17">
        <f t="array" ref="V15">_xlfn.XLOOKUP(A15,'WK 47'!A:A,'WK 47'!V:V,"")</f>
        <v>45</v>
      </c>
      <c r="W15" s="7">
        <f t="shared" si="0"/>
        <v>9.9475983006414e-14</v>
      </c>
      <c r="X15" s="20">
        <f t="array" ref="X15">_xlfn.XLOOKUP(A15,'WK 45'!A:A,'WK 45'!X:X,"")</f>
        <v>0.416666666666667</v>
      </c>
      <c r="Y15" s="17" t="str">
        <f t="array" ref="Y15">_xlfn.XLOOKUP(A15,'WK 47'!A:A,'WK 47'!AA:AA,"")</f>
        <v>late</v>
      </c>
      <c r="Z15" s="61" t="str">
        <f t="shared" si="1"/>
        <v> early</v>
      </c>
      <c r="AA15" s="106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customHeight="1" spans="1:37">
      <c r="A16" s="21">
        <v>10316685</v>
      </c>
      <c r="B16" s="86" t="s">
        <v>47</v>
      </c>
      <c r="C16" s="21" t="s">
        <v>20</v>
      </c>
      <c r="D16" s="21" t="s">
        <v>21</v>
      </c>
      <c r="E16" s="54" t="str">
        <f t="array" ref="E16">_xlfn.XLOOKUP(A16,'WK 47'!A:A,'WK 47'!E:E,"")</f>
        <v>FT</v>
      </c>
      <c r="F16" s="103">
        <f t="array" ref="F16">_xlfn.XLOOKUP(A16,'WK 47'!A:A,'WK 47'!F:F,"")</f>
        <v>1</v>
      </c>
      <c r="G16" s="54">
        <v>0.375</v>
      </c>
      <c r="H16" s="54">
        <v>0.75</v>
      </c>
      <c r="I16" s="54">
        <v>0.375</v>
      </c>
      <c r="J16" s="54">
        <v>0.75</v>
      </c>
      <c r="K16" s="54">
        <v>0.375</v>
      </c>
      <c r="L16" s="54">
        <v>0.75</v>
      </c>
      <c r="M16" s="54">
        <v>0.375</v>
      </c>
      <c r="N16" s="54">
        <v>0.75</v>
      </c>
      <c r="O16" s="54">
        <v>0.375</v>
      </c>
      <c r="P16" s="54">
        <v>0.75</v>
      </c>
      <c r="Q16" s="21" t="s">
        <v>23</v>
      </c>
      <c r="R16" s="21" t="s">
        <v>23</v>
      </c>
      <c r="S16" s="21" t="s">
        <v>23</v>
      </c>
      <c r="T16" s="21" t="s">
        <v>23</v>
      </c>
      <c r="U16" s="21">
        <f>IFERROR(__xludf.DUMMYFUNCTION("TO_PURE_NUMBER(SUM(FILTER(G16:T16, ISEVEN(COLUMN(G16:T16))))-SUM(FILTER(G16:T16, ISODD(COLUMN(G16:T16)))))*24"),45)</f>
        <v>45</v>
      </c>
      <c r="V16" s="17">
        <f t="array" ref="V16">_xlfn.XLOOKUP(A16,'WK 47'!A:A,'WK 47'!V:V,"")</f>
        <v>45</v>
      </c>
      <c r="W16" s="7">
        <f t="shared" si="0"/>
        <v>0</v>
      </c>
      <c r="X16" s="20">
        <f t="array" ref="X16">_xlfn.XLOOKUP(A16,'WK 45'!A:A,'WK 45'!X:X,"")</f>
        <v>0.416666666666667</v>
      </c>
      <c r="Y16" s="17" t="str">
        <f t="array" ref="Y16">_xlfn.XLOOKUP(A16,'WK 47'!A:A,'WK 47'!AA:AA,"")</f>
        <v>late</v>
      </c>
      <c r="Z16" s="61" t="str">
        <f t="shared" si="1"/>
        <v> early</v>
      </c>
      <c r="AA16" s="106"/>
      <c r="AB16" s="61"/>
      <c r="AC16" s="61"/>
      <c r="AD16" s="61"/>
      <c r="AE16" s="61"/>
      <c r="AF16" s="61"/>
      <c r="AG16" s="61"/>
      <c r="AH16" s="61"/>
      <c r="AI16" s="61"/>
      <c r="AJ16" s="61"/>
      <c r="AK16" s="61"/>
    </row>
    <row r="17" customHeight="1" spans="1:37">
      <c r="A17" s="21">
        <v>10316549</v>
      </c>
      <c r="B17" s="86" t="s">
        <v>19</v>
      </c>
      <c r="C17" s="21" t="s">
        <v>20</v>
      </c>
      <c r="D17" s="21" t="s">
        <v>21</v>
      </c>
      <c r="E17" s="54" t="str">
        <f t="array" ref="E17">_xlfn.XLOOKUP(A17,'WK 47'!A:A,'WK 47'!E:E,"")</f>
        <v>FT</v>
      </c>
      <c r="F17" s="103">
        <f t="array" ref="F17">_xlfn.XLOOKUP(A17,'WK 47'!A:A,'WK 47'!F:F,"")</f>
        <v>1</v>
      </c>
      <c r="G17" s="54">
        <v>0.375</v>
      </c>
      <c r="H17" s="54">
        <v>0.791666666666667</v>
      </c>
      <c r="I17" s="54">
        <v>0.375</v>
      </c>
      <c r="J17" s="54">
        <v>0.791666666666667</v>
      </c>
      <c r="K17" s="54">
        <v>0.375</v>
      </c>
      <c r="L17" s="54">
        <v>0.791666666666667</v>
      </c>
      <c r="M17" s="54">
        <v>0.375</v>
      </c>
      <c r="N17" s="54">
        <v>0.791666666666667</v>
      </c>
      <c r="O17" s="21" t="s">
        <v>23</v>
      </c>
      <c r="P17" s="21" t="s">
        <v>23</v>
      </c>
      <c r="Q17" s="21" t="s">
        <v>23</v>
      </c>
      <c r="R17" s="21" t="s">
        <v>23</v>
      </c>
      <c r="S17" s="54">
        <v>0.458333333333333</v>
      </c>
      <c r="T17" s="54">
        <v>0.666666666666667</v>
      </c>
      <c r="U17" s="21">
        <f>IFERROR(__xludf.DUMMYFUNCTION("TO_PURE_NUMBER(SUM(FILTER(G17:T17, ISEVEN(COLUMN(G17:T17))))-SUM(FILTER(G17:T17, ISODD(COLUMN(G17:T17)))))*24"),44.9999999999999)</f>
        <v>44.9999999999999</v>
      </c>
      <c r="V17" s="17">
        <f t="array" ref="V17">_xlfn.XLOOKUP(A17,'WK 47'!A:A,'WK 47'!V:V,"")</f>
        <v>45</v>
      </c>
      <c r="W17" s="7">
        <f t="shared" si="0"/>
        <v>9.9475983006414e-14</v>
      </c>
      <c r="X17" s="20">
        <f t="array" ref="X17">_xlfn.XLOOKUP(A17,'WK 45'!A:A,'WK 45'!X:X,"")</f>
        <v>0.416666666666667</v>
      </c>
      <c r="Y17" s="17" t="str">
        <f t="array" ref="Y17">_xlfn.XLOOKUP(A17,'WK 47'!A:A,'WK 47'!AA:AA,"")</f>
        <v>late</v>
      </c>
      <c r="Z17" s="61" t="str">
        <f t="shared" si="1"/>
        <v> early</v>
      </c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</row>
    <row r="18" customHeight="1" spans="1:37">
      <c r="A18" s="21">
        <v>10316543</v>
      </c>
      <c r="B18" s="86" t="s">
        <v>41</v>
      </c>
      <c r="C18" s="21" t="s">
        <v>20</v>
      </c>
      <c r="D18" s="21" t="s">
        <v>21</v>
      </c>
      <c r="E18" s="54" t="str">
        <f t="array" ref="E18">_xlfn.XLOOKUP(A18,'WK 47'!A:A,'WK 47'!E:E,"")</f>
        <v>FT</v>
      </c>
      <c r="F18" s="103">
        <f t="array" ref="F18">_xlfn.XLOOKUP(A18,'WK 47'!A:A,'WK 47'!F:F,"")</f>
        <v>1</v>
      </c>
      <c r="G18" s="54">
        <v>0.375</v>
      </c>
      <c r="H18" s="54">
        <v>0.791666666666667</v>
      </c>
      <c r="I18" s="54">
        <v>0.375</v>
      </c>
      <c r="J18" s="54">
        <v>0.791666666666667</v>
      </c>
      <c r="K18" s="54">
        <v>0.375</v>
      </c>
      <c r="L18" s="54">
        <v>0.791666666666667</v>
      </c>
      <c r="M18" s="54">
        <v>0.375</v>
      </c>
      <c r="N18" s="54">
        <v>0.791666666666667</v>
      </c>
      <c r="O18" s="21" t="s">
        <v>23</v>
      </c>
      <c r="P18" s="21" t="s">
        <v>23</v>
      </c>
      <c r="Q18" s="21" t="s">
        <v>23</v>
      </c>
      <c r="R18" s="21" t="s">
        <v>23</v>
      </c>
      <c r="S18" s="54">
        <v>0.458333333333333</v>
      </c>
      <c r="T18" s="54">
        <v>0.666666666666667</v>
      </c>
      <c r="U18" s="21">
        <f>IFERROR(__xludf.DUMMYFUNCTION("TO_PURE_NUMBER(SUM(FILTER(G18:T18, ISEVEN(COLUMN(G18:T18))))-SUM(FILTER(G18:T18, ISODD(COLUMN(G18:T18)))))*24"),44.9999999999999)</f>
        <v>44.9999999999999</v>
      </c>
      <c r="V18" s="17">
        <f t="array" ref="V18">_xlfn.XLOOKUP(A18,'WK 47'!A:A,'WK 47'!V:V,"")</f>
        <v>45</v>
      </c>
      <c r="W18" s="7">
        <f t="shared" si="0"/>
        <v>9.9475983006414e-14</v>
      </c>
      <c r="X18" s="20">
        <f t="array" ref="X18">_xlfn.XLOOKUP(A18,'WK 45'!A:A,'WK 45'!X:X,"")</f>
        <v>0.416666666666667</v>
      </c>
      <c r="Y18" s="17" t="str">
        <f t="array" ref="Y18">_xlfn.XLOOKUP(A18,'WK 47'!A:A,'WK 47'!AA:AA,"")</f>
        <v>late</v>
      </c>
      <c r="Z18" s="61" t="str">
        <f t="shared" si="1"/>
        <v> early</v>
      </c>
      <c r="AA18" s="106"/>
      <c r="AB18" s="61"/>
      <c r="AC18" s="61"/>
      <c r="AD18" s="61"/>
      <c r="AE18" s="61"/>
      <c r="AF18" s="61"/>
      <c r="AG18" s="61"/>
      <c r="AH18" s="61"/>
      <c r="AI18" s="61"/>
      <c r="AJ18" s="61"/>
      <c r="AK18" s="61"/>
    </row>
    <row r="19" customHeight="1" spans="1:37">
      <c r="A19" s="21">
        <v>10316551</v>
      </c>
      <c r="B19" s="86" t="s">
        <v>87</v>
      </c>
      <c r="C19" s="21" t="s">
        <v>20</v>
      </c>
      <c r="D19" s="21" t="s">
        <v>21</v>
      </c>
      <c r="E19" s="54" t="str">
        <f t="array" ref="E19">_xlfn.XLOOKUP(A19,'WK 47'!A:A,'WK 47'!E:E,"")</f>
        <v>FT</v>
      </c>
      <c r="F19" s="103">
        <f t="array" ref="F19">_xlfn.XLOOKUP(A19,'WK 47'!A:A,'WK 47'!F:F,"")</f>
        <v>1</v>
      </c>
      <c r="G19" s="54">
        <v>0.375</v>
      </c>
      <c r="H19" s="54">
        <v>0.75</v>
      </c>
      <c r="I19" s="54">
        <v>0.375</v>
      </c>
      <c r="J19" s="54">
        <v>0.75</v>
      </c>
      <c r="K19" s="54">
        <v>0.375</v>
      </c>
      <c r="L19" s="54">
        <v>0.75</v>
      </c>
      <c r="M19" s="54">
        <v>0.375</v>
      </c>
      <c r="N19" s="54">
        <v>0.75</v>
      </c>
      <c r="O19" s="54">
        <v>0.375</v>
      </c>
      <c r="P19" s="54">
        <v>0.75</v>
      </c>
      <c r="Q19" s="21" t="s">
        <v>23</v>
      </c>
      <c r="R19" s="21" t="s">
        <v>23</v>
      </c>
      <c r="S19" s="21" t="s">
        <v>23</v>
      </c>
      <c r="T19" s="21" t="s">
        <v>23</v>
      </c>
      <c r="U19" s="21">
        <f>IFERROR(__xludf.DUMMYFUNCTION("TO_PURE_NUMBER(SUM(FILTER(G19:T19, ISEVEN(COLUMN(G19:T19))))-SUM(FILTER(G19:T19, ISODD(COLUMN(G19:T19)))))*24"),45)</f>
        <v>45</v>
      </c>
      <c r="V19" s="17">
        <f t="array" ref="V19">_xlfn.XLOOKUP(A19,'WK 47'!A:A,'WK 47'!V:V,"")</f>
        <v>45</v>
      </c>
      <c r="W19" s="7">
        <f t="shared" si="0"/>
        <v>0</v>
      </c>
      <c r="X19" s="20">
        <f t="array" ref="X19">_xlfn.XLOOKUP(A19,'WK 45'!A:A,'WK 45'!X:X,"")</f>
        <v>0.375</v>
      </c>
      <c r="Y19" s="17" t="str">
        <f t="array" ref="Y19">_xlfn.XLOOKUP(A19,'WK 47'!A:A,'WK 47'!AA:AA,"")</f>
        <v>early</v>
      </c>
      <c r="Z19" s="61" t="str">
        <f t="shared" si="1"/>
        <v>late</v>
      </c>
      <c r="AA19" s="106"/>
      <c r="AB19" s="61"/>
      <c r="AC19" s="61"/>
      <c r="AD19" s="61"/>
      <c r="AE19" s="61"/>
      <c r="AF19" s="61"/>
      <c r="AG19" s="61"/>
      <c r="AH19" s="61"/>
      <c r="AI19" s="61"/>
      <c r="AJ19" s="61"/>
      <c r="AK19" s="61"/>
    </row>
    <row r="20" customHeight="1" spans="1:37">
      <c r="A20" s="21">
        <v>10316540</v>
      </c>
      <c r="B20" s="86" t="s">
        <v>30</v>
      </c>
      <c r="C20" s="21" t="s">
        <v>20</v>
      </c>
      <c r="D20" s="21" t="s">
        <v>21</v>
      </c>
      <c r="E20" s="54" t="str">
        <f t="array" ref="E20">_xlfn.XLOOKUP(A20,'WK 47'!A:A,'WK 47'!E:E,"")</f>
        <v>FT</v>
      </c>
      <c r="F20" s="103">
        <f t="array" ref="F20">_xlfn.XLOOKUP(A20,'WK 47'!A:A,'WK 47'!F:F,"")</f>
        <v>1</v>
      </c>
      <c r="G20" s="54">
        <v>0.375</v>
      </c>
      <c r="H20" s="54">
        <v>0.75</v>
      </c>
      <c r="I20" s="54">
        <v>0.375</v>
      </c>
      <c r="J20" s="54">
        <v>0.75</v>
      </c>
      <c r="K20" s="54">
        <v>0.375</v>
      </c>
      <c r="L20" s="54">
        <v>0.75</v>
      </c>
      <c r="M20" s="54">
        <v>0.375</v>
      </c>
      <c r="N20" s="54">
        <v>0.75</v>
      </c>
      <c r="O20" s="54">
        <v>0.375</v>
      </c>
      <c r="P20" s="54">
        <v>0.75</v>
      </c>
      <c r="Q20" s="21" t="s">
        <v>23</v>
      </c>
      <c r="R20" s="21" t="s">
        <v>23</v>
      </c>
      <c r="S20" s="21" t="s">
        <v>23</v>
      </c>
      <c r="T20" s="21" t="s">
        <v>23</v>
      </c>
      <c r="U20" s="21">
        <f>IFERROR(__xludf.DUMMYFUNCTION("TO_PURE_NUMBER(SUM(FILTER(G20:T20, ISEVEN(COLUMN(G20:T20))))-SUM(FILTER(G20:T20, ISODD(COLUMN(G20:T20)))))*24"),45)</f>
        <v>45</v>
      </c>
      <c r="V20" s="17">
        <f t="array" ref="V20">_xlfn.XLOOKUP(A20,'WK 47'!A:A,'WK 47'!V:V,"")</f>
        <v>45</v>
      </c>
      <c r="W20" s="7">
        <f t="shared" si="0"/>
        <v>0</v>
      </c>
      <c r="X20" s="20">
        <f t="array" ref="X20">_xlfn.XLOOKUP(A20,'WK 45'!A:A,'WK 45'!X:X,"")</f>
        <v>0.416666666666667</v>
      </c>
      <c r="Y20" s="17" t="str">
        <f t="array" ref="Y20">_xlfn.XLOOKUP(A20,'WK 47'!A:A,'WK 47'!AA:AA,"")</f>
        <v>late</v>
      </c>
      <c r="Z20" s="61" t="str">
        <f t="shared" si="1"/>
        <v> early</v>
      </c>
      <c r="AA20" s="106"/>
      <c r="AB20" s="61"/>
      <c r="AC20" s="61"/>
      <c r="AD20" s="61"/>
      <c r="AE20" s="61"/>
      <c r="AF20" s="61"/>
      <c r="AG20" s="61"/>
      <c r="AH20" s="61"/>
      <c r="AI20" s="61"/>
      <c r="AJ20" s="61"/>
      <c r="AK20" s="61"/>
    </row>
    <row r="21" customHeight="1" spans="1:37">
      <c r="A21" s="21">
        <v>10295555</v>
      </c>
      <c r="B21" s="86" t="s">
        <v>34</v>
      </c>
      <c r="C21" s="21" t="s">
        <v>20</v>
      </c>
      <c r="D21" s="21" t="s">
        <v>21</v>
      </c>
      <c r="E21" s="54" t="str">
        <f t="array" ref="E21">_xlfn.XLOOKUP(A21,'WK 47'!A:A,'WK 47'!E:E,"")</f>
        <v>PT</v>
      </c>
      <c r="F21" s="103">
        <f t="array" ref="F21">_xlfn.XLOOKUP(A21,'WK 47'!A:A,'WK 47'!F:F,"")</f>
        <v>2</v>
      </c>
      <c r="G21" s="104" t="s">
        <v>36</v>
      </c>
      <c r="H21" s="104" t="s">
        <v>36</v>
      </c>
      <c r="I21" s="104" t="s">
        <v>36</v>
      </c>
      <c r="J21" s="104" t="s">
        <v>36</v>
      </c>
      <c r="K21" s="54">
        <v>0.666666666666667</v>
      </c>
      <c r="L21" s="54">
        <v>0.875</v>
      </c>
      <c r="M21" s="21" t="s">
        <v>23</v>
      </c>
      <c r="N21" s="21" t="s">
        <v>23</v>
      </c>
      <c r="O21" s="21" t="s">
        <v>23</v>
      </c>
      <c r="P21" s="21" t="s">
        <v>23</v>
      </c>
      <c r="Q21" s="54">
        <v>0.458333333333333</v>
      </c>
      <c r="R21" s="54">
        <v>0.666666666666667</v>
      </c>
      <c r="S21" s="54">
        <v>0.458333333333333</v>
      </c>
      <c r="T21" s="54">
        <v>0.666666666666667</v>
      </c>
      <c r="U21" s="21">
        <f>IFERROR(__xludf.DUMMYFUNCTION("TO_PURE_NUMBER(SUM(FILTER(G21:T21, ISEVEN(COLUMN(G21:T21))))-SUM(FILTER(G21:T21, ISODD(COLUMN(G21:T21)))))*24"),14.9999999999999)</f>
        <v>14.9999999999999</v>
      </c>
      <c r="V21" s="17">
        <f t="array" ref="V21">_xlfn.XLOOKUP(A21,'WK 47'!A:A,'WK 47'!V:V,"")</f>
        <v>25</v>
      </c>
      <c r="W21" s="7">
        <f t="shared" si="0"/>
        <v>10.0000000000001</v>
      </c>
      <c r="X21" s="20">
        <f t="array" ref="X21">_xlfn.XLOOKUP(A21,'WK 45'!A:A,'WK 45'!X:X,"")</f>
        <v>0.208333333333333</v>
      </c>
      <c r="Y21" s="17" t="str">
        <f t="array" ref="Y21">_xlfn.XLOOKUP(A21,'WK 47'!A:A,'WK 47'!AA:AA,"")</f>
        <v/>
      </c>
      <c r="Z21" s="61" t="str">
        <f t="shared" si="1"/>
        <v> early</v>
      </c>
      <c r="AA21" s="106"/>
      <c r="AB21" s="61"/>
      <c r="AC21" s="61"/>
      <c r="AD21" s="61"/>
      <c r="AE21" s="61"/>
      <c r="AF21" s="61"/>
      <c r="AG21" s="61"/>
      <c r="AH21" s="61"/>
      <c r="AI21" s="61"/>
      <c r="AJ21" s="61"/>
      <c r="AK21" s="61"/>
    </row>
    <row r="22" customHeight="1" spans="1:37">
      <c r="A22" s="21">
        <v>10317520</v>
      </c>
      <c r="B22" s="86" t="s">
        <v>37</v>
      </c>
      <c r="C22" s="21" t="s">
        <v>20</v>
      </c>
      <c r="D22" s="21" t="s">
        <v>21</v>
      </c>
      <c r="E22" s="54" t="str">
        <f t="array" ref="E22">_xlfn.XLOOKUP(A22,'WK 47'!A:A,'WK 47'!E:E,"")</f>
        <v>FT</v>
      </c>
      <c r="F22" s="103">
        <f t="array" ref="F22">_xlfn.XLOOKUP(A22,'WK 47'!A:A,'WK 47'!F:F,"")</f>
        <v>2</v>
      </c>
      <c r="G22" s="54">
        <v>0.5</v>
      </c>
      <c r="H22" s="54">
        <f t="shared" ref="H22:H23" si="6">IFERROR(G22+$X22,"OFF")</f>
        <v>0.875</v>
      </c>
      <c r="I22" s="54">
        <v>0.5</v>
      </c>
      <c r="J22" s="54">
        <f t="shared" ref="J22:J23" si="7">IFERROR(I22+$X22,"OFF")</f>
        <v>0.875</v>
      </c>
      <c r="K22" s="54">
        <v>0.5</v>
      </c>
      <c r="L22" s="54">
        <f t="shared" ref="L22:L23" si="8">IFERROR(K22+$X22,"OFF")</f>
        <v>0.875</v>
      </c>
      <c r="M22" s="54">
        <v>0.5</v>
      </c>
      <c r="N22" s="54">
        <f t="shared" ref="N22:N23" si="9">IFERROR(M22+$X22,"OFF")</f>
        <v>0.875</v>
      </c>
      <c r="O22" s="54">
        <v>0.5</v>
      </c>
      <c r="P22" s="54">
        <f t="shared" ref="P22:P23" si="10">IFERROR(O22+$X22,"OFF")</f>
        <v>0.875</v>
      </c>
      <c r="Q22" s="21" t="s">
        <v>23</v>
      </c>
      <c r="R22" s="21" t="s">
        <v>23</v>
      </c>
      <c r="S22" s="21" t="s">
        <v>23</v>
      </c>
      <c r="T22" s="21" t="s">
        <v>23</v>
      </c>
      <c r="U22" s="21">
        <f>IFERROR(__xludf.DUMMYFUNCTION("TO_PURE_NUMBER(SUM(FILTER(G22:T22, ISEVEN(COLUMN(G22:T22))))-SUM(FILTER(G22:T22, ISODD(COLUMN(G22:T22)))))*24"),45)</f>
        <v>45</v>
      </c>
      <c r="V22" s="17">
        <f t="array" ref="V22">_xlfn.XLOOKUP(A22,'WK 47'!A:A,'WK 47'!V:V,"")</f>
        <v>45</v>
      </c>
      <c r="W22" s="7">
        <f t="shared" si="0"/>
        <v>0</v>
      </c>
      <c r="X22" s="20">
        <f t="array" ref="X22">_xlfn.XLOOKUP(A22,'WK 45'!A:A,'WK 45'!X:X,"")</f>
        <v>0.375</v>
      </c>
      <c r="Y22" s="17" t="str">
        <f t="array" ref="Y22">_xlfn.XLOOKUP(A22,'WK 47'!A:A,'WK 47'!AA:AA,"")</f>
        <v>early</v>
      </c>
      <c r="Z22" s="61" t="str">
        <f t="shared" si="1"/>
        <v>late</v>
      </c>
      <c r="AA22" s="106"/>
      <c r="AB22" s="61"/>
      <c r="AC22" s="61"/>
      <c r="AD22" s="61"/>
      <c r="AE22" s="61"/>
      <c r="AF22" s="61"/>
      <c r="AG22" s="61"/>
      <c r="AH22" s="61"/>
      <c r="AI22" s="61"/>
      <c r="AJ22" s="61"/>
      <c r="AK22" s="61"/>
    </row>
    <row r="23" customHeight="1" spans="1:37">
      <c r="A23" s="21">
        <v>10317521</v>
      </c>
      <c r="B23" s="86" t="s">
        <v>28</v>
      </c>
      <c r="C23" s="21" t="s">
        <v>20</v>
      </c>
      <c r="D23" s="21" t="s">
        <v>21</v>
      </c>
      <c r="E23" s="54" t="str">
        <f t="array" ref="E23">_xlfn.XLOOKUP(A23,'WK 47'!A:A,'WK 47'!E:E,"")</f>
        <v>FT</v>
      </c>
      <c r="F23" s="103">
        <f t="array" ref="F23">_xlfn.XLOOKUP(A23,'WK 47'!A:A,'WK 47'!F:F,"")</f>
        <v>2</v>
      </c>
      <c r="G23" s="54">
        <v>0.5</v>
      </c>
      <c r="H23" s="54">
        <f t="shared" si="6"/>
        <v>0.875</v>
      </c>
      <c r="I23" s="54">
        <v>0.5</v>
      </c>
      <c r="J23" s="54">
        <f t="shared" si="7"/>
        <v>0.875</v>
      </c>
      <c r="K23" s="54">
        <v>0.5</v>
      </c>
      <c r="L23" s="54">
        <f t="shared" si="8"/>
        <v>0.875</v>
      </c>
      <c r="M23" s="54">
        <v>0.5</v>
      </c>
      <c r="N23" s="54">
        <f t="shared" si="9"/>
        <v>0.875</v>
      </c>
      <c r="O23" s="54">
        <v>0.5</v>
      </c>
      <c r="P23" s="54">
        <f t="shared" si="10"/>
        <v>0.875</v>
      </c>
      <c r="Q23" s="21" t="s">
        <v>23</v>
      </c>
      <c r="R23" s="21" t="s">
        <v>23</v>
      </c>
      <c r="S23" s="21" t="s">
        <v>23</v>
      </c>
      <c r="T23" s="21" t="s">
        <v>23</v>
      </c>
      <c r="U23" s="21">
        <f>IFERROR(__xludf.DUMMYFUNCTION("TO_PURE_NUMBER(SUM(FILTER(G23:T23, ISEVEN(COLUMN(G23:T23))))-SUM(FILTER(G23:T23, ISODD(COLUMN(G23:T23)))))*24"),45)</f>
        <v>45</v>
      </c>
      <c r="V23" s="17">
        <f t="array" ref="V23">_xlfn.XLOOKUP(A23,'WK 47'!A:A,'WK 47'!V:V,"")</f>
        <v>45</v>
      </c>
      <c r="W23" s="7">
        <f t="shared" si="0"/>
        <v>0</v>
      </c>
      <c r="X23" s="20">
        <f t="array" ref="X23">_xlfn.XLOOKUP(A23,'WK 45'!A:A,'WK 45'!X:X,"")</f>
        <v>0.375</v>
      </c>
      <c r="Y23" s="17" t="str">
        <f t="array" ref="Y23">_xlfn.XLOOKUP(A23,'WK 47'!A:A,'WK 47'!AA:AA,"")</f>
        <v>early</v>
      </c>
      <c r="Z23" s="61" t="str">
        <f t="shared" si="1"/>
        <v>late</v>
      </c>
      <c r="AA23" s="106"/>
      <c r="AB23" s="61"/>
      <c r="AC23" s="61"/>
      <c r="AD23" s="61"/>
      <c r="AE23" s="61"/>
      <c r="AF23" s="61"/>
      <c r="AG23" s="61"/>
      <c r="AH23" s="61"/>
      <c r="AI23" s="61"/>
      <c r="AJ23" s="61"/>
      <c r="AK23" s="61"/>
    </row>
    <row r="24" customHeight="1" spans="1:37">
      <c r="A24" s="21">
        <v>10276839</v>
      </c>
      <c r="B24" s="86" t="s">
        <v>54</v>
      </c>
      <c r="C24" s="21" t="s">
        <v>20</v>
      </c>
      <c r="D24" s="21" t="s">
        <v>21</v>
      </c>
      <c r="E24" s="54" t="str">
        <f t="array" ref="E24">_xlfn.XLOOKUP(A24,'WK 47'!A:A,'WK 47'!E:E,"")</f>
        <v>FT</v>
      </c>
      <c r="F24" s="103">
        <f t="array" ref="F24">_xlfn.XLOOKUP(A24,'WK 47'!A:A,'WK 47'!F:F,"")</f>
        <v>2</v>
      </c>
      <c r="G24" s="54">
        <v>0.5</v>
      </c>
      <c r="H24" s="54">
        <v>0.875</v>
      </c>
      <c r="I24" s="54">
        <v>0.5</v>
      </c>
      <c r="J24" s="54">
        <v>0.875</v>
      </c>
      <c r="K24" s="54">
        <v>0.5</v>
      </c>
      <c r="L24" s="54">
        <v>0.875</v>
      </c>
      <c r="M24" s="54">
        <v>0.5</v>
      </c>
      <c r="N24" s="54">
        <v>0.875</v>
      </c>
      <c r="O24" s="54">
        <v>0.5</v>
      </c>
      <c r="P24" s="54">
        <v>0.875</v>
      </c>
      <c r="Q24" s="21" t="s">
        <v>23</v>
      </c>
      <c r="R24" s="21" t="s">
        <v>23</v>
      </c>
      <c r="S24" s="21" t="s">
        <v>23</v>
      </c>
      <c r="T24" s="21" t="s">
        <v>23</v>
      </c>
      <c r="U24" s="21">
        <f>IFERROR(__xludf.DUMMYFUNCTION("TO_PURE_NUMBER(SUM(FILTER(G24:T24, ISEVEN(COLUMN(G24:T24))))-SUM(FILTER(G24:T24, ISODD(COLUMN(G24:T24)))))*24"),45)</f>
        <v>45</v>
      </c>
      <c r="V24" s="17">
        <f t="array" ref="V24">_xlfn.XLOOKUP(A24,'WK 47'!A:A,'WK 47'!V:V,"")</f>
        <v>45</v>
      </c>
      <c r="W24" s="7">
        <f t="shared" si="0"/>
        <v>0</v>
      </c>
      <c r="X24" s="20">
        <f t="array" ref="X24">_xlfn.XLOOKUP(A24,'WK 45'!A:A,'WK 45'!X:X,"")</f>
        <v>0.375</v>
      </c>
      <c r="Y24" s="17" t="str">
        <f t="array" ref="Y24">_xlfn.XLOOKUP(A24,'WK 47'!A:A,'WK 47'!AA:AA,"")</f>
        <v>early</v>
      </c>
      <c r="Z24" s="61" t="str">
        <f t="shared" si="1"/>
        <v>late</v>
      </c>
      <c r="AA24" s="106"/>
      <c r="AB24" s="61"/>
      <c r="AC24" s="61"/>
      <c r="AD24" s="61"/>
      <c r="AE24" s="61"/>
      <c r="AF24" s="61"/>
      <c r="AG24" s="61"/>
      <c r="AH24" s="61"/>
      <c r="AI24" s="61"/>
      <c r="AJ24" s="61"/>
      <c r="AK24" s="61"/>
    </row>
    <row r="25" customHeight="1" spans="1:37">
      <c r="A25" s="21">
        <v>10317524</v>
      </c>
      <c r="B25" s="86" t="s">
        <v>53</v>
      </c>
      <c r="C25" s="21" t="s">
        <v>20</v>
      </c>
      <c r="D25" s="21" t="s">
        <v>21</v>
      </c>
      <c r="E25" s="54" t="str">
        <f t="array" ref="E25">_xlfn.XLOOKUP(A25,'WK 47'!A:A,'WK 47'!E:E,"")</f>
        <v>FT</v>
      </c>
      <c r="F25" s="103">
        <f t="array" ref="F25">_xlfn.XLOOKUP(A25,'WK 47'!A:A,'WK 47'!F:F,"")</f>
        <v>2</v>
      </c>
      <c r="G25" s="54">
        <v>0.458333333333333</v>
      </c>
      <c r="H25" s="54">
        <f t="shared" ref="H25:H27" si="11">IFERROR(G25+$X25,"OFF")</f>
        <v>0.833333333333333</v>
      </c>
      <c r="I25" s="54">
        <v>0.458333333333333</v>
      </c>
      <c r="J25" s="54">
        <f t="shared" ref="J25:J27" si="12">IFERROR(I25+$X25,"OFF")</f>
        <v>0.833333333333333</v>
      </c>
      <c r="K25" s="54">
        <v>0.458333333333333</v>
      </c>
      <c r="L25" s="54">
        <f t="shared" ref="L25:L27" si="13">IFERROR(K25+$X25,"OFF")</f>
        <v>0.833333333333333</v>
      </c>
      <c r="M25" s="54">
        <v>0.458333333333333</v>
      </c>
      <c r="N25" s="54">
        <f t="shared" ref="N25:N27" si="14">IFERROR(M25+$X25,"OFF")</f>
        <v>0.833333333333333</v>
      </c>
      <c r="O25" s="54">
        <v>0.458333333333333</v>
      </c>
      <c r="P25" s="54">
        <f>IFERROR(O25+$X25,"OFF")</f>
        <v>0.833333333333333</v>
      </c>
      <c r="Q25" s="21" t="s">
        <v>23</v>
      </c>
      <c r="R25" s="21" t="s">
        <v>23</v>
      </c>
      <c r="S25" s="21" t="s">
        <v>23</v>
      </c>
      <c r="T25" s="21" t="s">
        <v>23</v>
      </c>
      <c r="U25" s="21">
        <f>IFERROR(__xludf.DUMMYFUNCTION("TO_PURE_NUMBER(SUM(FILTER(G25:T25, ISEVEN(COLUMN(G25:T25))))-SUM(FILTER(G25:T25, ISODD(COLUMN(G25:T25)))))*24"),44.9999999999999)</f>
        <v>44.9999999999999</v>
      </c>
      <c r="V25" s="17">
        <f t="array" ref="V25">_xlfn.XLOOKUP(A25,'WK 47'!A:A,'WK 47'!V:V,"")</f>
        <v>45</v>
      </c>
      <c r="W25" s="7">
        <f t="shared" si="0"/>
        <v>9.9475983006414e-14</v>
      </c>
      <c r="X25" s="20">
        <f t="array" ref="X25">_xlfn.XLOOKUP(A25,'WK 45'!A:A,'WK 45'!X:X,"")</f>
        <v>0.375</v>
      </c>
      <c r="Y25" s="17" t="str">
        <f t="array" ref="Y25">_xlfn.XLOOKUP(A25,'WK 47'!A:A,'WK 47'!AA:AA,"")</f>
        <v>early</v>
      </c>
      <c r="Z25" s="61" t="str">
        <f t="shared" si="1"/>
        <v>late</v>
      </c>
      <c r="AA25" s="106"/>
      <c r="AB25" s="61"/>
      <c r="AC25" s="61"/>
      <c r="AD25" s="61"/>
      <c r="AE25" s="61"/>
      <c r="AF25" s="61"/>
      <c r="AG25" s="61"/>
      <c r="AH25" s="61"/>
      <c r="AI25" s="61"/>
      <c r="AJ25" s="61"/>
      <c r="AK25" s="61"/>
    </row>
    <row r="26" customHeight="1" spans="1:37">
      <c r="A26" s="21">
        <v>10317517</v>
      </c>
      <c r="B26" s="86" t="s">
        <v>29</v>
      </c>
      <c r="C26" s="21" t="s">
        <v>20</v>
      </c>
      <c r="D26" s="21" t="s">
        <v>21</v>
      </c>
      <c r="E26" s="54" t="str">
        <f t="array" ref="E26">_xlfn.XLOOKUP(A26,'WK 47'!A:A,'WK 47'!E:E,"")</f>
        <v>FT</v>
      </c>
      <c r="F26" s="103">
        <f t="array" ref="F26">_xlfn.XLOOKUP(A26,'WK 47'!A:A,'WK 47'!F:F,"")</f>
        <v>2</v>
      </c>
      <c r="G26" s="54">
        <v>0.458333333333333</v>
      </c>
      <c r="H26" s="54">
        <f t="shared" si="11"/>
        <v>0.875</v>
      </c>
      <c r="I26" s="54">
        <v>0.458333333333333</v>
      </c>
      <c r="J26" s="54">
        <f t="shared" si="12"/>
        <v>0.875</v>
      </c>
      <c r="K26" s="54">
        <v>0.458333333333333</v>
      </c>
      <c r="L26" s="54">
        <f t="shared" si="13"/>
        <v>0.875</v>
      </c>
      <c r="M26" s="54">
        <v>0.458333333333333</v>
      </c>
      <c r="N26" s="54">
        <f t="shared" si="14"/>
        <v>0.875</v>
      </c>
      <c r="O26" s="21" t="s">
        <v>23</v>
      </c>
      <c r="P26" s="21" t="s">
        <v>23</v>
      </c>
      <c r="Q26" s="21" t="s">
        <v>23</v>
      </c>
      <c r="R26" s="21" t="s">
        <v>23</v>
      </c>
      <c r="S26" s="54">
        <v>0.458333333333333</v>
      </c>
      <c r="T26" s="54">
        <v>0.666666666666667</v>
      </c>
      <c r="U26" s="21">
        <f>IFERROR(__xludf.DUMMYFUNCTION("TO_PURE_NUMBER(SUM(FILTER(G26:T26, ISEVEN(COLUMN(G26:T26))))-SUM(FILTER(G26:T26, ISODD(COLUMN(G26:T26)))))*24"),45)</f>
        <v>45</v>
      </c>
      <c r="V26" s="17">
        <f t="array" ref="V26">_xlfn.XLOOKUP(A26,'WK 47'!A:A,'WK 47'!V:V,"")</f>
        <v>45</v>
      </c>
      <c r="W26" s="7">
        <f t="shared" si="0"/>
        <v>0</v>
      </c>
      <c r="X26" s="20">
        <v>0.416666666666667</v>
      </c>
      <c r="Y26" s="17" t="str">
        <f t="array" ref="Y26">_xlfn.XLOOKUP(A26,'WK 47'!A:A,'WK 47'!AA:AA,"")</f>
        <v>early</v>
      </c>
      <c r="Z26" s="61" t="str">
        <f t="shared" si="1"/>
        <v>late</v>
      </c>
      <c r="AA26" s="106"/>
      <c r="AB26" s="61"/>
      <c r="AC26" s="61"/>
      <c r="AD26" s="61"/>
      <c r="AE26" s="61"/>
      <c r="AF26" s="61"/>
      <c r="AG26" s="61"/>
      <c r="AH26" s="61"/>
      <c r="AI26" s="61"/>
      <c r="AJ26" s="61"/>
      <c r="AK26" s="61"/>
    </row>
    <row r="27" customHeight="1" spans="1:37">
      <c r="A27" s="21">
        <v>10320418</v>
      </c>
      <c r="B27" s="86" t="s">
        <v>68</v>
      </c>
      <c r="C27" s="21" t="s">
        <v>20</v>
      </c>
      <c r="D27" s="21" t="s">
        <v>21</v>
      </c>
      <c r="E27" s="54" t="str">
        <f t="array" ref="E27">_xlfn.XLOOKUP(A27,'WK 47'!A:A,'WK 47'!E:E,"")</f>
        <v>FT</v>
      </c>
      <c r="F27" s="103">
        <f t="array" ref="F27">_xlfn.XLOOKUP(A27,'WK 47'!A:A,'WK 47'!F:F,"")</f>
        <v>3</v>
      </c>
      <c r="G27" s="54">
        <v>0.5</v>
      </c>
      <c r="H27" s="54">
        <f t="shared" si="11"/>
        <v>0.875</v>
      </c>
      <c r="I27" s="54">
        <v>0.5</v>
      </c>
      <c r="J27" s="54">
        <f t="shared" si="12"/>
        <v>0.875</v>
      </c>
      <c r="K27" s="54">
        <v>0.5</v>
      </c>
      <c r="L27" s="54">
        <f t="shared" si="13"/>
        <v>0.875</v>
      </c>
      <c r="M27" s="54">
        <v>0.5</v>
      </c>
      <c r="N27" s="54">
        <f t="shared" si="14"/>
        <v>0.875</v>
      </c>
      <c r="O27" s="21" t="s">
        <v>23</v>
      </c>
      <c r="P27" s="21" t="s">
        <v>23</v>
      </c>
      <c r="Q27" s="21" t="s">
        <v>23</v>
      </c>
      <c r="R27" s="21" t="s">
        <v>23</v>
      </c>
      <c r="S27" s="54">
        <v>0.458333333333333</v>
      </c>
      <c r="T27" s="54">
        <v>0.666666666666667</v>
      </c>
      <c r="U27" s="21">
        <f>IFERROR(__xludf.DUMMYFUNCTION("TO_PURE_NUMBER(SUM(FILTER(G27:T27, ISEVEN(COLUMN(G27:T27))))-SUM(FILTER(G27:T27, ISODD(COLUMN(G27:T27)))))*24"),41)</f>
        <v>41</v>
      </c>
      <c r="V27" s="17">
        <v>41</v>
      </c>
      <c r="W27" s="7">
        <f t="shared" si="0"/>
        <v>0</v>
      </c>
      <c r="X27" s="20">
        <v>0.375</v>
      </c>
      <c r="Y27" s="17" t="str">
        <f t="array" ref="Y27">_xlfn.XLOOKUP(A27,'WK 47'!A:A,'WK 47'!AA:AA,"")</f>
        <v>early</v>
      </c>
      <c r="Z27" s="61" t="str">
        <f t="shared" si="1"/>
        <v>late</v>
      </c>
      <c r="AA27" s="106"/>
      <c r="AB27" s="61"/>
      <c r="AC27" s="61"/>
      <c r="AD27" s="61"/>
      <c r="AE27" s="61"/>
      <c r="AF27" s="61"/>
      <c r="AG27" s="61"/>
      <c r="AH27" s="61"/>
      <c r="AI27" s="61"/>
      <c r="AJ27" s="61"/>
      <c r="AK27" s="61"/>
    </row>
    <row r="28" customHeight="1" spans="1:37">
      <c r="A28" s="21">
        <v>10317522</v>
      </c>
      <c r="B28" s="86" t="s">
        <v>31</v>
      </c>
      <c r="C28" s="21" t="s">
        <v>20</v>
      </c>
      <c r="D28" s="21" t="s">
        <v>21</v>
      </c>
      <c r="E28" s="54" t="str">
        <f t="array" ref="E28">_xlfn.XLOOKUP(A28,'WK 47'!A:A,'WK 47'!E:E,"")</f>
        <v>FT</v>
      </c>
      <c r="F28" s="103">
        <f t="array" ref="F28">_xlfn.XLOOKUP(A28,'WK 47'!A:A,'WK 47'!F:F,"")</f>
        <v>2</v>
      </c>
      <c r="G28" s="54">
        <v>0.375</v>
      </c>
      <c r="H28" s="54">
        <v>0.75</v>
      </c>
      <c r="I28" s="54">
        <v>0.375</v>
      </c>
      <c r="J28" s="54">
        <v>0.75</v>
      </c>
      <c r="K28" s="54">
        <v>0.375</v>
      </c>
      <c r="L28" s="54">
        <v>0.75</v>
      </c>
      <c r="M28" s="54">
        <v>0.375</v>
      </c>
      <c r="N28" s="54">
        <v>0.75</v>
      </c>
      <c r="O28" s="54">
        <v>0.375</v>
      </c>
      <c r="P28" s="54">
        <v>0.75</v>
      </c>
      <c r="Q28" s="21" t="s">
        <v>23</v>
      </c>
      <c r="R28" s="21" t="s">
        <v>23</v>
      </c>
      <c r="S28" s="21" t="s">
        <v>23</v>
      </c>
      <c r="T28" s="21" t="s">
        <v>23</v>
      </c>
      <c r="U28" s="21">
        <f>IFERROR(__xludf.DUMMYFUNCTION("TO_PURE_NUMBER(SUM(FILTER(G28:T28, ISEVEN(COLUMN(G28:T28))))-SUM(FILTER(G28:T28, ISODD(COLUMN(G28:T28)))))*24"),45)</f>
        <v>45</v>
      </c>
      <c r="V28" s="17">
        <f t="array" ref="V28">_xlfn.XLOOKUP(A28,'WK 47'!A:A,'WK 47'!V:V,"")</f>
        <v>45</v>
      </c>
      <c r="W28" s="7">
        <f t="shared" si="0"/>
        <v>0</v>
      </c>
      <c r="X28" s="20">
        <f t="array" ref="X28">_xlfn.XLOOKUP(A28,'WK 45'!A:A,'WK 45'!X:X,"")</f>
        <v>0.375</v>
      </c>
      <c r="Y28" s="17" t="str">
        <f t="array" ref="Y28">_xlfn.XLOOKUP(A28,'WK 47'!A:A,'WK 47'!AA:AA,"")</f>
        <v>late</v>
      </c>
      <c r="Z28" s="61" t="str">
        <f t="shared" si="1"/>
        <v> early</v>
      </c>
      <c r="AA28" s="106"/>
      <c r="AB28" s="61"/>
      <c r="AC28" s="61"/>
      <c r="AD28" s="61"/>
      <c r="AE28" s="61"/>
      <c r="AF28" s="61"/>
      <c r="AG28" s="61"/>
      <c r="AH28" s="61"/>
      <c r="AI28" s="61"/>
      <c r="AJ28" s="61"/>
      <c r="AK28" s="61"/>
    </row>
    <row r="29" customHeight="1" spans="1:37">
      <c r="A29" s="21">
        <v>10320409</v>
      </c>
      <c r="B29" s="86" t="s">
        <v>57</v>
      </c>
      <c r="C29" s="21" t="s">
        <v>20</v>
      </c>
      <c r="D29" s="21" t="s">
        <v>21</v>
      </c>
      <c r="E29" s="54" t="str">
        <f t="array" ref="E29">_xlfn.XLOOKUP(A29,'WK 47'!A:A,'WK 47'!E:E,"")</f>
        <v>FT</v>
      </c>
      <c r="F29" s="103">
        <f t="array" ref="F29">_xlfn.XLOOKUP(A29,'WK 47'!A:A,'WK 47'!F:F,"")</f>
        <v>3</v>
      </c>
      <c r="G29" s="54">
        <v>0.5</v>
      </c>
      <c r="H29" s="54">
        <f>IFERROR(G29+$X29,"OFF")</f>
        <v>0.875</v>
      </c>
      <c r="I29" s="54">
        <v>0.5</v>
      </c>
      <c r="J29" s="54">
        <f>IFERROR(I29+$X29,"OFF")</f>
        <v>0.875</v>
      </c>
      <c r="K29" s="21" t="s">
        <v>23</v>
      </c>
      <c r="L29" s="21" t="s">
        <v>23</v>
      </c>
      <c r="M29" s="21" t="s">
        <v>23</v>
      </c>
      <c r="N29" s="21" t="s">
        <v>23</v>
      </c>
      <c r="O29" s="54">
        <v>0.5</v>
      </c>
      <c r="P29" s="54">
        <f>IFERROR(O29+$X29,"OFF")</f>
        <v>0.875</v>
      </c>
      <c r="Q29" s="54">
        <v>0.458333333333333</v>
      </c>
      <c r="R29" s="54">
        <v>0.666666666666667</v>
      </c>
      <c r="S29" s="54">
        <v>0.458333333333333</v>
      </c>
      <c r="T29" s="54">
        <v>0.666666666666667</v>
      </c>
      <c r="U29" s="21">
        <f>IFERROR(__xludf.DUMMYFUNCTION("TO_PURE_NUMBER(SUM(FILTER(G29:T29, ISEVEN(COLUMN(G29:T29))))-SUM(FILTER(G29:T29, ISODD(COLUMN(G29:T29)))))*24"),37)</f>
        <v>37</v>
      </c>
      <c r="V29" s="17">
        <v>37</v>
      </c>
      <c r="W29" s="7">
        <f t="shared" si="0"/>
        <v>0</v>
      </c>
      <c r="X29" s="20">
        <v>0.375</v>
      </c>
      <c r="Y29" s="17" t="str">
        <f t="array" ref="Y29">_xlfn.XLOOKUP(A29,'WK 47'!A:A,'WK 47'!AA:AA,"")</f>
        <v>early</v>
      </c>
      <c r="Z29" s="61" t="str">
        <f t="shared" si="1"/>
        <v>late</v>
      </c>
      <c r="AA29" s="106"/>
      <c r="AB29" s="61"/>
      <c r="AC29" s="61"/>
      <c r="AD29" s="61"/>
      <c r="AE29" s="61"/>
      <c r="AF29" s="61"/>
      <c r="AG29" s="61"/>
      <c r="AH29" s="61"/>
      <c r="AI29" s="61"/>
      <c r="AJ29" s="61"/>
      <c r="AK29" s="61"/>
    </row>
    <row r="30" customHeight="1" spans="1:37">
      <c r="A30" s="21">
        <v>10316650</v>
      </c>
      <c r="B30" s="86" t="s">
        <v>39</v>
      </c>
      <c r="C30" s="21" t="s">
        <v>20</v>
      </c>
      <c r="D30" s="21" t="s">
        <v>21</v>
      </c>
      <c r="E30" s="54" t="str">
        <f t="array" ref="E30">_xlfn.XLOOKUP(A30,'WK 47'!A:A,'WK 47'!E:E,"")</f>
        <v>FT</v>
      </c>
      <c r="F30" s="103">
        <f t="array" ref="F30">_xlfn.XLOOKUP(A30,'WK 47'!A:A,'WK 47'!F:F,"")</f>
        <v>2</v>
      </c>
      <c r="G30" s="54">
        <v>0.375</v>
      </c>
      <c r="H30" s="54">
        <v>0.75</v>
      </c>
      <c r="I30" s="54">
        <v>0.375</v>
      </c>
      <c r="J30" s="54">
        <v>0.75</v>
      </c>
      <c r="K30" s="54">
        <v>0.375</v>
      </c>
      <c r="L30" s="54">
        <v>0.75</v>
      </c>
      <c r="M30" s="54">
        <v>0.375</v>
      </c>
      <c r="N30" s="54">
        <v>0.75</v>
      </c>
      <c r="O30" s="54">
        <v>0.375</v>
      </c>
      <c r="P30" s="54">
        <v>0.75</v>
      </c>
      <c r="Q30" s="21" t="s">
        <v>23</v>
      </c>
      <c r="R30" s="21" t="s">
        <v>23</v>
      </c>
      <c r="S30" s="21" t="s">
        <v>23</v>
      </c>
      <c r="T30" s="21" t="s">
        <v>23</v>
      </c>
      <c r="U30" s="21">
        <f>IFERROR(__xludf.DUMMYFUNCTION("TO_PURE_NUMBER(SUM(FILTER(G30:T30, ISEVEN(COLUMN(G30:T30))))-SUM(FILTER(G30:T30, ISODD(COLUMN(G30:T30)))))*24"),45)</f>
        <v>45</v>
      </c>
      <c r="V30" s="17">
        <f t="array" ref="V30">_xlfn.XLOOKUP(A30,'WK 47'!A:A,'WK 47'!V:V,"")</f>
        <v>45</v>
      </c>
      <c r="W30" s="7">
        <f t="shared" si="0"/>
        <v>0</v>
      </c>
      <c r="X30" s="20">
        <f t="array" ref="X30">_xlfn.XLOOKUP(A30,'WK 45'!A:A,'WK 45'!X:X,"")</f>
        <v>0.375</v>
      </c>
      <c r="Y30" s="17" t="str">
        <f t="array" ref="Y30">_xlfn.XLOOKUP(A30,'WK 47'!A:A,'WK 47'!AA:AA,"")</f>
        <v>early</v>
      </c>
      <c r="Z30" s="61" t="str">
        <f t="shared" si="1"/>
        <v>late</v>
      </c>
      <c r="AA30" s="106"/>
      <c r="AB30" s="61"/>
      <c r="AC30" s="61"/>
      <c r="AD30" s="61"/>
      <c r="AE30" s="61"/>
      <c r="AF30" s="61"/>
      <c r="AG30" s="61"/>
      <c r="AH30" s="61"/>
      <c r="AI30" s="61"/>
      <c r="AJ30" s="61"/>
      <c r="AK30" s="61"/>
    </row>
    <row r="31" customHeight="1" spans="1:37">
      <c r="A31" s="21">
        <v>10317943</v>
      </c>
      <c r="B31" s="86" t="s">
        <v>27</v>
      </c>
      <c r="C31" s="21" t="s">
        <v>20</v>
      </c>
      <c r="D31" s="21" t="s">
        <v>21</v>
      </c>
      <c r="E31" s="54" t="str">
        <f t="array" ref="E31">_xlfn.XLOOKUP(A31,'WK 47'!A:A,'WK 47'!E:E,"")</f>
        <v>FT</v>
      </c>
      <c r="F31" s="103">
        <f t="array" ref="F31">_xlfn.XLOOKUP(A31,'WK 47'!A:A,'WK 47'!F:F,"")</f>
        <v>2</v>
      </c>
      <c r="G31" s="54">
        <v>0.375</v>
      </c>
      <c r="H31" s="54">
        <f>IFERROR(G31+$X31,"OFF")</f>
        <v>0.75</v>
      </c>
      <c r="I31" s="54">
        <v>0.375</v>
      </c>
      <c r="J31" s="54">
        <f>IFERROR(I31+$X31,"OFF")</f>
        <v>0.75</v>
      </c>
      <c r="K31" s="54">
        <v>0.375</v>
      </c>
      <c r="L31" s="54">
        <f>IFERROR(K31+$X31,"OFF")</f>
        <v>0.75</v>
      </c>
      <c r="M31" s="54">
        <v>0.375</v>
      </c>
      <c r="N31" s="54">
        <f>IFERROR(M31+$X31,"OFF")</f>
        <v>0.75</v>
      </c>
      <c r="O31" s="54">
        <v>0.375</v>
      </c>
      <c r="P31" s="54">
        <f>IFERROR(O31+$X31,"OFF")</f>
        <v>0.75</v>
      </c>
      <c r="Q31" s="21" t="s">
        <v>23</v>
      </c>
      <c r="R31" s="21" t="s">
        <v>23</v>
      </c>
      <c r="S31" s="21" t="s">
        <v>23</v>
      </c>
      <c r="T31" s="21" t="s">
        <v>23</v>
      </c>
      <c r="U31" s="21">
        <f>IFERROR(__xludf.DUMMYFUNCTION("TO_PURE_NUMBER(SUM(FILTER(G31:T31, ISEVEN(COLUMN(G31:T31))))-SUM(FILTER(G31:T31, ISODD(COLUMN(G31:T31)))))*24"),45)</f>
        <v>45</v>
      </c>
      <c r="V31" s="17">
        <f t="array" ref="V31">_xlfn.XLOOKUP(A31,'WK 47'!A:A,'WK 47'!V:V,"")</f>
        <v>45</v>
      </c>
      <c r="W31" s="7">
        <f t="shared" si="0"/>
        <v>0</v>
      </c>
      <c r="X31" s="20">
        <f t="array" ref="X31">_xlfn.XLOOKUP(A31,'WK 45'!A:A,'WK 45'!X:X,"")</f>
        <v>0.375</v>
      </c>
      <c r="Y31" s="17" t="str">
        <f t="array" ref="Y31">_xlfn.XLOOKUP(A31,'WK 47'!A:A,'WK 47'!AA:AA,"")</f>
        <v>early</v>
      </c>
      <c r="Z31" s="61" t="str">
        <f t="shared" si="1"/>
        <v>late</v>
      </c>
      <c r="AA31" s="106"/>
      <c r="AB31" s="61"/>
      <c r="AC31" s="61"/>
      <c r="AD31" s="61"/>
      <c r="AE31" s="61"/>
      <c r="AF31" s="61"/>
      <c r="AG31" s="61"/>
      <c r="AH31" s="61"/>
      <c r="AI31" s="61"/>
      <c r="AJ31" s="61"/>
      <c r="AK31" s="61"/>
    </row>
    <row r="32" customHeight="1" spans="1:37">
      <c r="A32" s="21">
        <v>10316572</v>
      </c>
      <c r="B32" s="86" t="s">
        <v>46</v>
      </c>
      <c r="C32" s="21" t="s">
        <v>20</v>
      </c>
      <c r="D32" s="21" t="s">
        <v>21</v>
      </c>
      <c r="E32" s="54" t="str">
        <f t="array" ref="E32">_xlfn.XLOOKUP(A32,'WK 47'!A:A,'WK 47'!E:E,"")</f>
        <v>FT</v>
      </c>
      <c r="F32" s="103">
        <f t="array" ref="F32">_xlfn.XLOOKUP(A32,'WK 47'!A:A,'WK 47'!F:F,"")</f>
        <v>2</v>
      </c>
      <c r="G32" s="54">
        <v>0.375</v>
      </c>
      <c r="H32" s="54">
        <v>0.75</v>
      </c>
      <c r="I32" s="54">
        <v>0.375</v>
      </c>
      <c r="J32" s="54">
        <v>0.75</v>
      </c>
      <c r="K32" s="54">
        <v>0.375</v>
      </c>
      <c r="L32" s="54">
        <v>0.75</v>
      </c>
      <c r="M32" s="54">
        <v>0.375</v>
      </c>
      <c r="N32" s="54">
        <v>0.75</v>
      </c>
      <c r="O32" s="54">
        <v>0.375</v>
      </c>
      <c r="P32" s="54">
        <v>0.75</v>
      </c>
      <c r="Q32" s="21" t="s">
        <v>23</v>
      </c>
      <c r="R32" s="21" t="s">
        <v>23</v>
      </c>
      <c r="S32" s="21" t="s">
        <v>23</v>
      </c>
      <c r="T32" s="21" t="s">
        <v>23</v>
      </c>
      <c r="U32" s="21">
        <f>IFERROR(__xludf.DUMMYFUNCTION("TO_PURE_NUMBER(SUM(FILTER(G32:T32, ISEVEN(COLUMN(G32:T32))))-SUM(FILTER(G32:T32, ISODD(COLUMN(G32:T32)))))*24"),45)</f>
        <v>45</v>
      </c>
      <c r="V32" s="17">
        <f t="array" ref="V32">_xlfn.XLOOKUP(A32,'WK 47'!A:A,'WK 47'!V:V,"")</f>
        <v>45</v>
      </c>
      <c r="W32" s="7">
        <f t="shared" si="0"/>
        <v>0</v>
      </c>
      <c r="X32" s="20">
        <f t="array" ref="X32">_xlfn.XLOOKUP(A32,'WK 45'!A:A,'WK 45'!X:X,"")</f>
        <v>0.375</v>
      </c>
      <c r="Y32" s="17" t="str">
        <f t="array" ref="Y32">_xlfn.XLOOKUP(A32,'WK 47'!A:A,'WK 47'!AA:AA,"")</f>
        <v>late</v>
      </c>
      <c r="Z32" s="61" t="str">
        <f t="shared" si="1"/>
        <v> early</v>
      </c>
      <c r="AA32" s="106"/>
      <c r="AB32" s="61"/>
      <c r="AC32" s="61"/>
      <c r="AD32" s="61"/>
      <c r="AE32" s="61"/>
      <c r="AF32" s="61"/>
      <c r="AG32" s="61"/>
      <c r="AH32" s="61"/>
      <c r="AI32" s="61"/>
      <c r="AJ32" s="61"/>
      <c r="AK32" s="61"/>
    </row>
    <row r="33" customHeight="1" spans="1:37">
      <c r="A33" s="21">
        <v>10320408</v>
      </c>
      <c r="B33" s="86" t="s">
        <v>56</v>
      </c>
      <c r="C33" s="21" t="s">
        <v>20</v>
      </c>
      <c r="D33" s="21" t="s">
        <v>21</v>
      </c>
      <c r="E33" s="54" t="str">
        <f t="array" ref="E33">_xlfn.XLOOKUP(A33,'WK 47'!A:A,'WK 47'!E:E,"")</f>
        <v>FT</v>
      </c>
      <c r="F33" s="103">
        <f t="array" ref="F33">_xlfn.XLOOKUP(A33,'WK 47'!A:A,'WK 47'!F:F,"")</f>
        <v>3</v>
      </c>
      <c r="G33" s="54">
        <v>0.375</v>
      </c>
      <c r="H33" s="54">
        <v>0.75</v>
      </c>
      <c r="I33" s="54">
        <v>0.375</v>
      </c>
      <c r="J33" s="54">
        <v>0.75</v>
      </c>
      <c r="K33" s="54">
        <v>0.375</v>
      </c>
      <c r="L33" s="54">
        <v>0.75</v>
      </c>
      <c r="M33" s="54">
        <v>0.375</v>
      </c>
      <c r="N33" s="54">
        <v>0.75</v>
      </c>
      <c r="O33" s="54">
        <v>0.375</v>
      </c>
      <c r="P33" s="54">
        <v>0.75</v>
      </c>
      <c r="Q33" s="21" t="s">
        <v>23</v>
      </c>
      <c r="R33" s="21" t="s">
        <v>23</v>
      </c>
      <c r="S33" s="21" t="s">
        <v>23</v>
      </c>
      <c r="T33" s="21" t="s">
        <v>23</v>
      </c>
      <c r="U33" s="21">
        <f>IFERROR(__xludf.DUMMYFUNCTION("TO_PURE_NUMBER(SUM(FILTER(G33:T33, ISEVEN(COLUMN(G33:T33))))-SUM(FILTER(G33:T33, ISODD(COLUMN(G33:T33)))))*24"),45)</f>
        <v>45</v>
      </c>
      <c r="V33" s="17">
        <f t="array" ref="V33">_xlfn.XLOOKUP(A33,'WK 47'!A:A,'WK 47'!V:V,"")</f>
        <v>45</v>
      </c>
      <c r="W33" s="7">
        <f t="shared" si="0"/>
        <v>0</v>
      </c>
      <c r="X33" s="20">
        <v>0.208333333333333</v>
      </c>
      <c r="Y33" s="17" t="str">
        <f t="array" ref="Y33">_xlfn.XLOOKUP(A33,'WK 47'!A:A,'WK 47'!AA:AA,"")</f>
        <v>early</v>
      </c>
      <c r="Z33" s="61" t="str">
        <f t="shared" si="1"/>
        <v>late</v>
      </c>
      <c r="AA33" s="106"/>
      <c r="AB33" s="61"/>
      <c r="AC33" s="61"/>
      <c r="AD33" s="61"/>
      <c r="AE33" s="61"/>
      <c r="AF33" s="61"/>
      <c r="AG33" s="61"/>
      <c r="AH33" s="61"/>
      <c r="AI33" s="61"/>
      <c r="AJ33" s="61"/>
      <c r="AK33" s="61"/>
    </row>
    <row r="34" customHeight="1" spans="1:37">
      <c r="A34" s="21">
        <v>10320417</v>
      </c>
      <c r="B34" s="86" t="s">
        <v>67</v>
      </c>
      <c r="C34" s="21" t="s">
        <v>20</v>
      </c>
      <c r="D34" s="21" t="s">
        <v>21</v>
      </c>
      <c r="E34" s="54" t="str">
        <f t="array" ref="E34">_xlfn.XLOOKUP(A34,'WK 47'!A:A,'WK 47'!E:E,"")</f>
        <v>FT</v>
      </c>
      <c r="F34" s="103">
        <f t="array" ref="F34">_xlfn.XLOOKUP(A34,'WK 47'!A:A,'WK 47'!F:F,"")</f>
        <v>3</v>
      </c>
      <c r="G34" s="54">
        <v>0.375</v>
      </c>
      <c r="H34" s="54">
        <v>0.75</v>
      </c>
      <c r="I34" s="54">
        <v>0.375</v>
      </c>
      <c r="J34" s="54">
        <v>0.75</v>
      </c>
      <c r="K34" s="54">
        <v>0.375</v>
      </c>
      <c r="L34" s="54">
        <v>0.75</v>
      </c>
      <c r="M34" s="54">
        <v>0.375</v>
      </c>
      <c r="N34" s="54">
        <v>0.75</v>
      </c>
      <c r="O34" s="54">
        <v>0.375</v>
      </c>
      <c r="P34" s="54">
        <v>0.75</v>
      </c>
      <c r="Q34" s="21" t="s">
        <v>23</v>
      </c>
      <c r="R34" s="21" t="s">
        <v>23</v>
      </c>
      <c r="S34" s="21" t="s">
        <v>23</v>
      </c>
      <c r="T34" s="21" t="s">
        <v>23</v>
      </c>
      <c r="U34" s="21">
        <f>IFERROR(__xludf.DUMMYFUNCTION("TO_PURE_NUMBER(SUM(FILTER(G34:T34, ISEVEN(COLUMN(G34:T34))))-SUM(FILTER(G34:T34, ISODD(COLUMN(G34:T34)))))*24"),45)</f>
        <v>45</v>
      </c>
      <c r="V34" s="17">
        <f t="array" ref="V34">_xlfn.XLOOKUP(A34,'WK 47'!A:A,'WK 47'!V:V,"")</f>
        <v>45</v>
      </c>
      <c r="W34" s="7">
        <f t="shared" si="0"/>
        <v>0</v>
      </c>
      <c r="X34" s="17" t="str">
        <f t="array" ref="X34">_xlfn.XLOOKUP(A34,Pref!A:A,Pref!E:E,"")</f>
        <v/>
      </c>
      <c r="Y34" s="17" t="str">
        <f t="array" ref="Y34">_xlfn.XLOOKUP(A34,'WK 47'!A:A,'WK 47'!AA:AA,"")</f>
        <v>early</v>
      </c>
      <c r="Z34" s="61" t="str">
        <f t="shared" si="1"/>
        <v>late</v>
      </c>
      <c r="AA34" s="106"/>
      <c r="AB34" s="61"/>
      <c r="AC34" s="61"/>
      <c r="AD34" s="61"/>
      <c r="AE34" s="61"/>
      <c r="AF34" s="61"/>
      <c r="AG34" s="61"/>
      <c r="AH34" s="61"/>
      <c r="AI34" s="61"/>
      <c r="AJ34" s="61"/>
      <c r="AK34" s="61"/>
    </row>
    <row r="35" customHeight="1" spans="1:37">
      <c r="A35" s="21">
        <v>10320412</v>
      </c>
      <c r="B35" s="86" t="s">
        <v>59</v>
      </c>
      <c r="C35" s="21" t="s">
        <v>20</v>
      </c>
      <c r="D35" s="21" t="s">
        <v>21</v>
      </c>
      <c r="E35" s="54" t="str">
        <f t="array" ref="E35">_xlfn.XLOOKUP(A35,'WK 47'!A:A,'WK 47'!E:E,"")</f>
        <v>FT</v>
      </c>
      <c r="F35" s="103">
        <f t="array" ref="F35">_xlfn.XLOOKUP(A35,'WK 47'!A:A,'WK 47'!F:F,"")</f>
        <v>3</v>
      </c>
      <c r="G35" s="54">
        <v>0.375</v>
      </c>
      <c r="H35" s="54">
        <v>0.75</v>
      </c>
      <c r="I35" s="54">
        <v>0.375</v>
      </c>
      <c r="J35" s="54">
        <v>0.75</v>
      </c>
      <c r="K35" s="54">
        <v>0.375</v>
      </c>
      <c r="L35" s="54">
        <v>0.75</v>
      </c>
      <c r="M35" s="54">
        <v>0.375</v>
      </c>
      <c r="N35" s="54">
        <v>0.75</v>
      </c>
      <c r="O35" s="54">
        <v>0.375</v>
      </c>
      <c r="P35" s="54">
        <v>0.75</v>
      </c>
      <c r="Q35" s="21" t="s">
        <v>23</v>
      </c>
      <c r="R35" s="21" t="s">
        <v>23</v>
      </c>
      <c r="S35" s="21" t="s">
        <v>23</v>
      </c>
      <c r="T35" s="21" t="s">
        <v>23</v>
      </c>
      <c r="U35" s="21">
        <f>IFERROR(__xludf.DUMMYFUNCTION("TO_PURE_NUMBER(SUM(FILTER(G35:T35, ISEVEN(COLUMN(G35:T35))))-SUM(FILTER(G35:T35, ISODD(COLUMN(G35:T35)))))*24"),45)</f>
        <v>45</v>
      </c>
      <c r="V35" s="17">
        <f t="array" ref="V35">_xlfn.XLOOKUP(A35,'WK 47'!A:A,'WK 47'!V:V,"")</f>
        <v>45</v>
      </c>
      <c r="W35" s="7">
        <f t="shared" si="0"/>
        <v>0</v>
      </c>
      <c r="X35" s="20">
        <v>0.375</v>
      </c>
      <c r="Y35" s="17" t="str">
        <f t="array" ref="Y35">_xlfn.XLOOKUP(A35,'WK 47'!A:A,'WK 47'!AA:AA,"")</f>
        <v>early</v>
      </c>
      <c r="Z35" s="61" t="str">
        <f t="shared" si="1"/>
        <v>late</v>
      </c>
      <c r="AA35" s="106"/>
      <c r="AB35" s="61"/>
      <c r="AC35" s="61"/>
      <c r="AD35" s="61"/>
      <c r="AE35" s="61"/>
      <c r="AF35" s="61"/>
      <c r="AG35" s="61"/>
      <c r="AH35" s="61"/>
      <c r="AI35" s="61"/>
      <c r="AJ35" s="61"/>
      <c r="AK35" s="61"/>
    </row>
    <row r="36" customHeight="1" spans="1:37">
      <c r="A36" s="21">
        <v>10320410</v>
      </c>
      <c r="B36" s="86" t="s">
        <v>58</v>
      </c>
      <c r="C36" s="21" t="s">
        <v>20</v>
      </c>
      <c r="D36" s="21" t="s">
        <v>21</v>
      </c>
      <c r="E36" s="54" t="str">
        <f t="array" ref="E36">_xlfn.XLOOKUP(A36,'WK 47'!A:A,'WK 47'!E:E,"")</f>
        <v>FT</v>
      </c>
      <c r="F36" s="103">
        <f t="array" ref="F36">_xlfn.XLOOKUP(A36,'WK 47'!A:A,'WK 47'!F:F,"")</f>
        <v>3</v>
      </c>
      <c r="G36" s="54">
        <v>0.375</v>
      </c>
      <c r="H36" s="54">
        <v>0.75</v>
      </c>
      <c r="I36" s="54">
        <v>0.375</v>
      </c>
      <c r="J36" s="54">
        <v>0.75</v>
      </c>
      <c r="K36" s="54">
        <v>0.375</v>
      </c>
      <c r="L36" s="54">
        <v>0.75</v>
      </c>
      <c r="M36" s="54">
        <v>0.375</v>
      </c>
      <c r="N36" s="54">
        <v>0.75</v>
      </c>
      <c r="O36" s="54">
        <v>0.375</v>
      </c>
      <c r="P36" s="54">
        <v>0.75</v>
      </c>
      <c r="Q36" s="21" t="s">
        <v>23</v>
      </c>
      <c r="R36" s="21" t="s">
        <v>23</v>
      </c>
      <c r="S36" s="21" t="s">
        <v>23</v>
      </c>
      <c r="T36" s="21" t="s">
        <v>23</v>
      </c>
      <c r="U36" s="21">
        <f>IFERROR(__xludf.DUMMYFUNCTION("TO_PURE_NUMBER(SUM(FILTER(G36:T36, ISEVEN(COLUMN(G36:T36))))-SUM(FILTER(G36:T36, ISODD(COLUMN(G36:T36)))))*24"),45)</f>
        <v>45</v>
      </c>
      <c r="V36" s="17">
        <f t="array" ref="V36">_xlfn.XLOOKUP(A36,'WK 47'!A:A,'WK 47'!V:V,"")</f>
        <v>45</v>
      </c>
      <c r="W36" s="7">
        <f t="shared" si="0"/>
        <v>0</v>
      </c>
      <c r="X36" s="20">
        <v>0.416666666666667</v>
      </c>
      <c r="Y36" s="17" t="str">
        <f t="array" ref="Y36">_xlfn.XLOOKUP(A36,'WK 47'!A:A,'WK 47'!AA:AA,"")</f>
        <v>early</v>
      </c>
      <c r="Z36" s="61" t="str">
        <f t="shared" si="1"/>
        <v>late</v>
      </c>
      <c r="AA36" s="106"/>
      <c r="AB36" s="61"/>
      <c r="AC36" s="61"/>
      <c r="AD36" s="61"/>
      <c r="AE36" s="61"/>
      <c r="AF36" s="61"/>
      <c r="AG36" s="61"/>
      <c r="AH36" s="61"/>
      <c r="AI36" s="61"/>
      <c r="AJ36" s="61"/>
      <c r="AK36" s="61"/>
    </row>
    <row r="37" customHeight="1" spans="1:37">
      <c r="A37" s="21">
        <v>10320415</v>
      </c>
      <c r="B37" s="86" t="s">
        <v>63</v>
      </c>
      <c r="C37" s="21" t="s">
        <v>20</v>
      </c>
      <c r="D37" s="21" t="s">
        <v>21</v>
      </c>
      <c r="E37" s="54" t="str">
        <f t="array" ref="E37">_xlfn.XLOOKUP(A37,'WK 47'!A:A,'WK 47'!E:E,"")</f>
        <v>FT</v>
      </c>
      <c r="F37" s="103">
        <f t="array" ref="F37">_xlfn.XLOOKUP(A37,'WK 47'!A:A,'WK 47'!F:F,"")</f>
        <v>3</v>
      </c>
      <c r="G37" s="21" t="s">
        <v>23</v>
      </c>
      <c r="H37" s="21" t="s">
        <v>23</v>
      </c>
      <c r="I37" s="54">
        <v>0.458333333333333</v>
      </c>
      <c r="J37" s="54">
        <v>0.875</v>
      </c>
      <c r="K37" s="54">
        <v>0.458333333333333</v>
      </c>
      <c r="L37" s="54">
        <v>0.875</v>
      </c>
      <c r="M37" s="54">
        <v>0.458333333333333</v>
      </c>
      <c r="N37" s="54">
        <v>0.875</v>
      </c>
      <c r="O37" s="54">
        <v>0.458333333333333</v>
      </c>
      <c r="P37" s="54">
        <v>0.875</v>
      </c>
      <c r="Q37" s="54">
        <v>0.458333333333333</v>
      </c>
      <c r="R37" s="54">
        <v>0.666666666666667</v>
      </c>
      <c r="S37" s="21" t="s">
        <v>23</v>
      </c>
      <c r="T37" s="21" t="s">
        <v>23</v>
      </c>
      <c r="U37" s="21">
        <f>IFERROR(__xludf.DUMMYFUNCTION("TO_PURE_NUMBER(SUM(FILTER(G37:T37, ISEVEN(COLUMN(G37:T37))))-SUM(FILTER(G37:T37, ISODD(COLUMN(G37:T37)))))*24"),45)</f>
        <v>45</v>
      </c>
      <c r="V37" s="17">
        <f t="array" ref="V37">_xlfn.XLOOKUP(A37,'WK 47'!A:A,'WK 47'!V:V,"")</f>
        <v>45</v>
      </c>
      <c r="W37" s="7">
        <f t="shared" si="0"/>
        <v>0</v>
      </c>
      <c r="X37" s="20">
        <v>0.416666666666667</v>
      </c>
      <c r="Y37" s="17" t="str">
        <f t="array" ref="Y37">_xlfn.XLOOKUP(A37,'WK 47'!A:A,'WK 47'!AA:AA,"")</f>
        <v>early</v>
      </c>
      <c r="Z37" s="61" t="str">
        <f t="shared" si="1"/>
        <v>late</v>
      </c>
      <c r="AA37" s="106"/>
      <c r="AB37" s="61"/>
      <c r="AC37" s="61"/>
      <c r="AD37" s="61"/>
      <c r="AE37" s="61"/>
      <c r="AF37" s="61"/>
      <c r="AG37" s="61"/>
      <c r="AH37" s="61"/>
      <c r="AI37" s="61"/>
      <c r="AJ37" s="61"/>
      <c r="AK37" s="61"/>
    </row>
    <row r="38" customHeight="1" spans="1:37">
      <c r="A38" s="21">
        <v>10320413</v>
      </c>
      <c r="B38" s="86" t="s">
        <v>60</v>
      </c>
      <c r="C38" s="21" t="s">
        <v>20</v>
      </c>
      <c r="D38" s="21" t="s">
        <v>21</v>
      </c>
      <c r="E38" s="54" t="str">
        <f t="array" ref="E38">_xlfn.XLOOKUP(A38,'WK 47'!A:A,'WK 47'!E:E,"")</f>
        <v>FT</v>
      </c>
      <c r="F38" s="103">
        <f t="array" ref="F38">_xlfn.XLOOKUP(A38,'WK 47'!A:A,'WK 47'!F:F,"")</f>
        <v>3</v>
      </c>
      <c r="G38" s="21" t="s">
        <v>23</v>
      </c>
      <c r="H38" s="21" t="s">
        <v>23</v>
      </c>
      <c r="I38" s="54">
        <v>0.458333333333333</v>
      </c>
      <c r="J38" s="54">
        <f t="shared" ref="J38:J40" si="15">IFERROR(I38+$X38,"OFF")</f>
        <v>0.875</v>
      </c>
      <c r="K38" s="54">
        <v>0.458333333333333</v>
      </c>
      <c r="L38" s="54">
        <f t="shared" ref="L38:L40" si="16">IFERROR(K38+$X38,"OFF")</f>
        <v>0.875</v>
      </c>
      <c r="M38" s="54">
        <v>0.458333333333333</v>
      </c>
      <c r="N38" s="54">
        <f t="shared" ref="N38:N40" si="17">IFERROR(M38+$X38,"OFF")</f>
        <v>0.875</v>
      </c>
      <c r="O38" s="54">
        <v>0.458333333333333</v>
      </c>
      <c r="P38" s="54">
        <f t="shared" ref="P38:P40" si="18">IFERROR(O38+$X38,"OFF")</f>
        <v>0.875</v>
      </c>
      <c r="Q38" s="54">
        <v>0.458333333333333</v>
      </c>
      <c r="R38" s="54">
        <v>0.666666666666667</v>
      </c>
      <c r="S38" s="21" t="s">
        <v>23</v>
      </c>
      <c r="T38" s="21" t="s">
        <v>23</v>
      </c>
      <c r="U38" s="21">
        <f>IFERROR(__xludf.DUMMYFUNCTION("TO_PURE_NUMBER(SUM(FILTER(G38:T38, ISEVEN(COLUMN(G38:T38))))-SUM(FILTER(G38:T38, ISODD(COLUMN(G38:T38)))))*24"),45)</f>
        <v>45</v>
      </c>
      <c r="V38" s="17">
        <f t="array" ref="V38">_xlfn.XLOOKUP(A38,'WK 47'!A:A,'WK 47'!V:V,"")</f>
        <v>45</v>
      </c>
      <c r="W38" s="7">
        <f t="shared" si="0"/>
        <v>0</v>
      </c>
      <c r="X38" s="20">
        <v>0.416666666666667</v>
      </c>
      <c r="Y38" s="17" t="str">
        <f t="array" ref="Y38">_xlfn.XLOOKUP(A38,'WK 47'!A:A,'WK 47'!AA:AA,"")</f>
        <v>early</v>
      </c>
      <c r="Z38" s="61" t="str">
        <f t="shared" si="1"/>
        <v>late</v>
      </c>
      <c r="AA38" s="106"/>
      <c r="AB38" s="61"/>
      <c r="AC38" s="61"/>
      <c r="AD38" s="61"/>
      <c r="AE38" s="61"/>
      <c r="AF38" s="61"/>
      <c r="AG38" s="61"/>
      <c r="AH38" s="61"/>
      <c r="AI38" s="61"/>
      <c r="AJ38" s="61"/>
      <c r="AK38" s="61"/>
    </row>
    <row r="39" customHeight="1" spans="1:37">
      <c r="A39" s="21">
        <v>10320414</v>
      </c>
      <c r="B39" s="86" t="s">
        <v>62</v>
      </c>
      <c r="C39" s="21" t="s">
        <v>20</v>
      </c>
      <c r="D39" s="21" t="s">
        <v>21</v>
      </c>
      <c r="E39" s="54" t="str">
        <f t="array" ref="E39">_xlfn.XLOOKUP(A39,'WK 47'!A:A,'WK 47'!E:E,"")</f>
        <v>FT</v>
      </c>
      <c r="F39" s="103">
        <f t="array" ref="F39">_xlfn.XLOOKUP(A39,'WK 47'!A:A,'WK 47'!F:F,"")</f>
        <v>3</v>
      </c>
      <c r="G39" s="21" t="s">
        <v>23</v>
      </c>
      <c r="H39" s="21" t="s">
        <v>23</v>
      </c>
      <c r="I39" s="54">
        <v>0.458333333333333</v>
      </c>
      <c r="J39" s="54">
        <f t="shared" si="15"/>
        <v>0.875</v>
      </c>
      <c r="K39" s="54">
        <v>0.458333333333333</v>
      </c>
      <c r="L39" s="54">
        <f t="shared" si="16"/>
        <v>0.875</v>
      </c>
      <c r="M39" s="54">
        <v>0.458333333333333</v>
      </c>
      <c r="N39" s="54">
        <f t="shared" si="17"/>
        <v>0.875</v>
      </c>
      <c r="O39" s="54">
        <v>0.458333333333333</v>
      </c>
      <c r="P39" s="54">
        <f t="shared" si="18"/>
        <v>0.875</v>
      </c>
      <c r="Q39" s="54">
        <v>0.458333333333333</v>
      </c>
      <c r="R39" s="54">
        <v>0.666666666666667</v>
      </c>
      <c r="S39" s="21" t="s">
        <v>23</v>
      </c>
      <c r="T39" s="21" t="s">
        <v>23</v>
      </c>
      <c r="U39" s="21">
        <f>IFERROR(__xludf.DUMMYFUNCTION("TO_PURE_NUMBER(SUM(FILTER(G39:T39, ISEVEN(COLUMN(G39:T39))))-SUM(FILTER(G39:T39, ISODD(COLUMN(G39:T39)))))*24"),45)</f>
        <v>45</v>
      </c>
      <c r="V39" s="17">
        <f t="array" ref="V39">_xlfn.XLOOKUP(A39,'WK 47'!A:A,'WK 47'!V:V,"")</f>
        <v>45</v>
      </c>
      <c r="W39" s="7">
        <f t="shared" si="0"/>
        <v>0</v>
      </c>
      <c r="X39" s="20">
        <v>0.416666666666667</v>
      </c>
      <c r="Y39" s="17" t="str">
        <f t="array" ref="Y39">_xlfn.XLOOKUP(A39,'WK 47'!A:A,'WK 47'!AA:AA,"")</f>
        <v>early</v>
      </c>
      <c r="Z39" s="61" t="str">
        <f t="shared" si="1"/>
        <v>late</v>
      </c>
      <c r="AA39" s="106"/>
      <c r="AB39" s="61"/>
      <c r="AC39" s="17"/>
      <c r="AD39" s="61"/>
      <c r="AE39" s="61"/>
      <c r="AF39" s="61"/>
      <c r="AG39" s="61"/>
      <c r="AH39" s="61"/>
      <c r="AI39" s="61"/>
      <c r="AJ39" s="61"/>
      <c r="AK39" s="61"/>
    </row>
    <row r="40" customHeight="1" spans="1:37">
      <c r="A40" s="105">
        <v>10250966</v>
      </c>
      <c r="B40" s="86" t="s">
        <v>61</v>
      </c>
      <c r="C40" s="21" t="s">
        <v>20</v>
      </c>
      <c r="D40" s="21" t="s">
        <v>21</v>
      </c>
      <c r="E40" s="54" t="str">
        <f t="array" ref="E40">_xlfn.XLOOKUP(A40,'WK 47'!A:A,'WK 47'!E:E,"")</f>
        <v>FT</v>
      </c>
      <c r="F40" s="103">
        <f t="array" ref="F40">_xlfn.XLOOKUP(A40,'WK 47'!A:A,'WK 47'!F:F,"")</f>
        <v>3</v>
      </c>
      <c r="G40" s="21" t="s">
        <v>23</v>
      </c>
      <c r="H40" s="21" t="s">
        <v>23</v>
      </c>
      <c r="I40" s="54">
        <v>0.458333333333333</v>
      </c>
      <c r="J40" s="54">
        <f t="shared" si="15"/>
        <v>0.875</v>
      </c>
      <c r="K40" s="54">
        <v>0.458333333333333</v>
      </c>
      <c r="L40" s="54">
        <f t="shared" si="16"/>
        <v>0.875</v>
      </c>
      <c r="M40" s="54">
        <v>0.458333333333333</v>
      </c>
      <c r="N40" s="54">
        <f t="shared" si="17"/>
        <v>0.875</v>
      </c>
      <c r="O40" s="54">
        <v>0.458333333333333</v>
      </c>
      <c r="P40" s="54">
        <f t="shared" si="18"/>
        <v>0.875</v>
      </c>
      <c r="Q40" s="54">
        <v>0.458333333333333</v>
      </c>
      <c r="R40" s="54">
        <v>0.666666666666667</v>
      </c>
      <c r="S40" s="21" t="s">
        <v>23</v>
      </c>
      <c r="T40" s="21" t="s">
        <v>23</v>
      </c>
      <c r="U40" s="21">
        <f>IFERROR(__xludf.DUMMYFUNCTION("TO_PURE_NUMBER(SUM(FILTER(G40:T40, ISEVEN(COLUMN(G40:T40))))-SUM(FILTER(G40:T40, ISODD(COLUMN(G40:T40)))))*24"),45)</f>
        <v>45</v>
      </c>
      <c r="V40" s="17">
        <f t="array" ref="V40">_xlfn.XLOOKUP(A40,'WK 47'!A:A,'WK 47'!V:V,"")</f>
        <v>45</v>
      </c>
      <c r="W40" s="7">
        <f t="shared" si="0"/>
        <v>0</v>
      </c>
      <c r="X40" s="20">
        <v>0.416666666666667</v>
      </c>
      <c r="Y40" s="17" t="str">
        <f t="array" ref="Y40">_xlfn.XLOOKUP(A40,'WK 47'!A:A,'WK 47'!AA:AA,"")</f>
        <v>early</v>
      </c>
      <c r="Z40" s="61" t="str">
        <f t="shared" si="1"/>
        <v>late</v>
      </c>
      <c r="AA40" s="106"/>
      <c r="AB40" s="61"/>
      <c r="AC40" s="61"/>
      <c r="AD40" s="61"/>
      <c r="AE40" s="61"/>
      <c r="AF40" s="61"/>
      <c r="AG40" s="61"/>
      <c r="AH40" s="61"/>
      <c r="AI40" s="61"/>
      <c r="AJ40" s="61"/>
      <c r="AK40" s="61"/>
    </row>
    <row r="41" customHeight="1" spans="1:37">
      <c r="A41" s="21">
        <v>10316538</v>
      </c>
      <c r="B41" s="86" t="s">
        <v>44</v>
      </c>
      <c r="C41" s="21" t="s">
        <v>20</v>
      </c>
      <c r="D41" s="21" t="s">
        <v>21</v>
      </c>
      <c r="E41" s="54" t="str">
        <f t="array" ref="E41">_xlfn.XLOOKUP(A41,'WK 47'!A:A,'WK 47'!E:E,"")</f>
        <v>FT</v>
      </c>
      <c r="F41" s="103">
        <f t="array" ref="F41">_xlfn.XLOOKUP(A41,'WK 47'!A:A,'WK 47'!F:F,"")</f>
        <v>1</v>
      </c>
      <c r="G41" s="54">
        <v>0.375</v>
      </c>
      <c r="H41" s="54">
        <v>0.75</v>
      </c>
      <c r="I41" s="54">
        <v>0.375</v>
      </c>
      <c r="J41" s="54">
        <v>0.75</v>
      </c>
      <c r="K41" s="21" t="s">
        <v>23</v>
      </c>
      <c r="L41" s="21" t="s">
        <v>23</v>
      </c>
      <c r="M41" s="21" t="s">
        <v>23</v>
      </c>
      <c r="N41" s="21" t="s">
        <v>23</v>
      </c>
      <c r="O41" s="54">
        <v>0.375</v>
      </c>
      <c r="P41" s="54">
        <v>0.75</v>
      </c>
      <c r="Q41" s="54">
        <v>0.458333333333333</v>
      </c>
      <c r="R41" s="54">
        <v>0.666666666666667</v>
      </c>
      <c r="S41" s="54">
        <v>0.458333333333333</v>
      </c>
      <c r="T41" s="54">
        <v>0.666666666666667</v>
      </c>
      <c r="U41" s="21">
        <f>IFERROR(__xludf.DUMMYFUNCTION("TO_PURE_NUMBER(SUM(FILTER(G41:T41, ISEVEN(COLUMN(G41:T41))))-SUM(FILTER(G41:T41, ISODD(COLUMN(G41:T41)))))*24"),37)</f>
        <v>37</v>
      </c>
      <c r="V41" s="17">
        <f t="array" ref="V41">_xlfn.XLOOKUP(A41,'WK 47'!A:A,'WK 47'!V:V,"")</f>
        <v>37</v>
      </c>
      <c r="W41" s="7">
        <f t="shared" si="0"/>
        <v>0</v>
      </c>
      <c r="X41" s="20">
        <f t="array" ref="X41">_xlfn.XLOOKUP(A41,'WK 45'!A:A,'WK 45'!X:X,"")</f>
        <v>0.416666666666667</v>
      </c>
      <c r="Y41" s="17" t="str">
        <f t="array" ref="Y41">_xlfn.XLOOKUP(A41,'WK 47'!A:A,'WK 47'!AA:AA,"")</f>
        <v>late</v>
      </c>
      <c r="Z41" s="61" t="str">
        <f t="shared" si="1"/>
        <v> early</v>
      </c>
      <c r="AA41" s="106"/>
      <c r="AB41" s="61"/>
      <c r="AC41" s="61"/>
      <c r="AD41" s="61"/>
      <c r="AE41" s="61"/>
      <c r="AF41" s="61"/>
      <c r="AG41" s="61"/>
      <c r="AH41" s="61"/>
      <c r="AI41" s="61"/>
      <c r="AJ41" s="61"/>
      <c r="AK41" s="61"/>
    </row>
    <row r="42" customHeight="1" spans="1:37">
      <c r="A42" s="105">
        <v>10293627</v>
      </c>
      <c r="B42" s="86" t="s">
        <v>64</v>
      </c>
      <c r="C42" s="21" t="s">
        <v>20</v>
      </c>
      <c r="D42" s="21" t="s">
        <v>21</v>
      </c>
      <c r="E42" s="54" t="str">
        <f t="array" ref="E42">_xlfn.XLOOKUP(A42,'WK 47'!A:A,'WK 47'!E:E,"")</f>
        <v>FT</v>
      </c>
      <c r="F42" s="103">
        <f t="array" ref="F42">_xlfn.XLOOKUP(A42,'WK 47'!A:A,'WK 47'!F:F,"")</f>
        <v>3</v>
      </c>
      <c r="G42" s="21" t="s">
        <v>23</v>
      </c>
      <c r="H42" s="21" t="s">
        <v>23</v>
      </c>
      <c r="I42" s="54">
        <v>0.458333333333333</v>
      </c>
      <c r="J42" s="54">
        <f t="shared" ref="J42:J47" si="19">IFERROR(I42+$X42,"OFF")</f>
        <v>0.875</v>
      </c>
      <c r="K42" s="54">
        <v>0.458333333333333</v>
      </c>
      <c r="L42" s="54">
        <f t="shared" ref="L42:L47" si="20">IFERROR(K42+$X42,"OFF")</f>
        <v>0.875</v>
      </c>
      <c r="M42" s="54">
        <v>0.458333333333333</v>
      </c>
      <c r="N42" s="54">
        <f t="shared" ref="N42:N47" si="21">IFERROR(M42+$X42,"OFF")</f>
        <v>0.875</v>
      </c>
      <c r="O42" s="54">
        <v>0.458333333333333</v>
      </c>
      <c r="P42" s="54">
        <f t="shared" ref="P42:P44" si="22">IFERROR(O42+$X42,"OFF")</f>
        <v>0.875</v>
      </c>
      <c r="Q42" s="54">
        <v>0.458333333333333</v>
      </c>
      <c r="R42" s="54">
        <v>0.666666666666667</v>
      </c>
      <c r="S42" s="21" t="s">
        <v>23</v>
      </c>
      <c r="T42" s="21" t="s">
        <v>23</v>
      </c>
      <c r="U42" s="21">
        <f>IFERROR(__xludf.DUMMYFUNCTION("TO_PURE_NUMBER(SUM(FILTER(G42:T42, ISEVEN(COLUMN(G42:T42))))-SUM(FILTER(G42:T42, ISODD(COLUMN(G42:T42)))))*24"),45)</f>
        <v>45</v>
      </c>
      <c r="V42" s="17">
        <f t="array" ref="V42">_xlfn.XLOOKUP(A42,'WK 47'!A:A,'WK 47'!V:V,"")</f>
        <v>45</v>
      </c>
      <c r="W42" s="17">
        <f t="shared" si="0"/>
        <v>0</v>
      </c>
      <c r="X42" s="20">
        <v>0.416666666666667</v>
      </c>
      <c r="Y42" s="17" t="str">
        <f t="array" ref="Y42">_xlfn.XLOOKUP(A42,'WK 47'!A:A,'WK 47'!AA:AA,"")</f>
        <v>early</v>
      </c>
      <c r="Z42" s="61" t="str">
        <f t="shared" si="1"/>
        <v>late</v>
      </c>
      <c r="AA42" s="106"/>
      <c r="AB42" s="61"/>
      <c r="AC42" s="61"/>
      <c r="AD42" s="61"/>
      <c r="AE42" s="61"/>
      <c r="AF42" s="61"/>
      <c r="AG42" s="61"/>
      <c r="AH42" s="61"/>
      <c r="AI42" s="61"/>
      <c r="AJ42" s="61"/>
      <c r="AK42" s="61"/>
    </row>
    <row r="43" customHeight="1" spans="1:37">
      <c r="A43" s="105">
        <v>10293607</v>
      </c>
      <c r="B43" s="86" t="s">
        <v>65</v>
      </c>
      <c r="C43" s="21" t="s">
        <v>20</v>
      </c>
      <c r="D43" s="21" t="s">
        <v>21</v>
      </c>
      <c r="E43" s="54" t="str">
        <f t="array" ref="E43">_xlfn.XLOOKUP(A43,'WK 47'!A:A,'WK 47'!E:E,"")</f>
        <v>FT</v>
      </c>
      <c r="F43" s="103">
        <f t="array" ref="F43">_xlfn.XLOOKUP(A43,'WK 47'!A:A,'WK 47'!F:F,"")</f>
        <v>3</v>
      </c>
      <c r="G43" s="21" t="s">
        <v>23</v>
      </c>
      <c r="H43" s="21" t="s">
        <v>23</v>
      </c>
      <c r="I43" s="54">
        <v>0.458333333333333</v>
      </c>
      <c r="J43" s="54">
        <f t="shared" si="19"/>
        <v>0.875</v>
      </c>
      <c r="K43" s="54">
        <v>0.458333333333333</v>
      </c>
      <c r="L43" s="54">
        <f t="shared" si="20"/>
        <v>0.875</v>
      </c>
      <c r="M43" s="54">
        <v>0.458333333333333</v>
      </c>
      <c r="N43" s="54">
        <f t="shared" si="21"/>
        <v>0.875</v>
      </c>
      <c r="O43" s="54">
        <v>0.458333333333333</v>
      </c>
      <c r="P43" s="54">
        <f t="shared" si="22"/>
        <v>0.875</v>
      </c>
      <c r="Q43" s="54">
        <v>0.458333333333333</v>
      </c>
      <c r="R43" s="54">
        <v>0.666666666666667</v>
      </c>
      <c r="S43" s="21" t="s">
        <v>23</v>
      </c>
      <c r="T43" s="21" t="s">
        <v>23</v>
      </c>
      <c r="U43" s="21">
        <f>IFERROR(__xludf.DUMMYFUNCTION("TO_PURE_NUMBER(SUM(FILTER(G43:T43, ISEVEN(COLUMN(G43:T43))))-SUM(FILTER(G43:T43, ISODD(COLUMN(G43:T43)))))*24"),45)</f>
        <v>45</v>
      </c>
      <c r="V43" s="17">
        <f t="array" ref="V43">_xlfn.XLOOKUP(A43,'WK 47'!A:A,'WK 47'!V:V,"")</f>
        <v>45</v>
      </c>
      <c r="W43" s="7">
        <f t="shared" si="0"/>
        <v>0</v>
      </c>
      <c r="X43" s="20">
        <v>0.416666666666667</v>
      </c>
      <c r="Y43" s="17" t="str">
        <f t="array" ref="Y43">_xlfn.XLOOKUP(A43,'WK 47'!A:A,'WK 47'!AA:AA,"")</f>
        <v>early</v>
      </c>
      <c r="Z43" s="61" t="str">
        <f t="shared" si="1"/>
        <v>late</v>
      </c>
      <c r="AA43" s="106"/>
      <c r="AB43" s="61"/>
      <c r="AC43" s="17"/>
      <c r="AD43" s="61"/>
      <c r="AE43" s="61"/>
      <c r="AF43" s="61"/>
      <c r="AG43" s="61"/>
      <c r="AH43" s="61"/>
      <c r="AI43" s="61"/>
      <c r="AJ43" s="61"/>
      <c r="AK43" s="61"/>
    </row>
    <row r="44" customHeight="1" spans="1:37">
      <c r="A44" s="21">
        <v>10320435</v>
      </c>
      <c r="B44" s="86" t="s">
        <v>71</v>
      </c>
      <c r="C44" s="21" t="s">
        <v>20</v>
      </c>
      <c r="D44" s="21" t="s">
        <v>21</v>
      </c>
      <c r="E44" s="54" t="str">
        <f t="array" ref="E44">_xlfn.XLOOKUP(A44,'WK 47'!A:A,'WK 47'!E:E,"")</f>
        <v>FT</v>
      </c>
      <c r="F44" s="103">
        <f t="array" ref="F44">_xlfn.XLOOKUP(A44,'WK 47'!A:A,'WK 47'!F:F,"")</f>
        <v>3</v>
      </c>
      <c r="G44" s="54">
        <v>0.5</v>
      </c>
      <c r="H44" s="54">
        <f t="shared" ref="H44:H45" si="23">IFERROR(G44+$X44,"OFF")</f>
        <v>0.875</v>
      </c>
      <c r="I44" s="54">
        <v>0.5</v>
      </c>
      <c r="J44" s="54">
        <f t="shared" si="19"/>
        <v>0.875</v>
      </c>
      <c r="K44" s="54">
        <v>0.5</v>
      </c>
      <c r="L44" s="54">
        <f t="shared" si="20"/>
        <v>0.875</v>
      </c>
      <c r="M44" s="54">
        <v>0.5</v>
      </c>
      <c r="N44" s="54">
        <f t="shared" si="21"/>
        <v>0.875</v>
      </c>
      <c r="O44" s="54">
        <v>0.5</v>
      </c>
      <c r="P44" s="54">
        <f t="shared" si="22"/>
        <v>0.875</v>
      </c>
      <c r="Q44" s="21" t="s">
        <v>23</v>
      </c>
      <c r="R44" s="21" t="s">
        <v>23</v>
      </c>
      <c r="S44" s="21" t="s">
        <v>23</v>
      </c>
      <c r="T44" s="21" t="s">
        <v>23</v>
      </c>
      <c r="U44" s="21">
        <f>IFERROR(__xludf.DUMMYFUNCTION("TO_PURE_NUMBER(SUM(FILTER(G44:T44, ISEVEN(COLUMN(G44:T44))))-SUM(FILTER(G44:T44, ISODD(COLUMN(G44:T44)))))*24"),45)</f>
        <v>45</v>
      </c>
      <c r="V44" s="17">
        <f t="array" ref="V44">_xlfn.XLOOKUP(A44,'WK 47'!A:A,'WK 47'!V:V,"")</f>
        <v>45</v>
      </c>
      <c r="W44" s="7">
        <f t="shared" si="0"/>
        <v>0</v>
      </c>
      <c r="X44" s="20">
        <v>0.375</v>
      </c>
      <c r="Y44" s="17" t="str">
        <f t="array" ref="Y44">_xlfn.XLOOKUP(A44,'WK 47'!A:A,'WK 47'!AA:AA,"")</f>
        <v>early</v>
      </c>
      <c r="Z44" s="61" t="str">
        <f t="shared" si="1"/>
        <v>late</v>
      </c>
      <c r="AA44" s="106"/>
      <c r="AB44" s="61"/>
      <c r="AC44" s="61"/>
      <c r="AD44" s="61"/>
      <c r="AE44" s="61"/>
      <c r="AF44" s="61"/>
      <c r="AG44" s="61"/>
      <c r="AH44" s="61"/>
      <c r="AI44" s="61"/>
      <c r="AJ44" s="61"/>
      <c r="AK44" s="61"/>
    </row>
    <row r="45" customHeight="1" spans="1:37">
      <c r="A45" s="21">
        <v>10320407</v>
      </c>
      <c r="B45" s="86" t="s">
        <v>55</v>
      </c>
      <c r="C45" s="21" t="s">
        <v>20</v>
      </c>
      <c r="D45" s="21" t="s">
        <v>21</v>
      </c>
      <c r="E45" s="54" t="str">
        <f t="array" ref="E45">_xlfn.XLOOKUP(A45,'WK 47'!A:A,'WK 47'!E:E,"")</f>
        <v>FT</v>
      </c>
      <c r="F45" s="103">
        <f t="array" ref="F45">_xlfn.XLOOKUP(A45,'WK 47'!A:A,'WK 47'!F:F,"")</f>
        <v>3</v>
      </c>
      <c r="G45" s="54">
        <v>0.5</v>
      </c>
      <c r="H45" s="54">
        <f t="shared" si="23"/>
        <v>0.916666666666667</v>
      </c>
      <c r="I45" s="54">
        <v>0.5</v>
      </c>
      <c r="J45" s="54">
        <f t="shared" si="19"/>
        <v>0.916666666666667</v>
      </c>
      <c r="K45" s="54">
        <v>0.5</v>
      </c>
      <c r="L45" s="54">
        <f t="shared" si="20"/>
        <v>0.916666666666667</v>
      </c>
      <c r="M45" s="54">
        <v>0.5</v>
      </c>
      <c r="N45" s="54">
        <f t="shared" si="21"/>
        <v>0.916666666666667</v>
      </c>
      <c r="O45" s="21" t="s">
        <v>23</v>
      </c>
      <c r="P45" s="21" t="s">
        <v>23</v>
      </c>
      <c r="Q45" s="21" t="s">
        <v>23</v>
      </c>
      <c r="R45" s="21" t="s">
        <v>23</v>
      </c>
      <c r="S45" s="54">
        <v>0.458333333333333</v>
      </c>
      <c r="T45" s="54">
        <v>0.666666666666667</v>
      </c>
      <c r="U45" s="21">
        <f>IFERROR(__xludf.DUMMYFUNCTION("TO_PURE_NUMBER(SUM(FILTER(G45:T45, ISEVEN(COLUMN(G45:T45))))-SUM(FILTER(G45:T45, ISODD(COLUMN(G45:T45)))))*24"),45)</f>
        <v>45</v>
      </c>
      <c r="V45" s="17">
        <f t="array" ref="V45">_xlfn.XLOOKUP(A45,'WK 47'!A:A,'WK 47'!V:V,"")</f>
        <v>45</v>
      </c>
      <c r="W45" s="7">
        <f t="shared" si="0"/>
        <v>0</v>
      </c>
      <c r="X45" s="20">
        <v>0.416666666666667</v>
      </c>
      <c r="Y45" s="17" t="str">
        <f t="array" ref="Y45">_xlfn.XLOOKUP(A45,'WK 47'!A:A,'WK 47'!AA:AA,"")</f>
        <v>early</v>
      </c>
      <c r="Z45" s="61" t="str">
        <f t="shared" si="1"/>
        <v>late</v>
      </c>
      <c r="AA45" s="106"/>
      <c r="AB45" s="61"/>
      <c r="AC45" s="61"/>
      <c r="AD45" s="61"/>
      <c r="AE45" s="61"/>
      <c r="AF45" s="61"/>
      <c r="AG45" s="61"/>
      <c r="AH45" s="61"/>
      <c r="AI45" s="61"/>
      <c r="AJ45" s="61"/>
      <c r="AK45" s="61"/>
    </row>
    <row r="46" customHeight="1" spans="1:37">
      <c r="A46" s="21">
        <v>10320416</v>
      </c>
      <c r="B46" s="86" t="s">
        <v>66</v>
      </c>
      <c r="C46" s="21" t="s">
        <v>20</v>
      </c>
      <c r="D46" s="21" t="s">
        <v>21</v>
      </c>
      <c r="E46" s="54" t="str">
        <f t="array" ref="E46">_xlfn.XLOOKUP(A46,'WK 47'!A:A,'WK 47'!E:E,"")</f>
        <v>FT</v>
      </c>
      <c r="F46" s="103">
        <f t="array" ref="F46">_xlfn.XLOOKUP(A46,'WK 47'!A:A,'WK 47'!F:F,"")</f>
        <v>3</v>
      </c>
      <c r="G46" s="21" t="s">
        <v>23</v>
      </c>
      <c r="H46" s="21" t="s">
        <v>23</v>
      </c>
      <c r="I46" s="54">
        <v>0.458333333333333</v>
      </c>
      <c r="J46" s="54">
        <f t="shared" si="19"/>
        <v>0.875</v>
      </c>
      <c r="K46" s="54">
        <v>0.458333333333333</v>
      </c>
      <c r="L46" s="54">
        <f t="shared" si="20"/>
        <v>0.875</v>
      </c>
      <c r="M46" s="54">
        <v>0.458333333333333</v>
      </c>
      <c r="N46" s="54">
        <f t="shared" si="21"/>
        <v>0.875</v>
      </c>
      <c r="O46" s="54">
        <v>0.458333333333333</v>
      </c>
      <c r="P46" s="54">
        <f t="shared" ref="P46:P47" si="24">IFERROR(O46+$X46,"OFF")</f>
        <v>0.875</v>
      </c>
      <c r="Q46" s="54">
        <v>0.458333333333333</v>
      </c>
      <c r="R46" s="54">
        <v>0.666666666666667</v>
      </c>
      <c r="S46" s="21" t="s">
        <v>23</v>
      </c>
      <c r="T46" s="21" t="s">
        <v>23</v>
      </c>
      <c r="U46" s="21">
        <f>IFERROR(__xludf.DUMMYFUNCTION("TO_PURE_NUMBER(SUM(FILTER(G46:T46, ISEVEN(COLUMN(G46:T46))))-SUM(FILTER(G46:T46, ISODD(COLUMN(G46:T46)))))*24"),45)</f>
        <v>45</v>
      </c>
      <c r="V46" s="17">
        <f t="array" ref="V46">_xlfn.XLOOKUP(A46,'WK 47'!A:A,'WK 47'!V:V,"")</f>
        <v>45</v>
      </c>
      <c r="W46" s="7">
        <f t="shared" si="0"/>
        <v>0</v>
      </c>
      <c r="X46" s="20">
        <v>0.416666666666667</v>
      </c>
      <c r="Y46" s="17" t="str">
        <f t="array" ref="Y46">_xlfn.XLOOKUP(A46,'WK 47'!A:A,'WK 47'!AA:AA,"")</f>
        <v>early</v>
      </c>
      <c r="Z46" s="61" t="str">
        <f t="shared" si="1"/>
        <v>late</v>
      </c>
      <c r="AA46" s="106"/>
      <c r="AB46" s="61"/>
      <c r="AC46" s="61"/>
      <c r="AD46" s="61"/>
      <c r="AE46" s="61"/>
      <c r="AF46" s="61"/>
      <c r="AG46" s="61"/>
      <c r="AH46" s="61"/>
      <c r="AI46" s="61"/>
      <c r="AJ46" s="61"/>
      <c r="AK46" s="61"/>
    </row>
    <row r="47" customHeight="1" spans="1:37">
      <c r="A47" s="21">
        <v>10317154</v>
      </c>
      <c r="B47" s="86" t="s">
        <v>70</v>
      </c>
      <c r="C47" s="21" t="s">
        <v>20</v>
      </c>
      <c r="D47" s="21" t="s">
        <v>21</v>
      </c>
      <c r="E47" s="54" t="str">
        <f t="array" ref="E47">_xlfn.XLOOKUP(A47,'WK 47'!A:A,'WK 47'!E:E,"")</f>
        <v>FT</v>
      </c>
      <c r="F47" s="103">
        <f t="array" ref="F47">_xlfn.XLOOKUP(A47,'WK 47'!A:A,'WK 47'!F:F,"")</f>
        <v>3</v>
      </c>
      <c r="G47" s="21" t="s">
        <v>23</v>
      </c>
      <c r="H47" s="21" t="s">
        <v>23</v>
      </c>
      <c r="I47" s="54">
        <v>0.458333333333333</v>
      </c>
      <c r="J47" s="54">
        <f t="shared" si="19"/>
        <v>0.875</v>
      </c>
      <c r="K47" s="54">
        <v>0.458333333333333</v>
      </c>
      <c r="L47" s="54">
        <f t="shared" si="20"/>
        <v>0.875</v>
      </c>
      <c r="M47" s="54">
        <v>0.458333333333333</v>
      </c>
      <c r="N47" s="54">
        <f t="shared" si="21"/>
        <v>0.875</v>
      </c>
      <c r="O47" s="54">
        <v>0.458333333333333</v>
      </c>
      <c r="P47" s="54">
        <f t="shared" si="24"/>
        <v>0.875</v>
      </c>
      <c r="Q47" s="54">
        <v>0.458333333333333</v>
      </c>
      <c r="R47" s="54">
        <v>0.666666666666667</v>
      </c>
      <c r="S47" s="21" t="s">
        <v>23</v>
      </c>
      <c r="T47" s="21" t="s">
        <v>23</v>
      </c>
      <c r="U47" s="21">
        <f>IFERROR(__xludf.DUMMYFUNCTION("TO_PURE_NUMBER(SUM(FILTER(G47:T47, ISEVEN(COLUMN(G47:T47))))-SUM(FILTER(G47:T47, ISODD(COLUMN(G47:T47)))))*24"),45)</f>
        <v>45</v>
      </c>
      <c r="V47" s="17">
        <f t="array" ref="V47">_xlfn.XLOOKUP(A47,'WK 47'!A:A,'WK 47'!V:V,"")</f>
        <v>45</v>
      </c>
      <c r="W47" s="7">
        <f t="shared" si="0"/>
        <v>0</v>
      </c>
      <c r="X47" s="20">
        <v>0.416666666666667</v>
      </c>
      <c r="Y47" s="17" t="str">
        <f t="array" ref="Y47">_xlfn.XLOOKUP(A47,'WK 47'!A:A,'WK 47'!AA:AA,"")</f>
        <v>early</v>
      </c>
      <c r="Z47" s="61" t="str">
        <f t="shared" si="1"/>
        <v>late</v>
      </c>
      <c r="AA47" s="106"/>
      <c r="AB47" s="61"/>
      <c r="AC47" s="61"/>
      <c r="AD47" s="61"/>
      <c r="AE47" s="61"/>
      <c r="AF47" s="61"/>
      <c r="AG47" s="61"/>
      <c r="AH47" s="61"/>
      <c r="AI47" s="61"/>
      <c r="AJ47" s="61"/>
      <c r="AK47" s="61"/>
    </row>
    <row r="48" customHeight="1" spans="1:37">
      <c r="A48" s="21">
        <v>10272259</v>
      </c>
      <c r="B48" s="86" t="s">
        <v>32</v>
      </c>
      <c r="C48" s="21" t="s">
        <v>20</v>
      </c>
      <c r="D48" s="21" t="s">
        <v>21</v>
      </c>
      <c r="E48" s="54" t="str">
        <f t="array" ref="E48">_xlfn.XLOOKUP(A48,'WK 47'!A:A,'WK 47'!E:E,"")</f>
        <v>FT</v>
      </c>
      <c r="F48" s="103">
        <f t="array" ref="F48">_xlfn.XLOOKUP(A48,'WK 47'!A:A,'WK 47'!F:F,"")</f>
        <v>2</v>
      </c>
      <c r="G48" s="54">
        <v>0.375</v>
      </c>
      <c r="H48" s="54">
        <v>0.75</v>
      </c>
      <c r="I48" s="21" t="s">
        <v>23</v>
      </c>
      <c r="J48" s="21" t="s">
        <v>23</v>
      </c>
      <c r="K48" s="21" t="s">
        <v>23</v>
      </c>
      <c r="L48" s="21" t="s">
        <v>23</v>
      </c>
      <c r="M48" s="54">
        <v>0.375</v>
      </c>
      <c r="N48" s="54">
        <v>0.75</v>
      </c>
      <c r="O48" s="54">
        <v>0.375</v>
      </c>
      <c r="P48" s="54">
        <v>0.75</v>
      </c>
      <c r="Q48" s="54">
        <v>0.458333333333333</v>
      </c>
      <c r="R48" s="54">
        <v>0.666666666666667</v>
      </c>
      <c r="S48" s="54">
        <v>0.458333333333333</v>
      </c>
      <c r="T48" s="54">
        <v>0.666666666666667</v>
      </c>
      <c r="U48" s="21">
        <f>IFERROR(__xludf.DUMMYFUNCTION("TO_PURE_NUMBER(SUM(FILTER(G48:T48, ISEVEN(COLUMN(G48:T48))))-SUM(FILTER(G48:T48, ISODD(COLUMN(G48:T48)))))*24"),37)</f>
        <v>37</v>
      </c>
      <c r="V48" s="17">
        <f t="array" ref="V48">_xlfn.XLOOKUP(A48,'WK 47'!A:A,'WK 47'!V:V,"")</f>
        <v>37</v>
      </c>
      <c r="W48" s="7">
        <f t="shared" si="0"/>
        <v>0</v>
      </c>
      <c r="X48" s="20">
        <f t="array" ref="X48">_xlfn.XLOOKUP(A48,'WK 45'!A:A,'WK 45'!X:X,"")</f>
        <v>0.375</v>
      </c>
      <c r="Y48" s="17" t="str">
        <f t="array" ref="Y48">_xlfn.XLOOKUP(A48,'WK 47'!A:A,'WK 47'!AA:AA,"")</f>
        <v/>
      </c>
      <c r="Z48" s="61" t="str">
        <f t="shared" si="1"/>
        <v> early</v>
      </c>
      <c r="AA48" s="106"/>
      <c r="AB48" s="61"/>
      <c r="AC48" s="61"/>
      <c r="AD48" s="61"/>
      <c r="AE48" s="61"/>
      <c r="AF48" s="61"/>
      <c r="AG48" s="61"/>
      <c r="AH48" s="61"/>
      <c r="AI48" s="61"/>
      <c r="AJ48" s="61"/>
      <c r="AK48" s="61"/>
    </row>
    <row r="49" customHeight="1" spans="1:37">
      <c r="A49" s="21">
        <v>10320419</v>
      </c>
      <c r="B49" s="86" t="s">
        <v>69</v>
      </c>
      <c r="C49" s="21" t="s">
        <v>20</v>
      </c>
      <c r="D49" s="21" t="s">
        <v>21</v>
      </c>
      <c r="E49" s="54" t="str">
        <f t="array" ref="E49">_xlfn.XLOOKUP(A49,'WK 47'!A:A,'WK 47'!E:E,"")</f>
        <v>FT</v>
      </c>
      <c r="F49" s="103">
        <f t="array" ref="F49">_xlfn.XLOOKUP(A49,'WK 47'!A:A,'WK 47'!F:F,"")</f>
        <v>3</v>
      </c>
      <c r="G49" s="21" t="s">
        <v>23</v>
      </c>
      <c r="H49" s="21" t="s">
        <v>23</v>
      </c>
      <c r="I49" s="54">
        <v>0.458333333333333</v>
      </c>
      <c r="J49" s="54">
        <f t="shared" ref="J49:J50" si="25">IFERROR(I49+$X49,"OFF")</f>
        <v>0.875</v>
      </c>
      <c r="K49" s="54">
        <v>0.458333333333333</v>
      </c>
      <c r="L49" s="54">
        <f t="shared" ref="L49:L50" si="26">IFERROR(K49+$X49,"OFF")</f>
        <v>0.875</v>
      </c>
      <c r="M49" s="54">
        <v>0.458333333333333</v>
      </c>
      <c r="N49" s="54">
        <f t="shared" ref="N49:N50" si="27">IFERROR(M49+$X49,"OFF")</f>
        <v>0.875</v>
      </c>
      <c r="O49" s="54">
        <v>0.458333333333333</v>
      </c>
      <c r="P49" s="54">
        <f t="shared" ref="P49:P50" si="28">IFERROR(O49+$X49,"OFF")</f>
        <v>0.875</v>
      </c>
      <c r="Q49" s="54">
        <v>0.458333333333333</v>
      </c>
      <c r="R49" s="54">
        <v>0.666666666666667</v>
      </c>
      <c r="S49" s="21" t="s">
        <v>23</v>
      </c>
      <c r="T49" s="21" t="s">
        <v>23</v>
      </c>
      <c r="U49" s="21">
        <f>IFERROR(__xludf.DUMMYFUNCTION("TO_PURE_NUMBER(SUM(FILTER(G49:T49, ISEVEN(COLUMN(G49:T49))))-SUM(FILTER(G49:T49, ISODD(COLUMN(G49:T49)))))*24"),45)</f>
        <v>45</v>
      </c>
      <c r="V49" s="17">
        <f t="array" ref="V49">_xlfn.XLOOKUP(A49,'WK 47'!A:A,'WK 47'!V:V,"")</f>
        <v>45</v>
      </c>
      <c r="W49" s="7">
        <f t="shared" si="0"/>
        <v>0</v>
      </c>
      <c r="X49" s="20">
        <v>0.416666666666667</v>
      </c>
      <c r="Y49" s="17" t="str">
        <f t="array" ref="Y49">_xlfn.XLOOKUP(A49,'WK 47'!A:A,'WK 47'!AA:AA,"")</f>
        <v>early</v>
      </c>
      <c r="Z49" s="61" t="str">
        <f t="shared" si="1"/>
        <v>late</v>
      </c>
      <c r="AA49" s="106"/>
      <c r="AB49" s="61"/>
      <c r="AC49" s="61"/>
      <c r="AD49" s="61"/>
      <c r="AE49" s="61"/>
      <c r="AF49" s="61"/>
      <c r="AG49" s="61"/>
      <c r="AH49" s="61"/>
      <c r="AI49" s="61"/>
      <c r="AJ49" s="61"/>
      <c r="AK49" s="61"/>
    </row>
    <row r="50" customHeight="1" spans="1:37">
      <c r="A50" s="21">
        <v>10320436</v>
      </c>
      <c r="B50" s="86" t="s">
        <v>90</v>
      </c>
      <c r="C50" s="21" t="s">
        <v>20</v>
      </c>
      <c r="D50" s="21" t="s">
        <v>21</v>
      </c>
      <c r="E50" s="54" t="str">
        <f t="array" ref="E50">_xlfn.XLOOKUP(A50,'WK 47'!A:A,'WK 47'!E:E,"")</f>
        <v>FT</v>
      </c>
      <c r="F50" s="103">
        <f t="array" ref="F50">_xlfn.XLOOKUP(A50,'WK 47'!A:A,'WK 47'!F:F,"")</f>
        <v>3</v>
      </c>
      <c r="G50" s="21" t="s">
        <v>23</v>
      </c>
      <c r="H50" s="21" t="s">
        <v>23</v>
      </c>
      <c r="I50" s="54">
        <v>0.458333333333333</v>
      </c>
      <c r="J50" s="54">
        <f t="shared" si="25"/>
        <v>0.875</v>
      </c>
      <c r="K50" s="54">
        <v>0.458333333333333</v>
      </c>
      <c r="L50" s="54">
        <f t="shared" si="26"/>
        <v>0.875</v>
      </c>
      <c r="M50" s="54">
        <v>0.458333333333333</v>
      </c>
      <c r="N50" s="54">
        <f t="shared" si="27"/>
        <v>0.875</v>
      </c>
      <c r="O50" s="54">
        <v>0.458333333333333</v>
      </c>
      <c r="P50" s="54">
        <f t="shared" si="28"/>
        <v>0.875</v>
      </c>
      <c r="Q50" s="54">
        <v>0.458333333333333</v>
      </c>
      <c r="R50" s="54">
        <v>0.666666666666667</v>
      </c>
      <c r="S50" s="21" t="s">
        <v>23</v>
      </c>
      <c r="T50" s="21" t="s">
        <v>23</v>
      </c>
      <c r="U50" s="21">
        <f>IFERROR(__xludf.DUMMYFUNCTION("TO_PURE_NUMBER(SUM(FILTER(G50:T50, ISEVEN(COLUMN(G50:T50))))-SUM(FILTER(G50:T50, ISODD(COLUMN(G50:T50)))))*24"),45)</f>
        <v>45</v>
      </c>
      <c r="V50" s="17">
        <f t="array" ref="V50">_xlfn.XLOOKUP(A50,'WK 47'!A:A,'WK 47'!V:V,"")</f>
        <v>45</v>
      </c>
      <c r="W50" s="7">
        <f t="shared" si="0"/>
        <v>0</v>
      </c>
      <c r="X50" s="20">
        <v>0.416666666666667</v>
      </c>
      <c r="Y50" s="17" t="str">
        <f t="array" ref="Y50">_xlfn.XLOOKUP(A50,'WK 47'!A:A,'WK 47'!AA:AA,"")</f>
        <v>early</v>
      </c>
      <c r="Z50" s="61" t="str">
        <f t="shared" si="1"/>
        <v>late</v>
      </c>
      <c r="AA50" s="106"/>
      <c r="AB50" s="61"/>
      <c r="AC50" s="61"/>
      <c r="AD50" s="61"/>
      <c r="AE50" s="61"/>
      <c r="AF50" s="61"/>
      <c r="AG50" s="61"/>
      <c r="AH50" s="61"/>
      <c r="AI50" s="61"/>
      <c r="AJ50" s="61"/>
      <c r="AK50" s="61"/>
    </row>
    <row r="51" customHeight="1" spans="1:37">
      <c r="A51" s="21">
        <v>10274446</v>
      </c>
      <c r="B51" s="86" t="s">
        <v>88</v>
      </c>
      <c r="C51" s="21" t="s">
        <v>20</v>
      </c>
      <c r="D51" s="21" t="s">
        <v>21</v>
      </c>
      <c r="E51" s="54" t="str">
        <f t="array" ref="E51">_xlfn.XLOOKUP(A51,'WK 47'!A:A,'WK 47'!E:E,"")</f>
        <v>FT</v>
      </c>
      <c r="F51" s="103">
        <f t="array" ref="F51">_xlfn.XLOOKUP(A51,'WK 47'!A:A,'WK 47'!F:F,"")</f>
        <v>2</v>
      </c>
      <c r="G51" s="54">
        <v>0.375</v>
      </c>
      <c r="H51" s="54">
        <v>0.75</v>
      </c>
      <c r="I51" s="54">
        <v>0.375</v>
      </c>
      <c r="J51" s="54">
        <v>0.75</v>
      </c>
      <c r="K51" s="21" t="s">
        <v>23</v>
      </c>
      <c r="L51" s="21" t="s">
        <v>23</v>
      </c>
      <c r="M51" s="21" t="s">
        <v>23</v>
      </c>
      <c r="N51" s="21" t="s">
        <v>23</v>
      </c>
      <c r="O51" s="54">
        <v>0.375</v>
      </c>
      <c r="P51" s="54">
        <v>0.75</v>
      </c>
      <c r="Q51" s="54">
        <v>0.458333333333333</v>
      </c>
      <c r="R51" s="54">
        <v>0.666666666666667</v>
      </c>
      <c r="S51" s="54">
        <v>0.458333333333333</v>
      </c>
      <c r="T51" s="54">
        <v>0.666666666666667</v>
      </c>
      <c r="U51" s="21">
        <f>IFERROR(__xludf.DUMMYFUNCTION("TO_PURE_NUMBER(SUM(FILTER(G51:T51, ISEVEN(COLUMN(G51:T51))))-SUM(FILTER(G51:T51, ISODD(COLUMN(G51:T51)))))*24"),37)</f>
        <v>37</v>
      </c>
      <c r="V51" s="17">
        <f t="array" ref="V51">_xlfn.XLOOKUP(A51,'WK 47'!A:A,'WK 47'!V:V,"")</f>
        <v>37</v>
      </c>
      <c r="W51" s="7">
        <f t="shared" si="0"/>
        <v>0</v>
      </c>
      <c r="X51" s="20">
        <f t="array" ref="X51">_xlfn.XLOOKUP(A51,'WK 45'!A:A,'WK 45'!X:X,"")</f>
        <v>0.375</v>
      </c>
      <c r="Y51" s="17" t="str">
        <f t="array" ref="Y51">_xlfn.XLOOKUP(A51,'WK 47'!A:A,'WK 47'!AA:AA,"")</f>
        <v>late</v>
      </c>
      <c r="Z51" s="61" t="str">
        <f t="shared" si="1"/>
        <v> early</v>
      </c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</row>
    <row r="52" customHeight="1" spans="1:37">
      <c r="A52" s="86"/>
      <c r="B52" s="51"/>
      <c r="C52" s="106"/>
      <c r="D52" s="106"/>
      <c r="E52" s="106"/>
      <c r="F52" s="20">
        <f t="array" ref="F52">_xlfn.XLOOKUP(A52,'WK 47'!A:A,'WK 47'!F:F,"")</f>
        <v>0</v>
      </c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</row>
    <row r="53" customHeight="1" spans="1:37">
      <c r="A53" s="86"/>
      <c r="B53" s="51"/>
      <c r="C53" s="106"/>
      <c r="D53" s="106"/>
      <c r="E53" s="106"/>
      <c r="F53" s="20">
        <f t="array" ref="F53">_xlfn.XLOOKUP(A53,'WK 47'!A:A,'WK 47'!F:F,"")</f>
        <v>0</v>
      </c>
      <c r="G53" s="106"/>
      <c r="H53" s="106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</row>
    <row r="54" customHeight="1" spans="1:37">
      <c r="A54" s="86"/>
      <c r="B54" s="51"/>
      <c r="C54" s="106"/>
      <c r="D54" s="106"/>
      <c r="E54" s="106"/>
      <c r="F54" s="7"/>
      <c r="G54" s="50" t="s">
        <v>6</v>
      </c>
      <c r="H54" s="50" t="s">
        <v>7</v>
      </c>
      <c r="I54" s="50" t="s">
        <v>8</v>
      </c>
      <c r="J54" s="50" t="s">
        <v>9</v>
      </c>
      <c r="K54" s="50" t="s">
        <v>10</v>
      </c>
      <c r="L54" s="50" t="s">
        <v>11</v>
      </c>
      <c r="M54" s="50" t="s">
        <v>12</v>
      </c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</row>
    <row r="55" customHeight="1" spans="1:37">
      <c r="A55" s="86"/>
      <c r="B55" s="51"/>
      <c r="C55" s="106"/>
      <c r="D55" s="106"/>
      <c r="E55" s="106"/>
      <c r="F55" s="7" t="s">
        <v>73</v>
      </c>
      <c r="G55" s="88">
        <v>251.4</v>
      </c>
      <c r="H55" s="88">
        <v>212.1</v>
      </c>
      <c r="I55" s="88">
        <v>205.7</v>
      </c>
      <c r="J55" s="88">
        <v>187.9</v>
      </c>
      <c r="K55" s="88">
        <v>203.7</v>
      </c>
      <c r="L55" s="88">
        <v>115.9</v>
      </c>
      <c r="M55" s="88">
        <v>84.7</v>
      </c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</row>
    <row r="56" customHeight="1" spans="1:37">
      <c r="A56" s="86"/>
      <c r="B56" s="51"/>
      <c r="C56" s="106"/>
      <c r="D56" s="106"/>
      <c r="E56" s="106"/>
      <c r="F56" s="7" t="s">
        <v>74</v>
      </c>
      <c r="G56" s="7">
        <f t="shared" ref="G56:J56" si="29">G58*8</f>
        <v>256</v>
      </c>
      <c r="H56" s="7">
        <f t="shared" si="29"/>
        <v>368</v>
      </c>
      <c r="I56" s="7">
        <f t="shared" si="29"/>
        <v>344</v>
      </c>
      <c r="J56" s="7">
        <f t="shared" si="29"/>
        <v>352</v>
      </c>
      <c r="K56" s="7">
        <f>K58*7.5</f>
        <v>285</v>
      </c>
      <c r="L56" s="7">
        <f t="shared" ref="L56:M56" si="30">L58*4.5</f>
        <v>90</v>
      </c>
      <c r="M56" s="7">
        <f t="shared" si="30"/>
        <v>67.5</v>
      </c>
      <c r="N56" s="17"/>
      <c r="O56" s="17"/>
      <c r="P56" s="17"/>
      <c r="Q56" s="17"/>
      <c r="R56" s="17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</row>
    <row r="57" customHeight="1" spans="1:37">
      <c r="A57" s="86"/>
      <c r="B57" s="51"/>
      <c r="C57" s="106"/>
      <c r="D57" s="106"/>
      <c r="E57" s="106"/>
      <c r="F57" s="7" t="s">
        <v>75</v>
      </c>
      <c r="G57" s="57">
        <f t="shared" ref="G57:M57" si="31">G56-G55</f>
        <v>4.59999999999999</v>
      </c>
      <c r="H57" s="57">
        <f t="shared" si="31"/>
        <v>155.9</v>
      </c>
      <c r="I57" s="57">
        <f t="shared" si="31"/>
        <v>138.3</v>
      </c>
      <c r="J57" s="57">
        <f t="shared" si="31"/>
        <v>164.1</v>
      </c>
      <c r="K57" s="57">
        <f t="shared" si="31"/>
        <v>81.3</v>
      </c>
      <c r="L57" s="57">
        <f t="shared" si="31"/>
        <v>-25.9</v>
      </c>
      <c r="M57" s="57">
        <f t="shared" si="31"/>
        <v>-17.2</v>
      </c>
      <c r="N57" s="17"/>
      <c r="O57" s="17"/>
      <c r="P57" s="17"/>
      <c r="Q57" s="17"/>
      <c r="R57" s="17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</row>
    <row r="58" customHeight="1" spans="1:37">
      <c r="A58" s="86"/>
      <c r="B58" s="51"/>
      <c r="C58" s="106"/>
      <c r="D58" s="106"/>
      <c r="E58" s="106"/>
      <c r="F58" s="7" t="s">
        <v>76</v>
      </c>
      <c r="G58" s="7">
        <f>IFERROR(__xludf.DUMMYFUNCTION("COUNTA(FILTER($C$4:$C$51, $C$4:$C$51=""CSR"", G4:G51&lt;&gt;"""", NOT(ISTEXT(G4:G51))))"),32)</f>
        <v>32</v>
      </c>
      <c r="H58" s="7">
        <f>IFERROR(__xludf.DUMMYFUNCTION("COUNTA(FILTER($C$4:$C$51, $C$4:$C$51=""CSR"", I4:I51&lt;&gt;"""", NOT(ISTEXT(I4:I51))))"),46)</f>
        <v>46</v>
      </c>
      <c r="I58" s="7">
        <f>IFERROR(__xludf.DUMMYFUNCTION("COUNTA(FILTER($C$4:$C$51, $C$4:$C$51=""CSR"", K4:K51&lt;&gt;"""", NOT(ISTEXT(K4:K51))))"),43)</f>
        <v>43</v>
      </c>
      <c r="J58" s="7">
        <f>IFERROR(__xludf.DUMMYFUNCTION("COUNTA(FILTER($C$4:$C$51, $C$4:$C$51=""CSR"", M4:M51&lt;&gt;"""", NOT(ISTEXT(M4:M51))))"),44)</f>
        <v>44</v>
      </c>
      <c r="K58" s="7">
        <f>IFERROR(__xludf.DUMMYFUNCTION("COUNTA(FILTER($C$4:$C$51, $C$4:$C$51=""CSR"", O4:O51&lt;&gt;"""", NOT(ISTEXT(O4:O51))))"),38)</f>
        <v>38</v>
      </c>
      <c r="L58" s="7">
        <f>IFERROR(__xludf.DUMMYFUNCTION("COUNTA(FILTER($C$4:$C$51, $C$4:$C$51=""CSR"", Q4:Q51&lt;&gt;"""", NOT(ISTEXT(Q4:Q51))))"),20)</f>
        <v>20</v>
      </c>
      <c r="M58" s="7">
        <f>IFERROR(__xludf.DUMMYFUNCTION("COUNTA(FILTER($C$4:$C$51, $C$4:$C$51=""CSR"", S4:S51&lt;&gt;"""", NOT(ISTEXT(S4:S51))))"),15)</f>
        <v>15</v>
      </c>
      <c r="N58" s="17"/>
      <c r="O58" s="17"/>
      <c r="P58" s="17"/>
      <c r="Q58" s="17"/>
      <c r="R58" s="17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</row>
    <row r="59" customHeight="1" spans="1:37">
      <c r="A59" s="86"/>
      <c r="B59" s="51"/>
      <c r="C59" s="106"/>
      <c r="D59" s="106"/>
      <c r="E59" s="106"/>
      <c r="F59" s="7" t="s">
        <v>77</v>
      </c>
      <c r="G59" s="56">
        <f t="shared" ref="G59:K59" si="32">G55/8</f>
        <v>31.425</v>
      </c>
      <c r="H59" s="56">
        <f t="shared" si="32"/>
        <v>26.5125</v>
      </c>
      <c r="I59" s="56">
        <f t="shared" si="32"/>
        <v>25.7125</v>
      </c>
      <c r="J59" s="56">
        <f t="shared" si="32"/>
        <v>23.4875</v>
      </c>
      <c r="K59" s="56">
        <f t="shared" si="32"/>
        <v>25.4625</v>
      </c>
      <c r="L59" s="56">
        <f t="shared" ref="L59:M59" si="33">L55/4.5</f>
        <v>25.7555555555556</v>
      </c>
      <c r="M59" s="56">
        <f t="shared" si="33"/>
        <v>18.8222222222222</v>
      </c>
      <c r="N59" s="17"/>
      <c r="O59" s="17"/>
      <c r="P59" s="17"/>
      <c r="Q59" s="17"/>
      <c r="R59" s="17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</row>
    <row r="60" customHeight="1" spans="1:37">
      <c r="A60" s="86"/>
      <c r="B60" s="51"/>
      <c r="C60" s="106"/>
      <c r="D60" s="106"/>
      <c r="E60" s="106"/>
      <c r="F60" s="7" t="s">
        <v>78</v>
      </c>
      <c r="G60" s="57">
        <f t="shared" ref="G60:M60" si="34">G58-G59</f>
        <v>0.574999999999999</v>
      </c>
      <c r="H60" s="57">
        <f t="shared" si="34"/>
        <v>19.4875</v>
      </c>
      <c r="I60" s="57">
        <f t="shared" si="34"/>
        <v>17.2875</v>
      </c>
      <c r="J60" s="57">
        <f t="shared" si="34"/>
        <v>20.5125</v>
      </c>
      <c r="K60" s="57">
        <f t="shared" si="34"/>
        <v>12.5375</v>
      </c>
      <c r="L60" s="57">
        <f t="shared" si="34"/>
        <v>-5.75555555555556</v>
      </c>
      <c r="M60" s="57">
        <f t="shared" si="34"/>
        <v>-3.82222222222222</v>
      </c>
      <c r="N60" s="17"/>
      <c r="O60" s="17"/>
      <c r="P60" s="17"/>
      <c r="Q60" s="17"/>
      <c r="R60" s="17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</row>
    <row r="61" customHeight="1" spans="1:37">
      <c r="A61" s="86"/>
      <c r="B61" s="51"/>
      <c r="C61" s="106"/>
      <c r="D61" s="106"/>
      <c r="E61" s="106"/>
      <c r="F61" s="7" t="s">
        <v>79</v>
      </c>
      <c r="G61" s="107">
        <f t="shared" ref="G61:M61" si="35">G60/G59</f>
        <v>0.0182975338106603</v>
      </c>
      <c r="H61" s="108">
        <f t="shared" si="35"/>
        <v>0.735030645921735</v>
      </c>
      <c r="I61" s="108">
        <f t="shared" si="35"/>
        <v>0.672338356830335</v>
      </c>
      <c r="J61" s="108">
        <f t="shared" si="35"/>
        <v>0.873336881319851</v>
      </c>
      <c r="K61" s="108">
        <f t="shared" si="35"/>
        <v>0.492390770741286</v>
      </c>
      <c r="L61" s="107">
        <f t="shared" si="35"/>
        <v>-0.223468507333909</v>
      </c>
      <c r="M61" s="107">
        <f t="shared" si="35"/>
        <v>-0.203069657615112</v>
      </c>
      <c r="N61" s="17"/>
      <c r="O61" s="17"/>
      <c r="P61" s="17"/>
      <c r="Q61" s="17"/>
      <c r="R61" s="17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</row>
    <row r="62" customHeight="1" spans="1:37">
      <c r="A62" s="86"/>
      <c r="B62" s="51"/>
      <c r="C62" s="106"/>
      <c r="D62" s="106"/>
      <c r="E62" s="106"/>
      <c r="F62" s="20">
        <f t="array" ref="F62">_xlfn.XLOOKUP(A62,'WK 47'!A:A,'WK 47'!F:F,"")</f>
        <v>0</v>
      </c>
      <c r="G62" s="106"/>
      <c r="H62" s="106"/>
      <c r="I62" s="61"/>
      <c r="J62" s="61"/>
      <c r="K62" s="17"/>
      <c r="L62" s="17"/>
      <c r="M62" s="17"/>
      <c r="N62" s="17"/>
      <c r="O62" s="17"/>
      <c r="P62" s="17"/>
      <c r="Q62" s="17"/>
      <c r="R62" s="17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</row>
    <row r="63" customHeight="1" spans="1:37">
      <c r="A63" s="86"/>
      <c r="B63" s="51"/>
      <c r="C63" s="61"/>
      <c r="D63" s="61"/>
      <c r="E63" s="61"/>
      <c r="F63" s="20"/>
      <c r="G63" s="61">
        <f t="shared" ref="G63:M63" si="36">G58-6</f>
        <v>26</v>
      </c>
      <c r="H63" s="61">
        <f t="shared" si="36"/>
        <v>40</v>
      </c>
      <c r="I63" s="61">
        <f t="shared" si="36"/>
        <v>37</v>
      </c>
      <c r="J63" s="61">
        <f t="shared" si="36"/>
        <v>38</v>
      </c>
      <c r="K63" s="61">
        <f t="shared" si="36"/>
        <v>32</v>
      </c>
      <c r="L63" s="61">
        <f t="shared" si="36"/>
        <v>14</v>
      </c>
      <c r="M63" s="61">
        <f t="shared" si="36"/>
        <v>9</v>
      </c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</row>
    <row r="64" customHeight="1" spans="1:37">
      <c r="A64" s="86"/>
      <c r="B64" s="51"/>
      <c r="C64" s="61"/>
      <c r="D64" s="61"/>
      <c r="E64" s="61"/>
      <c r="F64" s="20"/>
      <c r="G64" s="61">
        <f t="shared" ref="G64:M64" si="37">G63*15</f>
        <v>390</v>
      </c>
      <c r="H64" s="61">
        <f t="shared" si="37"/>
        <v>600</v>
      </c>
      <c r="I64" s="61">
        <f t="shared" si="37"/>
        <v>555</v>
      </c>
      <c r="J64" s="61">
        <f t="shared" si="37"/>
        <v>570</v>
      </c>
      <c r="K64" s="61">
        <f t="shared" si="37"/>
        <v>480</v>
      </c>
      <c r="L64" s="61">
        <f t="shared" si="37"/>
        <v>210</v>
      </c>
      <c r="M64" s="61">
        <f t="shared" si="37"/>
        <v>135</v>
      </c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</row>
    <row r="65" customHeight="1" spans="1:37">
      <c r="A65" s="86"/>
      <c r="B65" s="51"/>
      <c r="C65" s="106"/>
      <c r="D65" s="106"/>
      <c r="E65" s="106"/>
      <c r="F65" s="20"/>
      <c r="G65" s="106"/>
      <c r="H65" s="106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</row>
    <row r="66" customHeight="1" spans="1:37">
      <c r="A66" s="86"/>
      <c r="B66" s="51"/>
      <c r="C66" s="106"/>
      <c r="D66" s="106"/>
      <c r="E66" s="106"/>
      <c r="F66" s="20"/>
      <c r="G66" s="106"/>
      <c r="H66" s="106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</row>
    <row r="67" customHeight="1" spans="1:37">
      <c r="A67" s="61"/>
      <c r="B67" s="109"/>
      <c r="C67" s="106"/>
      <c r="D67" s="106"/>
      <c r="E67" s="106"/>
      <c r="F67" s="20"/>
      <c r="G67" s="106"/>
      <c r="H67" s="106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</row>
    <row r="68" customHeight="1" spans="1:37">
      <c r="A68" s="61"/>
      <c r="B68" s="109"/>
      <c r="C68" s="106"/>
      <c r="D68" s="106"/>
      <c r="E68" s="106"/>
      <c r="F68" s="20"/>
      <c r="G68" s="106"/>
      <c r="H68" s="106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</row>
    <row r="69" customHeight="1" spans="1:37">
      <c r="A69" s="61"/>
      <c r="B69" s="109"/>
      <c r="C69" s="106"/>
      <c r="D69" s="106"/>
      <c r="E69" s="106"/>
      <c r="F69" s="20"/>
      <c r="G69" s="106"/>
      <c r="H69" s="106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</row>
    <row r="70" customHeight="1" spans="1:37">
      <c r="A70" s="10"/>
      <c r="B70" s="109"/>
      <c r="C70" s="106"/>
      <c r="D70" s="106"/>
      <c r="E70" s="106"/>
      <c r="F70" s="20">
        <f t="array" ref="F70">_xlfn.XLOOKUP(A70,'WK 47'!A:A,'WK 47'!F:F,"")</f>
        <v>0</v>
      </c>
      <c r="G70" s="106"/>
      <c r="H70" s="106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</row>
    <row r="71" customHeight="1" spans="1:37">
      <c r="A71" s="22" t="s">
        <v>0</v>
      </c>
      <c r="B71" s="67" t="s">
        <v>98</v>
      </c>
      <c r="C71" s="67" t="s">
        <v>2</v>
      </c>
      <c r="D71" s="68">
        <v>45614</v>
      </c>
      <c r="E71" s="14"/>
      <c r="F71" s="68">
        <v>45615</v>
      </c>
      <c r="G71" s="14"/>
      <c r="H71" s="68">
        <v>45616</v>
      </c>
      <c r="I71" s="14"/>
      <c r="J71" s="68">
        <v>45617</v>
      </c>
      <c r="K71" s="14"/>
      <c r="L71" s="68">
        <v>45618</v>
      </c>
      <c r="M71" s="14"/>
      <c r="N71" s="68">
        <v>45619</v>
      </c>
      <c r="O71" s="14"/>
      <c r="P71" s="68">
        <v>45620</v>
      </c>
      <c r="Q71" s="14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</row>
    <row r="72" customHeight="1" spans="1:37">
      <c r="A72" s="15"/>
      <c r="B72" s="69"/>
      <c r="C72" s="69"/>
      <c r="D72" s="70" t="s">
        <v>6</v>
      </c>
      <c r="E72" s="71"/>
      <c r="F72" s="70" t="s">
        <v>7</v>
      </c>
      <c r="G72" s="71"/>
      <c r="H72" s="70" t="s">
        <v>8</v>
      </c>
      <c r="I72" s="71"/>
      <c r="J72" s="70" t="s">
        <v>9</v>
      </c>
      <c r="K72" s="71"/>
      <c r="L72" s="70" t="s">
        <v>10</v>
      </c>
      <c r="M72" s="71"/>
      <c r="N72" s="70" t="s">
        <v>11</v>
      </c>
      <c r="O72" s="71"/>
      <c r="P72" s="70" t="s">
        <v>12</v>
      </c>
      <c r="Q72" s="7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</row>
    <row r="73" customHeight="1" spans="1:37">
      <c r="A73" s="5"/>
      <c r="B73" s="71"/>
      <c r="C73" s="71"/>
      <c r="D73" s="73" t="s">
        <v>13</v>
      </c>
      <c r="E73" s="73" t="s">
        <v>14</v>
      </c>
      <c r="F73" s="73" t="s">
        <v>13</v>
      </c>
      <c r="G73" s="73" t="s">
        <v>14</v>
      </c>
      <c r="H73" s="73" t="s">
        <v>13</v>
      </c>
      <c r="I73" s="73" t="s">
        <v>14</v>
      </c>
      <c r="J73" s="73" t="s">
        <v>13</v>
      </c>
      <c r="K73" s="73" t="s">
        <v>14</v>
      </c>
      <c r="L73" s="73" t="s">
        <v>13</v>
      </c>
      <c r="M73" s="73" t="s">
        <v>14</v>
      </c>
      <c r="N73" s="73" t="s">
        <v>13</v>
      </c>
      <c r="O73" s="73" t="s">
        <v>14</v>
      </c>
      <c r="P73" s="73" t="s">
        <v>13</v>
      </c>
      <c r="Q73" s="73" t="s">
        <v>14</v>
      </c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</row>
    <row r="74" customHeight="1" spans="1:37">
      <c r="A74" s="75">
        <v>10316835</v>
      </c>
      <c r="B74" s="76" t="s">
        <v>161</v>
      </c>
      <c r="C74" s="76" t="s">
        <v>162</v>
      </c>
      <c r="D74" s="110">
        <v>0.458333333333333</v>
      </c>
      <c r="E74" s="111">
        <v>0.875</v>
      </c>
      <c r="F74" s="110">
        <v>0.458333333333333</v>
      </c>
      <c r="G74" s="111">
        <v>0.875</v>
      </c>
      <c r="H74" s="110">
        <v>0.458333333333333</v>
      </c>
      <c r="I74" s="78">
        <v>0.875</v>
      </c>
      <c r="J74" s="77">
        <v>0.458333333333333</v>
      </c>
      <c r="K74" s="78">
        <v>0.875</v>
      </c>
      <c r="L74" s="79" t="s">
        <v>23</v>
      </c>
      <c r="M74" s="79" t="s">
        <v>23</v>
      </c>
      <c r="N74" s="81" t="s">
        <v>23</v>
      </c>
      <c r="O74" s="81" t="s">
        <v>23</v>
      </c>
      <c r="P74" s="82">
        <v>0.458333333333333</v>
      </c>
      <c r="Q74" s="83">
        <v>0.666666666666667</v>
      </c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</row>
    <row r="75" customHeight="1" spans="1:37">
      <c r="A75" s="75">
        <v>10225640</v>
      </c>
      <c r="B75" s="76" t="s">
        <v>100</v>
      </c>
      <c r="C75" s="76" t="s">
        <v>162</v>
      </c>
      <c r="D75" s="79" t="s">
        <v>23</v>
      </c>
      <c r="E75" s="79" t="s">
        <v>23</v>
      </c>
      <c r="F75" s="110">
        <v>0.458333333333333</v>
      </c>
      <c r="G75" s="111">
        <v>0.875</v>
      </c>
      <c r="H75" s="110">
        <v>0.458333333333333</v>
      </c>
      <c r="I75" s="78">
        <v>0.875</v>
      </c>
      <c r="J75" s="77">
        <v>0.458333333333333</v>
      </c>
      <c r="K75" s="78">
        <v>0.875</v>
      </c>
      <c r="L75" s="77">
        <v>0.458333333333333</v>
      </c>
      <c r="M75" s="78">
        <v>0.875</v>
      </c>
      <c r="N75" s="82">
        <v>0.458333333333333</v>
      </c>
      <c r="O75" s="83">
        <v>0.666666666666667</v>
      </c>
      <c r="P75" s="81" t="s">
        <v>23</v>
      </c>
      <c r="Q75" s="81" t="s">
        <v>23</v>
      </c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</row>
    <row r="76" customHeight="1" spans="1:37">
      <c r="A76" s="75">
        <v>10303312</v>
      </c>
      <c r="B76" s="76" t="s">
        <v>163</v>
      </c>
      <c r="C76" s="76" t="s">
        <v>164</v>
      </c>
      <c r="D76" s="111">
        <v>0.375</v>
      </c>
      <c r="E76" s="110">
        <v>0.75</v>
      </c>
      <c r="F76" s="111">
        <v>0.375</v>
      </c>
      <c r="G76" s="110">
        <v>0.75</v>
      </c>
      <c r="H76" s="111">
        <v>0.375</v>
      </c>
      <c r="I76" s="77">
        <v>0.75</v>
      </c>
      <c r="J76" s="78">
        <v>0.375</v>
      </c>
      <c r="K76" s="77">
        <v>0.75</v>
      </c>
      <c r="L76" s="78">
        <v>0.375</v>
      </c>
      <c r="M76" s="77">
        <v>0.75</v>
      </c>
      <c r="N76" s="79" t="s">
        <v>23</v>
      </c>
      <c r="O76" s="79" t="s">
        <v>23</v>
      </c>
      <c r="P76" s="79" t="s">
        <v>23</v>
      </c>
      <c r="Q76" s="79" t="s">
        <v>23</v>
      </c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</row>
    <row r="77" customHeight="1" spans="1:37">
      <c r="A77" s="75">
        <v>10306591</v>
      </c>
      <c r="B77" s="76" t="s">
        <v>108</v>
      </c>
      <c r="C77" s="76" t="s">
        <v>164</v>
      </c>
      <c r="D77" s="111">
        <v>0.375</v>
      </c>
      <c r="E77" s="110">
        <v>0.75</v>
      </c>
      <c r="F77" s="111">
        <v>0.375</v>
      </c>
      <c r="G77" s="110">
        <v>0.75</v>
      </c>
      <c r="H77" s="111">
        <v>0.375</v>
      </c>
      <c r="I77" s="77">
        <v>0.75</v>
      </c>
      <c r="J77" s="78">
        <v>0.375</v>
      </c>
      <c r="K77" s="77">
        <v>0.75</v>
      </c>
      <c r="L77" s="78">
        <v>0.375</v>
      </c>
      <c r="M77" s="77">
        <v>0.75</v>
      </c>
      <c r="N77" s="79" t="s">
        <v>23</v>
      </c>
      <c r="O77" s="79" t="s">
        <v>23</v>
      </c>
      <c r="P77" s="79" t="s">
        <v>23</v>
      </c>
      <c r="Q77" s="79" t="s">
        <v>23</v>
      </c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</row>
    <row r="78" customHeight="1" spans="1:37">
      <c r="A78" s="75">
        <v>10271545</v>
      </c>
      <c r="B78" s="76" t="s">
        <v>165</v>
      </c>
      <c r="C78" s="76" t="s">
        <v>166</v>
      </c>
      <c r="D78" s="111">
        <v>0.375</v>
      </c>
      <c r="E78" s="110">
        <v>0.75</v>
      </c>
      <c r="F78" s="111">
        <v>0.375</v>
      </c>
      <c r="G78" s="110">
        <v>0.75</v>
      </c>
      <c r="H78" s="111">
        <v>0.375</v>
      </c>
      <c r="I78" s="77">
        <v>0.75</v>
      </c>
      <c r="J78" s="78">
        <v>0.375</v>
      </c>
      <c r="K78" s="77">
        <v>0.75</v>
      </c>
      <c r="L78" s="78">
        <v>0.375</v>
      </c>
      <c r="M78" s="77">
        <v>0.75</v>
      </c>
      <c r="N78" s="79" t="s">
        <v>23</v>
      </c>
      <c r="O78" s="79" t="s">
        <v>23</v>
      </c>
      <c r="P78" s="79" t="s">
        <v>23</v>
      </c>
      <c r="Q78" s="79" t="s">
        <v>23</v>
      </c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</row>
    <row r="79" customHeight="1" spans="1:37">
      <c r="A79" s="61"/>
      <c r="B79" s="109"/>
      <c r="C79" s="106"/>
      <c r="D79" s="106"/>
      <c r="E79" s="106"/>
      <c r="F79" s="20">
        <f t="array" ref="F79">_xlfn.XLOOKUP(A79,'WK 47'!A:A,'WK 47'!F:F,"")</f>
        <v>0</v>
      </c>
      <c r="G79" s="106"/>
      <c r="H79" s="106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</row>
    <row r="80" customHeight="1" spans="1:37">
      <c r="A80" s="61"/>
      <c r="B80" s="109"/>
      <c r="C80" s="106"/>
      <c r="D80" s="106"/>
      <c r="E80" s="106"/>
      <c r="F80" s="20">
        <f t="array" ref="F80">_xlfn.XLOOKUP(A80,'WK 47'!A:A,'WK 47'!F:F,"")</f>
        <v>0</v>
      </c>
      <c r="G80" s="106"/>
      <c r="H80" s="106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</row>
    <row r="81" customHeight="1" spans="1:37">
      <c r="A81" s="61"/>
      <c r="B81" s="109"/>
      <c r="C81" s="106"/>
      <c r="D81" s="106"/>
      <c r="E81" s="106"/>
      <c r="F81" s="20">
        <f t="array" ref="F81">_xlfn.XLOOKUP(A81,'WK 47'!A:A,'WK 47'!F:F,"")</f>
        <v>0</v>
      </c>
      <c r="G81" s="106"/>
      <c r="H81" s="106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</row>
    <row r="82" customHeight="1" spans="1:37">
      <c r="A82" s="61"/>
      <c r="B82" s="109"/>
      <c r="C82" s="106"/>
      <c r="D82" s="106"/>
      <c r="E82" s="106"/>
      <c r="F82" s="20">
        <f t="array" ref="F82">_xlfn.XLOOKUP(A82,'WK 47'!A:A,'WK 47'!F:F,"")</f>
        <v>0</v>
      </c>
      <c r="G82" s="106"/>
      <c r="H82" s="106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</row>
    <row r="83" customHeight="1" spans="1:37">
      <c r="A83" s="61"/>
      <c r="B83" s="109"/>
      <c r="C83" s="106"/>
      <c r="D83" s="106"/>
      <c r="E83" s="106"/>
      <c r="F83" s="20">
        <f t="array" ref="F83">_xlfn.XLOOKUP(A83,'WK 47'!A:A,'WK 47'!F:F,"")</f>
        <v>0</v>
      </c>
      <c r="G83" s="106"/>
      <c r="H83" s="106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</row>
    <row r="84" customHeight="1" spans="1:37">
      <c r="A84" s="61"/>
      <c r="B84" s="109"/>
      <c r="C84" s="106"/>
      <c r="D84" s="106"/>
      <c r="E84" s="106"/>
      <c r="F84" s="20">
        <f t="array" ref="F84">_xlfn.XLOOKUP(A84,'WK 47'!A:A,'WK 47'!F:F,"")</f>
        <v>0</v>
      </c>
      <c r="G84" s="106"/>
      <c r="H84" s="106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</row>
    <row r="85" customHeight="1" spans="1:37">
      <c r="A85" s="61"/>
      <c r="B85" s="109"/>
      <c r="C85" s="106"/>
      <c r="D85" s="106"/>
      <c r="E85" s="106"/>
      <c r="F85" s="20">
        <f t="array" ref="F85">_xlfn.XLOOKUP(A85,'WK 47'!A:A,'WK 47'!F:F,"")</f>
        <v>0</v>
      </c>
      <c r="G85" s="106"/>
      <c r="H85" s="106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</row>
    <row r="86" customHeight="1" spans="1:37">
      <c r="A86" s="61"/>
      <c r="B86" s="109"/>
      <c r="C86" s="106"/>
      <c r="D86" s="106"/>
      <c r="E86" s="106"/>
      <c r="F86" s="20">
        <f t="array" ref="F86">_xlfn.XLOOKUP(A86,'WK 47'!A:A,'WK 47'!F:F,"")</f>
        <v>0</v>
      </c>
      <c r="G86" s="106"/>
      <c r="H86" s="106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</row>
    <row r="87" customHeight="1" spans="1:37">
      <c r="A87" s="61"/>
      <c r="B87" s="109"/>
      <c r="C87" s="106"/>
      <c r="D87" s="106"/>
      <c r="E87" s="106"/>
      <c r="F87" s="20">
        <f t="array" ref="F87">_xlfn.XLOOKUP(A87,'WK 47'!A:A,'WK 47'!F:F,"")</f>
        <v>0</v>
      </c>
      <c r="G87" s="106"/>
      <c r="H87" s="106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</row>
    <row r="88" customHeight="1" spans="1:37">
      <c r="A88" s="61"/>
      <c r="B88" s="109"/>
      <c r="C88" s="106"/>
      <c r="D88" s="106"/>
      <c r="E88" s="106"/>
      <c r="F88" s="20">
        <f t="array" ref="F88">_xlfn.XLOOKUP(A88,'WK 47'!A:A,'WK 47'!F:F,"")</f>
        <v>0</v>
      </c>
      <c r="G88" s="106"/>
      <c r="H88" s="106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</row>
    <row r="89" customHeight="1" spans="1:37">
      <c r="A89" s="61"/>
      <c r="B89" s="109"/>
      <c r="C89" s="106"/>
      <c r="D89" s="106"/>
      <c r="E89" s="106"/>
      <c r="F89" s="20">
        <f t="array" ref="F89">_xlfn.XLOOKUP(A89,'WK 47'!A:A,'WK 47'!F:F,"")</f>
        <v>0</v>
      </c>
      <c r="G89" s="106"/>
      <c r="H89" s="106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</row>
    <row r="90" customHeight="1" spans="1:37">
      <c r="A90" s="61"/>
      <c r="B90" s="109"/>
      <c r="C90" s="106"/>
      <c r="D90" s="106"/>
      <c r="E90" s="106"/>
      <c r="F90" s="20">
        <f t="array" ref="F90">_xlfn.XLOOKUP(A90,'WK 47'!A:A,'WK 47'!F:F,"")</f>
        <v>0</v>
      </c>
      <c r="G90" s="106"/>
      <c r="H90" s="106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</row>
    <row r="91" customHeight="1" spans="1:37">
      <c r="A91" s="61"/>
      <c r="B91" s="109"/>
      <c r="C91" s="106"/>
      <c r="D91" s="106"/>
      <c r="E91" s="106"/>
      <c r="F91" s="20">
        <f t="array" ref="F91">_xlfn.XLOOKUP(A91,'WK 47'!A:A,'WK 47'!F:F,"")</f>
        <v>0</v>
      </c>
      <c r="G91" s="106"/>
      <c r="H91" s="106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</row>
    <row r="92" customHeight="1" spans="1:37">
      <c r="A92" s="61"/>
      <c r="B92" s="109"/>
      <c r="C92" s="106"/>
      <c r="D92" s="106"/>
      <c r="E92" s="106"/>
      <c r="F92" s="20">
        <f t="array" ref="F92">_xlfn.XLOOKUP(A92,'WK 47'!A:A,'WK 47'!F:F,"")</f>
        <v>0</v>
      </c>
      <c r="G92" s="106"/>
      <c r="H92" s="106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</row>
    <row r="93" customHeight="1" spans="1:37">
      <c r="A93" s="61"/>
      <c r="B93" s="109"/>
      <c r="C93" s="106"/>
      <c r="D93" s="106"/>
      <c r="E93" s="106"/>
      <c r="F93" s="20">
        <f t="array" ref="F93">_xlfn.XLOOKUP(A93,'WK 47'!A:A,'WK 47'!F:F,"")</f>
        <v>0</v>
      </c>
      <c r="G93" s="106"/>
      <c r="H93" s="106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</row>
    <row r="94" customHeight="1" spans="1:37">
      <c r="A94" s="61"/>
      <c r="B94" s="109"/>
      <c r="C94" s="106"/>
      <c r="D94" s="106"/>
      <c r="E94" s="106"/>
      <c r="F94" s="20">
        <f t="array" ref="F94">_xlfn.XLOOKUP(A94,'WK 47'!A:A,'WK 47'!F:F,"")</f>
        <v>0</v>
      </c>
      <c r="G94" s="106"/>
      <c r="H94" s="106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</row>
    <row r="95" customHeight="1" spans="1:37">
      <c r="A95" s="61"/>
      <c r="B95" s="109"/>
      <c r="C95" s="106"/>
      <c r="D95" s="106"/>
      <c r="E95" s="106"/>
      <c r="F95" s="20">
        <f t="array" ref="F95">_xlfn.XLOOKUP(A95,'WK 47'!A:A,'WK 47'!F:F,"")</f>
        <v>0</v>
      </c>
      <c r="G95" s="106"/>
      <c r="H95" s="106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</row>
    <row r="96" customHeight="1" spans="1:37">
      <c r="A96" s="61"/>
      <c r="B96" s="109"/>
      <c r="C96" s="106"/>
      <c r="D96" s="106"/>
      <c r="E96" s="106"/>
      <c r="F96" s="20">
        <f t="array" ref="F96">_xlfn.XLOOKUP(A96,'WK 47'!A:A,'WK 47'!F:F,"")</f>
        <v>0</v>
      </c>
      <c r="G96" s="106"/>
      <c r="H96" s="106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</row>
    <row r="97" customHeight="1" spans="1:37">
      <c r="A97" s="61"/>
      <c r="B97" s="109"/>
      <c r="C97" s="106"/>
      <c r="D97" s="106"/>
      <c r="E97" s="106"/>
      <c r="F97" s="20">
        <f t="array" ref="F97">_xlfn.XLOOKUP(A97,'WK 47'!A:A,'WK 47'!F:F,"")</f>
        <v>0</v>
      </c>
      <c r="G97" s="106"/>
      <c r="H97" s="106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</row>
    <row r="98" customHeight="1" spans="1:37">
      <c r="A98" s="61"/>
      <c r="B98" s="109"/>
      <c r="C98" s="106"/>
      <c r="D98" s="106"/>
      <c r="E98" s="106"/>
      <c r="F98" s="20">
        <f t="array" ref="F98">_xlfn.XLOOKUP(A98,'WK 47'!A:A,'WK 47'!F:F,"")</f>
        <v>0</v>
      </c>
      <c r="G98" s="106"/>
      <c r="H98" s="106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</row>
    <row r="99" customHeight="1" spans="1:37">
      <c r="A99" s="61"/>
      <c r="B99" s="109"/>
      <c r="C99" s="106"/>
      <c r="D99" s="106"/>
      <c r="E99" s="106"/>
      <c r="F99" s="20">
        <f t="array" ref="F99">_xlfn.XLOOKUP(A99,'WK 47'!A:A,'WK 47'!F:F,"")</f>
        <v>0</v>
      </c>
      <c r="G99" s="106"/>
      <c r="H99" s="106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</row>
    <row r="100" customHeight="1" spans="1:37">
      <c r="A100" s="61"/>
      <c r="B100" s="109"/>
      <c r="C100" s="106"/>
      <c r="D100" s="106"/>
      <c r="E100" s="106"/>
      <c r="F100" s="20">
        <f t="array" ref="F100">_xlfn.XLOOKUP(A100,'WK 47'!A:A,'WK 47'!F:F,"")</f>
        <v>0</v>
      </c>
      <c r="G100" s="106"/>
      <c r="H100" s="106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</row>
    <row r="101" customHeight="1" spans="1:37">
      <c r="A101" s="61"/>
      <c r="B101" s="109"/>
      <c r="C101" s="106"/>
      <c r="D101" s="106"/>
      <c r="E101" s="106"/>
      <c r="F101" s="20">
        <f t="array" ref="F101">_xlfn.XLOOKUP(A101,'WK 47'!A:A,'WK 47'!F:F,"")</f>
        <v>0</v>
      </c>
      <c r="G101" s="106"/>
      <c r="H101" s="106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</row>
    <row r="102" customHeight="1" spans="1:37">
      <c r="A102" s="61"/>
      <c r="B102" s="109"/>
      <c r="C102" s="106"/>
      <c r="D102" s="106"/>
      <c r="E102" s="106"/>
      <c r="F102" s="20">
        <f t="array" ref="F102">_xlfn.XLOOKUP(A102,'WK 47'!A:A,'WK 47'!F:F,"")</f>
        <v>0</v>
      </c>
      <c r="G102" s="106"/>
      <c r="H102" s="106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</row>
    <row r="103" customHeight="1" spans="1:37">
      <c r="A103" s="61"/>
      <c r="B103" s="109"/>
      <c r="C103" s="106"/>
      <c r="D103" s="106"/>
      <c r="E103" s="106"/>
      <c r="F103" s="20">
        <f t="array" ref="F103">_xlfn.XLOOKUP(A103,'WK 47'!A:A,'WK 47'!F:F,"")</f>
        <v>0</v>
      </c>
      <c r="G103" s="106"/>
      <c r="H103" s="106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</row>
    <row r="104" customHeight="1" spans="1:37">
      <c r="A104" s="61"/>
      <c r="B104" s="109"/>
      <c r="C104" s="106"/>
      <c r="D104" s="106"/>
      <c r="E104" s="106"/>
      <c r="F104" s="20">
        <f t="array" ref="F104">_xlfn.XLOOKUP(A104,'WK 47'!A:A,'WK 47'!F:F,"")</f>
        <v>0</v>
      </c>
      <c r="G104" s="106"/>
      <c r="H104" s="106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</row>
    <row r="105" customHeight="1" spans="1:37">
      <c r="A105" s="61"/>
      <c r="B105" s="109"/>
      <c r="C105" s="106"/>
      <c r="D105" s="106"/>
      <c r="E105" s="106"/>
      <c r="F105" s="20">
        <f t="array" ref="F105">_xlfn.XLOOKUP(A105,'WK 47'!A:A,'WK 47'!F:F,"")</f>
        <v>0</v>
      </c>
      <c r="G105" s="106"/>
      <c r="H105" s="106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</row>
    <row r="106" customHeight="1" spans="1:37">
      <c r="A106" s="61"/>
      <c r="B106" s="109"/>
      <c r="C106" s="106"/>
      <c r="D106" s="106"/>
      <c r="E106" s="106"/>
      <c r="F106" s="20">
        <f t="array" ref="F106">_xlfn.XLOOKUP(A106,'WK 47'!A:A,'WK 47'!F:F,"")</f>
        <v>0</v>
      </c>
      <c r="G106" s="106"/>
      <c r="H106" s="106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</row>
    <row r="107" customHeight="1" spans="1:37">
      <c r="A107" s="61"/>
      <c r="B107" s="109"/>
      <c r="C107" s="106"/>
      <c r="D107" s="106"/>
      <c r="E107" s="106"/>
      <c r="F107" s="20">
        <f t="array" ref="F107">_xlfn.XLOOKUP(A107,'WK 47'!A:A,'WK 47'!F:F,"")</f>
        <v>0</v>
      </c>
      <c r="G107" s="106"/>
      <c r="H107" s="106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</row>
    <row r="108" customHeight="1" spans="1:37">
      <c r="A108" s="61"/>
      <c r="B108" s="109"/>
      <c r="C108" s="106"/>
      <c r="D108" s="106"/>
      <c r="E108" s="106"/>
      <c r="F108" s="20">
        <f t="array" ref="F108">_xlfn.XLOOKUP(A108,'WK 47'!A:A,'WK 47'!F:F,"")</f>
        <v>0</v>
      </c>
      <c r="G108" s="106"/>
      <c r="H108" s="106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</row>
    <row r="109" customHeight="1" spans="1:37">
      <c r="A109" s="61"/>
      <c r="B109" s="109"/>
      <c r="C109" s="106"/>
      <c r="D109" s="106"/>
      <c r="E109" s="106"/>
      <c r="F109" s="20">
        <f t="array" ref="F109">_xlfn.XLOOKUP(A109,'WK 47'!A:A,'WK 47'!F:F,"")</f>
        <v>0</v>
      </c>
      <c r="G109" s="106"/>
      <c r="H109" s="106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</row>
    <row r="110" customHeight="1" spans="1:37">
      <c r="A110" s="61"/>
      <c r="B110" s="109"/>
      <c r="C110" s="106"/>
      <c r="D110" s="106"/>
      <c r="E110" s="106"/>
      <c r="F110" s="20">
        <f t="array" ref="F110">_xlfn.XLOOKUP(A110,'WK 47'!A:A,'WK 47'!F:F,"")</f>
        <v>0</v>
      </c>
      <c r="G110" s="106"/>
      <c r="H110" s="106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</row>
    <row r="111" customHeight="1" spans="1:37">
      <c r="A111" s="61"/>
      <c r="B111" s="109"/>
      <c r="C111" s="106"/>
      <c r="D111" s="106"/>
      <c r="E111" s="106"/>
      <c r="F111" s="20">
        <f t="array" ref="F111">_xlfn.XLOOKUP(A111,'WK 47'!A:A,'WK 47'!F:F,"")</f>
        <v>0</v>
      </c>
      <c r="G111" s="106"/>
      <c r="H111" s="106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</row>
    <row r="112" customHeight="1" spans="1:37">
      <c r="A112" s="61"/>
      <c r="B112" s="109"/>
      <c r="C112" s="106"/>
      <c r="D112" s="106"/>
      <c r="E112" s="106"/>
      <c r="F112" s="20">
        <f t="array" ref="F112">_xlfn.XLOOKUP(A112,'WK 47'!A:A,'WK 47'!F:F,"")</f>
        <v>0</v>
      </c>
      <c r="G112" s="106"/>
      <c r="H112" s="106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</row>
    <row r="113" customHeight="1" spans="1:37">
      <c r="A113" s="61"/>
      <c r="B113" s="109"/>
      <c r="C113" s="106"/>
      <c r="D113" s="106"/>
      <c r="E113" s="106"/>
      <c r="F113" s="20">
        <f t="array" ref="F113">_xlfn.XLOOKUP(A113,'WK 47'!A:A,'WK 47'!F:F,"")</f>
        <v>0</v>
      </c>
      <c r="G113" s="106"/>
      <c r="H113" s="106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</row>
    <row r="114" customHeight="1" spans="1:37">
      <c r="A114" s="61"/>
      <c r="B114" s="109"/>
      <c r="C114" s="106"/>
      <c r="D114" s="106"/>
      <c r="E114" s="106"/>
      <c r="F114" s="20">
        <f t="array" ref="F114">_xlfn.XLOOKUP(A114,'WK 47'!A:A,'WK 47'!F:F,"")</f>
        <v>0</v>
      </c>
      <c r="G114" s="106"/>
      <c r="H114" s="106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</row>
    <row r="115" customHeight="1" spans="1:37">
      <c r="A115" s="61"/>
      <c r="B115" s="109"/>
      <c r="C115" s="106"/>
      <c r="D115" s="106"/>
      <c r="E115" s="106"/>
      <c r="F115" s="20">
        <f t="array" ref="F115">_xlfn.XLOOKUP(A115,'WK 47'!A:A,'WK 47'!F:F,"")</f>
        <v>0</v>
      </c>
      <c r="G115" s="106"/>
      <c r="H115" s="106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</row>
    <row r="116" customHeight="1" spans="1:37">
      <c r="A116" s="61"/>
      <c r="B116" s="109"/>
      <c r="C116" s="106"/>
      <c r="D116" s="106"/>
      <c r="E116" s="106"/>
      <c r="F116" s="20">
        <f t="array" ref="F116">_xlfn.XLOOKUP(A116,'WK 47'!A:A,'WK 47'!F:F,"")</f>
        <v>0</v>
      </c>
      <c r="G116" s="106"/>
      <c r="H116" s="106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</row>
    <row r="117" customHeight="1" spans="1:37">
      <c r="A117" s="61"/>
      <c r="B117" s="109"/>
      <c r="C117" s="106"/>
      <c r="D117" s="106"/>
      <c r="E117" s="106"/>
      <c r="F117" s="20">
        <f t="array" ref="F117">_xlfn.XLOOKUP(A117,'WK 47'!A:A,'WK 47'!F:F,"")</f>
        <v>0</v>
      </c>
      <c r="G117" s="106"/>
      <c r="H117" s="106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</row>
    <row r="118" customHeight="1" spans="1:37">
      <c r="A118" s="61"/>
      <c r="B118" s="109"/>
      <c r="C118" s="106"/>
      <c r="D118" s="106"/>
      <c r="E118" s="106"/>
      <c r="F118" s="20">
        <f t="array" ref="F118">_xlfn.XLOOKUP(A118,'WK 47'!A:A,'WK 47'!F:F,"")</f>
        <v>0</v>
      </c>
      <c r="G118" s="106"/>
      <c r="H118" s="106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</row>
    <row r="119" customHeight="1" spans="1:37">
      <c r="A119" s="61"/>
      <c r="B119" s="109"/>
      <c r="C119" s="106"/>
      <c r="D119" s="106"/>
      <c r="E119" s="106"/>
      <c r="F119" s="20">
        <f t="array" ref="F119">_xlfn.XLOOKUP(A119,'WK 47'!A:A,'WK 47'!F:F,"")</f>
        <v>0</v>
      </c>
      <c r="G119" s="106"/>
      <c r="H119" s="106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</row>
    <row r="120" customHeight="1" spans="1:37">
      <c r="A120" s="61"/>
      <c r="B120" s="109"/>
      <c r="C120" s="106"/>
      <c r="D120" s="106"/>
      <c r="E120" s="106"/>
      <c r="F120" s="20">
        <f t="array" ref="F120">_xlfn.XLOOKUP(A120,'WK 47'!A:A,'WK 47'!F:F,"")</f>
        <v>0</v>
      </c>
      <c r="G120" s="106"/>
      <c r="H120" s="106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</row>
    <row r="121" customHeight="1" spans="1:37">
      <c r="A121" s="61"/>
      <c r="B121" s="109"/>
      <c r="C121" s="106"/>
      <c r="D121" s="106"/>
      <c r="E121" s="106"/>
      <c r="F121" s="20">
        <f t="array" ref="F121">_xlfn.XLOOKUP(A121,'WK 47'!A:A,'WK 47'!F:F,"")</f>
        <v>0</v>
      </c>
      <c r="G121" s="106"/>
      <c r="H121" s="106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</row>
    <row r="122" customHeight="1" spans="1:37">
      <c r="A122" s="61"/>
      <c r="B122" s="109"/>
      <c r="C122" s="106"/>
      <c r="D122" s="106"/>
      <c r="E122" s="106"/>
      <c r="F122" s="20">
        <f t="array" ref="F122">_xlfn.XLOOKUP(A122,'WK 47'!A:A,'WK 47'!F:F,"")</f>
        <v>0</v>
      </c>
      <c r="G122" s="106"/>
      <c r="H122" s="106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</row>
    <row r="123" customHeight="1" spans="1:37">
      <c r="A123" s="61"/>
      <c r="B123" s="109"/>
      <c r="C123" s="106"/>
      <c r="D123" s="106"/>
      <c r="E123" s="106"/>
      <c r="F123" s="20">
        <f t="array" ref="F123">_xlfn.XLOOKUP(A123,'WK 47'!A:A,'WK 47'!F:F,"")</f>
        <v>0</v>
      </c>
      <c r="G123" s="106"/>
      <c r="H123" s="106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</row>
    <row r="124" customHeight="1" spans="1:37">
      <c r="A124" s="61"/>
      <c r="B124" s="109"/>
      <c r="C124" s="106"/>
      <c r="D124" s="106"/>
      <c r="E124" s="106"/>
      <c r="F124" s="20">
        <f t="array" ref="F124">_xlfn.XLOOKUP(A124,'WK 47'!A:A,'WK 47'!F:F,"")</f>
        <v>0</v>
      </c>
      <c r="G124" s="106"/>
      <c r="H124" s="106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</row>
    <row r="125" customHeight="1" spans="1:37">
      <c r="A125" s="61"/>
      <c r="B125" s="109"/>
      <c r="C125" s="106"/>
      <c r="D125" s="106"/>
      <c r="E125" s="106"/>
      <c r="F125" s="20">
        <f t="array" ref="F125">_xlfn.XLOOKUP(A125,'WK 47'!A:A,'WK 47'!F:F,"")</f>
        <v>0</v>
      </c>
      <c r="G125" s="106"/>
      <c r="H125" s="106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</row>
    <row r="126" customHeight="1" spans="1:37">
      <c r="A126" s="61"/>
      <c r="B126" s="109"/>
      <c r="C126" s="106"/>
      <c r="D126" s="106"/>
      <c r="E126" s="106"/>
      <c r="F126" s="20">
        <f t="array" ref="F126">_xlfn.XLOOKUP(A126,'WK 47'!A:A,'WK 47'!F:F,"")</f>
        <v>0</v>
      </c>
      <c r="G126" s="106"/>
      <c r="H126" s="106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</row>
    <row r="127" customHeight="1" spans="1:37">
      <c r="A127" s="61"/>
      <c r="B127" s="109"/>
      <c r="C127" s="106"/>
      <c r="D127" s="106"/>
      <c r="E127" s="106"/>
      <c r="F127" s="20">
        <f t="array" ref="F127">_xlfn.XLOOKUP(A127,'WK 47'!A:A,'WK 47'!F:F,"")</f>
        <v>0</v>
      </c>
      <c r="G127" s="106"/>
      <c r="H127" s="106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</row>
    <row r="128" customHeight="1" spans="1:37">
      <c r="A128" s="61"/>
      <c r="B128" s="109"/>
      <c r="C128" s="106"/>
      <c r="D128" s="106"/>
      <c r="E128" s="106"/>
      <c r="F128" s="20">
        <f t="array" ref="F128">_xlfn.XLOOKUP(A128,'WK 47'!A:A,'WK 47'!F:F,"")</f>
        <v>0</v>
      </c>
      <c r="G128" s="106"/>
      <c r="H128" s="106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</row>
    <row r="129" customHeight="1" spans="1:37">
      <c r="A129" s="61"/>
      <c r="B129" s="109"/>
      <c r="C129" s="106"/>
      <c r="D129" s="106"/>
      <c r="E129" s="106"/>
      <c r="F129" s="20">
        <f t="array" ref="F129">_xlfn.XLOOKUP(A129,'WK 47'!A:A,'WK 47'!F:F,"")</f>
        <v>0</v>
      </c>
      <c r="G129" s="106"/>
      <c r="H129" s="106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</row>
    <row r="130" customHeight="1" spans="1:37">
      <c r="A130" s="61"/>
      <c r="B130" s="109"/>
      <c r="C130" s="106"/>
      <c r="D130" s="106"/>
      <c r="E130" s="106"/>
      <c r="F130" s="20">
        <f t="array" ref="F130">_xlfn.XLOOKUP(A130,'WK 47'!A:A,'WK 47'!F:F,"")</f>
        <v>0</v>
      </c>
      <c r="G130" s="106"/>
      <c r="H130" s="106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</row>
    <row r="131" customHeight="1" spans="1:37">
      <c r="A131" s="61"/>
      <c r="B131" s="109"/>
      <c r="C131" s="106"/>
      <c r="D131" s="106"/>
      <c r="E131" s="106"/>
      <c r="F131" s="20">
        <f t="array" ref="F131">_xlfn.XLOOKUP(A131,'WK 47'!A:A,'WK 47'!F:F,"")</f>
        <v>0</v>
      </c>
      <c r="G131" s="106"/>
      <c r="H131" s="106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</row>
    <row r="132" customHeight="1" spans="1:37">
      <c r="A132" s="61"/>
      <c r="B132" s="109"/>
      <c r="C132" s="106"/>
      <c r="D132" s="106"/>
      <c r="E132" s="106"/>
      <c r="F132" s="20">
        <f t="array" ref="F132">_xlfn.XLOOKUP(A132,'WK 47'!A:A,'WK 47'!F:F,"")</f>
        <v>0</v>
      </c>
      <c r="G132" s="106"/>
      <c r="H132" s="106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</row>
    <row r="133" customHeight="1" spans="1:37">
      <c r="A133" s="61"/>
      <c r="B133" s="109"/>
      <c r="C133" s="106"/>
      <c r="D133" s="106"/>
      <c r="E133" s="106"/>
      <c r="F133" s="20">
        <f t="array" ref="F133">_xlfn.XLOOKUP(A133,'WK 47'!A:A,'WK 47'!F:F,"")</f>
        <v>0</v>
      </c>
      <c r="G133" s="106"/>
      <c r="H133" s="106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</row>
    <row r="134" customHeight="1" spans="1:37">
      <c r="A134" s="61"/>
      <c r="B134" s="109"/>
      <c r="C134" s="106"/>
      <c r="D134" s="106"/>
      <c r="E134" s="106"/>
      <c r="F134" s="20">
        <f t="array" ref="F134">_xlfn.XLOOKUP(A134,'WK 47'!A:A,'WK 47'!F:F,"")</f>
        <v>0</v>
      </c>
      <c r="G134" s="106"/>
      <c r="H134" s="106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</row>
    <row r="135" customHeight="1" spans="1:37">
      <c r="A135" s="61"/>
      <c r="B135" s="109"/>
      <c r="C135" s="106"/>
      <c r="D135" s="106"/>
      <c r="E135" s="106"/>
      <c r="F135" s="20">
        <f t="array" ref="F135">_xlfn.XLOOKUP(A135,'WK 47'!A:A,'WK 47'!F:F,"")</f>
        <v>0</v>
      </c>
      <c r="G135" s="106"/>
      <c r="H135" s="106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</row>
    <row r="136" customHeight="1" spans="1:37">
      <c r="A136" s="61"/>
      <c r="B136" s="109"/>
      <c r="C136" s="106"/>
      <c r="D136" s="106"/>
      <c r="E136" s="106"/>
      <c r="F136" s="20">
        <f t="array" ref="F136">_xlfn.XLOOKUP(A136,'WK 47'!A:A,'WK 47'!F:F,"")</f>
        <v>0</v>
      </c>
      <c r="G136" s="106"/>
      <c r="H136" s="106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</row>
    <row r="137" customHeight="1" spans="1:37">
      <c r="A137" s="61"/>
      <c r="B137" s="109"/>
      <c r="C137" s="106"/>
      <c r="D137" s="106"/>
      <c r="E137" s="106"/>
      <c r="F137" s="20">
        <f t="array" ref="F137">_xlfn.XLOOKUP(A137,'WK 47'!A:A,'WK 47'!F:F,"")</f>
        <v>0</v>
      </c>
      <c r="G137" s="106"/>
      <c r="H137" s="106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</row>
    <row r="138" customHeight="1" spans="1:37">
      <c r="A138" s="61"/>
      <c r="B138" s="109"/>
      <c r="C138" s="106"/>
      <c r="D138" s="106"/>
      <c r="E138" s="106"/>
      <c r="F138" s="20">
        <f t="array" ref="F138">_xlfn.XLOOKUP(A138,'WK 47'!A:A,'WK 47'!F:F,"")</f>
        <v>0</v>
      </c>
      <c r="G138" s="106"/>
      <c r="H138" s="106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</row>
    <row r="139" customHeight="1" spans="1:37">
      <c r="A139" s="61"/>
      <c r="B139" s="109"/>
      <c r="C139" s="106"/>
      <c r="D139" s="106"/>
      <c r="E139" s="106"/>
      <c r="F139" s="20">
        <f t="array" ref="F139">_xlfn.XLOOKUP(A139,'WK 47'!A:A,'WK 47'!F:F,"")</f>
        <v>0</v>
      </c>
      <c r="G139" s="106"/>
      <c r="H139" s="106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</row>
    <row r="140" customHeight="1" spans="1:37">
      <c r="A140" s="61"/>
      <c r="B140" s="109"/>
      <c r="C140" s="106"/>
      <c r="D140" s="106"/>
      <c r="E140" s="106"/>
      <c r="F140" s="20">
        <f t="array" ref="F140">_xlfn.XLOOKUP(A140,'WK 47'!A:A,'WK 47'!F:F,"")</f>
        <v>0</v>
      </c>
      <c r="G140" s="106"/>
      <c r="H140" s="106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</row>
    <row r="141" customHeight="1" spans="1:37">
      <c r="A141" s="61"/>
      <c r="B141" s="109"/>
      <c r="C141" s="106"/>
      <c r="D141" s="106"/>
      <c r="E141" s="106"/>
      <c r="F141" s="20">
        <f t="array" ref="F141">_xlfn.XLOOKUP(A141,'WK 47'!A:A,'WK 47'!F:F,"")</f>
        <v>0</v>
      </c>
      <c r="G141" s="106"/>
      <c r="H141" s="106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</row>
    <row r="142" customHeight="1" spans="1:37">
      <c r="A142" s="61"/>
      <c r="B142" s="109"/>
      <c r="C142" s="106"/>
      <c r="D142" s="106"/>
      <c r="E142" s="106"/>
      <c r="F142" s="20">
        <f t="array" ref="F142">_xlfn.XLOOKUP(A142,'WK 47'!A:A,'WK 47'!F:F,"")</f>
        <v>0</v>
      </c>
      <c r="G142" s="106"/>
      <c r="H142" s="106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</row>
    <row r="143" customHeight="1" spans="1:37">
      <c r="A143" s="61"/>
      <c r="B143" s="109"/>
      <c r="C143" s="106"/>
      <c r="D143" s="106"/>
      <c r="E143" s="106"/>
      <c r="F143" s="20">
        <f t="array" ref="F143">_xlfn.XLOOKUP(A143,'WK 47'!A:A,'WK 47'!F:F,"")</f>
        <v>0</v>
      </c>
      <c r="G143" s="106"/>
      <c r="H143" s="106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</row>
    <row r="144" customHeight="1" spans="1:37">
      <c r="A144" s="61"/>
      <c r="B144" s="109"/>
      <c r="C144" s="106"/>
      <c r="D144" s="106"/>
      <c r="E144" s="106"/>
      <c r="F144" s="20">
        <f t="array" ref="F144">_xlfn.XLOOKUP(A144,'WK 47'!A:A,'WK 47'!F:F,"")</f>
        <v>0</v>
      </c>
      <c r="G144" s="106"/>
      <c r="H144" s="106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</row>
    <row r="145" customHeight="1" spans="1:37">
      <c r="A145" s="61"/>
      <c r="B145" s="109"/>
      <c r="C145" s="106"/>
      <c r="D145" s="106"/>
      <c r="E145" s="106"/>
      <c r="F145" s="20">
        <f t="array" ref="F145">_xlfn.XLOOKUP(A145,'WK 47'!A:A,'WK 47'!F:F,"")</f>
        <v>0</v>
      </c>
      <c r="G145" s="106"/>
      <c r="H145" s="106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</row>
    <row r="146" customHeight="1" spans="1:37">
      <c r="A146" s="61"/>
      <c r="B146" s="109"/>
      <c r="C146" s="106"/>
      <c r="D146" s="106"/>
      <c r="E146" s="106"/>
      <c r="F146" s="20">
        <f t="array" ref="F146">_xlfn.XLOOKUP(A146,'WK 47'!A:A,'WK 47'!F:F,"")</f>
        <v>0</v>
      </c>
      <c r="G146" s="106"/>
      <c r="H146" s="106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</row>
    <row r="147" customHeight="1" spans="1:37">
      <c r="A147" s="61"/>
      <c r="B147" s="109"/>
      <c r="C147" s="106"/>
      <c r="D147" s="106"/>
      <c r="E147" s="106"/>
      <c r="F147" s="20">
        <f t="array" ref="F147">_xlfn.XLOOKUP(A147,'WK 47'!A:A,'WK 47'!F:F,"")</f>
        <v>0</v>
      </c>
      <c r="G147" s="106"/>
      <c r="H147" s="106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</row>
    <row r="148" customHeight="1" spans="1:37">
      <c r="A148" s="61"/>
      <c r="B148" s="109"/>
      <c r="C148" s="106"/>
      <c r="D148" s="106"/>
      <c r="E148" s="106"/>
      <c r="F148" s="20">
        <f t="array" ref="F148">_xlfn.XLOOKUP(A148,'WK 47'!A:A,'WK 47'!F:F,"")</f>
        <v>0</v>
      </c>
      <c r="G148" s="106"/>
      <c r="H148" s="106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</row>
    <row r="149" customHeight="1" spans="1:37">
      <c r="A149" s="61"/>
      <c r="B149" s="109"/>
      <c r="C149" s="106"/>
      <c r="D149" s="106"/>
      <c r="E149" s="106"/>
      <c r="F149" s="20">
        <f t="array" ref="F149">_xlfn.XLOOKUP(A149,'WK 47'!A:A,'WK 47'!F:F,"")</f>
        <v>0</v>
      </c>
      <c r="G149" s="106"/>
      <c r="H149" s="106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</row>
    <row r="150" customHeight="1" spans="1:37">
      <c r="A150" s="61"/>
      <c r="B150" s="109"/>
      <c r="C150" s="106"/>
      <c r="D150" s="106"/>
      <c r="E150" s="106"/>
      <c r="F150" s="20">
        <f t="array" ref="F150">_xlfn.XLOOKUP(A150,'WK 47'!A:A,'WK 47'!F:F,"")</f>
        <v>0</v>
      </c>
      <c r="G150" s="106"/>
      <c r="H150" s="106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</row>
    <row r="151" customHeight="1" spans="1:37">
      <c r="A151" s="61"/>
      <c r="B151" s="109"/>
      <c r="C151" s="106"/>
      <c r="D151" s="106"/>
      <c r="E151" s="106"/>
      <c r="F151" s="20">
        <f t="array" ref="F151">_xlfn.XLOOKUP(A151,'WK 47'!A:A,'WK 47'!F:F,"")</f>
        <v>0</v>
      </c>
      <c r="G151" s="106"/>
      <c r="H151" s="106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</row>
    <row r="152" customHeight="1" spans="1:37">
      <c r="A152" s="61"/>
      <c r="B152" s="109"/>
      <c r="C152" s="106"/>
      <c r="D152" s="106"/>
      <c r="E152" s="106"/>
      <c r="F152" s="20">
        <f t="array" ref="F152">_xlfn.XLOOKUP(A152,'WK 47'!A:A,'WK 47'!F:F,"")</f>
        <v>0</v>
      </c>
      <c r="G152" s="106"/>
      <c r="H152" s="106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</row>
    <row r="153" customHeight="1" spans="1:37">
      <c r="A153" s="61"/>
      <c r="B153" s="109"/>
      <c r="C153" s="106"/>
      <c r="D153" s="106"/>
      <c r="E153" s="106"/>
      <c r="F153" s="20">
        <f t="array" ref="F153">_xlfn.XLOOKUP(A153,'WK 47'!A:A,'WK 47'!F:F,"")</f>
        <v>0</v>
      </c>
      <c r="G153" s="106"/>
      <c r="H153" s="106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</row>
    <row r="154" customHeight="1" spans="1:37">
      <c r="A154" s="61"/>
      <c r="B154" s="109"/>
      <c r="C154" s="106"/>
      <c r="D154" s="106"/>
      <c r="E154" s="106"/>
      <c r="F154" s="20">
        <f t="array" ref="F154">_xlfn.XLOOKUP(A154,'WK 47'!A:A,'WK 47'!F:F,"")</f>
        <v>0</v>
      </c>
      <c r="G154" s="106"/>
      <c r="H154" s="106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61"/>
    </row>
    <row r="155" customHeight="1" spans="1:37">
      <c r="A155" s="61"/>
      <c r="B155" s="109"/>
      <c r="C155" s="106"/>
      <c r="D155" s="106"/>
      <c r="E155" s="106"/>
      <c r="F155" s="20">
        <f t="array" ref="F155">_xlfn.XLOOKUP(A155,'WK 47'!A:A,'WK 47'!F:F,"")</f>
        <v>0</v>
      </c>
      <c r="G155" s="106"/>
      <c r="H155" s="106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</row>
    <row r="156" customHeight="1" spans="1:37">
      <c r="A156" s="61"/>
      <c r="B156" s="109"/>
      <c r="C156" s="106"/>
      <c r="D156" s="106"/>
      <c r="E156" s="106"/>
      <c r="F156" s="20">
        <f t="array" ref="F156">_xlfn.XLOOKUP(A156,'WK 47'!A:A,'WK 47'!F:F,"")</f>
        <v>0</v>
      </c>
      <c r="G156" s="106"/>
      <c r="H156" s="106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</row>
    <row r="157" customHeight="1" spans="1:37">
      <c r="A157" s="61"/>
      <c r="B157" s="109"/>
      <c r="C157" s="106"/>
      <c r="D157" s="106"/>
      <c r="E157" s="106"/>
      <c r="F157" s="20">
        <f t="array" ref="F157">_xlfn.XLOOKUP(A157,'WK 47'!A:A,'WK 47'!F:F,"")</f>
        <v>0</v>
      </c>
      <c r="G157" s="106"/>
      <c r="H157" s="106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</row>
    <row r="158" customHeight="1" spans="1:37">
      <c r="A158" s="61"/>
      <c r="B158" s="109"/>
      <c r="C158" s="106"/>
      <c r="D158" s="106"/>
      <c r="E158" s="106"/>
      <c r="F158" s="20">
        <f t="array" ref="F158">_xlfn.XLOOKUP(A158,'WK 47'!A:A,'WK 47'!F:F,"")</f>
        <v>0</v>
      </c>
      <c r="G158" s="106"/>
      <c r="H158" s="106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</row>
    <row r="159" customHeight="1" spans="1:37">
      <c r="A159" s="61"/>
      <c r="B159" s="109"/>
      <c r="C159" s="106"/>
      <c r="D159" s="106"/>
      <c r="E159" s="106"/>
      <c r="F159" s="20">
        <f t="array" ref="F159">_xlfn.XLOOKUP(A159,'WK 47'!A:A,'WK 47'!F:F,"")</f>
        <v>0</v>
      </c>
      <c r="G159" s="106"/>
      <c r="H159" s="106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</row>
    <row r="160" customHeight="1" spans="1:37">
      <c r="A160" s="61"/>
      <c r="B160" s="109"/>
      <c r="C160" s="106"/>
      <c r="D160" s="106"/>
      <c r="E160" s="106"/>
      <c r="F160" s="20">
        <f t="array" ref="F160">_xlfn.XLOOKUP(A160,'WK 47'!A:A,'WK 47'!F:F,"")</f>
        <v>0</v>
      </c>
      <c r="G160" s="106"/>
      <c r="H160" s="106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</row>
    <row r="161" customHeight="1" spans="1:37">
      <c r="A161" s="61"/>
      <c r="B161" s="109"/>
      <c r="C161" s="106"/>
      <c r="D161" s="106"/>
      <c r="E161" s="106"/>
      <c r="F161" s="20">
        <f t="array" ref="F161">_xlfn.XLOOKUP(A161,'WK 47'!A:A,'WK 47'!F:F,"")</f>
        <v>0</v>
      </c>
      <c r="G161" s="106"/>
      <c r="H161" s="106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</row>
    <row r="162" customHeight="1" spans="1:37">
      <c r="A162" s="61"/>
      <c r="B162" s="109"/>
      <c r="C162" s="106"/>
      <c r="D162" s="106"/>
      <c r="E162" s="106"/>
      <c r="F162" s="20">
        <f t="array" ref="F162">_xlfn.XLOOKUP(A162,'WK 47'!A:A,'WK 47'!F:F,"")</f>
        <v>0</v>
      </c>
      <c r="G162" s="106"/>
      <c r="H162" s="106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</row>
    <row r="163" customHeight="1" spans="1:37">
      <c r="A163" s="61"/>
      <c r="B163" s="109"/>
      <c r="C163" s="106"/>
      <c r="D163" s="106"/>
      <c r="E163" s="106"/>
      <c r="F163" s="20">
        <f t="array" ref="F163">_xlfn.XLOOKUP(A163,'WK 47'!A:A,'WK 47'!F:F,"")</f>
        <v>0</v>
      </c>
      <c r="G163" s="106"/>
      <c r="H163" s="106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</row>
    <row r="164" customHeight="1" spans="1:37">
      <c r="A164" s="61"/>
      <c r="B164" s="109"/>
      <c r="C164" s="106"/>
      <c r="D164" s="106"/>
      <c r="E164" s="106"/>
      <c r="F164" s="20">
        <f t="array" ref="F164">_xlfn.XLOOKUP(A164,'WK 47'!A:A,'WK 47'!F:F,"")</f>
        <v>0</v>
      </c>
      <c r="G164" s="106"/>
      <c r="H164" s="106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</row>
    <row r="165" customHeight="1" spans="1:37">
      <c r="A165" s="61"/>
      <c r="B165" s="109"/>
      <c r="C165" s="106"/>
      <c r="D165" s="106"/>
      <c r="E165" s="106"/>
      <c r="F165" s="20">
        <f t="array" ref="F165">_xlfn.XLOOKUP(A165,'WK 47'!A:A,'WK 47'!F:F,"")</f>
        <v>0</v>
      </c>
      <c r="G165" s="106"/>
      <c r="H165" s="106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</row>
    <row r="166" customHeight="1" spans="1:37">
      <c r="A166" s="61"/>
      <c r="B166" s="109"/>
      <c r="C166" s="106"/>
      <c r="D166" s="106"/>
      <c r="E166" s="106"/>
      <c r="F166" s="20">
        <f t="array" ref="F166">_xlfn.XLOOKUP(A166,'WK 47'!A:A,'WK 47'!F:F,"")</f>
        <v>0</v>
      </c>
      <c r="G166" s="106"/>
      <c r="H166" s="106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</row>
    <row r="167" customHeight="1" spans="1:37">
      <c r="A167" s="61"/>
      <c r="B167" s="109"/>
      <c r="C167" s="106"/>
      <c r="D167" s="106"/>
      <c r="E167" s="106"/>
      <c r="F167" s="20">
        <f t="array" ref="F167">_xlfn.XLOOKUP(A167,'WK 47'!A:A,'WK 47'!F:F,"")</f>
        <v>0</v>
      </c>
      <c r="G167" s="106"/>
      <c r="H167" s="106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</row>
    <row r="168" customHeight="1" spans="1:37">
      <c r="A168" s="61"/>
      <c r="B168" s="109"/>
      <c r="C168" s="106"/>
      <c r="D168" s="106"/>
      <c r="E168" s="106"/>
      <c r="F168" s="20">
        <f t="array" ref="F168">_xlfn.XLOOKUP(A168,'WK 47'!A:A,'WK 47'!F:F,"")</f>
        <v>0</v>
      </c>
      <c r="G168" s="106"/>
      <c r="H168" s="106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</row>
    <row r="169" customHeight="1" spans="1:37">
      <c r="A169" s="61"/>
      <c r="B169" s="109"/>
      <c r="C169" s="106"/>
      <c r="D169" s="106"/>
      <c r="E169" s="106"/>
      <c r="F169" s="20">
        <f t="array" ref="F169">_xlfn.XLOOKUP(A169,'WK 47'!A:A,'WK 47'!F:F,"")</f>
        <v>0</v>
      </c>
      <c r="G169" s="106"/>
      <c r="H169" s="106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</row>
    <row r="170" customHeight="1" spans="1:37">
      <c r="A170" s="61"/>
      <c r="B170" s="109"/>
      <c r="C170" s="106"/>
      <c r="D170" s="106"/>
      <c r="E170" s="106"/>
      <c r="F170" s="20">
        <f t="array" ref="F170">_xlfn.XLOOKUP(A170,'WK 47'!A:A,'WK 47'!F:F,"")</f>
        <v>0</v>
      </c>
      <c r="G170" s="106"/>
      <c r="H170" s="106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</row>
    <row r="171" customHeight="1" spans="1:37">
      <c r="A171" s="61"/>
      <c r="B171" s="109"/>
      <c r="C171" s="106"/>
      <c r="D171" s="106"/>
      <c r="E171" s="106"/>
      <c r="F171" s="20">
        <f t="array" ref="F171">_xlfn.XLOOKUP(A171,'WK 47'!A:A,'WK 47'!F:F,"")</f>
        <v>0</v>
      </c>
      <c r="G171" s="106"/>
      <c r="H171" s="106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</row>
    <row r="172" customHeight="1" spans="1:37">
      <c r="A172" s="61"/>
      <c r="B172" s="109"/>
      <c r="C172" s="106"/>
      <c r="D172" s="106"/>
      <c r="E172" s="106"/>
      <c r="F172" s="20">
        <f t="array" ref="F172">_xlfn.XLOOKUP(A172,'WK 47'!A:A,'WK 47'!F:F,"")</f>
        <v>0</v>
      </c>
      <c r="G172" s="106"/>
      <c r="H172" s="106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</row>
    <row r="173" customHeight="1" spans="1:37">
      <c r="A173" s="61"/>
      <c r="B173" s="109"/>
      <c r="C173" s="106"/>
      <c r="D173" s="106"/>
      <c r="E173" s="106"/>
      <c r="F173" s="20">
        <f t="array" ref="F173">_xlfn.XLOOKUP(A173,'WK 47'!A:A,'WK 47'!F:F,"")</f>
        <v>0</v>
      </c>
      <c r="G173" s="106"/>
      <c r="H173" s="106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</row>
    <row r="174" customHeight="1" spans="1:37">
      <c r="A174" s="61"/>
      <c r="B174" s="109"/>
      <c r="C174" s="106"/>
      <c r="D174" s="106"/>
      <c r="E174" s="106"/>
      <c r="F174" s="20">
        <f t="array" ref="F174">_xlfn.XLOOKUP(A174,'WK 47'!A:A,'WK 47'!F:F,"")</f>
        <v>0</v>
      </c>
      <c r="G174" s="106"/>
      <c r="H174" s="106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</row>
    <row r="175" customHeight="1" spans="1:37">
      <c r="A175" s="61"/>
      <c r="B175" s="109"/>
      <c r="C175" s="106"/>
      <c r="D175" s="106"/>
      <c r="E175" s="106"/>
      <c r="F175" s="20">
        <f t="array" ref="F175">_xlfn.XLOOKUP(A175,'WK 47'!A:A,'WK 47'!F:F,"")</f>
        <v>0</v>
      </c>
      <c r="G175" s="106"/>
      <c r="H175" s="106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</row>
    <row r="176" customHeight="1" spans="1:37">
      <c r="A176" s="61"/>
      <c r="B176" s="109"/>
      <c r="C176" s="106"/>
      <c r="D176" s="106"/>
      <c r="E176" s="106"/>
      <c r="F176" s="20">
        <f t="array" ref="F176">_xlfn.XLOOKUP(A176,'WK 47'!A:A,'WK 47'!F:F,"")</f>
        <v>0</v>
      </c>
      <c r="G176" s="106"/>
      <c r="H176" s="106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</row>
    <row r="177" customHeight="1" spans="1:37">
      <c r="A177" s="61"/>
      <c r="B177" s="109"/>
      <c r="C177" s="106"/>
      <c r="D177" s="106"/>
      <c r="E177" s="106"/>
      <c r="F177" s="20">
        <f t="array" ref="F177">_xlfn.XLOOKUP(A177,'WK 47'!A:A,'WK 47'!F:F,"")</f>
        <v>0</v>
      </c>
      <c r="G177" s="106"/>
      <c r="H177" s="106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</row>
    <row r="178" customHeight="1" spans="1:37">
      <c r="A178" s="61"/>
      <c r="B178" s="109"/>
      <c r="C178" s="106"/>
      <c r="D178" s="106"/>
      <c r="E178" s="106"/>
      <c r="F178" s="20">
        <f t="array" ref="F178">_xlfn.XLOOKUP(A178,'WK 47'!A:A,'WK 47'!F:F,"")</f>
        <v>0</v>
      </c>
      <c r="G178" s="106"/>
      <c r="H178" s="106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</row>
    <row r="179" customHeight="1" spans="1:37">
      <c r="A179" s="61"/>
      <c r="B179" s="109"/>
      <c r="C179" s="106"/>
      <c r="D179" s="106"/>
      <c r="E179" s="106"/>
      <c r="F179" s="20">
        <f t="array" ref="F179">_xlfn.XLOOKUP(A179,'WK 47'!A:A,'WK 47'!F:F,"")</f>
        <v>0</v>
      </c>
      <c r="G179" s="106"/>
      <c r="H179" s="106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</row>
    <row r="180" customHeight="1" spans="1:37">
      <c r="A180" s="61"/>
      <c r="B180" s="109"/>
      <c r="C180" s="106"/>
      <c r="D180" s="106"/>
      <c r="E180" s="106"/>
      <c r="F180" s="20">
        <f t="array" ref="F180">_xlfn.XLOOKUP(A180,'WK 47'!A:A,'WK 47'!F:F,"")</f>
        <v>0</v>
      </c>
      <c r="G180" s="106"/>
      <c r="H180" s="106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</row>
    <row r="181" customHeight="1" spans="1:37">
      <c r="A181" s="61"/>
      <c r="B181" s="109"/>
      <c r="C181" s="106"/>
      <c r="D181" s="106"/>
      <c r="E181" s="106"/>
      <c r="F181" s="20">
        <f t="array" ref="F181">_xlfn.XLOOKUP(A181,'WK 47'!A:A,'WK 47'!F:F,"")</f>
        <v>0</v>
      </c>
      <c r="G181" s="106"/>
      <c r="H181" s="106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</row>
    <row r="182" customHeight="1" spans="1:37">
      <c r="A182" s="61"/>
      <c r="B182" s="109"/>
      <c r="C182" s="106"/>
      <c r="D182" s="106"/>
      <c r="E182" s="106"/>
      <c r="F182" s="20">
        <f t="array" ref="F182">_xlfn.XLOOKUP(A182,'WK 47'!A:A,'WK 47'!F:F,"")</f>
        <v>0</v>
      </c>
      <c r="G182" s="106"/>
      <c r="H182" s="106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</row>
    <row r="183" customHeight="1" spans="1:37">
      <c r="A183" s="61"/>
      <c r="B183" s="109"/>
      <c r="C183" s="106"/>
      <c r="D183" s="106"/>
      <c r="E183" s="106"/>
      <c r="F183" s="20">
        <f t="array" ref="F183">_xlfn.XLOOKUP(A183,'WK 47'!A:A,'WK 47'!F:F,"")</f>
        <v>0</v>
      </c>
      <c r="G183" s="106"/>
      <c r="H183" s="106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</row>
    <row r="184" customHeight="1" spans="1:37">
      <c r="A184" s="61"/>
      <c r="B184" s="109"/>
      <c r="C184" s="106"/>
      <c r="D184" s="106"/>
      <c r="E184" s="106"/>
      <c r="F184" s="20">
        <f t="array" ref="F184">_xlfn.XLOOKUP(A184,'WK 47'!A:A,'WK 47'!F:F,"")</f>
        <v>0</v>
      </c>
      <c r="G184" s="106"/>
      <c r="H184" s="106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</row>
    <row r="185" customHeight="1" spans="1:37">
      <c r="A185" s="61"/>
      <c r="B185" s="109"/>
      <c r="C185" s="106"/>
      <c r="D185" s="106"/>
      <c r="E185" s="106"/>
      <c r="F185" s="20">
        <f t="array" ref="F185">_xlfn.XLOOKUP(A185,'WK 47'!A:A,'WK 47'!F:F,"")</f>
        <v>0</v>
      </c>
      <c r="G185" s="106"/>
      <c r="H185" s="106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</row>
    <row r="186" customHeight="1" spans="1:37">
      <c r="A186" s="61"/>
      <c r="B186" s="109"/>
      <c r="C186" s="106"/>
      <c r="D186" s="106"/>
      <c r="E186" s="106"/>
      <c r="F186" s="20">
        <f t="array" ref="F186">_xlfn.XLOOKUP(A186,'WK 47'!A:A,'WK 47'!F:F,"")</f>
        <v>0</v>
      </c>
      <c r="G186" s="106"/>
      <c r="H186" s="106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</row>
    <row r="187" customHeight="1" spans="1:37">
      <c r="A187" s="61"/>
      <c r="B187" s="109"/>
      <c r="C187" s="106"/>
      <c r="D187" s="106"/>
      <c r="E187" s="106"/>
      <c r="F187" s="20">
        <f t="array" ref="F187">_xlfn.XLOOKUP(A187,'WK 47'!A:A,'WK 47'!F:F,"")</f>
        <v>0</v>
      </c>
      <c r="G187" s="106"/>
      <c r="H187" s="106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1"/>
    </row>
    <row r="188" customHeight="1" spans="1:37">
      <c r="A188" s="61"/>
      <c r="B188" s="109"/>
      <c r="C188" s="106"/>
      <c r="D188" s="106"/>
      <c r="E188" s="106"/>
      <c r="F188" s="20">
        <f t="array" ref="F188">_xlfn.XLOOKUP(A188,'WK 47'!A:A,'WK 47'!F:F,"")</f>
        <v>0</v>
      </c>
      <c r="G188" s="106"/>
      <c r="H188" s="106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1"/>
    </row>
    <row r="189" customHeight="1" spans="1:37">
      <c r="A189" s="61"/>
      <c r="B189" s="109"/>
      <c r="C189" s="106"/>
      <c r="D189" s="106"/>
      <c r="E189" s="106"/>
      <c r="F189" s="20">
        <f t="array" ref="F189">_xlfn.XLOOKUP(A189,'WK 47'!A:A,'WK 47'!F:F,"")</f>
        <v>0</v>
      </c>
      <c r="G189" s="106"/>
      <c r="H189" s="106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1"/>
    </row>
    <row r="190" customHeight="1" spans="1:37">
      <c r="A190" s="61"/>
      <c r="B190" s="109"/>
      <c r="C190" s="106"/>
      <c r="D190" s="106"/>
      <c r="E190" s="106"/>
      <c r="F190" s="20">
        <f t="array" ref="F190">_xlfn.XLOOKUP(A190,'WK 47'!A:A,'WK 47'!F:F,"")</f>
        <v>0</v>
      </c>
      <c r="G190" s="106"/>
      <c r="H190" s="106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1"/>
    </row>
    <row r="191" customHeight="1" spans="1:37">
      <c r="A191" s="61"/>
      <c r="B191" s="109"/>
      <c r="C191" s="106"/>
      <c r="D191" s="106"/>
      <c r="E191" s="106"/>
      <c r="F191" s="20">
        <f t="array" ref="F191">_xlfn.XLOOKUP(A191,'WK 47'!A:A,'WK 47'!F:F,"")</f>
        <v>0</v>
      </c>
      <c r="G191" s="106"/>
      <c r="H191" s="106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</row>
    <row r="192" customHeight="1" spans="1:37">
      <c r="A192" s="61"/>
      <c r="B192" s="109"/>
      <c r="C192" s="106"/>
      <c r="D192" s="106"/>
      <c r="E192" s="106"/>
      <c r="F192" s="20">
        <f t="array" ref="F192">_xlfn.XLOOKUP(A192,'WK 47'!A:A,'WK 47'!F:F,"")</f>
        <v>0</v>
      </c>
      <c r="G192" s="106"/>
      <c r="H192" s="106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</row>
    <row r="193" customHeight="1" spans="1:37">
      <c r="A193" s="61"/>
      <c r="B193" s="109"/>
      <c r="C193" s="106"/>
      <c r="D193" s="106"/>
      <c r="E193" s="106"/>
      <c r="F193" s="20">
        <f t="array" ref="F193">_xlfn.XLOOKUP(A193,'WK 47'!A:A,'WK 47'!F:F,"")</f>
        <v>0</v>
      </c>
      <c r="G193" s="106"/>
      <c r="H193" s="106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</row>
    <row r="194" customHeight="1" spans="1:37">
      <c r="A194" s="61"/>
      <c r="B194" s="109"/>
      <c r="C194" s="106"/>
      <c r="D194" s="106"/>
      <c r="E194" s="106"/>
      <c r="F194" s="20">
        <f t="array" ref="F194">_xlfn.XLOOKUP(A194,'WK 47'!A:A,'WK 47'!F:F,"")</f>
        <v>0</v>
      </c>
      <c r="G194" s="106"/>
      <c r="H194" s="106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1"/>
    </row>
    <row r="195" customHeight="1" spans="1:37">
      <c r="A195" s="61"/>
      <c r="B195" s="109"/>
      <c r="C195" s="106"/>
      <c r="D195" s="106"/>
      <c r="E195" s="106"/>
      <c r="F195" s="20">
        <f t="array" ref="F195">_xlfn.XLOOKUP(A195,'WK 47'!A:A,'WK 47'!F:F,"")</f>
        <v>0</v>
      </c>
      <c r="G195" s="106"/>
      <c r="H195" s="106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</row>
    <row r="196" customHeight="1" spans="1:37">
      <c r="A196" s="61"/>
      <c r="B196" s="109"/>
      <c r="C196" s="106"/>
      <c r="D196" s="106"/>
      <c r="E196" s="106"/>
      <c r="F196" s="20">
        <f t="array" ref="F196">_xlfn.XLOOKUP(A196,'WK 47'!A:A,'WK 47'!F:F,"")</f>
        <v>0</v>
      </c>
      <c r="G196" s="106"/>
      <c r="H196" s="106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</row>
    <row r="197" customHeight="1" spans="1:37">
      <c r="A197" s="61"/>
      <c r="B197" s="109"/>
      <c r="C197" s="106"/>
      <c r="D197" s="106"/>
      <c r="E197" s="106"/>
      <c r="F197" s="20">
        <f t="array" ref="F197">_xlfn.XLOOKUP(A197,'WK 47'!A:A,'WK 47'!F:F,"")</f>
        <v>0</v>
      </c>
      <c r="G197" s="106"/>
      <c r="H197" s="106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</row>
    <row r="198" customHeight="1" spans="1:37">
      <c r="A198" s="61"/>
      <c r="B198" s="109"/>
      <c r="C198" s="106"/>
      <c r="D198" s="106"/>
      <c r="E198" s="106"/>
      <c r="F198" s="20">
        <f t="array" ref="F198">_xlfn.XLOOKUP(A198,'WK 47'!A:A,'WK 47'!F:F,"")</f>
        <v>0</v>
      </c>
      <c r="G198" s="106"/>
      <c r="H198" s="106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1"/>
    </row>
    <row r="199" customHeight="1" spans="1:37">
      <c r="A199" s="61"/>
      <c r="B199" s="109"/>
      <c r="C199" s="106"/>
      <c r="D199" s="106"/>
      <c r="E199" s="106"/>
      <c r="F199" s="20">
        <f t="array" ref="F199">_xlfn.XLOOKUP(A199,'WK 47'!A:A,'WK 47'!F:F,"")</f>
        <v>0</v>
      </c>
      <c r="G199" s="106"/>
      <c r="H199" s="106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</row>
    <row r="200" customHeight="1" spans="1:37">
      <c r="A200" s="61"/>
      <c r="B200" s="109"/>
      <c r="C200" s="106"/>
      <c r="D200" s="106"/>
      <c r="E200" s="106"/>
      <c r="F200" s="20">
        <f t="array" ref="F200">_xlfn.XLOOKUP(A200,'WK 47'!A:A,'WK 47'!F:F,"")</f>
        <v>0</v>
      </c>
      <c r="G200" s="106"/>
      <c r="H200" s="106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1"/>
    </row>
    <row r="201" customHeight="1" spans="1:37">
      <c r="A201" s="61"/>
      <c r="B201" s="109"/>
      <c r="C201" s="106"/>
      <c r="D201" s="106"/>
      <c r="E201" s="106"/>
      <c r="F201" s="20">
        <f t="array" ref="F201">_xlfn.XLOOKUP(A201,'WK 47'!A:A,'WK 47'!F:F,"")</f>
        <v>0</v>
      </c>
      <c r="G201" s="106"/>
      <c r="H201" s="106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</row>
    <row r="202" customHeight="1" spans="1:37">
      <c r="A202" s="61"/>
      <c r="B202" s="109"/>
      <c r="C202" s="106"/>
      <c r="D202" s="106"/>
      <c r="E202" s="106"/>
      <c r="F202" s="20">
        <f t="array" ref="F202">_xlfn.XLOOKUP(A202,'WK 47'!A:A,'WK 47'!F:F,"")</f>
        <v>0</v>
      </c>
      <c r="G202" s="106"/>
      <c r="H202" s="106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</row>
    <row r="203" customHeight="1" spans="1:37">
      <c r="A203" s="61"/>
      <c r="B203" s="109"/>
      <c r="C203" s="106"/>
      <c r="D203" s="106"/>
      <c r="E203" s="106"/>
      <c r="F203" s="20">
        <f t="array" ref="F203">_xlfn.XLOOKUP(A203,'WK 47'!A:A,'WK 47'!F:F,"")</f>
        <v>0</v>
      </c>
      <c r="G203" s="106"/>
      <c r="H203" s="106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</row>
    <row r="204" customHeight="1" spans="1:37">
      <c r="A204" s="61"/>
      <c r="B204" s="109"/>
      <c r="C204" s="106"/>
      <c r="D204" s="106"/>
      <c r="E204" s="106"/>
      <c r="F204" s="20">
        <f t="array" ref="F204">_xlfn.XLOOKUP(A204,'WK 47'!A:A,'WK 47'!F:F,"")</f>
        <v>0</v>
      </c>
      <c r="G204" s="106"/>
      <c r="H204" s="106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1"/>
    </row>
    <row r="205" customHeight="1" spans="1:37">
      <c r="A205" s="61"/>
      <c r="B205" s="109"/>
      <c r="C205" s="106"/>
      <c r="D205" s="106"/>
      <c r="E205" s="106"/>
      <c r="F205" s="20">
        <f t="array" ref="F205">_xlfn.XLOOKUP(A205,'WK 47'!A:A,'WK 47'!F:F,"")</f>
        <v>0</v>
      </c>
      <c r="G205" s="106"/>
      <c r="H205" s="106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</row>
    <row r="206" customHeight="1" spans="1:37">
      <c r="A206" s="61"/>
      <c r="B206" s="109"/>
      <c r="C206" s="106"/>
      <c r="D206" s="106"/>
      <c r="E206" s="106"/>
      <c r="F206" s="20">
        <f t="array" ref="F206">_xlfn.XLOOKUP(A206,'WK 47'!A:A,'WK 47'!F:F,"")</f>
        <v>0</v>
      </c>
      <c r="G206" s="106"/>
      <c r="H206" s="106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1"/>
    </row>
    <row r="207" customHeight="1" spans="1:37">
      <c r="A207" s="61"/>
      <c r="B207" s="109"/>
      <c r="C207" s="106"/>
      <c r="D207" s="106"/>
      <c r="E207" s="106"/>
      <c r="F207" s="20">
        <f t="array" ref="F207">_xlfn.XLOOKUP(A207,'WK 47'!A:A,'WK 47'!F:F,"")</f>
        <v>0</v>
      </c>
      <c r="G207" s="106"/>
      <c r="H207" s="106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</row>
    <row r="208" customHeight="1" spans="1:37">
      <c r="A208" s="61"/>
      <c r="B208" s="109"/>
      <c r="C208" s="106"/>
      <c r="D208" s="106"/>
      <c r="E208" s="106"/>
      <c r="F208" s="20">
        <f t="array" ref="F208">_xlfn.XLOOKUP(A208,'WK 47'!A:A,'WK 47'!F:F,"")</f>
        <v>0</v>
      </c>
      <c r="G208" s="106"/>
      <c r="H208" s="106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61"/>
      <c r="AJ208" s="61"/>
      <c r="AK208" s="61"/>
    </row>
    <row r="209" customHeight="1" spans="1:37">
      <c r="A209" s="61"/>
      <c r="B209" s="109"/>
      <c r="C209" s="106"/>
      <c r="D209" s="106"/>
      <c r="E209" s="106"/>
      <c r="F209" s="20">
        <f t="array" ref="F209">_xlfn.XLOOKUP(A209,'WK 47'!A:A,'WK 47'!F:F,"")</f>
        <v>0</v>
      </c>
      <c r="G209" s="106"/>
      <c r="H209" s="106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</row>
    <row r="210" customHeight="1" spans="1:37">
      <c r="A210" s="61"/>
      <c r="B210" s="109"/>
      <c r="C210" s="106"/>
      <c r="D210" s="106"/>
      <c r="E210" s="106"/>
      <c r="F210" s="20">
        <f t="array" ref="F210">_xlfn.XLOOKUP(A210,'WK 47'!A:A,'WK 47'!F:F,"")</f>
        <v>0</v>
      </c>
      <c r="G210" s="106"/>
      <c r="H210" s="106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  <c r="AI210" s="61"/>
      <c r="AJ210" s="61"/>
      <c r="AK210" s="61"/>
    </row>
    <row r="211" customHeight="1" spans="1:37">
      <c r="A211" s="61"/>
      <c r="B211" s="109"/>
      <c r="C211" s="106"/>
      <c r="D211" s="106"/>
      <c r="E211" s="106"/>
      <c r="F211" s="20">
        <f t="array" ref="F211">_xlfn.XLOOKUP(A211,'WK 47'!A:A,'WK 47'!F:F,"")</f>
        <v>0</v>
      </c>
      <c r="G211" s="106"/>
      <c r="H211" s="106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</row>
    <row r="212" customHeight="1" spans="1:37">
      <c r="A212" s="61"/>
      <c r="B212" s="109"/>
      <c r="C212" s="106"/>
      <c r="D212" s="106"/>
      <c r="E212" s="106"/>
      <c r="F212" s="20">
        <f t="array" ref="F212">_xlfn.XLOOKUP(A212,'WK 47'!A:A,'WK 47'!F:F,"")</f>
        <v>0</v>
      </c>
      <c r="G212" s="106"/>
      <c r="H212" s="106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  <c r="AI212" s="61"/>
      <c r="AJ212" s="61"/>
      <c r="AK212" s="61"/>
    </row>
    <row r="213" customHeight="1" spans="1:37">
      <c r="A213" s="61"/>
      <c r="B213" s="109"/>
      <c r="C213" s="106"/>
      <c r="D213" s="106"/>
      <c r="E213" s="106"/>
      <c r="F213" s="20">
        <f t="array" ref="F213">_xlfn.XLOOKUP(A213,'WK 47'!A:A,'WK 47'!F:F,"")</f>
        <v>0</v>
      </c>
      <c r="G213" s="106"/>
      <c r="H213" s="106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</row>
    <row r="214" customHeight="1" spans="1:37">
      <c r="A214" s="61"/>
      <c r="B214" s="109"/>
      <c r="C214" s="106"/>
      <c r="D214" s="106"/>
      <c r="E214" s="106"/>
      <c r="F214" s="20">
        <f t="array" ref="F214">_xlfn.XLOOKUP(A214,'WK 47'!A:A,'WK 47'!F:F,"")</f>
        <v>0</v>
      </c>
      <c r="G214" s="106"/>
      <c r="H214" s="106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  <c r="AH214" s="61"/>
      <c r="AI214" s="61"/>
      <c r="AJ214" s="61"/>
      <c r="AK214" s="61"/>
    </row>
    <row r="215" customHeight="1" spans="1:37">
      <c r="A215" s="61"/>
      <c r="B215" s="109"/>
      <c r="C215" s="106"/>
      <c r="D215" s="106"/>
      <c r="E215" s="106"/>
      <c r="F215" s="20">
        <f t="array" ref="F215">_xlfn.XLOOKUP(A215,'WK 47'!A:A,'WK 47'!F:F,"")</f>
        <v>0</v>
      </c>
      <c r="G215" s="106"/>
      <c r="H215" s="106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</row>
    <row r="216" customHeight="1" spans="1:37">
      <c r="A216" s="61"/>
      <c r="B216" s="109"/>
      <c r="C216" s="106"/>
      <c r="D216" s="106"/>
      <c r="E216" s="106"/>
      <c r="F216" s="20">
        <f t="array" ref="F216">_xlfn.XLOOKUP(A216,'WK 47'!A:A,'WK 47'!F:F,"")</f>
        <v>0</v>
      </c>
      <c r="G216" s="106"/>
      <c r="H216" s="106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  <c r="AH216" s="61"/>
      <c r="AI216" s="61"/>
      <c r="AJ216" s="61"/>
      <c r="AK216" s="61"/>
    </row>
    <row r="217" customHeight="1" spans="1:37">
      <c r="A217" s="61"/>
      <c r="B217" s="109"/>
      <c r="C217" s="106"/>
      <c r="D217" s="106"/>
      <c r="E217" s="106"/>
      <c r="F217" s="20">
        <f t="array" ref="F217">_xlfn.XLOOKUP(A217,'WK 47'!A:A,'WK 47'!F:F,"")</f>
        <v>0</v>
      </c>
      <c r="G217" s="106"/>
      <c r="H217" s="106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  <c r="AI217" s="61"/>
      <c r="AJ217" s="61"/>
      <c r="AK217" s="61"/>
    </row>
    <row r="218" customHeight="1" spans="1:37">
      <c r="A218" s="61"/>
      <c r="B218" s="109"/>
      <c r="C218" s="106"/>
      <c r="D218" s="106"/>
      <c r="E218" s="106"/>
      <c r="F218" s="20">
        <f t="array" ref="F218">_xlfn.XLOOKUP(A218,'WK 47'!A:A,'WK 47'!F:F,"")</f>
        <v>0</v>
      </c>
      <c r="G218" s="106"/>
      <c r="H218" s="106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61"/>
      <c r="AI218" s="61"/>
      <c r="AJ218" s="61"/>
      <c r="AK218" s="61"/>
    </row>
    <row r="219" customHeight="1" spans="1:37">
      <c r="A219" s="61"/>
      <c r="B219" s="109"/>
      <c r="C219" s="106"/>
      <c r="D219" s="106"/>
      <c r="E219" s="106"/>
      <c r="F219" s="20">
        <f t="array" ref="F219">_xlfn.XLOOKUP(A219,'WK 47'!A:A,'WK 47'!F:F,"")</f>
        <v>0</v>
      </c>
      <c r="G219" s="106"/>
      <c r="H219" s="106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1"/>
      <c r="AI219" s="61"/>
      <c r="AJ219" s="61"/>
      <c r="AK219" s="61"/>
    </row>
    <row r="220" customHeight="1" spans="1:37">
      <c r="A220" s="61"/>
      <c r="B220" s="109"/>
      <c r="C220" s="106"/>
      <c r="D220" s="106"/>
      <c r="E220" s="106"/>
      <c r="F220" s="20">
        <f t="array" ref="F220">_xlfn.XLOOKUP(A220,'WK 47'!A:A,'WK 47'!F:F,"")</f>
        <v>0</v>
      </c>
      <c r="G220" s="106"/>
      <c r="H220" s="106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  <c r="AH220" s="61"/>
      <c r="AI220" s="61"/>
      <c r="AJ220" s="61"/>
      <c r="AK220" s="61"/>
    </row>
    <row r="221" customHeight="1" spans="1:37">
      <c r="A221" s="61"/>
      <c r="B221" s="109"/>
      <c r="C221" s="106"/>
      <c r="D221" s="106"/>
      <c r="E221" s="106"/>
      <c r="F221" s="20">
        <f t="array" ref="F221">_xlfn.XLOOKUP(A221,'WK 47'!A:A,'WK 47'!F:F,"")</f>
        <v>0</v>
      </c>
      <c r="G221" s="106"/>
      <c r="H221" s="106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  <c r="AH221" s="61"/>
      <c r="AI221" s="61"/>
      <c r="AJ221" s="61"/>
      <c r="AK221" s="61"/>
    </row>
    <row r="222" customHeight="1" spans="1:37">
      <c r="A222" s="61"/>
      <c r="B222" s="109"/>
      <c r="C222" s="106"/>
      <c r="D222" s="106"/>
      <c r="E222" s="106"/>
      <c r="F222" s="20">
        <f t="array" ref="F222">_xlfn.XLOOKUP(A222,'WK 47'!A:A,'WK 47'!F:F,"")</f>
        <v>0</v>
      </c>
      <c r="G222" s="106"/>
      <c r="H222" s="106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  <c r="AI222" s="61"/>
      <c r="AJ222" s="61"/>
      <c r="AK222" s="61"/>
    </row>
    <row r="223" customHeight="1" spans="1:37">
      <c r="A223" s="61"/>
      <c r="B223" s="109"/>
      <c r="C223" s="106"/>
      <c r="D223" s="106"/>
      <c r="E223" s="106"/>
      <c r="F223" s="20">
        <f t="array" ref="F223">_xlfn.XLOOKUP(A223,'WK 47'!A:A,'WK 47'!F:F,"")</f>
        <v>0</v>
      </c>
      <c r="G223" s="106"/>
      <c r="H223" s="106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</row>
    <row r="224" customHeight="1" spans="1:37">
      <c r="A224" s="61"/>
      <c r="B224" s="109"/>
      <c r="C224" s="106"/>
      <c r="D224" s="106"/>
      <c r="E224" s="106"/>
      <c r="F224" s="20">
        <f t="array" ref="F224">_xlfn.XLOOKUP(A224,'WK 47'!A:A,'WK 47'!F:F,"")</f>
        <v>0</v>
      </c>
      <c r="G224" s="106"/>
      <c r="H224" s="106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61"/>
      <c r="AJ224" s="61"/>
      <c r="AK224" s="61"/>
    </row>
    <row r="225" customHeight="1" spans="1:37">
      <c r="A225" s="61"/>
      <c r="B225" s="109"/>
      <c r="C225" s="106"/>
      <c r="D225" s="106"/>
      <c r="E225" s="106"/>
      <c r="F225" s="20">
        <f t="array" ref="F225">_xlfn.XLOOKUP(A225,'WK 47'!A:A,'WK 47'!F:F,"")</f>
        <v>0</v>
      </c>
      <c r="G225" s="106"/>
      <c r="H225" s="106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</row>
    <row r="226" customHeight="1" spans="1:37">
      <c r="A226" s="61"/>
      <c r="B226" s="109"/>
      <c r="C226" s="106"/>
      <c r="D226" s="106"/>
      <c r="E226" s="106"/>
      <c r="F226" s="20">
        <f t="array" ref="F226">_xlfn.XLOOKUP(A226,'WK 47'!A:A,'WK 47'!F:F,"")</f>
        <v>0</v>
      </c>
      <c r="G226" s="106"/>
      <c r="H226" s="106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  <c r="AI226" s="61"/>
      <c r="AJ226" s="61"/>
      <c r="AK226" s="61"/>
    </row>
    <row r="227" customHeight="1" spans="1:37">
      <c r="A227" s="61"/>
      <c r="B227" s="109"/>
      <c r="C227" s="106"/>
      <c r="D227" s="106"/>
      <c r="E227" s="106"/>
      <c r="F227" s="20">
        <f t="array" ref="F227">_xlfn.XLOOKUP(A227,'WK 47'!A:A,'WK 47'!F:F,"")</f>
        <v>0</v>
      </c>
      <c r="G227" s="106"/>
      <c r="H227" s="106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</row>
    <row r="228" customHeight="1" spans="1:37">
      <c r="A228" s="61"/>
      <c r="B228" s="61"/>
      <c r="C228" s="61"/>
      <c r="D228" s="61"/>
      <c r="E228" s="61"/>
      <c r="F228" s="20">
        <f t="array" ref="F228">_xlfn.XLOOKUP(A228,'WK 47'!A:A,'WK 47'!F:F,"")</f>
        <v>0</v>
      </c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  <c r="AI228" s="61"/>
      <c r="AJ228" s="61"/>
      <c r="AK228" s="61"/>
    </row>
    <row r="229" customHeight="1" spans="1:37">
      <c r="A229" s="61"/>
      <c r="B229" s="61"/>
      <c r="C229" s="61"/>
      <c r="D229" s="61"/>
      <c r="E229" s="61"/>
      <c r="F229" s="20">
        <f t="array" ref="F229">_xlfn.XLOOKUP(A229,'WK 47'!A:A,'WK 47'!F:F,"")</f>
        <v>0</v>
      </c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</row>
    <row r="230" customHeight="1" spans="1:37">
      <c r="A230" s="61"/>
      <c r="B230" s="61"/>
      <c r="C230" s="61"/>
      <c r="D230" s="61"/>
      <c r="E230" s="61"/>
      <c r="F230" s="20">
        <f t="array" ref="F230">_xlfn.XLOOKUP(A230,'WK 47'!A:A,'WK 47'!F:F,"")</f>
        <v>0</v>
      </c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1"/>
      <c r="AJ230" s="61"/>
      <c r="AK230" s="61"/>
    </row>
    <row r="231" customHeight="1" spans="1:37">
      <c r="A231" s="61"/>
      <c r="B231" s="61"/>
      <c r="C231" s="61"/>
      <c r="D231" s="61"/>
      <c r="E231" s="61"/>
      <c r="F231" s="20">
        <f t="array" ref="F231">_xlfn.XLOOKUP(A231,'WK 47'!A:A,'WK 47'!F:F,"")</f>
        <v>0</v>
      </c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</row>
    <row r="232" customHeight="1" spans="1:37">
      <c r="A232" s="61"/>
      <c r="B232" s="61"/>
      <c r="C232" s="61"/>
      <c r="D232" s="61"/>
      <c r="E232" s="61"/>
      <c r="F232" s="20">
        <f t="array" ref="F232">_xlfn.XLOOKUP(A232,'WK 47'!A:A,'WK 47'!F:F,"")</f>
        <v>0</v>
      </c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  <c r="AH232" s="61"/>
      <c r="AI232" s="61"/>
      <c r="AJ232" s="61"/>
      <c r="AK232" s="61"/>
    </row>
    <row r="233" customHeight="1" spans="1:37">
      <c r="A233" s="61"/>
      <c r="B233" s="61"/>
      <c r="C233" s="61"/>
      <c r="D233" s="61"/>
      <c r="E233" s="61"/>
      <c r="F233" s="20">
        <f t="array" ref="F233">_xlfn.XLOOKUP(A233,'WK 47'!A:A,'WK 47'!F:F,"")</f>
        <v>0</v>
      </c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1"/>
    </row>
    <row r="234" customHeight="1" spans="1:37">
      <c r="A234" s="61"/>
      <c r="B234" s="61"/>
      <c r="C234" s="61"/>
      <c r="D234" s="61"/>
      <c r="E234" s="61"/>
      <c r="F234" s="20">
        <f t="array" ref="F234">_xlfn.XLOOKUP(A234,'WK 47'!A:A,'WK 47'!F:F,"")</f>
        <v>0</v>
      </c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  <c r="AH234" s="61"/>
      <c r="AI234" s="61"/>
      <c r="AJ234" s="61"/>
      <c r="AK234" s="61"/>
    </row>
    <row r="235" customHeight="1" spans="1:37">
      <c r="A235" s="61"/>
      <c r="B235" s="61"/>
      <c r="C235" s="61"/>
      <c r="D235" s="61"/>
      <c r="E235" s="61"/>
      <c r="F235" s="20">
        <f t="array" ref="F235">_xlfn.XLOOKUP(A235,'WK 47'!A:A,'WK 47'!F:F,"")</f>
        <v>0</v>
      </c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61"/>
    </row>
    <row r="236" customHeight="1" spans="1:37">
      <c r="A236" s="61"/>
      <c r="B236" s="61"/>
      <c r="C236" s="61"/>
      <c r="D236" s="61"/>
      <c r="E236" s="61"/>
      <c r="F236" s="20">
        <f t="array" ref="F236">_xlfn.XLOOKUP(A236,'WK 47'!A:A,'WK 47'!F:F,"")</f>
        <v>0</v>
      </c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  <c r="AH236" s="61"/>
      <c r="AI236" s="61"/>
      <c r="AJ236" s="61"/>
      <c r="AK236" s="61"/>
    </row>
    <row r="237" customHeight="1" spans="1:37">
      <c r="A237" s="61"/>
      <c r="B237" s="61"/>
      <c r="C237" s="61"/>
      <c r="D237" s="61"/>
      <c r="E237" s="61"/>
      <c r="F237" s="20">
        <f t="array" ref="F237">_xlfn.XLOOKUP(A237,'WK 47'!A:A,'WK 47'!F:F,"")</f>
        <v>0</v>
      </c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61"/>
      <c r="AI237" s="61"/>
      <c r="AJ237" s="61"/>
      <c r="AK237" s="61"/>
    </row>
    <row r="238" customHeight="1" spans="1:37">
      <c r="A238" s="61"/>
      <c r="B238" s="61"/>
      <c r="C238" s="61"/>
      <c r="D238" s="61"/>
      <c r="E238" s="61"/>
      <c r="F238" s="20">
        <f t="array" ref="F238">_xlfn.XLOOKUP(A238,'WK 47'!A:A,'WK 47'!F:F,"")</f>
        <v>0</v>
      </c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61"/>
    </row>
    <row r="239" customHeight="1" spans="1:37">
      <c r="A239" s="61"/>
      <c r="B239" s="61"/>
      <c r="C239" s="61"/>
      <c r="D239" s="61"/>
      <c r="E239" s="61"/>
      <c r="F239" s="20">
        <f t="array" ref="F239">_xlfn.XLOOKUP(A239,'WK 47'!A:A,'WK 47'!F:F,"")</f>
        <v>0</v>
      </c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</row>
    <row r="240" customHeight="1" spans="1:37">
      <c r="A240" s="61"/>
      <c r="B240" s="61"/>
      <c r="C240" s="61"/>
      <c r="D240" s="61"/>
      <c r="E240" s="61"/>
      <c r="F240" s="20">
        <f t="array" ref="F240">_xlfn.XLOOKUP(A240,'WK 47'!A:A,'WK 47'!F:F,"")</f>
        <v>0</v>
      </c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  <c r="AH240" s="61"/>
      <c r="AI240" s="61"/>
      <c r="AJ240" s="61"/>
      <c r="AK240" s="61"/>
    </row>
    <row r="241" customHeight="1" spans="1:37">
      <c r="A241" s="61"/>
      <c r="B241" s="61"/>
      <c r="C241" s="61"/>
      <c r="D241" s="61"/>
      <c r="E241" s="61"/>
      <c r="F241" s="20">
        <f t="array" ref="F241">_xlfn.XLOOKUP(A241,'WK 47'!A:A,'WK 47'!F:F,"")</f>
        <v>0</v>
      </c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1"/>
    </row>
    <row r="242" customHeight="1" spans="1:37">
      <c r="A242" s="61"/>
      <c r="B242" s="61"/>
      <c r="C242" s="61"/>
      <c r="D242" s="61"/>
      <c r="E242" s="61"/>
      <c r="F242" s="20">
        <f t="array" ref="F242">_xlfn.XLOOKUP(A242,'WK 47'!A:A,'WK 47'!F:F,"")</f>
        <v>0</v>
      </c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  <c r="AH242" s="61"/>
      <c r="AI242" s="61"/>
      <c r="AJ242" s="61"/>
      <c r="AK242" s="61"/>
    </row>
    <row r="243" customHeight="1" spans="1:37">
      <c r="A243" s="61"/>
      <c r="B243" s="61"/>
      <c r="C243" s="61"/>
      <c r="D243" s="61"/>
      <c r="E243" s="61"/>
      <c r="F243" s="20">
        <f t="array" ref="F243">_xlfn.XLOOKUP(A243,'WK 47'!A:A,'WK 47'!F:F,"")</f>
        <v>0</v>
      </c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</row>
    <row r="244" customHeight="1" spans="1:37">
      <c r="A244" s="61"/>
      <c r="B244" s="61"/>
      <c r="C244" s="61"/>
      <c r="D244" s="61"/>
      <c r="E244" s="61"/>
      <c r="F244" s="20">
        <f t="array" ref="F244">_xlfn.XLOOKUP(A244,'WK 47'!A:A,'WK 47'!F:F,"")</f>
        <v>0</v>
      </c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61"/>
      <c r="AI244" s="61"/>
      <c r="AJ244" s="61"/>
      <c r="AK244" s="61"/>
    </row>
    <row r="245" customHeight="1" spans="1:37">
      <c r="A245" s="61"/>
      <c r="B245" s="61"/>
      <c r="C245" s="61"/>
      <c r="D245" s="61"/>
      <c r="E245" s="61"/>
      <c r="F245" s="20">
        <f t="array" ref="F245">_xlfn.XLOOKUP(A245,'WK 47'!A:A,'WK 47'!F:F,"")</f>
        <v>0</v>
      </c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</row>
    <row r="246" customHeight="1" spans="1:37">
      <c r="A246" s="61"/>
      <c r="B246" s="61"/>
      <c r="C246" s="61"/>
      <c r="D246" s="61"/>
      <c r="E246" s="61"/>
      <c r="F246" s="20">
        <f t="array" ref="F246">_xlfn.XLOOKUP(A246,'WK 47'!A:A,'WK 47'!F:F,"")</f>
        <v>0</v>
      </c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  <c r="AH246" s="61"/>
      <c r="AI246" s="61"/>
      <c r="AJ246" s="61"/>
      <c r="AK246" s="61"/>
    </row>
    <row r="247" customHeight="1" spans="1:37">
      <c r="A247" s="61"/>
      <c r="B247" s="61"/>
      <c r="C247" s="61"/>
      <c r="D247" s="61"/>
      <c r="E247" s="61"/>
      <c r="F247" s="20">
        <f t="array" ref="F247">_xlfn.XLOOKUP(A247,'WK 47'!A:A,'WK 47'!F:F,"")</f>
        <v>0</v>
      </c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</row>
    <row r="248" customHeight="1" spans="1:37">
      <c r="A248" s="61"/>
      <c r="B248" s="61"/>
      <c r="C248" s="61"/>
      <c r="D248" s="61"/>
      <c r="E248" s="61"/>
      <c r="F248" s="20">
        <f t="array" ref="F248">_xlfn.XLOOKUP(A248,'WK 47'!A:A,'WK 47'!F:F,"")</f>
        <v>0</v>
      </c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1"/>
    </row>
    <row r="249" customHeight="1" spans="1:37">
      <c r="A249" s="61"/>
      <c r="B249" s="61"/>
      <c r="C249" s="61"/>
      <c r="D249" s="61"/>
      <c r="E249" s="61"/>
      <c r="F249" s="20">
        <f t="array" ref="F249">_xlfn.XLOOKUP(A249,'WK 47'!A:A,'WK 47'!F:F,"")</f>
        <v>0</v>
      </c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1"/>
      <c r="AJ249" s="61"/>
      <c r="AK249" s="61"/>
    </row>
    <row r="250" customHeight="1" spans="1:37">
      <c r="A250" s="61"/>
      <c r="B250" s="61"/>
      <c r="C250" s="61"/>
      <c r="D250" s="61"/>
      <c r="E250" s="61"/>
      <c r="F250" s="20">
        <f t="array" ref="F250">_xlfn.XLOOKUP(A250,'WK 47'!A:A,'WK 47'!F:F,"")</f>
        <v>0</v>
      </c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  <c r="AH250" s="61"/>
      <c r="AI250" s="61"/>
      <c r="AJ250" s="61"/>
      <c r="AK250" s="61"/>
    </row>
    <row r="251" customHeight="1" spans="1:37">
      <c r="A251" s="61"/>
      <c r="B251" s="61"/>
      <c r="C251" s="61"/>
      <c r="D251" s="61"/>
      <c r="E251" s="61"/>
      <c r="F251" s="20">
        <f t="array" ref="F251">_xlfn.XLOOKUP(A251,'WK 47'!A:A,'WK 47'!F:F,"")</f>
        <v>0</v>
      </c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  <c r="AH251" s="61"/>
      <c r="AI251" s="61"/>
      <c r="AJ251" s="61"/>
      <c r="AK251" s="61"/>
    </row>
    <row r="252" customHeight="1" spans="1:37">
      <c r="A252" s="61"/>
      <c r="B252" s="61"/>
      <c r="C252" s="61"/>
      <c r="D252" s="61"/>
      <c r="E252" s="61"/>
      <c r="F252" s="20">
        <f t="array" ref="F252">_xlfn.XLOOKUP(A252,'WK 47'!A:A,'WK 47'!F:F,"")</f>
        <v>0</v>
      </c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  <c r="AH252" s="61"/>
      <c r="AI252" s="61"/>
      <c r="AJ252" s="61"/>
      <c r="AK252" s="61"/>
    </row>
    <row r="253" customHeight="1" spans="1:37">
      <c r="A253" s="61"/>
      <c r="B253" s="61"/>
      <c r="C253" s="61"/>
      <c r="D253" s="61"/>
      <c r="E253" s="61"/>
      <c r="F253" s="20">
        <f t="array" ref="F253">_xlfn.XLOOKUP(A253,'WK 47'!A:A,'WK 47'!F:F,"")</f>
        <v>0</v>
      </c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  <c r="AH253" s="61"/>
      <c r="AI253" s="61"/>
      <c r="AJ253" s="61"/>
      <c r="AK253" s="61"/>
    </row>
    <row r="254" customHeight="1" spans="1:37">
      <c r="A254" s="61"/>
      <c r="B254" s="61"/>
      <c r="C254" s="61"/>
      <c r="D254" s="61"/>
      <c r="E254" s="61"/>
      <c r="F254" s="20">
        <f t="array" ref="F254">_xlfn.XLOOKUP(A254,'WK 47'!A:A,'WK 47'!F:F,"")</f>
        <v>0</v>
      </c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  <c r="AH254" s="61"/>
      <c r="AI254" s="61"/>
      <c r="AJ254" s="61"/>
      <c r="AK254" s="61"/>
    </row>
    <row r="255" customHeight="1" spans="1:37">
      <c r="A255" s="61"/>
      <c r="B255" s="61"/>
      <c r="C255" s="61"/>
      <c r="D255" s="61"/>
      <c r="E255" s="61"/>
      <c r="F255" s="20">
        <f t="array" ref="F255">_xlfn.XLOOKUP(A255,'WK 47'!A:A,'WK 47'!F:F,"")</f>
        <v>0</v>
      </c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  <c r="AH255" s="61"/>
      <c r="AI255" s="61"/>
      <c r="AJ255" s="61"/>
      <c r="AK255" s="61"/>
    </row>
    <row r="256" customHeight="1" spans="1:37">
      <c r="A256" s="61"/>
      <c r="B256" s="61"/>
      <c r="C256" s="61"/>
      <c r="D256" s="61"/>
      <c r="E256" s="61"/>
      <c r="F256" s="20">
        <f t="array" ref="F256">_xlfn.XLOOKUP(A256,'WK 47'!A:A,'WK 47'!F:F,"")</f>
        <v>0</v>
      </c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  <c r="AH256" s="61"/>
      <c r="AI256" s="61"/>
      <c r="AJ256" s="61"/>
      <c r="AK256" s="61"/>
    </row>
    <row r="257" customHeight="1" spans="1:37">
      <c r="A257" s="61"/>
      <c r="B257" s="61"/>
      <c r="C257" s="61"/>
      <c r="D257" s="61"/>
      <c r="E257" s="61"/>
      <c r="F257" s="20">
        <f t="array" ref="F257">_xlfn.XLOOKUP(A257,'WK 47'!A:A,'WK 47'!F:F,"")</f>
        <v>0</v>
      </c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  <c r="AH257" s="61"/>
      <c r="AI257" s="61"/>
      <c r="AJ257" s="61"/>
      <c r="AK257" s="61"/>
    </row>
    <row r="258" customHeight="1" spans="1:37">
      <c r="A258" s="61"/>
      <c r="B258" s="61"/>
      <c r="C258" s="61"/>
      <c r="D258" s="61"/>
      <c r="E258" s="61"/>
      <c r="F258" s="20">
        <f t="array" ref="F258">_xlfn.XLOOKUP(A258,'WK 47'!A:A,'WK 47'!F:F,"")</f>
        <v>0</v>
      </c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  <c r="AH258" s="61"/>
      <c r="AI258" s="61"/>
      <c r="AJ258" s="61"/>
      <c r="AK258" s="61"/>
    </row>
    <row r="259" customHeight="1" spans="1:37">
      <c r="A259" s="61"/>
      <c r="B259" s="61"/>
      <c r="C259" s="61"/>
      <c r="D259" s="61"/>
      <c r="E259" s="61"/>
      <c r="F259" s="20">
        <f t="array" ref="F259">_xlfn.XLOOKUP(A259,'WK 47'!A:A,'WK 47'!F:F,"")</f>
        <v>0</v>
      </c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  <c r="AI259" s="61"/>
      <c r="AJ259" s="61"/>
      <c r="AK259" s="61"/>
    </row>
    <row r="260" customHeight="1" spans="1:37">
      <c r="A260" s="61"/>
      <c r="B260" s="61"/>
      <c r="C260" s="61"/>
      <c r="D260" s="61"/>
      <c r="E260" s="61"/>
      <c r="F260" s="20">
        <f t="array" ref="F260">_xlfn.XLOOKUP(A260,'WK 47'!A:A,'WK 47'!F:F,"")</f>
        <v>0</v>
      </c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  <c r="AH260" s="61"/>
      <c r="AI260" s="61"/>
      <c r="AJ260" s="61"/>
      <c r="AK260" s="61"/>
    </row>
    <row r="261" customHeight="1" spans="1:37">
      <c r="A261" s="61"/>
      <c r="B261" s="61"/>
      <c r="C261" s="61"/>
      <c r="D261" s="61"/>
      <c r="E261" s="61"/>
      <c r="F261" s="20">
        <f t="array" ref="F261">_xlfn.XLOOKUP(A261,'WK 47'!A:A,'WK 47'!F:F,"")</f>
        <v>0</v>
      </c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61"/>
    </row>
    <row r="262" customHeight="1" spans="1:37">
      <c r="A262" s="61"/>
      <c r="B262" s="61"/>
      <c r="C262" s="61"/>
      <c r="D262" s="61"/>
      <c r="E262" s="61"/>
      <c r="F262" s="20">
        <f t="array" ref="F262">_xlfn.XLOOKUP(A262,'WK 47'!A:A,'WK 47'!F:F,"")</f>
        <v>0</v>
      </c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  <c r="AH262" s="61"/>
      <c r="AI262" s="61"/>
      <c r="AJ262" s="61"/>
      <c r="AK262" s="61"/>
    </row>
    <row r="263" customHeight="1" spans="1:37">
      <c r="A263" s="61"/>
      <c r="B263" s="61"/>
      <c r="C263" s="61"/>
      <c r="D263" s="61"/>
      <c r="E263" s="61"/>
      <c r="F263" s="20">
        <f t="array" ref="F263">_xlfn.XLOOKUP(A263,'WK 47'!A:A,'WK 47'!F:F,"")</f>
        <v>0</v>
      </c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61"/>
    </row>
    <row r="264" customHeight="1" spans="1:37">
      <c r="A264" s="61"/>
      <c r="B264" s="61"/>
      <c r="C264" s="61"/>
      <c r="D264" s="61"/>
      <c r="E264" s="61"/>
      <c r="F264" s="20">
        <f t="array" ref="F264">_xlfn.XLOOKUP(A264,'WK 47'!A:A,'WK 47'!F:F,"")</f>
        <v>0</v>
      </c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  <c r="AH264" s="61"/>
      <c r="AI264" s="61"/>
      <c r="AJ264" s="61"/>
      <c r="AK264" s="61"/>
    </row>
    <row r="265" customHeight="1" spans="1:37">
      <c r="A265" s="61"/>
      <c r="B265" s="61"/>
      <c r="C265" s="61"/>
      <c r="D265" s="61"/>
      <c r="E265" s="61"/>
      <c r="F265" s="20">
        <f t="array" ref="F265">_xlfn.XLOOKUP(A265,'WK 47'!A:A,'WK 47'!F:F,"")</f>
        <v>0</v>
      </c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</row>
    <row r="266" customHeight="1" spans="1:37">
      <c r="A266" s="61"/>
      <c r="B266" s="61"/>
      <c r="C266" s="61"/>
      <c r="D266" s="61"/>
      <c r="E266" s="61"/>
      <c r="F266" s="20">
        <f t="array" ref="F266">_xlfn.XLOOKUP(A266,'WK 47'!A:A,'WK 47'!F:F,"")</f>
        <v>0</v>
      </c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  <c r="AH266" s="61"/>
      <c r="AI266" s="61"/>
      <c r="AJ266" s="61"/>
      <c r="AK266" s="61"/>
    </row>
    <row r="267" customHeight="1" spans="1:37">
      <c r="A267" s="61"/>
      <c r="B267" s="61"/>
      <c r="C267" s="61"/>
      <c r="D267" s="61"/>
      <c r="E267" s="61"/>
      <c r="F267" s="20">
        <f t="array" ref="F267">_xlfn.XLOOKUP(A267,'WK 47'!A:A,'WK 47'!F:F,"")</f>
        <v>0</v>
      </c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1"/>
    </row>
    <row r="268" customHeight="1" spans="1:37">
      <c r="A268" s="61"/>
      <c r="B268" s="61"/>
      <c r="C268" s="61"/>
      <c r="D268" s="61"/>
      <c r="E268" s="61"/>
      <c r="F268" s="20">
        <f t="array" ref="F268">_xlfn.XLOOKUP(A268,'WK 47'!A:A,'WK 47'!F:F,"")</f>
        <v>0</v>
      </c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  <c r="AH268" s="61"/>
      <c r="AI268" s="61"/>
      <c r="AJ268" s="61"/>
      <c r="AK268" s="61"/>
    </row>
    <row r="269" customHeight="1" spans="1:37">
      <c r="A269" s="61"/>
      <c r="B269" s="61"/>
      <c r="C269" s="61"/>
      <c r="D269" s="61"/>
      <c r="E269" s="61"/>
      <c r="F269" s="20">
        <f t="array" ref="F269">_xlfn.XLOOKUP(A269,'WK 47'!A:A,'WK 47'!F:F,"")</f>
        <v>0</v>
      </c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1"/>
    </row>
    <row r="270" customHeight="1" spans="1:37">
      <c r="A270" s="61"/>
      <c r="B270" s="61"/>
      <c r="C270" s="61"/>
      <c r="D270" s="61"/>
      <c r="E270" s="61"/>
      <c r="F270" s="20">
        <f t="array" ref="F270">_xlfn.XLOOKUP(A270,'WK 47'!A:A,'WK 47'!F:F,"")</f>
        <v>0</v>
      </c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  <c r="AH270" s="61"/>
      <c r="AI270" s="61"/>
      <c r="AJ270" s="61"/>
      <c r="AK270" s="61"/>
    </row>
    <row r="271" customHeight="1" spans="1:37">
      <c r="A271" s="61"/>
      <c r="B271" s="61"/>
      <c r="C271" s="61"/>
      <c r="D271" s="61"/>
      <c r="E271" s="61"/>
      <c r="F271" s="20">
        <f t="array" ref="F271">_xlfn.XLOOKUP(A271,'WK 47'!A:A,'WK 47'!F:F,"")</f>
        <v>0</v>
      </c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  <c r="AH271" s="61"/>
      <c r="AI271" s="61"/>
      <c r="AJ271" s="61"/>
      <c r="AK271" s="61"/>
    </row>
    <row r="272" customHeight="1" spans="1:37">
      <c r="A272" s="61"/>
      <c r="B272" s="61"/>
      <c r="C272" s="61"/>
      <c r="D272" s="61"/>
      <c r="E272" s="61"/>
      <c r="F272" s="20">
        <f t="array" ref="F272">_xlfn.XLOOKUP(A272,'WK 47'!A:A,'WK 47'!F:F,"")</f>
        <v>0</v>
      </c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  <c r="AH272" s="61"/>
      <c r="AI272" s="61"/>
      <c r="AJ272" s="61"/>
      <c r="AK272" s="61"/>
    </row>
    <row r="273" customHeight="1" spans="1:37">
      <c r="A273" s="61"/>
      <c r="B273" s="61"/>
      <c r="C273" s="61"/>
      <c r="D273" s="61"/>
      <c r="E273" s="61"/>
      <c r="F273" s="20">
        <f t="array" ref="F273">_xlfn.XLOOKUP(A273,'WK 47'!A:A,'WK 47'!F:F,"")</f>
        <v>0</v>
      </c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61"/>
      <c r="AK273" s="61"/>
    </row>
    <row r="274" customHeight="1" spans="1:37">
      <c r="A274" s="61"/>
      <c r="B274" s="61"/>
      <c r="C274" s="61"/>
      <c r="D274" s="61"/>
      <c r="E274" s="61"/>
      <c r="F274" s="20">
        <f t="array" ref="F274">_xlfn.XLOOKUP(A274,'WK 47'!A:A,'WK 47'!F:F,"")</f>
        <v>0</v>
      </c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  <c r="AH274" s="61"/>
      <c r="AI274" s="61"/>
      <c r="AJ274" s="61"/>
      <c r="AK274" s="61"/>
    </row>
    <row r="275" customHeight="1" spans="1:37">
      <c r="A275" s="61"/>
      <c r="B275" s="61"/>
      <c r="C275" s="61"/>
      <c r="D275" s="61"/>
      <c r="E275" s="61"/>
      <c r="F275" s="20">
        <f t="array" ref="F275">_xlfn.XLOOKUP(A275,'WK 47'!A:A,'WK 47'!F:F,"")</f>
        <v>0</v>
      </c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  <c r="AH275" s="61"/>
      <c r="AI275" s="61"/>
      <c r="AJ275" s="61"/>
      <c r="AK275" s="61"/>
    </row>
    <row r="276" customHeight="1" spans="1:37">
      <c r="A276" s="61"/>
      <c r="B276" s="61"/>
      <c r="C276" s="61"/>
      <c r="D276" s="61"/>
      <c r="E276" s="61"/>
      <c r="F276" s="20">
        <f t="array" ref="F276">_xlfn.XLOOKUP(A276,'WK 47'!A:A,'WK 47'!F:F,"")</f>
        <v>0</v>
      </c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  <c r="AH276" s="61"/>
      <c r="AI276" s="61"/>
      <c r="AJ276" s="61"/>
      <c r="AK276" s="61"/>
    </row>
    <row r="277" customHeight="1" spans="1:37">
      <c r="A277" s="61"/>
      <c r="B277" s="61"/>
      <c r="C277" s="61"/>
      <c r="D277" s="61"/>
      <c r="E277" s="61"/>
      <c r="F277" s="20">
        <f t="array" ref="F277">_xlfn.XLOOKUP(A277,'WK 47'!A:A,'WK 47'!F:F,"")</f>
        <v>0</v>
      </c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  <c r="AH277" s="61"/>
      <c r="AI277" s="61"/>
      <c r="AJ277" s="61"/>
      <c r="AK277" s="61"/>
    </row>
    <row r="278" customHeight="1" spans="1:37">
      <c r="A278" s="61"/>
      <c r="B278" s="61"/>
      <c r="C278" s="61"/>
      <c r="D278" s="61"/>
      <c r="E278" s="61"/>
      <c r="F278" s="20">
        <f t="array" ref="F278">_xlfn.XLOOKUP(A278,'WK 47'!A:A,'WK 47'!F:F,"")</f>
        <v>0</v>
      </c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  <c r="AH278" s="61"/>
      <c r="AI278" s="61"/>
      <c r="AJ278" s="61"/>
      <c r="AK278" s="61"/>
    </row>
    <row r="279" customHeight="1" spans="1:37">
      <c r="A279" s="61"/>
      <c r="B279" s="61"/>
      <c r="C279" s="61"/>
      <c r="D279" s="61"/>
      <c r="E279" s="61"/>
      <c r="F279" s="20">
        <f t="array" ref="F279">_xlfn.XLOOKUP(A279,'WK 47'!A:A,'WK 47'!F:F,"")</f>
        <v>0</v>
      </c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1"/>
    </row>
    <row r="280" customHeight="1" spans="1:37">
      <c r="A280" s="61"/>
      <c r="B280" s="61"/>
      <c r="C280" s="61"/>
      <c r="D280" s="61"/>
      <c r="E280" s="61"/>
      <c r="F280" s="20">
        <f t="array" ref="F280">_xlfn.XLOOKUP(A280,'WK 47'!A:A,'WK 47'!F:F,"")</f>
        <v>0</v>
      </c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  <c r="AH280" s="61"/>
      <c r="AI280" s="61"/>
      <c r="AJ280" s="61"/>
      <c r="AK280" s="61"/>
    </row>
    <row r="281" customHeight="1" spans="1:37">
      <c r="A281" s="61"/>
      <c r="B281" s="61"/>
      <c r="C281" s="61"/>
      <c r="D281" s="61"/>
      <c r="E281" s="61"/>
      <c r="F281" s="20">
        <f t="array" ref="F281">_xlfn.XLOOKUP(A281,'WK 47'!A:A,'WK 47'!F:F,"")</f>
        <v>0</v>
      </c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61"/>
    </row>
    <row r="282" customHeight="1" spans="1:37">
      <c r="A282" s="61"/>
      <c r="B282" s="61"/>
      <c r="C282" s="61"/>
      <c r="D282" s="61"/>
      <c r="E282" s="61"/>
      <c r="F282" s="20">
        <f t="array" ref="F282">_xlfn.XLOOKUP(A282,'WK 47'!A:A,'WK 47'!F:F,"")</f>
        <v>0</v>
      </c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  <c r="AH282" s="61"/>
      <c r="AI282" s="61"/>
      <c r="AJ282" s="61"/>
      <c r="AK282" s="61"/>
    </row>
    <row r="283" customHeight="1" spans="1:37">
      <c r="A283" s="61"/>
      <c r="B283" s="61"/>
      <c r="C283" s="61"/>
      <c r="D283" s="61"/>
      <c r="E283" s="61"/>
      <c r="F283" s="20">
        <f t="array" ref="F283">_xlfn.XLOOKUP(A283,'WK 47'!A:A,'WK 47'!F:F,"")</f>
        <v>0</v>
      </c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</row>
    <row r="284" customHeight="1" spans="1:37">
      <c r="A284" s="61"/>
      <c r="B284" s="61"/>
      <c r="C284" s="61"/>
      <c r="D284" s="61"/>
      <c r="E284" s="61"/>
      <c r="F284" s="20">
        <f t="array" ref="F284">_xlfn.XLOOKUP(A284,'WK 47'!A:A,'WK 47'!F:F,"")</f>
        <v>0</v>
      </c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  <c r="AH284" s="61"/>
      <c r="AI284" s="61"/>
      <c r="AJ284" s="61"/>
      <c r="AK284" s="61"/>
    </row>
    <row r="285" customHeight="1" spans="1:37">
      <c r="A285" s="61"/>
      <c r="B285" s="61"/>
      <c r="C285" s="61"/>
      <c r="D285" s="61"/>
      <c r="E285" s="61"/>
      <c r="F285" s="20">
        <f t="array" ref="F285">_xlfn.XLOOKUP(A285,'WK 47'!A:A,'WK 47'!F:F,"")</f>
        <v>0</v>
      </c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</row>
    <row r="286" customHeight="1" spans="1:37">
      <c r="A286" s="61"/>
      <c r="B286" s="61"/>
      <c r="C286" s="61"/>
      <c r="D286" s="61"/>
      <c r="E286" s="61"/>
      <c r="F286" s="20">
        <f t="array" ref="F286">_xlfn.XLOOKUP(A286,'WK 47'!A:A,'WK 47'!F:F,"")</f>
        <v>0</v>
      </c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  <c r="AH286" s="61"/>
      <c r="AI286" s="61"/>
      <c r="AJ286" s="61"/>
      <c r="AK286" s="61"/>
    </row>
    <row r="287" customHeight="1" spans="1:37">
      <c r="A287" s="61"/>
      <c r="B287" s="61"/>
      <c r="C287" s="61"/>
      <c r="D287" s="61"/>
      <c r="E287" s="61"/>
      <c r="F287" s="20">
        <f t="array" ref="F287">_xlfn.XLOOKUP(A287,'WK 47'!A:A,'WK 47'!F:F,"")</f>
        <v>0</v>
      </c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1"/>
    </row>
    <row r="288" customHeight="1" spans="1:37">
      <c r="A288" s="61"/>
      <c r="B288" s="61"/>
      <c r="C288" s="61"/>
      <c r="D288" s="61"/>
      <c r="E288" s="61"/>
      <c r="F288" s="20">
        <f t="array" ref="F288">_xlfn.XLOOKUP(A288,'WK 47'!A:A,'WK 47'!F:F,"")</f>
        <v>0</v>
      </c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  <c r="AH288" s="61"/>
      <c r="AI288" s="61"/>
      <c r="AJ288" s="61"/>
      <c r="AK288" s="61"/>
    </row>
    <row r="289" customHeight="1" spans="1:37">
      <c r="A289" s="61"/>
      <c r="B289" s="61"/>
      <c r="C289" s="61"/>
      <c r="D289" s="61"/>
      <c r="E289" s="61"/>
      <c r="F289" s="20">
        <f t="array" ref="F289">_xlfn.XLOOKUP(A289,'WK 47'!A:A,'WK 47'!F:F,"")</f>
        <v>0</v>
      </c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  <c r="AH289" s="61"/>
      <c r="AI289" s="61"/>
      <c r="AJ289" s="61"/>
      <c r="AK289" s="61"/>
    </row>
    <row r="290" customHeight="1" spans="1:37">
      <c r="A290" s="61"/>
      <c r="B290" s="61"/>
      <c r="C290" s="61"/>
      <c r="D290" s="61"/>
      <c r="E290" s="61"/>
      <c r="F290" s="20">
        <f t="array" ref="F290">_xlfn.XLOOKUP(A290,'WK 47'!A:A,'WK 47'!F:F,"")</f>
        <v>0</v>
      </c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  <c r="AH290" s="61"/>
      <c r="AI290" s="61"/>
      <c r="AJ290" s="61"/>
      <c r="AK290" s="61"/>
    </row>
    <row r="291" customHeight="1" spans="1:37">
      <c r="A291" s="61"/>
      <c r="B291" s="61"/>
      <c r="C291" s="61"/>
      <c r="D291" s="61"/>
      <c r="E291" s="61"/>
      <c r="F291" s="20">
        <f t="array" ref="F291">_xlfn.XLOOKUP(A291,'WK 47'!A:A,'WK 47'!F:F,"")</f>
        <v>0</v>
      </c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  <c r="AH291" s="61"/>
      <c r="AI291" s="61"/>
      <c r="AJ291" s="61"/>
      <c r="AK291" s="61"/>
    </row>
    <row r="292" customHeight="1" spans="1:37">
      <c r="A292" s="61"/>
      <c r="B292" s="61"/>
      <c r="C292" s="61"/>
      <c r="D292" s="61"/>
      <c r="E292" s="61"/>
      <c r="F292" s="20">
        <f t="array" ref="F292">_xlfn.XLOOKUP(A292,'WK 47'!A:A,'WK 47'!F:F,"")</f>
        <v>0</v>
      </c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  <c r="AH292" s="61"/>
      <c r="AI292" s="61"/>
      <c r="AJ292" s="61"/>
      <c r="AK292" s="61"/>
    </row>
    <row r="293" customHeight="1" spans="1:37">
      <c r="A293" s="61"/>
      <c r="B293" s="61"/>
      <c r="C293" s="61"/>
      <c r="D293" s="61"/>
      <c r="E293" s="61"/>
      <c r="F293" s="20">
        <f t="array" ref="F293">_xlfn.XLOOKUP(A293,'WK 47'!A:A,'WK 47'!F:F,"")</f>
        <v>0</v>
      </c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  <c r="AH293" s="61"/>
      <c r="AI293" s="61"/>
      <c r="AJ293" s="61"/>
      <c r="AK293" s="61"/>
    </row>
    <row r="294" customHeight="1" spans="1:37">
      <c r="A294" s="61"/>
      <c r="B294" s="61"/>
      <c r="C294" s="61"/>
      <c r="D294" s="61"/>
      <c r="E294" s="61"/>
      <c r="F294" s="20">
        <f t="array" ref="F294">_xlfn.XLOOKUP(A294,'WK 47'!A:A,'WK 47'!F:F,"")</f>
        <v>0</v>
      </c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  <c r="AH294" s="61"/>
      <c r="AI294" s="61"/>
      <c r="AJ294" s="61"/>
      <c r="AK294" s="61"/>
    </row>
    <row r="295" customHeight="1" spans="1:37">
      <c r="A295" s="61"/>
      <c r="B295" s="61"/>
      <c r="C295" s="61"/>
      <c r="D295" s="61"/>
      <c r="E295" s="61"/>
      <c r="F295" s="20">
        <f t="array" ref="F295">_xlfn.XLOOKUP(A295,'WK 47'!A:A,'WK 47'!F:F,"")</f>
        <v>0</v>
      </c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  <c r="AH295" s="61"/>
      <c r="AI295" s="61"/>
      <c r="AJ295" s="61"/>
      <c r="AK295" s="61"/>
    </row>
    <row r="296" customHeight="1" spans="1:37">
      <c r="A296" s="61"/>
      <c r="B296" s="61"/>
      <c r="C296" s="61"/>
      <c r="D296" s="61"/>
      <c r="E296" s="61"/>
      <c r="F296" s="20">
        <f t="array" ref="F296">_xlfn.XLOOKUP(A296,'WK 47'!A:A,'WK 47'!F:F,"")</f>
        <v>0</v>
      </c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  <c r="AH296" s="61"/>
      <c r="AI296" s="61"/>
      <c r="AJ296" s="61"/>
      <c r="AK296" s="61"/>
    </row>
    <row r="297" customHeight="1" spans="1:37">
      <c r="A297" s="61"/>
      <c r="B297" s="61"/>
      <c r="C297" s="61"/>
      <c r="D297" s="61"/>
      <c r="E297" s="61"/>
      <c r="F297" s="20">
        <f t="array" ref="F297">_xlfn.XLOOKUP(A297,'WK 47'!A:A,'WK 47'!F:F,"")</f>
        <v>0</v>
      </c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  <c r="AH297" s="61"/>
      <c r="AI297" s="61"/>
      <c r="AJ297" s="61"/>
      <c r="AK297" s="61"/>
    </row>
    <row r="298" customHeight="1" spans="1:37">
      <c r="A298" s="61"/>
      <c r="B298" s="61"/>
      <c r="C298" s="61"/>
      <c r="D298" s="61"/>
      <c r="E298" s="61"/>
      <c r="F298" s="20">
        <f t="array" ref="F298">_xlfn.XLOOKUP(A298,'WK 47'!A:A,'WK 47'!F:F,"")</f>
        <v>0</v>
      </c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  <c r="AH298" s="61"/>
      <c r="AI298" s="61"/>
      <c r="AJ298" s="61"/>
      <c r="AK298" s="61"/>
    </row>
    <row r="299" customHeight="1" spans="1:37">
      <c r="A299" s="61"/>
      <c r="B299" s="61"/>
      <c r="C299" s="61"/>
      <c r="D299" s="61"/>
      <c r="E299" s="61"/>
      <c r="F299" s="20">
        <f t="array" ref="F299">_xlfn.XLOOKUP(A299,'WK 47'!A:A,'WK 47'!F:F,"")</f>
        <v>0</v>
      </c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  <c r="AH299" s="61"/>
      <c r="AI299" s="61"/>
      <c r="AJ299" s="61"/>
      <c r="AK299" s="61"/>
    </row>
    <row r="300" customHeight="1" spans="1:37">
      <c r="A300" s="61"/>
      <c r="B300" s="61"/>
      <c r="C300" s="61"/>
      <c r="D300" s="61"/>
      <c r="E300" s="61"/>
      <c r="F300" s="20">
        <f t="array" ref="F300">_xlfn.XLOOKUP(A300,'WK 47'!A:A,'WK 47'!F:F,"")</f>
        <v>0</v>
      </c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  <c r="AH300" s="61"/>
      <c r="AI300" s="61"/>
      <c r="AJ300" s="61"/>
      <c r="AK300" s="61"/>
    </row>
    <row r="301" customHeight="1" spans="1:37">
      <c r="A301" s="61"/>
      <c r="B301" s="61"/>
      <c r="C301" s="61"/>
      <c r="D301" s="61"/>
      <c r="E301" s="61"/>
      <c r="F301" s="20">
        <f t="array" ref="F301">_xlfn.XLOOKUP(A301,'WK 47'!A:A,'WK 47'!F:F,"")</f>
        <v>0</v>
      </c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  <c r="AI301" s="61"/>
      <c r="AJ301" s="61"/>
      <c r="AK301" s="61"/>
    </row>
    <row r="302" customHeight="1" spans="1:37">
      <c r="A302" s="61"/>
      <c r="B302" s="61"/>
      <c r="C302" s="61"/>
      <c r="D302" s="61"/>
      <c r="E302" s="61"/>
      <c r="F302" s="20">
        <f t="array" ref="F302">_xlfn.XLOOKUP(A302,'WK 47'!A:A,'WK 47'!F:F,"")</f>
        <v>0</v>
      </c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  <c r="AH302" s="61"/>
      <c r="AI302" s="61"/>
      <c r="AJ302" s="61"/>
      <c r="AK302" s="61"/>
    </row>
    <row r="303" customHeight="1" spans="1:37">
      <c r="A303" s="61"/>
      <c r="B303" s="61"/>
      <c r="C303" s="61"/>
      <c r="D303" s="61"/>
      <c r="E303" s="61"/>
      <c r="F303" s="20">
        <f t="array" ref="F303">_xlfn.XLOOKUP(A303,'WK 47'!A:A,'WK 47'!F:F,"")</f>
        <v>0</v>
      </c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</row>
    <row r="304" customHeight="1" spans="1:37">
      <c r="A304" s="61"/>
      <c r="B304" s="61"/>
      <c r="C304" s="61"/>
      <c r="D304" s="61"/>
      <c r="E304" s="61"/>
      <c r="F304" s="20">
        <f t="array" ref="F304">_xlfn.XLOOKUP(A304,'WK 47'!A:A,'WK 47'!F:F,"")</f>
        <v>0</v>
      </c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  <c r="AH304" s="61"/>
      <c r="AI304" s="61"/>
      <c r="AJ304" s="61"/>
      <c r="AK304" s="61"/>
    </row>
    <row r="305" customHeight="1" spans="1:37">
      <c r="A305" s="61"/>
      <c r="B305" s="61"/>
      <c r="C305" s="61"/>
      <c r="D305" s="61"/>
      <c r="E305" s="61"/>
      <c r="F305" s="20">
        <f t="array" ref="F305">_xlfn.XLOOKUP(A305,'WK 47'!A:A,'WK 47'!F:F,"")</f>
        <v>0</v>
      </c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</row>
    <row r="306" customHeight="1" spans="1:37">
      <c r="A306" s="61"/>
      <c r="B306" s="61"/>
      <c r="C306" s="61"/>
      <c r="D306" s="61"/>
      <c r="E306" s="61"/>
      <c r="F306" s="20">
        <f t="array" ref="F306">_xlfn.XLOOKUP(A306,'WK 47'!A:A,'WK 47'!F:F,"")</f>
        <v>0</v>
      </c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  <c r="AH306" s="61"/>
      <c r="AI306" s="61"/>
      <c r="AJ306" s="61"/>
      <c r="AK306" s="61"/>
    </row>
    <row r="307" customHeight="1" spans="1:37">
      <c r="A307" s="61"/>
      <c r="B307" s="61"/>
      <c r="C307" s="61"/>
      <c r="D307" s="61"/>
      <c r="E307" s="61"/>
      <c r="F307" s="20">
        <f t="array" ref="F307">_xlfn.XLOOKUP(A307,'WK 47'!A:A,'WK 47'!F:F,"")</f>
        <v>0</v>
      </c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1"/>
    </row>
    <row r="308" customHeight="1" spans="1:37">
      <c r="A308" s="61"/>
      <c r="B308" s="61"/>
      <c r="C308" s="61"/>
      <c r="D308" s="61"/>
      <c r="E308" s="61"/>
      <c r="F308" s="20">
        <f t="array" ref="F308">_xlfn.XLOOKUP(A308,'WK 47'!A:A,'WK 47'!F:F,"")</f>
        <v>0</v>
      </c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  <c r="AH308" s="61"/>
      <c r="AI308" s="61"/>
      <c r="AJ308" s="61"/>
      <c r="AK308" s="61"/>
    </row>
    <row r="309" customHeight="1" spans="1:37">
      <c r="A309" s="61"/>
      <c r="B309" s="61"/>
      <c r="C309" s="61"/>
      <c r="D309" s="61"/>
      <c r="E309" s="61"/>
      <c r="F309" s="20">
        <f t="array" ref="F309">_xlfn.XLOOKUP(A309,'WK 47'!A:A,'WK 47'!F:F,"")</f>
        <v>0</v>
      </c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1"/>
    </row>
    <row r="310" customHeight="1" spans="1:37">
      <c r="A310" s="61"/>
      <c r="B310" s="61"/>
      <c r="C310" s="61"/>
      <c r="D310" s="61"/>
      <c r="E310" s="61"/>
      <c r="F310" s="20">
        <f t="array" ref="F310">_xlfn.XLOOKUP(A310,'WK 47'!A:A,'WK 47'!F:F,"")</f>
        <v>0</v>
      </c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  <c r="AH310" s="61"/>
      <c r="AI310" s="61"/>
      <c r="AJ310" s="61"/>
      <c r="AK310" s="61"/>
    </row>
    <row r="311" customHeight="1" spans="1:37">
      <c r="A311" s="61"/>
      <c r="B311" s="61"/>
      <c r="C311" s="61"/>
      <c r="D311" s="61"/>
      <c r="E311" s="61"/>
      <c r="F311" s="20">
        <f t="array" ref="F311">_xlfn.XLOOKUP(A311,'WK 47'!A:A,'WK 47'!F:F,"")</f>
        <v>0</v>
      </c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61"/>
    </row>
    <row r="312" customHeight="1" spans="1:37">
      <c r="A312" s="61"/>
      <c r="B312" s="61"/>
      <c r="C312" s="61"/>
      <c r="D312" s="61"/>
      <c r="E312" s="61"/>
      <c r="F312" s="20">
        <f t="array" ref="F312">_xlfn.XLOOKUP(A312,'WK 47'!A:A,'WK 47'!F:F,"")</f>
        <v>0</v>
      </c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  <c r="AH312" s="61"/>
      <c r="AI312" s="61"/>
      <c r="AJ312" s="61"/>
      <c r="AK312" s="61"/>
    </row>
    <row r="313" customHeight="1" spans="1:37">
      <c r="A313" s="61"/>
      <c r="B313" s="61"/>
      <c r="C313" s="61"/>
      <c r="D313" s="61"/>
      <c r="E313" s="61"/>
      <c r="F313" s="20">
        <f t="array" ref="F313">_xlfn.XLOOKUP(A313,'WK 47'!A:A,'WK 47'!F:F,"")</f>
        <v>0</v>
      </c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  <c r="AH313" s="61"/>
      <c r="AI313" s="61"/>
      <c r="AJ313" s="61"/>
      <c r="AK313" s="61"/>
    </row>
    <row r="314" customHeight="1" spans="1:37">
      <c r="A314" s="61"/>
      <c r="B314" s="61"/>
      <c r="C314" s="61"/>
      <c r="D314" s="61"/>
      <c r="E314" s="61"/>
      <c r="F314" s="20">
        <f t="array" ref="F314">_xlfn.XLOOKUP(A314,'WK 47'!A:A,'WK 47'!F:F,"")</f>
        <v>0</v>
      </c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  <c r="AH314" s="61"/>
      <c r="AI314" s="61"/>
      <c r="AJ314" s="61"/>
      <c r="AK314" s="61"/>
    </row>
    <row r="315" customHeight="1" spans="1:37">
      <c r="A315" s="61"/>
      <c r="B315" s="61"/>
      <c r="C315" s="61"/>
      <c r="D315" s="61"/>
      <c r="E315" s="61"/>
      <c r="F315" s="20">
        <f t="array" ref="F315">_xlfn.XLOOKUP(A315,'WK 47'!A:A,'WK 47'!F:F,"")</f>
        <v>0</v>
      </c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61"/>
    </row>
    <row r="316" customHeight="1" spans="1:37">
      <c r="A316" s="61"/>
      <c r="B316" s="61"/>
      <c r="C316" s="61"/>
      <c r="D316" s="61"/>
      <c r="E316" s="61"/>
      <c r="F316" s="20">
        <f t="array" ref="F316">_xlfn.XLOOKUP(A316,'WK 47'!A:A,'WK 47'!F:F,"")</f>
        <v>0</v>
      </c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  <c r="AH316" s="61"/>
      <c r="AI316" s="61"/>
      <c r="AJ316" s="61"/>
      <c r="AK316" s="61"/>
    </row>
    <row r="317" customHeight="1" spans="1:37">
      <c r="A317" s="61"/>
      <c r="B317" s="61"/>
      <c r="C317" s="61"/>
      <c r="D317" s="61"/>
      <c r="E317" s="61"/>
      <c r="F317" s="20">
        <f t="array" ref="F317">_xlfn.XLOOKUP(A317,'WK 47'!A:A,'WK 47'!F:F,"")</f>
        <v>0</v>
      </c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</row>
    <row r="318" customHeight="1" spans="1:37">
      <c r="A318" s="61"/>
      <c r="B318" s="61"/>
      <c r="C318" s="61"/>
      <c r="D318" s="61"/>
      <c r="E318" s="61"/>
      <c r="F318" s="20">
        <f t="array" ref="F318">_xlfn.XLOOKUP(A318,'WK 47'!A:A,'WK 47'!F:F,"")</f>
        <v>0</v>
      </c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  <c r="AH318" s="61"/>
      <c r="AI318" s="61"/>
      <c r="AJ318" s="61"/>
      <c r="AK318" s="61"/>
    </row>
    <row r="319" customHeight="1" spans="1:37">
      <c r="A319" s="61"/>
      <c r="B319" s="61"/>
      <c r="C319" s="61"/>
      <c r="D319" s="61"/>
      <c r="E319" s="61"/>
      <c r="F319" s="20">
        <f t="array" ref="F319">_xlfn.XLOOKUP(A319,'WK 47'!A:A,'WK 47'!F:F,"")</f>
        <v>0</v>
      </c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</row>
    <row r="320" customHeight="1" spans="1:37">
      <c r="A320" s="61"/>
      <c r="B320" s="61"/>
      <c r="C320" s="61"/>
      <c r="D320" s="61"/>
      <c r="E320" s="61"/>
      <c r="F320" s="20">
        <f t="array" ref="F320">_xlfn.XLOOKUP(A320,'WK 47'!A:A,'WK 47'!F:F,"")</f>
        <v>0</v>
      </c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  <c r="AH320" s="61"/>
      <c r="AI320" s="61"/>
      <c r="AJ320" s="61"/>
      <c r="AK320" s="61"/>
    </row>
    <row r="321" customHeight="1" spans="1:37">
      <c r="A321" s="61"/>
      <c r="B321" s="61"/>
      <c r="C321" s="61"/>
      <c r="D321" s="61"/>
      <c r="E321" s="61"/>
      <c r="F321" s="20">
        <f t="array" ref="F321">_xlfn.XLOOKUP(A321,'WK 47'!A:A,'WK 47'!F:F,"")</f>
        <v>0</v>
      </c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</row>
    <row r="322" customHeight="1" spans="1:37">
      <c r="A322" s="61"/>
      <c r="B322" s="61"/>
      <c r="C322" s="61"/>
      <c r="D322" s="61"/>
      <c r="E322" s="61"/>
      <c r="F322" s="20">
        <f t="array" ref="F322">_xlfn.XLOOKUP(A322,'WK 47'!A:A,'WK 47'!F:F,"")</f>
        <v>0</v>
      </c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  <c r="AH322" s="61"/>
      <c r="AI322" s="61"/>
      <c r="AJ322" s="61"/>
      <c r="AK322" s="61"/>
    </row>
    <row r="323" customHeight="1" spans="1:37">
      <c r="A323" s="61"/>
      <c r="B323" s="61"/>
      <c r="C323" s="61"/>
      <c r="D323" s="61"/>
      <c r="E323" s="61"/>
      <c r="F323" s="20">
        <f t="array" ref="F323">_xlfn.XLOOKUP(A323,'WK 47'!A:A,'WK 47'!F:F,"")</f>
        <v>0</v>
      </c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</row>
    <row r="324" customHeight="1" spans="1:37">
      <c r="A324" s="61"/>
      <c r="B324" s="61"/>
      <c r="C324" s="61"/>
      <c r="D324" s="61"/>
      <c r="E324" s="61"/>
      <c r="F324" s="20">
        <f t="array" ref="F324">_xlfn.XLOOKUP(A324,'WK 47'!A:A,'WK 47'!F:F,"")</f>
        <v>0</v>
      </c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  <c r="AH324" s="61"/>
      <c r="AI324" s="61"/>
      <c r="AJ324" s="61"/>
      <c r="AK324" s="61"/>
    </row>
    <row r="325" customHeight="1" spans="1:37">
      <c r="A325" s="61"/>
      <c r="B325" s="61"/>
      <c r="C325" s="61"/>
      <c r="D325" s="61"/>
      <c r="E325" s="61"/>
      <c r="F325" s="20">
        <f t="array" ref="F325">_xlfn.XLOOKUP(A325,'WK 47'!A:A,'WK 47'!F:F,"")</f>
        <v>0</v>
      </c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</row>
    <row r="326" customHeight="1" spans="1:37">
      <c r="A326" s="61"/>
      <c r="B326" s="61"/>
      <c r="C326" s="61"/>
      <c r="D326" s="61"/>
      <c r="E326" s="61"/>
      <c r="F326" s="20">
        <f t="array" ref="F326">_xlfn.XLOOKUP(A326,'WK 47'!A:A,'WK 47'!F:F,"")</f>
        <v>0</v>
      </c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  <c r="AH326" s="61"/>
      <c r="AI326" s="61"/>
      <c r="AJ326" s="61"/>
      <c r="AK326" s="61"/>
    </row>
    <row r="327" customHeight="1" spans="1:37">
      <c r="A327" s="61"/>
      <c r="B327" s="61"/>
      <c r="C327" s="61"/>
      <c r="D327" s="61"/>
      <c r="E327" s="61"/>
      <c r="F327" s="20">
        <f t="array" ref="F327">_xlfn.XLOOKUP(A327,'WK 47'!A:A,'WK 47'!F:F,"")</f>
        <v>0</v>
      </c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</row>
    <row r="328" customHeight="1" spans="1:37">
      <c r="A328" s="61"/>
      <c r="B328" s="61"/>
      <c r="C328" s="61"/>
      <c r="D328" s="61"/>
      <c r="E328" s="61"/>
      <c r="F328" s="20">
        <f t="array" ref="F328">_xlfn.XLOOKUP(A328,'WK 47'!A:A,'WK 47'!F:F,"")</f>
        <v>0</v>
      </c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  <c r="AH328" s="61"/>
      <c r="AI328" s="61"/>
      <c r="AJ328" s="61"/>
      <c r="AK328" s="61"/>
    </row>
    <row r="329" customHeight="1" spans="1:37">
      <c r="A329" s="61"/>
      <c r="B329" s="61"/>
      <c r="C329" s="61"/>
      <c r="D329" s="61"/>
      <c r="E329" s="61"/>
      <c r="F329" s="20">
        <f t="array" ref="F329">_xlfn.XLOOKUP(A329,'WK 47'!A:A,'WK 47'!F:F,"")</f>
        <v>0</v>
      </c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</row>
    <row r="330" customHeight="1" spans="1:37">
      <c r="A330" s="61"/>
      <c r="B330" s="61"/>
      <c r="C330" s="61"/>
      <c r="D330" s="61"/>
      <c r="E330" s="61"/>
      <c r="F330" s="20">
        <f t="array" ref="F330">_xlfn.XLOOKUP(A330,'WK 47'!A:A,'WK 47'!F:F,"")</f>
        <v>0</v>
      </c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  <c r="AH330" s="61"/>
      <c r="AI330" s="61"/>
      <c r="AJ330" s="61"/>
      <c r="AK330" s="61"/>
    </row>
    <row r="331" customHeight="1" spans="1:37">
      <c r="A331" s="61"/>
      <c r="B331" s="61"/>
      <c r="C331" s="61"/>
      <c r="D331" s="61"/>
      <c r="E331" s="61"/>
      <c r="F331" s="20">
        <f t="array" ref="F331">_xlfn.XLOOKUP(A331,'WK 47'!A:A,'WK 47'!F:F,"")</f>
        <v>0</v>
      </c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1"/>
    </row>
    <row r="332" customHeight="1" spans="1:37">
      <c r="A332" s="61"/>
      <c r="B332" s="61"/>
      <c r="C332" s="61"/>
      <c r="D332" s="61"/>
      <c r="E332" s="61"/>
      <c r="F332" s="20">
        <f t="array" ref="F332">_xlfn.XLOOKUP(A332,'WK 47'!A:A,'WK 47'!F:F,"")</f>
        <v>0</v>
      </c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  <c r="AH332" s="61"/>
      <c r="AI332" s="61"/>
      <c r="AJ332" s="61"/>
      <c r="AK332" s="61"/>
    </row>
    <row r="333" customHeight="1" spans="1:37">
      <c r="A333" s="61"/>
      <c r="B333" s="61"/>
      <c r="C333" s="61"/>
      <c r="D333" s="61"/>
      <c r="E333" s="61"/>
      <c r="F333" s="20">
        <f t="array" ref="F333">_xlfn.XLOOKUP(A333,'WK 47'!A:A,'WK 47'!F:F,"")</f>
        <v>0</v>
      </c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  <c r="AH333" s="61"/>
      <c r="AI333" s="61"/>
      <c r="AJ333" s="61"/>
      <c r="AK333" s="61"/>
    </row>
    <row r="334" customHeight="1" spans="1:37">
      <c r="A334" s="61"/>
      <c r="B334" s="61"/>
      <c r="C334" s="61"/>
      <c r="D334" s="61"/>
      <c r="E334" s="61"/>
      <c r="F334" s="20">
        <f t="array" ref="F334">_xlfn.XLOOKUP(A334,'WK 47'!A:A,'WK 47'!F:F,"")</f>
        <v>0</v>
      </c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  <c r="AH334" s="61"/>
      <c r="AI334" s="61"/>
      <c r="AJ334" s="61"/>
      <c r="AK334" s="61"/>
    </row>
    <row r="335" customHeight="1" spans="1:37">
      <c r="A335" s="61"/>
      <c r="B335" s="61"/>
      <c r="C335" s="61"/>
      <c r="D335" s="61"/>
      <c r="E335" s="61"/>
      <c r="F335" s="20">
        <f t="array" ref="F335">_xlfn.XLOOKUP(A335,'WK 47'!A:A,'WK 47'!F:F,"")</f>
        <v>0</v>
      </c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  <c r="AH335" s="61"/>
      <c r="AI335" s="61"/>
      <c r="AJ335" s="61"/>
      <c r="AK335" s="61"/>
    </row>
    <row r="336" customHeight="1" spans="1:37">
      <c r="A336" s="61"/>
      <c r="B336" s="61"/>
      <c r="C336" s="61"/>
      <c r="D336" s="61"/>
      <c r="E336" s="61"/>
      <c r="F336" s="20">
        <f t="array" ref="F336">_xlfn.XLOOKUP(A336,'WK 47'!A:A,'WK 47'!F:F,"")</f>
        <v>0</v>
      </c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  <c r="AH336" s="61"/>
      <c r="AI336" s="61"/>
      <c r="AJ336" s="61"/>
      <c r="AK336" s="61"/>
    </row>
    <row r="337" customHeight="1" spans="1:37">
      <c r="A337" s="61"/>
      <c r="B337" s="61"/>
      <c r="C337" s="61"/>
      <c r="D337" s="61"/>
      <c r="E337" s="61"/>
      <c r="F337" s="20">
        <f t="array" ref="F337">_xlfn.XLOOKUP(A337,'WK 47'!A:A,'WK 47'!F:F,"")</f>
        <v>0</v>
      </c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  <c r="AH337" s="61"/>
      <c r="AI337" s="61"/>
      <c r="AJ337" s="61"/>
      <c r="AK337" s="61"/>
    </row>
    <row r="338" customHeight="1" spans="1:37">
      <c r="A338" s="61"/>
      <c r="B338" s="61"/>
      <c r="C338" s="61"/>
      <c r="D338" s="61"/>
      <c r="E338" s="61"/>
      <c r="F338" s="20">
        <f t="array" ref="F338">_xlfn.XLOOKUP(A338,'WK 47'!A:A,'WK 47'!F:F,"")</f>
        <v>0</v>
      </c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  <c r="AH338" s="61"/>
      <c r="AI338" s="61"/>
      <c r="AJ338" s="61"/>
      <c r="AK338" s="61"/>
    </row>
    <row r="339" customHeight="1" spans="1:37">
      <c r="A339" s="61"/>
      <c r="B339" s="61"/>
      <c r="C339" s="61"/>
      <c r="D339" s="61"/>
      <c r="E339" s="61"/>
      <c r="F339" s="20">
        <f t="array" ref="F339">_xlfn.XLOOKUP(A339,'WK 47'!A:A,'WK 47'!F:F,"")</f>
        <v>0</v>
      </c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  <c r="AH339" s="61"/>
      <c r="AI339" s="61"/>
      <c r="AJ339" s="61"/>
      <c r="AK339" s="61"/>
    </row>
    <row r="340" customHeight="1" spans="1:37">
      <c r="A340" s="61"/>
      <c r="B340" s="61"/>
      <c r="C340" s="61"/>
      <c r="D340" s="61"/>
      <c r="E340" s="61"/>
      <c r="F340" s="20">
        <f t="array" ref="F340">_xlfn.XLOOKUP(A340,'WK 47'!A:A,'WK 47'!F:F,"")</f>
        <v>0</v>
      </c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  <c r="AH340" s="61"/>
      <c r="AI340" s="61"/>
      <c r="AJ340" s="61"/>
      <c r="AK340" s="61"/>
    </row>
    <row r="341" customHeight="1" spans="1:37">
      <c r="A341" s="61"/>
      <c r="B341" s="61"/>
      <c r="C341" s="61"/>
      <c r="D341" s="61"/>
      <c r="E341" s="61"/>
      <c r="F341" s="20">
        <f t="array" ref="F341">_xlfn.XLOOKUP(A341,'WK 47'!A:A,'WK 47'!F:F,"")</f>
        <v>0</v>
      </c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61"/>
    </row>
    <row r="342" customHeight="1" spans="1:37">
      <c r="A342" s="61"/>
      <c r="B342" s="61"/>
      <c r="C342" s="61"/>
      <c r="D342" s="61"/>
      <c r="E342" s="61"/>
      <c r="F342" s="20">
        <f t="array" ref="F342">_xlfn.XLOOKUP(A342,'WK 47'!A:A,'WK 47'!F:F,"")</f>
        <v>0</v>
      </c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  <c r="AH342" s="61"/>
      <c r="AI342" s="61"/>
      <c r="AJ342" s="61"/>
      <c r="AK342" s="61"/>
    </row>
    <row r="343" customHeight="1" spans="1:37">
      <c r="A343" s="61"/>
      <c r="B343" s="61"/>
      <c r="C343" s="61"/>
      <c r="D343" s="61"/>
      <c r="E343" s="61"/>
      <c r="F343" s="20">
        <f t="array" ref="F343">_xlfn.XLOOKUP(A343,'WK 47'!A:A,'WK 47'!F:F,"")</f>
        <v>0</v>
      </c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</row>
    <row r="344" customHeight="1" spans="1:37">
      <c r="A344" s="61"/>
      <c r="B344" s="61"/>
      <c r="C344" s="61"/>
      <c r="D344" s="61"/>
      <c r="E344" s="61"/>
      <c r="F344" s="20">
        <f t="array" ref="F344">_xlfn.XLOOKUP(A344,'WK 47'!A:A,'WK 47'!F:F,"")</f>
        <v>0</v>
      </c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  <c r="AH344" s="61"/>
      <c r="AI344" s="61"/>
      <c r="AJ344" s="61"/>
      <c r="AK344" s="61"/>
    </row>
    <row r="345" customHeight="1" spans="1:37">
      <c r="A345" s="61"/>
      <c r="B345" s="61"/>
      <c r="C345" s="61"/>
      <c r="D345" s="61"/>
      <c r="E345" s="61"/>
      <c r="F345" s="20">
        <f t="array" ref="F345">_xlfn.XLOOKUP(A345,'WK 47'!A:A,'WK 47'!F:F,"")</f>
        <v>0</v>
      </c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</row>
    <row r="346" customHeight="1" spans="1:37">
      <c r="A346" s="61"/>
      <c r="B346" s="61"/>
      <c r="C346" s="61"/>
      <c r="D346" s="61"/>
      <c r="E346" s="61"/>
      <c r="F346" s="20">
        <f t="array" ref="F346">_xlfn.XLOOKUP(A346,'WK 47'!A:A,'WK 47'!F:F,"")</f>
        <v>0</v>
      </c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  <c r="AH346" s="61"/>
      <c r="AI346" s="61"/>
      <c r="AJ346" s="61"/>
      <c r="AK346" s="61"/>
    </row>
    <row r="347" customHeight="1" spans="1:37">
      <c r="A347" s="61"/>
      <c r="B347" s="61"/>
      <c r="C347" s="61"/>
      <c r="D347" s="61"/>
      <c r="E347" s="61"/>
      <c r="F347" s="20">
        <f t="array" ref="F347">_xlfn.XLOOKUP(A347,'WK 47'!A:A,'WK 47'!F:F,"")</f>
        <v>0</v>
      </c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</row>
    <row r="348" customHeight="1" spans="1:37">
      <c r="A348" s="61"/>
      <c r="B348" s="61"/>
      <c r="C348" s="61"/>
      <c r="D348" s="61"/>
      <c r="E348" s="61"/>
      <c r="F348" s="20">
        <f t="array" ref="F348">_xlfn.XLOOKUP(A348,'WK 47'!A:A,'WK 47'!F:F,"")</f>
        <v>0</v>
      </c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  <c r="AH348" s="61"/>
      <c r="AI348" s="61"/>
      <c r="AJ348" s="61"/>
      <c r="AK348" s="61"/>
    </row>
    <row r="349" customHeight="1" spans="1:37">
      <c r="A349" s="61"/>
      <c r="B349" s="61"/>
      <c r="C349" s="61"/>
      <c r="D349" s="61"/>
      <c r="E349" s="61"/>
      <c r="F349" s="20">
        <f t="array" ref="F349">_xlfn.XLOOKUP(A349,'WK 47'!A:A,'WK 47'!F:F,"")</f>
        <v>0</v>
      </c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</row>
    <row r="350" customHeight="1" spans="1:37">
      <c r="A350" s="61"/>
      <c r="B350" s="61"/>
      <c r="C350" s="61"/>
      <c r="D350" s="61"/>
      <c r="E350" s="61"/>
      <c r="F350" s="20">
        <f t="array" ref="F350">_xlfn.XLOOKUP(A350,'WK 47'!A:A,'WK 47'!F:F,"")</f>
        <v>0</v>
      </c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  <c r="AH350" s="61"/>
      <c r="AI350" s="61"/>
      <c r="AJ350" s="61"/>
      <c r="AK350" s="61"/>
    </row>
    <row r="351" customHeight="1" spans="1:37">
      <c r="A351" s="61"/>
      <c r="B351" s="61"/>
      <c r="C351" s="61"/>
      <c r="D351" s="61"/>
      <c r="E351" s="61"/>
      <c r="F351" s="20">
        <f t="array" ref="F351">_xlfn.XLOOKUP(A351,'WK 47'!A:A,'WK 47'!F:F,"")</f>
        <v>0</v>
      </c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</row>
    <row r="352" customHeight="1" spans="1:37">
      <c r="A352" s="61"/>
      <c r="B352" s="61"/>
      <c r="C352" s="61"/>
      <c r="D352" s="61"/>
      <c r="E352" s="61"/>
      <c r="F352" s="20">
        <f t="array" ref="F352">_xlfn.XLOOKUP(A352,'WK 47'!A:A,'WK 47'!F:F,"")</f>
        <v>0</v>
      </c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  <c r="AH352" s="61"/>
      <c r="AI352" s="61"/>
      <c r="AJ352" s="61"/>
      <c r="AK352" s="61"/>
    </row>
    <row r="353" customHeight="1" spans="1:37">
      <c r="A353" s="61"/>
      <c r="B353" s="61"/>
      <c r="C353" s="61"/>
      <c r="D353" s="61"/>
      <c r="E353" s="61"/>
      <c r="F353" s="20">
        <f t="array" ref="F353">_xlfn.XLOOKUP(A353,'WK 47'!A:A,'WK 47'!F:F,"")</f>
        <v>0</v>
      </c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</row>
    <row r="354" customHeight="1" spans="1:37">
      <c r="A354" s="61"/>
      <c r="B354" s="61"/>
      <c r="C354" s="61"/>
      <c r="D354" s="61"/>
      <c r="E354" s="61"/>
      <c r="F354" s="20">
        <f t="array" ref="F354">_xlfn.XLOOKUP(A354,'WK 47'!A:A,'WK 47'!F:F,"")</f>
        <v>0</v>
      </c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  <c r="AH354" s="61"/>
      <c r="AI354" s="61"/>
      <c r="AJ354" s="61"/>
      <c r="AK354" s="61"/>
    </row>
    <row r="355" customHeight="1" spans="1:37">
      <c r="A355" s="61"/>
      <c r="B355" s="61"/>
      <c r="C355" s="61"/>
      <c r="D355" s="61"/>
      <c r="E355" s="61"/>
      <c r="F355" s="20">
        <f t="array" ref="F355">_xlfn.XLOOKUP(A355,'WK 47'!A:A,'WK 47'!F:F,"")</f>
        <v>0</v>
      </c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</row>
    <row r="356" customHeight="1" spans="1:37">
      <c r="A356" s="61"/>
      <c r="B356" s="61"/>
      <c r="C356" s="61"/>
      <c r="D356" s="61"/>
      <c r="E356" s="61"/>
      <c r="F356" s="20">
        <f t="array" ref="F356">_xlfn.XLOOKUP(A356,'WK 47'!A:A,'WK 47'!F:F,"")</f>
        <v>0</v>
      </c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  <c r="AH356" s="61"/>
      <c r="AI356" s="61"/>
      <c r="AJ356" s="61"/>
      <c r="AK356" s="61"/>
    </row>
    <row r="357" customHeight="1" spans="1:37">
      <c r="A357" s="61"/>
      <c r="B357" s="61"/>
      <c r="C357" s="61"/>
      <c r="D357" s="61"/>
      <c r="E357" s="61"/>
      <c r="F357" s="20">
        <f t="array" ref="F357">_xlfn.XLOOKUP(A357,'WK 47'!A:A,'WK 47'!F:F,"")</f>
        <v>0</v>
      </c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</row>
    <row r="358" customHeight="1" spans="1:37">
      <c r="A358" s="61"/>
      <c r="B358" s="61"/>
      <c r="C358" s="61"/>
      <c r="D358" s="61"/>
      <c r="E358" s="61"/>
      <c r="F358" s="20">
        <f t="array" ref="F358">_xlfn.XLOOKUP(A358,'WK 47'!A:A,'WK 47'!F:F,"")</f>
        <v>0</v>
      </c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  <c r="AH358" s="61"/>
      <c r="AI358" s="61"/>
      <c r="AJ358" s="61"/>
      <c r="AK358" s="61"/>
    </row>
    <row r="359" customHeight="1" spans="1:37">
      <c r="A359" s="61"/>
      <c r="B359" s="61"/>
      <c r="C359" s="61"/>
      <c r="D359" s="61"/>
      <c r="E359" s="61"/>
      <c r="F359" s="20">
        <f t="array" ref="F359">_xlfn.XLOOKUP(A359,'WK 47'!A:A,'WK 47'!F:F,"")</f>
        <v>0</v>
      </c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</row>
    <row r="360" customHeight="1" spans="1:37">
      <c r="A360" s="61"/>
      <c r="B360" s="61"/>
      <c r="C360" s="61"/>
      <c r="D360" s="61"/>
      <c r="E360" s="61"/>
      <c r="F360" s="20">
        <f t="array" ref="F360">_xlfn.XLOOKUP(A360,'WK 47'!A:A,'WK 47'!F:F,"")</f>
        <v>0</v>
      </c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  <c r="AH360" s="61"/>
      <c r="AI360" s="61"/>
      <c r="AJ360" s="61"/>
      <c r="AK360" s="61"/>
    </row>
    <row r="361" customHeight="1" spans="1:37">
      <c r="A361" s="61"/>
      <c r="B361" s="61"/>
      <c r="C361" s="61"/>
      <c r="D361" s="61"/>
      <c r="E361" s="61"/>
      <c r="F361" s="20">
        <f t="array" ref="F361">_xlfn.XLOOKUP(A361,'WK 47'!A:A,'WK 47'!F:F,"")</f>
        <v>0</v>
      </c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</row>
    <row r="362" customHeight="1" spans="1:37">
      <c r="A362" s="61"/>
      <c r="B362" s="61"/>
      <c r="C362" s="61"/>
      <c r="D362" s="61"/>
      <c r="E362" s="61"/>
      <c r="F362" s="20">
        <f t="array" ref="F362">_xlfn.XLOOKUP(A362,'WK 47'!A:A,'WK 47'!F:F,"")</f>
        <v>0</v>
      </c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  <c r="AH362" s="61"/>
      <c r="AI362" s="61"/>
      <c r="AJ362" s="61"/>
      <c r="AK362" s="61"/>
    </row>
    <row r="363" customHeight="1" spans="1:37">
      <c r="A363" s="61"/>
      <c r="B363" s="61"/>
      <c r="C363" s="61"/>
      <c r="D363" s="61"/>
      <c r="E363" s="61"/>
      <c r="F363" s="20">
        <f t="array" ref="F363">_xlfn.XLOOKUP(A363,'WK 47'!A:A,'WK 47'!F:F,"")</f>
        <v>0</v>
      </c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1"/>
    </row>
    <row r="364" customHeight="1" spans="1:37">
      <c r="A364" s="61"/>
      <c r="B364" s="61"/>
      <c r="C364" s="61"/>
      <c r="D364" s="61"/>
      <c r="E364" s="61"/>
      <c r="F364" s="20">
        <f t="array" ref="F364">_xlfn.XLOOKUP(A364,'WK 47'!A:A,'WK 47'!F:F,"")</f>
        <v>0</v>
      </c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  <c r="AH364" s="61"/>
      <c r="AI364" s="61"/>
      <c r="AJ364" s="61"/>
      <c r="AK364" s="61"/>
    </row>
    <row r="365" customHeight="1" spans="1:37">
      <c r="A365" s="61"/>
      <c r="B365" s="61"/>
      <c r="C365" s="61"/>
      <c r="D365" s="61"/>
      <c r="E365" s="61"/>
      <c r="F365" s="20">
        <f t="array" ref="F365">_xlfn.XLOOKUP(A365,'WK 47'!A:A,'WK 47'!F:F,"")</f>
        <v>0</v>
      </c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</row>
    <row r="366" customHeight="1" spans="1:37">
      <c r="A366" s="61"/>
      <c r="B366" s="61"/>
      <c r="C366" s="61"/>
      <c r="D366" s="61"/>
      <c r="E366" s="61"/>
      <c r="F366" s="20">
        <f t="array" ref="F366">_xlfn.XLOOKUP(A366,'WK 47'!A:A,'WK 47'!F:F,"")</f>
        <v>0</v>
      </c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  <c r="AH366" s="61"/>
      <c r="AI366" s="61"/>
      <c r="AJ366" s="61"/>
      <c r="AK366" s="61"/>
    </row>
    <row r="367" customHeight="1" spans="1:37">
      <c r="A367" s="61"/>
      <c r="B367" s="61"/>
      <c r="C367" s="61"/>
      <c r="D367" s="61"/>
      <c r="E367" s="61"/>
      <c r="F367" s="20">
        <f t="array" ref="F367">_xlfn.XLOOKUP(A367,'WK 47'!A:A,'WK 47'!F:F,"")</f>
        <v>0</v>
      </c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  <c r="AH367" s="61"/>
      <c r="AI367" s="61"/>
      <c r="AJ367" s="61"/>
      <c r="AK367" s="61"/>
    </row>
    <row r="368" customHeight="1" spans="1:37">
      <c r="A368" s="61"/>
      <c r="B368" s="61"/>
      <c r="C368" s="61"/>
      <c r="D368" s="61"/>
      <c r="E368" s="61"/>
      <c r="F368" s="20">
        <f t="array" ref="F368">_xlfn.XLOOKUP(A368,'WK 47'!A:A,'WK 47'!F:F,"")</f>
        <v>0</v>
      </c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  <c r="AH368" s="61"/>
      <c r="AI368" s="61"/>
      <c r="AJ368" s="61"/>
      <c r="AK368" s="61"/>
    </row>
    <row r="369" customHeight="1" spans="1:37">
      <c r="A369" s="61"/>
      <c r="B369" s="61"/>
      <c r="C369" s="61"/>
      <c r="D369" s="61"/>
      <c r="E369" s="61"/>
      <c r="F369" s="20">
        <f t="array" ref="F369">_xlfn.XLOOKUP(A369,'WK 47'!A:A,'WK 47'!F:F,"")</f>
        <v>0</v>
      </c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  <c r="AH369" s="61"/>
      <c r="AI369" s="61"/>
      <c r="AJ369" s="61"/>
      <c r="AK369" s="61"/>
    </row>
    <row r="370" customHeight="1" spans="1:37">
      <c r="A370" s="61"/>
      <c r="B370" s="61"/>
      <c r="C370" s="61"/>
      <c r="D370" s="61"/>
      <c r="E370" s="61"/>
      <c r="F370" s="20">
        <f t="array" ref="F370">_xlfn.XLOOKUP(A370,'WK 47'!A:A,'WK 47'!F:F,"")</f>
        <v>0</v>
      </c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  <c r="AH370" s="61"/>
      <c r="AI370" s="61"/>
      <c r="AJ370" s="61"/>
      <c r="AK370" s="61"/>
    </row>
    <row r="371" customHeight="1" spans="1:37">
      <c r="A371" s="61"/>
      <c r="B371" s="61"/>
      <c r="C371" s="61"/>
      <c r="D371" s="61"/>
      <c r="E371" s="61"/>
      <c r="F371" s="20">
        <f t="array" ref="F371">_xlfn.XLOOKUP(A371,'WK 47'!A:A,'WK 47'!F:F,"")</f>
        <v>0</v>
      </c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  <c r="AH371" s="61"/>
      <c r="AI371" s="61"/>
      <c r="AJ371" s="61"/>
      <c r="AK371" s="61"/>
    </row>
    <row r="372" customHeight="1" spans="1:37">
      <c r="A372" s="61"/>
      <c r="B372" s="61"/>
      <c r="C372" s="61"/>
      <c r="D372" s="61"/>
      <c r="E372" s="61"/>
      <c r="F372" s="20">
        <f t="array" ref="F372">_xlfn.XLOOKUP(A372,'WK 47'!A:A,'WK 47'!F:F,"")</f>
        <v>0</v>
      </c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  <c r="AH372" s="61"/>
      <c r="AI372" s="61"/>
      <c r="AJ372" s="61"/>
      <c r="AK372" s="61"/>
    </row>
    <row r="373" customHeight="1" spans="1:37">
      <c r="A373" s="61"/>
      <c r="B373" s="61"/>
      <c r="C373" s="61"/>
      <c r="D373" s="61"/>
      <c r="E373" s="61"/>
      <c r="F373" s="20">
        <f t="array" ref="F373">_xlfn.XLOOKUP(A373,'WK 47'!A:A,'WK 47'!F:F,"")</f>
        <v>0</v>
      </c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1"/>
    </row>
    <row r="374" customHeight="1" spans="1:37">
      <c r="A374" s="61"/>
      <c r="B374" s="61"/>
      <c r="C374" s="61"/>
      <c r="D374" s="61"/>
      <c r="E374" s="61"/>
      <c r="F374" s="20">
        <f t="array" ref="F374">_xlfn.XLOOKUP(A374,'WK 47'!A:A,'WK 47'!F:F,"")</f>
        <v>0</v>
      </c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  <c r="AH374" s="61"/>
      <c r="AI374" s="61"/>
      <c r="AJ374" s="61"/>
      <c r="AK374" s="61"/>
    </row>
    <row r="375" customHeight="1" spans="1:37">
      <c r="A375" s="61"/>
      <c r="B375" s="61"/>
      <c r="C375" s="61"/>
      <c r="D375" s="61"/>
      <c r="E375" s="61"/>
      <c r="F375" s="20">
        <f t="array" ref="F375">_xlfn.XLOOKUP(A375,'WK 47'!A:A,'WK 47'!F:F,"")</f>
        <v>0</v>
      </c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  <c r="AH375" s="61"/>
      <c r="AI375" s="61"/>
      <c r="AJ375" s="61"/>
      <c r="AK375" s="61"/>
    </row>
    <row r="376" customHeight="1" spans="1:37">
      <c r="A376" s="61"/>
      <c r="B376" s="61"/>
      <c r="C376" s="61"/>
      <c r="D376" s="61"/>
      <c r="E376" s="61"/>
      <c r="F376" s="20">
        <f t="array" ref="F376">_xlfn.XLOOKUP(A376,'WK 47'!A:A,'WK 47'!F:F,"")</f>
        <v>0</v>
      </c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  <c r="AH376" s="61"/>
      <c r="AI376" s="61"/>
      <c r="AJ376" s="61"/>
      <c r="AK376" s="61"/>
    </row>
    <row r="377" customHeight="1" spans="1:37">
      <c r="A377" s="61"/>
      <c r="B377" s="61"/>
      <c r="C377" s="61"/>
      <c r="D377" s="61"/>
      <c r="E377" s="61"/>
      <c r="F377" s="20">
        <f t="array" ref="F377">_xlfn.XLOOKUP(A377,'WK 47'!A:A,'WK 47'!F:F,"")</f>
        <v>0</v>
      </c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  <c r="AH377" s="61"/>
      <c r="AI377" s="61"/>
      <c r="AJ377" s="61"/>
      <c r="AK377" s="61"/>
    </row>
    <row r="378" customHeight="1" spans="1:37">
      <c r="A378" s="61"/>
      <c r="B378" s="61"/>
      <c r="C378" s="61"/>
      <c r="D378" s="61"/>
      <c r="E378" s="61"/>
      <c r="F378" s="20">
        <f t="array" ref="F378">_xlfn.XLOOKUP(A378,'WK 47'!A:A,'WK 47'!F:F,"")</f>
        <v>0</v>
      </c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  <c r="AH378" s="61"/>
      <c r="AI378" s="61"/>
      <c r="AJ378" s="61"/>
      <c r="AK378" s="61"/>
    </row>
    <row r="379" customHeight="1" spans="1:37">
      <c r="A379" s="61"/>
      <c r="B379" s="61"/>
      <c r="C379" s="61"/>
      <c r="D379" s="61"/>
      <c r="E379" s="61"/>
      <c r="F379" s="20">
        <f t="array" ref="F379">_xlfn.XLOOKUP(A379,'WK 47'!A:A,'WK 47'!F:F,"")</f>
        <v>0</v>
      </c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  <c r="AH379" s="61"/>
      <c r="AI379" s="61"/>
      <c r="AJ379" s="61"/>
      <c r="AK379" s="61"/>
    </row>
    <row r="380" customHeight="1" spans="1:37">
      <c r="A380" s="61"/>
      <c r="B380" s="61"/>
      <c r="C380" s="61"/>
      <c r="D380" s="61"/>
      <c r="E380" s="61"/>
      <c r="F380" s="20">
        <f t="array" ref="F380">_xlfn.XLOOKUP(A380,'WK 47'!A:A,'WK 47'!F:F,"")</f>
        <v>0</v>
      </c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  <c r="AH380" s="61"/>
      <c r="AI380" s="61"/>
      <c r="AJ380" s="61"/>
      <c r="AK380" s="61"/>
    </row>
    <row r="381" customHeight="1" spans="1:37">
      <c r="A381" s="61"/>
      <c r="B381" s="61"/>
      <c r="C381" s="61"/>
      <c r="D381" s="61"/>
      <c r="E381" s="61"/>
      <c r="F381" s="20">
        <f t="array" ref="F381">_xlfn.XLOOKUP(A381,'WK 47'!A:A,'WK 47'!F:F,"")</f>
        <v>0</v>
      </c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  <c r="AH381" s="61"/>
      <c r="AI381" s="61"/>
      <c r="AJ381" s="61"/>
      <c r="AK381" s="61"/>
    </row>
    <row r="382" customHeight="1" spans="1:37">
      <c r="A382" s="61"/>
      <c r="B382" s="61"/>
      <c r="C382" s="61"/>
      <c r="D382" s="61"/>
      <c r="E382" s="61"/>
      <c r="F382" s="20">
        <f t="array" ref="F382">_xlfn.XLOOKUP(A382,'WK 47'!A:A,'WK 47'!F:F,"")</f>
        <v>0</v>
      </c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  <c r="AH382" s="61"/>
      <c r="AI382" s="61"/>
      <c r="AJ382" s="61"/>
      <c r="AK382" s="61"/>
    </row>
    <row r="383" customHeight="1" spans="1:37">
      <c r="A383" s="61"/>
      <c r="B383" s="61"/>
      <c r="C383" s="61"/>
      <c r="D383" s="61"/>
      <c r="E383" s="61"/>
      <c r="F383" s="20">
        <f t="array" ref="F383">_xlfn.XLOOKUP(A383,'WK 47'!A:A,'WK 47'!F:F,"")</f>
        <v>0</v>
      </c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  <c r="AH383" s="61"/>
      <c r="AI383" s="61"/>
      <c r="AJ383" s="61"/>
      <c r="AK383" s="61"/>
    </row>
    <row r="384" customHeight="1" spans="1:37">
      <c r="A384" s="61"/>
      <c r="B384" s="61"/>
      <c r="C384" s="61"/>
      <c r="D384" s="61"/>
      <c r="E384" s="61"/>
      <c r="F384" s="20">
        <f t="array" ref="F384">_xlfn.XLOOKUP(A384,'WK 47'!A:A,'WK 47'!F:F,"")</f>
        <v>0</v>
      </c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  <c r="AH384" s="61"/>
      <c r="AI384" s="61"/>
      <c r="AJ384" s="61"/>
      <c r="AK384" s="61"/>
    </row>
    <row r="385" customHeight="1" spans="1:37">
      <c r="A385" s="61"/>
      <c r="B385" s="61"/>
      <c r="C385" s="61"/>
      <c r="D385" s="61"/>
      <c r="E385" s="61"/>
      <c r="F385" s="20">
        <f t="array" ref="F385">_xlfn.XLOOKUP(A385,'WK 47'!A:A,'WK 47'!F:F,"")</f>
        <v>0</v>
      </c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61"/>
      <c r="AK385" s="61"/>
    </row>
    <row r="386" customHeight="1" spans="1:37">
      <c r="A386" s="61"/>
      <c r="B386" s="61"/>
      <c r="C386" s="61"/>
      <c r="D386" s="61"/>
      <c r="E386" s="61"/>
      <c r="F386" s="20">
        <f t="array" ref="F386">_xlfn.XLOOKUP(A386,'WK 47'!A:A,'WK 47'!F:F,"")</f>
        <v>0</v>
      </c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  <c r="AH386" s="61"/>
      <c r="AI386" s="61"/>
      <c r="AJ386" s="61"/>
      <c r="AK386" s="61"/>
    </row>
    <row r="387" customHeight="1" spans="1:37">
      <c r="A387" s="61"/>
      <c r="B387" s="61"/>
      <c r="C387" s="61"/>
      <c r="D387" s="61"/>
      <c r="E387" s="61"/>
      <c r="F387" s="20">
        <f t="array" ref="F387">_xlfn.XLOOKUP(A387,'WK 47'!A:A,'WK 47'!F:F,"")</f>
        <v>0</v>
      </c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  <c r="AH387" s="61"/>
      <c r="AI387" s="61"/>
      <c r="AJ387" s="61"/>
      <c r="AK387" s="61"/>
    </row>
    <row r="388" customHeight="1" spans="1:37">
      <c r="A388" s="61"/>
      <c r="B388" s="61"/>
      <c r="C388" s="61"/>
      <c r="D388" s="61"/>
      <c r="E388" s="61"/>
      <c r="F388" s="20">
        <f t="array" ref="F388">_xlfn.XLOOKUP(A388,'WK 47'!A:A,'WK 47'!F:F,"")</f>
        <v>0</v>
      </c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  <c r="AH388" s="61"/>
      <c r="AI388" s="61"/>
      <c r="AJ388" s="61"/>
      <c r="AK388" s="61"/>
    </row>
    <row r="389" customHeight="1" spans="1:37">
      <c r="A389" s="61"/>
      <c r="B389" s="61"/>
      <c r="C389" s="61"/>
      <c r="D389" s="61"/>
      <c r="E389" s="61"/>
      <c r="F389" s="20">
        <f t="array" ref="F389">_xlfn.XLOOKUP(A389,'WK 47'!A:A,'WK 47'!F:F,"")</f>
        <v>0</v>
      </c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  <c r="AH389" s="61"/>
      <c r="AI389" s="61"/>
      <c r="AJ389" s="61"/>
      <c r="AK389" s="61"/>
    </row>
    <row r="390" customHeight="1" spans="1:37">
      <c r="A390" s="61"/>
      <c r="B390" s="61"/>
      <c r="C390" s="61"/>
      <c r="D390" s="61"/>
      <c r="E390" s="61"/>
      <c r="F390" s="20">
        <f t="array" ref="F390">_xlfn.XLOOKUP(A390,'WK 47'!A:A,'WK 47'!F:F,"")</f>
        <v>0</v>
      </c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  <c r="AH390" s="61"/>
      <c r="AI390" s="61"/>
      <c r="AJ390" s="61"/>
      <c r="AK390" s="61"/>
    </row>
    <row r="391" customHeight="1" spans="1:37">
      <c r="A391" s="61"/>
      <c r="B391" s="61"/>
      <c r="C391" s="61"/>
      <c r="D391" s="61"/>
      <c r="E391" s="61"/>
      <c r="F391" s="20">
        <f t="array" ref="F391">_xlfn.XLOOKUP(A391,'WK 47'!A:A,'WK 47'!F:F,"")</f>
        <v>0</v>
      </c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  <c r="AH391" s="61"/>
      <c r="AI391" s="61"/>
      <c r="AJ391" s="61"/>
      <c r="AK391" s="61"/>
    </row>
    <row r="392" customHeight="1" spans="1:37">
      <c r="A392" s="61"/>
      <c r="B392" s="61"/>
      <c r="C392" s="61"/>
      <c r="D392" s="61"/>
      <c r="E392" s="61"/>
      <c r="F392" s="20">
        <f t="array" ref="F392">_xlfn.XLOOKUP(A392,'WK 47'!A:A,'WK 47'!F:F,"")</f>
        <v>0</v>
      </c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  <c r="AH392" s="61"/>
      <c r="AI392" s="61"/>
      <c r="AJ392" s="61"/>
      <c r="AK392" s="61"/>
    </row>
    <row r="393" customHeight="1" spans="1:37">
      <c r="A393" s="61"/>
      <c r="B393" s="61"/>
      <c r="C393" s="61"/>
      <c r="D393" s="61"/>
      <c r="E393" s="61"/>
      <c r="F393" s="20">
        <f t="array" ref="F393">_xlfn.XLOOKUP(A393,'WK 47'!A:A,'WK 47'!F:F,"")</f>
        <v>0</v>
      </c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  <c r="AH393" s="61"/>
      <c r="AI393" s="61"/>
      <c r="AJ393" s="61"/>
      <c r="AK393" s="61"/>
    </row>
    <row r="394" customHeight="1" spans="1:37">
      <c r="A394" s="61"/>
      <c r="B394" s="61"/>
      <c r="C394" s="61"/>
      <c r="D394" s="61"/>
      <c r="E394" s="61"/>
      <c r="F394" s="20">
        <f t="array" ref="F394">_xlfn.XLOOKUP(A394,'WK 47'!A:A,'WK 47'!F:F,"")</f>
        <v>0</v>
      </c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  <c r="AH394" s="61"/>
      <c r="AI394" s="61"/>
      <c r="AJ394" s="61"/>
      <c r="AK394" s="61"/>
    </row>
    <row r="395" customHeight="1" spans="1:37">
      <c r="A395" s="61"/>
      <c r="B395" s="61"/>
      <c r="C395" s="61"/>
      <c r="D395" s="61"/>
      <c r="E395" s="61"/>
      <c r="F395" s="20">
        <f t="array" ref="F395">_xlfn.XLOOKUP(A395,'WK 47'!A:A,'WK 47'!F:F,"")</f>
        <v>0</v>
      </c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  <c r="AH395" s="61"/>
      <c r="AI395" s="61"/>
      <c r="AJ395" s="61"/>
      <c r="AK395" s="61"/>
    </row>
    <row r="396" customHeight="1" spans="1:37">
      <c r="A396" s="61"/>
      <c r="B396" s="61"/>
      <c r="C396" s="61"/>
      <c r="D396" s="61"/>
      <c r="E396" s="61"/>
      <c r="F396" s="20">
        <f t="array" ref="F396">_xlfn.XLOOKUP(A396,'WK 47'!A:A,'WK 47'!F:F,"")</f>
        <v>0</v>
      </c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  <c r="AH396" s="61"/>
      <c r="AI396" s="61"/>
      <c r="AJ396" s="61"/>
      <c r="AK396" s="61"/>
    </row>
    <row r="397" customHeight="1" spans="1:37">
      <c r="A397" s="61"/>
      <c r="B397" s="61"/>
      <c r="C397" s="61"/>
      <c r="D397" s="61"/>
      <c r="E397" s="61"/>
      <c r="F397" s="20">
        <f t="array" ref="F397">_xlfn.XLOOKUP(A397,'WK 47'!A:A,'WK 47'!F:F,"")</f>
        <v>0</v>
      </c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  <c r="AH397" s="61"/>
      <c r="AI397" s="61"/>
      <c r="AJ397" s="61"/>
      <c r="AK397" s="61"/>
    </row>
    <row r="398" customHeight="1" spans="1:37">
      <c r="A398" s="61"/>
      <c r="B398" s="61"/>
      <c r="C398" s="61"/>
      <c r="D398" s="61"/>
      <c r="E398" s="61"/>
      <c r="F398" s="20">
        <f t="array" ref="F398">_xlfn.XLOOKUP(A398,'WK 47'!A:A,'WK 47'!F:F,"")</f>
        <v>0</v>
      </c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  <c r="AH398" s="61"/>
      <c r="AI398" s="61"/>
      <c r="AJ398" s="61"/>
      <c r="AK398" s="61"/>
    </row>
    <row r="399" customHeight="1" spans="1:37">
      <c r="A399" s="61"/>
      <c r="B399" s="61"/>
      <c r="C399" s="61"/>
      <c r="D399" s="61"/>
      <c r="E399" s="61"/>
      <c r="F399" s="20">
        <f t="array" ref="F399">_xlfn.XLOOKUP(A399,'WK 47'!A:A,'WK 47'!F:F,"")</f>
        <v>0</v>
      </c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  <c r="AH399" s="61"/>
      <c r="AI399" s="61"/>
      <c r="AJ399" s="61"/>
      <c r="AK399" s="61"/>
    </row>
    <row r="400" customHeight="1" spans="1:37">
      <c r="A400" s="61"/>
      <c r="B400" s="61"/>
      <c r="C400" s="61"/>
      <c r="D400" s="61"/>
      <c r="E400" s="61"/>
      <c r="F400" s="20">
        <f t="array" ref="F400">_xlfn.XLOOKUP(A400,'WK 47'!A:A,'WK 47'!F:F,"")</f>
        <v>0</v>
      </c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  <c r="AH400" s="61"/>
      <c r="AI400" s="61"/>
      <c r="AJ400" s="61"/>
      <c r="AK400" s="61"/>
    </row>
    <row r="401" customHeight="1" spans="1:37">
      <c r="A401" s="61"/>
      <c r="B401" s="61"/>
      <c r="C401" s="61"/>
      <c r="D401" s="61"/>
      <c r="E401" s="61"/>
      <c r="F401" s="20">
        <f t="array" ref="F401">_xlfn.XLOOKUP(A401,'WK 47'!A:A,'WK 47'!F:F,"")</f>
        <v>0</v>
      </c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  <c r="AH401" s="61"/>
      <c r="AI401" s="61"/>
      <c r="AJ401" s="61"/>
      <c r="AK401" s="61"/>
    </row>
    <row r="402" customHeight="1" spans="1:37">
      <c r="A402" s="61"/>
      <c r="B402" s="61"/>
      <c r="C402" s="61"/>
      <c r="D402" s="61"/>
      <c r="E402" s="61"/>
      <c r="F402" s="20">
        <f t="array" ref="F402">_xlfn.XLOOKUP(A402,'WK 47'!A:A,'WK 47'!F:F,"")</f>
        <v>0</v>
      </c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  <c r="AH402" s="61"/>
      <c r="AI402" s="61"/>
      <c r="AJ402" s="61"/>
      <c r="AK402" s="61"/>
    </row>
    <row r="403" customHeight="1" spans="1:37">
      <c r="A403" s="61"/>
      <c r="B403" s="61"/>
      <c r="C403" s="61"/>
      <c r="D403" s="61"/>
      <c r="E403" s="61"/>
      <c r="F403" s="20">
        <f t="array" ref="F403">_xlfn.XLOOKUP(A403,'WK 47'!A:A,'WK 47'!F:F,"")</f>
        <v>0</v>
      </c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  <c r="AI403" s="61"/>
      <c r="AJ403" s="61"/>
      <c r="AK403" s="61"/>
    </row>
    <row r="404" customHeight="1" spans="1:37">
      <c r="A404" s="61"/>
      <c r="B404" s="61"/>
      <c r="C404" s="61"/>
      <c r="D404" s="61"/>
      <c r="E404" s="61"/>
      <c r="F404" s="20">
        <f t="array" ref="F404">_xlfn.XLOOKUP(A404,'WK 47'!A:A,'WK 47'!F:F,"")</f>
        <v>0</v>
      </c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  <c r="AI404" s="61"/>
      <c r="AJ404" s="61"/>
      <c r="AK404" s="61"/>
    </row>
    <row r="405" customHeight="1" spans="1:37">
      <c r="A405" s="61"/>
      <c r="B405" s="61"/>
      <c r="C405" s="61"/>
      <c r="D405" s="61"/>
      <c r="E405" s="61"/>
      <c r="F405" s="20">
        <f t="array" ref="F405">_xlfn.XLOOKUP(A405,'WK 47'!A:A,'WK 47'!F:F,"")</f>
        <v>0</v>
      </c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  <c r="AH405" s="61"/>
      <c r="AI405" s="61"/>
      <c r="AJ405" s="61"/>
      <c r="AK405" s="61"/>
    </row>
    <row r="406" customHeight="1" spans="1:37">
      <c r="A406" s="61"/>
      <c r="B406" s="61"/>
      <c r="C406" s="61"/>
      <c r="D406" s="61"/>
      <c r="E406" s="61"/>
      <c r="F406" s="20">
        <f t="array" ref="F406">_xlfn.XLOOKUP(A406,'WK 47'!A:A,'WK 47'!F:F,"")</f>
        <v>0</v>
      </c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  <c r="AH406" s="61"/>
      <c r="AI406" s="61"/>
      <c r="AJ406" s="61"/>
      <c r="AK406" s="61"/>
    </row>
    <row r="407" customHeight="1" spans="1:37">
      <c r="A407" s="61"/>
      <c r="B407" s="61"/>
      <c r="C407" s="61"/>
      <c r="D407" s="61"/>
      <c r="E407" s="61"/>
      <c r="F407" s="20">
        <f t="array" ref="F407">_xlfn.XLOOKUP(A407,'WK 47'!A:A,'WK 47'!F:F,"")</f>
        <v>0</v>
      </c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  <c r="AH407" s="61"/>
      <c r="AI407" s="61"/>
      <c r="AJ407" s="61"/>
      <c r="AK407" s="61"/>
    </row>
    <row r="408" customHeight="1" spans="1:37">
      <c r="A408" s="61"/>
      <c r="B408" s="61"/>
      <c r="C408" s="61"/>
      <c r="D408" s="61"/>
      <c r="E408" s="61"/>
      <c r="F408" s="20">
        <f t="array" ref="F408">_xlfn.XLOOKUP(A408,'WK 47'!A:A,'WK 47'!F:F,"")</f>
        <v>0</v>
      </c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  <c r="AH408" s="61"/>
      <c r="AI408" s="61"/>
      <c r="AJ408" s="61"/>
      <c r="AK408" s="61"/>
    </row>
    <row r="409" customHeight="1" spans="1:37">
      <c r="A409" s="61"/>
      <c r="B409" s="61"/>
      <c r="C409" s="61"/>
      <c r="D409" s="61"/>
      <c r="E409" s="61"/>
      <c r="F409" s="20">
        <f t="array" ref="F409">_xlfn.XLOOKUP(A409,'WK 47'!A:A,'WK 47'!F:F,"")</f>
        <v>0</v>
      </c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  <c r="AH409" s="61"/>
      <c r="AI409" s="61"/>
      <c r="AJ409" s="61"/>
      <c r="AK409" s="61"/>
    </row>
    <row r="410" customHeight="1" spans="1:37">
      <c r="A410" s="61"/>
      <c r="B410" s="61"/>
      <c r="C410" s="61"/>
      <c r="D410" s="61"/>
      <c r="E410" s="61"/>
      <c r="F410" s="20">
        <f t="array" ref="F410">_xlfn.XLOOKUP(A410,'WK 47'!A:A,'WK 47'!F:F,"")</f>
        <v>0</v>
      </c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  <c r="AH410" s="61"/>
      <c r="AI410" s="61"/>
      <c r="AJ410" s="61"/>
      <c r="AK410" s="61"/>
    </row>
    <row r="411" customHeight="1" spans="1:37">
      <c r="A411" s="61"/>
      <c r="B411" s="61"/>
      <c r="C411" s="61"/>
      <c r="D411" s="61"/>
      <c r="E411" s="61"/>
      <c r="F411" s="20">
        <f t="array" ref="F411">_xlfn.XLOOKUP(A411,'WK 47'!A:A,'WK 47'!F:F,"")</f>
        <v>0</v>
      </c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  <c r="AH411" s="61"/>
      <c r="AI411" s="61"/>
      <c r="AJ411" s="61"/>
      <c r="AK411" s="61"/>
    </row>
    <row r="412" customHeight="1" spans="1:37">
      <c r="A412" s="61"/>
      <c r="B412" s="61"/>
      <c r="C412" s="61"/>
      <c r="D412" s="61"/>
      <c r="E412" s="61"/>
      <c r="F412" s="20">
        <f t="array" ref="F412">_xlfn.XLOOKUP(A412,'WK 47'!A:A,'WK 47'!F:F,"")</f>
        <v>0</v>
      </c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  <c r="AH412" s="61"/>
      <c r="AI412" s="61"/>
      <c r="AJ412" s="61"/>
      <c r="AK412" s="61"/>
    </row>
    <row r="413" customHeight="1" spans="1:37">
      <c r="A413" s="61"/>
      <c r="B413" s="61"/>
      <c r="C413" s="61"/>
      <c r="D413" s="61"/>
      <c r="E413" s="61"/>
      <c r="F413" s="20">
        <f t="array" ref="F413">_xlfn.XLOOKUP(A413,'WK 47'!A:A,'WK 47'!F:F,"")</f>
        <v>0</v>
      </c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  <c r="AH413" s="61"/>
      <c r="AI413" s="61"/>
      <c r="AJ413" s="61"/>
      <c r="AK413" s="61"/>
    </row>
    <row r="414" customHeight="1" spans="1:37">
      <c r="A414" s="61"/>
      <c r="B414" s="61"/>
      <c r="C414" s="61"/>
      <c r="D414" s="61"/>
      <c r="E414" s="61"/>
      <c r="F414" s="20">
        <f t="array" ref="F414">_xlfn.XLOOKUP(A414,'WK 47'!A:A,'WK 47'!F:F,"")</f>
        <v>0</v>
      </c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  <c r="AH414" s="61"/>
      <c r="AI414" s="61"/>
      <c r="AJ414" s="61"/>
      <c r="AK414" s="61"/>
    </row>
    <row r="415" customHeight="1" spans="1:37">
      <c r="A415" s="61"/>
      <c r="B415" s="61"/>
      <c r="C415" s="61"/>
      <c r="D415" s="61"/>
      <c r="E415" s="61"/>
      <c r="F415" s="20">
        <f t="array" ref="F415">_xlfn.XLOOKUP(A415,'WK 47'!A:A,'WK 47'!F:F,"")</f>
        <v>0</v>
      </c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  <c r="AH415" s="61"/>
      <c r="AI415" s="61"/>
      <c r="AJ415" s="61"/>
      <c r="AK415" s="61"/>
    </row>
    <row r="416" customHeight="1" spans="1:37">
      <c r="A416" s="61"/>
      <c r="B416" s="61"/>
      <c r="C416" s="61"/>
      <c r="D416" s="61"/>
      <c r="E416" s="61"/>
      <c r="F416" s="20">
        <f t="array" ref="F416">_xlfn.XLOOKUP(A416,'WK 47'!A:A,'WK 47'!F:F,"")</f>
        <v>0</v>
      </c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  <c r="AH416" s="61"/>
      <c r="AI416" s="61"/>
      <c r="AJ416" s="61"/>
      <c r="AK416" s="61"/>
    </row>
    <row r="417" customHeight="1" spans="1:37">
      <c r="A417" s="61"/>
      <c r="B417" s="61"/>
      <c r="C417" s="61"/>
      <c r="D417" s="61"/>
      <c r="E417" s="61"/>
      <c r="F417" s="20">
        <f t="array" ref="F417">_xlfn.XLOOKUP(A417,'WK 47'!A:A,'WK 47'!F:F,"")</f>
        <v>0</v>
      </c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  <c r="AH417" s="61"/>
      <c r="AI417" s="61"/>
      <c r="AJ417" s="61"/>
      <c r="AK417" s="61"/>
    </row>
    <row r="418" customHeight="1" spans="1:37">
      <c r="A418" s="61"/>
      <c r="B418" s="61"/>
      <c r="C418" s="61"/>
      <c r="D418" s="61"/>
      <c r="E418" s="61"/>
      <c r="F418" s="20">
        <f t="array" ref="F418">_xlfn.XLOOKUP(A418,'WK 47'!A:A,'WK 47'!F:F,"")</f>
        <v>0</v>
      </c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  <c r="AH418" s="61"/>
      <c r="AI418" s="61"/>
      <c r="AJ418" s="61"/>
      <c r="AK418" s="61"/>
    </row>
    <row r="419" customHeight="1" spans="1:37">
      <c r="A419" s="61"/>
      <c r="B419" s="61"/>
      <c r="C419" s="61"/>
      <c r="D419" s="61"/>
      <c r="E419" s="61"/>
      <c r="F419" s="20">
        <f t="array" ref="F419">_xlfn.XLOOKUP(A419,'WK 47'!A:A,'WK 47'!F:F,"")</f>
        <v>0</v>
      </c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  <c r="AH419" s="61"/>
      <c r="AI419" s="61"/>
      <c r="AJ419" s="61"/>
      <c r="AK419" s="61"/>
    </row>
    <row r="420" customHeight="1" spans="1:37">
      <c r="A420" s="61"/>
      <c r="B420" s="61"/>
      <c r="C420" s="61"/>
      <c r="D420" s="61"/>
      <c r="E420" s="61"/>
      <c r="F420" s="20">
        <f t="array" ref="F420">_xlfn.XLOOKUP(A420,'WK 47'!A:A,'WK 47'!F:F,"")</f>
        <v>0</v>
      </c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  <c r="AH420" s="61"/>
      <c r="AI420" s="61"/>
      <c r="AJ420" s="61"/>
      <c r="AK420" s="61"/>
    </row>
    <row r="421" customHeight="1" spans="1:37">
      <c r="A421" s="61"/>
      <c r="B421" s="61"/>
      <c r="C421" s="61"/>
      <c r="D421" s="61"/>
      <c r="E421" s="61"/>
      <c r="F421" s="20">
        <f t="array" ref="F421">_xlfn.XLOOKUP(A421,'WK 47'!A:A,'WK 47'!F:F,"")</f>
        <v>0</v>
      </c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  <c r="AH421" s="61"/>
      <c r="AI421" s="61"/>
      <c r="AJ421" s="61"/>
      <c r="AK421" s="61"/>
    </row>
    <row r="422" customHeight="1" spans="1:37">
      <c r="A422" s="61"/>
      <c r="B422" s="61"/>
      <c r="C422" s="61"/>
      <c r="D422" s="61"/>
      <c r="E422" s="61"/>
      <c r="F422" s="20">
        <f t="array" ref="F422">_xlfn.XLOOKUP(A422,'WK 47'!A:A,'WK 47'!F:F,"")</f>
        <v>0</v>
      </c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  <c r="AH422" s="61"/>
      <c r="AI422" s="61"/>
      <c r="AJ422" s="61"/>
      <c r="AK422" s="61"/>
    </row>
    <row r="423" customHeight="1" spans="1:37">
      <c r="A423" s="61"/>
      <c r="B423" s="61"/>
      <c r="C423" s="61"/>
      <c r="D423" s="61"/>
      <c r="E423" s="61"/>
      <c r="F423" s="20">
        <f t="array" ref="F423">_xlfn.XLOOKUP(A423,'WK 47'!A:A,'WK 47'!F:F,"")</f>
        <v>0</v>
      </c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  <c r="AH423" s="61"/>
      <c r="AI423" s="61"/>
      <c r="AJ423" s="61"/>
      <c r="AK423" s="61"/>
    </row>
    <row r="424" customHeight="1" spans="1:37">
      <c r="A424" s="61"/>
      <c r="B424" s="61"/>
      <c r="C424" s="61"/>
      <c r="D424" s="61"/>
      <c r="E424" s="61"/>
      <c r="F424" s="20">
        <f t="array" ref="F424">_xlfn.XLOOKUP(A424,'WK 47'!A:A,'WK 47'!F:F,"")</f>
        <v>0</v>
      </c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  <c r="AH424" s="61"/>
      <c r="AI424" s="61"/>
      <c r="AJ424" s="61"/>
      <c r="AK424" s="61"/>
    </row>
    <row r="425" customHeight="1" spans="1:37">
      <c r="A425" s="61"/>
      <c r="B425" s="61"/>
      <c r="C425" s="61"/>
      <c r="D425" s="61"/>
      <c r="E425" s="61"/>
      <c r="F425" s="20">
        <f t="array" ref="F425">_xlfn.XLOOKUP(A425,'WK 47'!A:A,'WK 47'!F:F,"")</f>
        <v>0</v>
      </c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  <c r="AH425" s="61"/>
      <c r="AI425" s="61"/>
      <c r="AJ425" s="61"/>
      <c r="AK425" s="61"/>
    </row>
    <row r="426" customHeight="1" spans="1:37">
      <c r="A426" s="61"/>
      <c r="B426" s="61"/>
      <c r="C426" s="61"/>
      <c r="D426" s="61"/>
      <c r="E426" s="61"/>
      <c r="F426" s="20">
        <f t="array" ref="F426">_xlfn.XLOOKUP(A426,'WK 47'!A:A,'WK 47'!F:F,"")</f>
        <v>0</v>
      </c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  <c r="AH426" s="61"/>
      <c r="AI426" s="61"/>
      <c r="AJ426" s="61"/>
      <c r="AK426" s="61"/>
    </row>
    <row r="427" customHeight="1" spans="1:37">
      <c r="A427" s="61"/>
      <c r="B427" s="61"/>
      <c r="C427" s="61"/>
      <c r="D427" s="61"/>
      <c r="E427" s="61"/>
      <c r="F427" s="20">
        <f t="array" ref="F427">_xlfn.XLOOKUP(A427,'WK 47'!A:A,'WK 47'!F:F,"")</f>
        <v>0</v>
      </c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  <c r="AH427" s="61"/>
      <c r="AI427" s="61"/>
      <c r="AJ427" s="61"/>
      <c r="AK427" s="61"/>
    </row>
    <row r="428" customHeight="1" spans="1:37">
      <c r="A428" s="61"/>
      <c r="B428" s="61"/>
      <c r="C428" s="61"/>
      <c r="D428" s="61"/>
      <c r="E428" s="61"/>
      <c r="F428" s="20">
        <f t="array" ref="F428">_xlfn.XLOOKUP(A428,'WK 47'!A:A,'WK 47'!F:F,"")</f>
        <v>0</v>
      </c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  <c r="AH428" s="61"/>
      <c r="AI428" s="61"/>
      <c r="AJ428" s="61"/>
      <c r="AK428" s="61"/>
    </row>
    <row r="429" customHeight="1" spans="1:37">
      <c r="A429" s="61"/>
      <c r="B429" s="61"/>
      <c r="C429" s="61"/>
      <c r="D429" s="61"/>
      <c r="E429" s="61"/>
      <c r="F429" s="20">
        <f t="array" ref="F429">_xlfn.XLOOKUP(A429,'WK 47'!A:A,'WK 47'!F:F,"")</f>
        <v>0</v>
      </c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  <c r="AH429" s="61"/>
      <c r="AI429" s="61"/>
      <c r="AJ429" s="61"/>
      <c r="AK429" s="61"/>
    </row>
    <row r="430" customHeight="1" spans="1:37">
      <c r="A430" s="61"/>
      <c r="B430" s="61"/>
      <c r="C430" s="61"/>
      <c r="D430" s="61"/>
      <c r="E430" s="61"/>
      <c r="F430" s="20">
        <f t="array" ref="F430">_xlfn.XLOOKUP(A430,'WK 47'!A:A,'WK 47'!F:F,"")</f>
        <v>0</v>
      </c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  <c r="AH430" s="61"/>
      <c r="AI430" s="61"/>
      <c r="AJ430" s="61"/>
      <c r="AK430" s="61"/>
    </row>
    <row r="431" customHeight="1" spans="1:37">
      <c r="A431" s="61"/>
      <c r="B431" s="61"/>
      <c r="C431" s="61"/>
      <c r="D431" s="61"/>
      <c r="E431" s="61"/>
      <c r="F431" s="20">
        <f t="array" ref="F431">_xlfn.XLOOKUP(A431,'WK 47'!A:A,'WK 47'!F:F,"")</f>
        <v>0</v>
      </c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  <c r="AH431" s="61"/>
      <c r="AI431" s="61"/>
      <c r="AJ431" s="61"/>
      <c r="AK431" s="61"/>
    </row>
    <row r="432" customHeight="1" spans="1:37">
      <c r="A432" s="61"/>
      <c r="B432" s="61"/>
      <c r="C432" s="61"/>
      <c r="D432" s="61"/>
      <c r="E432" s="61"/>
      <c r="F432" s="20">
        <f t="array" ref="F432">_xlfn.XLOOKUP(A432,'WK 47'!A:A,'WK 47'!F:F,"")</f>
        <v>0</v>
      </c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  <c r="AH432" s="61"/>
      <c r="AI432" s="61"/>
      <c r="AJ432" s="61"/>
      <c r="AK432" s="61"/>
    </row>
    <row r="433" customHeight="1" spans="1:37">
      <c r="A433" s="61"/>
      <c r="B433" s="61"/>
      <c r="C433" s="61"/>
      <c r="D433" s="61"/>
      <c r="E433" s="61"/>
      <c r="F433" s="20">
        <f t="array" ref="F433">_xlfn.XLOOKUP(A433,'WK 47'!A:A,'WK 47'!F:F,"")</f>
        <v>0</v>
      </c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  <c r="AH433" s="61"/>
      <c r="AI433" s="61"/>
      <c r="AJ433" s="61"/>
      <c r="AK433" s="61"/>
    </row>
    <row r="434" customHeight="1" spans="1:37">
      <c r="A434" s="61"/>
      <c r="B434" s="61"/>
      <c r="C434" s="61"/>
      <c r="D434" s="61"/>
      <c r="E434" s="61"/>
      <c r="F434" s="20">
        <f t="array" ref="F434">_xlfn.XLOOKUP(A434,'WK 47'!A:A,'WK 47'!F:F,"")</f>
        <v>0</v>
      </c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  <c r="AH434" s="61"/>
      <c r="AI434" s="61"/>
      <c r="AJ434" s="61"/>
      <c r="AK434" s="61"/>
    </row>
    <row r="435" customHeight="1" spans="1:37">
      <c r="A435" s="61"/>
      <c r="B435" s="61"/>
      <c r="C435" s="61"/>
      <c r="D435" s="61"/>
      <c r="E435" s="61"/>
      <c r="F435" s="20">
        <f t="array" ref="F435">_xlfn.XLOOKUP(A435,'WK 47'!A:A,'WK 47'!F:F,"")</f>
        <v>0</v>
      </c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  <c r="AH435" s="61"/>
      <c r="AI435" s="61"/>
      <c r="AJ435" s="61"/>
      <c r="AK435" s="61"/>
    </row>
    <row r="436" customHeight="1" spans="1:37">
      <c r="A436" s="61"/>
      <c r="B436" s="61"/>
      <c r="C436" s="61"/>
      <c r="D436" s="61"/>
      <c r="E436" s="61"/>
      <c r="F436" s="20">
        <f t="array" ref="F436">_xlfn.XLOOKUP(A436,'WK 47'!A:A,'WK 47'!F:F,"")</f>
        <v>0</v>
      </c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  <c r="AH436" s="61"/>
      <c r="AI436" s="61"/>
      <c r="AJ436" s="61"/>
      <c r="AK436" s="61"/>
    </row>
    <row r="437" customHeight="1" spans="1:37">
      <c r="A437" s="61"/>
      <c r="B437" s="61"/>
      <c r="C437" s="61"/>
      <c r="D437" s="61"/>
      <c r="E437" s="61"/>
      <c r="F437" s="20">
        <f t="array" ref="F437">_xlfn.XLOOKUP(A437,'WK 47'!A:A,'WK 47'!F:F,"")</f>
        <v>0</v>
      </c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  <c r="AH437" s="61"/>
      <c r="AI437" s="61"/>
      <c r="AJ437" s="61"/>
      <c r="AK437" s="61"/>
    </row>
    <row r="438" customHeight="1" spans="1:37">
      <c r="A438" s="61"/>
      <c r="B438" s="61"/>
      <c r="C438" s="61"/>
      <c r="D438" s="61"/>
      <c r="E438" s="61"/>
      <c r="F438" s="20">
        <f t="array" ref="F438">_xlfn.XLOOKUP(A438,'WK 47'!A:A,'WK 47'!F:F,"")</f>
        <v>0</v>
      </c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  <c r="AH438" s="61"/>
      <c r="AI438" s="61"/>
      <c r="AJ438" s="61"/>
      <c r="AK438" s="61"/>
    </row>
    <row r="439" customHeight="1" spans="1:37">
      <c r="A439" s="61"/>
      <c r="B439" s="61"/>
      <c r="C439" s="61"/>
      <c r="D439" s="61"/>
      <c r="E439" s="61"/>
      <c r="F439" s="20">
        <f t="array" ref="F439">_xlfn.XLOOKUP(A439,'WK 47'!A:A,'WK 47'!F:F,"")</f>
        <v>0</v>
      </c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  <c r="AH439" s="61"/>
      <c r="AI439" s="61"/>
      <c r="AJ439" s="61"/>
      <c r="AK439" s="61"/>
    </row>
    <row r="440" customHeight="1" spans="1:37">
      <c r="A440" s="61"/>
      <c r="B440" s="61"/>
      <c r="C440" s="61"/>
      <c r="D440" s="61"/>
      <c r="E440" s="61"/>
      <c r="F440" s="20">
        <f t="array" ref="F440">_xlfn.XLOOKUP(A440,'WK 47'!A:A,'WK 47'!F:F,"")</f>
        <v>0</v>
      </c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  <c r="AH440" s="61"/>
      <c r="AI440" s="61"/>
      <c r="AJ440" s="61"/>
      <c r="AK440" s="61"/>
    </row>
    <row r="441" customHeight="1" spans="1:37">
      <c r="A441" s="61"/>
      <c r="B441" s="61"/>
      <c r="C441" s="61"/>
      <c r="D441" s="61"/>
      <c r="E441" s="61"/>
      <c r="F441" s="20">
        <f t="array" ref="F441">_xlfn.XLOOKUP(A441,'WK 47'!A:A,'WK 47'!F:F,"")</f>
        <v>0</v>
      </c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  <c r="AH441" s="61"/>
      <c r="AI441" s="61"/>
      <c r="AJ441" s="61"/>
      <c r="AK441" s="61"/>
    </row>
    <row r="442" customHeight="1" spans="1:37">
      <c r="A442" s="61"/>
      <c r="B442" s="61"/>
      <c r="C442" s="61"/>
      <c r="D442" s="61"/>
      <c r="E442" s="61"/>
      <c r="F442" s="20">
        <f t="array" ref="F442">_xlfn.XLOOKUP(A442,'WK 47'!A:A,'WK 47'!F:F,"")</f>
        <v>0</v>
      </c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  <c r="AH442" s="61"/>
      <c r="AI442" s="61"/>
      <c r="AJ442" s="61"/>
      <c r="AK442" s="61"/>
    </row>
    <row r="443" customHeight="1" spans="1:37">
      <c r="A443" s="61"/>
      <c r="B443" s="61"/>
      <c r="C443" s="61"/>
      <c r="D443" s="61"/>
      <c r="E443" s="61"/>
      <c r="F443" s="20">
        <f t="array" ref="F443">_xlfn.XLOOKUP(A443,'WK 47'!A:A,'WK 47'!F:F,"")</f>
        <v>0</v>
      </c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  <c r="AH443" s="61"/>
      <c r="AI443" s="61"/>
      <c r="AJ443" s="61"/>
      <c r="AK443" s="61"/>
    </row>
    <row r="444" customHeight="1" spans="1:37">
      <c r="A444" s="61"/>
      <c r="B444" s="61"/>
      <c r="C444" s="61"/>
      <c r="D444" s="61"/>
      <c r="E444" s="61"/>
      <c r="F444" s="20">
        <f t="array" ref="F444">_xlfn.XLOOKUP(A444,'WK 47'!A:A,'WK 47'!F:F,"")</f>
        <v>0</v>
      </c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  <c r="AH444" s="61"/>
      <c r="AI444" s="61"/>
      <c r="AJ444" s="61"/>
      <c r="AK444" s="61"/>
    </row>
    <row r="445" customHeight="1" spans="1:37">
      <c r="A445" s="61"/>
      <c r="B445" s="61"/>
      <c r="C445" s="61"/>
      <c r="D445" s="61"/>
      <c r="E445" s="61"/>
      <c r="F445" s="20">
        <f t="array" ref="F445">_xlfn.XLOOKUP(A445,'WK 47'!A:A,'WK 47'!F:F,"")</f>
        <v>0</v>
      </c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  <c r="AH445" s="61"/>
      <c r="AI445" s="61"/>
      <c r="AJ445" s="61"/>
      <c r="AK445" s="61"/>
    </row>
    <row r="446" customHeight="1" spans="1:37">
      <c r="A446" s="61"/>
      <c r="B446" s="61"/>
      <c r="C446" s="61"/>
      <c r="D446" s="61"/>
      <c r="E446" s="61"/>
      <c r="F446" s="20">
        <f t="array" ref="F446">_xlfn.XLOOKUP(A446,'WK 47'!A:A,'WK 47'!F:F,"")</f>
        <v>0</v>
      </c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  <c r="AH446" s="61"/>
      <c r="AI446" s="61"/>
      <c r="AJ446" s="61"/>
      <c r="AK446" s="61"/>
    </row>
    <row r="447" customHeight="1" spans="1:37">
      <c r="A447" s="61"/>
      <c r="B447" s="61"/>
      <c r="C447" s="61"/>
      <c r="D447" s="61"/>
      <c r="E447" s="61"/>
      <c r="F447" s="20">
        <f t="array" ref="F447">_xlfn.XLOOKUP(A447,'WK 47'!A:A,'WK 47'!F:F,"")</f>
        <v>0</v>
      </c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  <c r="AH447" s="61"/>
      <c r="AI447" s="61"/>
      <c r="AJ447" s="61"/>
      <c r="AK447" s="61"/>
    </row>
    <row r="448" customHeight="1" spans="1:37">
      <c r="A448" s="61"/>
      <c r="B448" s="61"/>
      <c r="C448" s="61"/>
      <c r="D448" s="61"/>
      <c r="E448" s="61"/>
      <c r="F448" s="20">
        <f t="array" ref="F448">_xlfn.XLOOKUP(A448,'WK 47'!A:A,'WK 47'!F:F,"")</f>
        <v>0</v>
      </c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  <c r="AH448" s="61"/>
      <c r="AI448" s="61"/>
      <c r="AJ448" s="61"/>
      <c r="AK448" s="61"/>
    </row>
    <row r="449" customHeight="1" spans="1:37">
      <c r="A449" s="61"/>
      <c r="B449" s="61"/>
      <c r="C449" s="61"/>
      <c r="D449" s="61"/>
      <c r="E449" s="61"/>
      <c r="F449" s="20">
        <f t="array" ref="F449">_xlfn.XLOOKUP(A449,'WK 47'!A:A,'WK 47'!F:F,"")</f>
        <v>0</v>
      </c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  <c r="AH449" s="61"/>
      <c r="AI449" s="61"/>
      <c r="AJ449" s="61"/>
      <c r="AK449" s="61"/>
    </row>
    <row r="450" customHeight="1" spans="1:37">
      <c r="A450" s="61"/>
      <c r="B450" s="61"/>
      <c r="C450" s="61"/>
      <c r="D450" s="61"/>
      <c r="E450" s="61"/>
      <c r="F450" s="20">
        <f t="array" ref="F450">_xlfn.XLOOKUP(A450,'WK 47'!A:A,'WK 47'!F:F,"")</f>
        <v>0</v>
      </c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  <c r="AH450" s="61"/>
      <c r="AI450" s="61"/>
      <c r="AJ450" s="61"/>
      <c r="AK450" s="61"/>
    </row>
    <row r="451" customHeight="1" spans="1:37">
      <c r="A451" s="61"/>
      <c r="B451" s="61"/>
      <c r="C451" s="61"/>
      <c r="D451" s="61"/>
      <c r="E451" s="61"/>
      <c r="F451" s="20">
        <f t="array" ref="F451">_xlfn.XLOOKUP(A451,'WK 47'!A:A,'WK 47'!F:F,"")</f>
        <v>0</v>
      </c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  <c r="AH451" s="61"/>
      <c r="AI451" s="61"/>
      <c r="AJ451" s="61"/>
      <c r="AK451" s="61"/>
    </row>
    <row r="452" customHeight="1" spans="1:37">
      <c r="A452" s="61"/>
      <c r="B452" s="61"/>
      <c r="C452" s="61"/>
      <c r="D452" s="61"/>
      <c r="E452" s="61"/>
      <c r="F452" s="20">
        <f t="array" ref="F452">_xlfn.XLOOKUP(A452,'WK 47'!A:A,'WK 47'!F:F,"")</f>
        <v>0</v>
      </c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  <c r="AH452" s="61"/>
      <c r="AI452" s="61"/>
      <c r="AJ452" s="61"/>
      <c r="AK452" s="61"/>
    </row>
    <row r="453" customHeight="1" spans="1:37">
      <c r="A453" s="61"/>
      <c r="B453" s="61"/>
      <c r="C453" s="61"/>
      <c r="D453" s="61"/>
      <c r="E453" s="61"/>
      <c r="F453" s="20">
        <f t="array" ref="F453">_xlfn.XLOOKUP(A453,'WK 47'!A:A,'WK 47'!F:F,"")</f>
        <v>0</v>
      </c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  <c r="AH453" s="61"/>
      <c r="AI453" s="61"/>
      <c r="AJ453" s="61"/>
      <c r="AK453" s="61"/>
    </row>
    <row r="454" customHeight="1" spans="1:37">
      <c r="A454" s="61"/>
      <c r="B454" s="61"/>
      <c r="C454" s="61"/>
      <c r="D454" s="61"/>
      <c r="E454" s="61"/>
      <c r="F454" s="20">
        <f t="array" ref="F454">_xlfn.XLOOKUP(A454,'WK 47'!A:A,'WK 47'!F:F,"")</f>
        <v>0</v>
      </c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  <c r="AH454" s="61"/>
      <c r="AI454" s="61"/>
      <c r="AJ454" s="61"/>
      <c r="AK454" s="61"/>
    </row>
    <row r="455" customHeight="1" spans="1:37">
      <c r="A455" s="61"/>
      <c r="B455" s="61"/>
      <c r="C455" s="61"/>
      <c r="D455" s="61"/>
      <c r="E455" s="61"/>
      <c r="F455" s="20">
        <f t="array" ref="F455">_xlfn.XLOOKUP(A455,'WK 47'!A:A,'WK 47'!F:F,"")</f>
        <v>0</v>
      </c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  <c r="AH455" s="61"/>
      <c r="AI455" s="61"/>
      <c r="AJ455" s="61"/>
      <c r="AK455" s="61"/>
    </row>
    <row r="456" customHeight="1" spans="1:37">
      <c r="A456" s="61"/>
      <c r="B456" s="61"/>
      <c r="C456" s="61"/>
      <c r="D456" s="61"/>
      <c r="E456" s="61"/>
      <c r="F456" s="20">
        <f t="array" ref="F456">_xlfn.XLOOKUP(A456,'WK 47'!A:A,'WK 47'!F:F,"")</f>
        <v>0</v>
      </c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  <c r="AH456" s="61"/>
      <c r="AI456" s="61"/>
      <c r="AJ456" s="61"/>
      <c r="AK456" s="61"/>
    </row>
    <row r="457" customHeight="1" spans="1:37">
      <c r="A457" s="61"/>
      <c r="B457" s="61"/>
      <c r="C457" s="61"/>
      <c r="D457" s="61"/>
      <c r="E457" s="61"/>
      <c r="F457" s="20">
        <f t="array" ref="F457">_xlfn.XLOOKUP(A457,'WK 47'!A:A,'WK 47'!F:F,"")</f>
        <v>0</v>
      </c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  <c r="AH457" s="61"/>
      <c r="AI457" s="61"/>
      <c r="AJ457" s="61"/>
      <c r="AK457" s="61"/>
    </row>
    <row r="458" customHeight="1" spans="1:37">
      <c r="A458" s="61"/>
      <c r="B458" s="61"/>
      <c r="C458" s="61"/>
      <c r="D458" s="61"/>
      <c r="E458" s="61"/>
      <c r="F458" s="20">
        <f t="array" ref="F458">_xlfn.XLOOKUP(A458,'WK 47'!A:A,'WK 47'!F:F,"")</f>
        <v>0</v>
      </c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  <c r="AH458" s="61"/>
      <c r="AI458" s="61"/>
      <c r="AJ458" s="61"/>
      <c r="AK458" s="61"/>
    </row>
    <row r="459" customHeight="1" spans="1:37">
      <c r="A459" s="61"/>
      <c r="B459" s="61"/>
      <c r="C459" s="61"/>
      <c r="D459" s="61"/>
      <c r="E459" s="61"/>
      <c r="F459" s="20">
        <f t="array" ref="F459">_xlfn.XLOOKUP(A459,'WK 47'!A:A,'WK 47'!F:F,"")</f>
        <v>0</v>
      </c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  <c r="AH459" s="61"/>
      <c r="AI459" s="61"/>
      <c r="AJ459" s="61"/>
      <c r="AK459" s="61"/>
    </row>
    <row r="460" customHeight="1" spans="1:37">
      <c r="A460" s="61"/>
      <c r="B460" s="61"/>
      <c r="C460" s="61"/>
      <c r="D460" s="61"/>
      <c r="E460" s="61"/>
      <c r="F460" s="20">
        <f t="array" ref="F460">_xlfn.XLOOKUP(A460,'WK 47'!A:A,'WK 47'!F:F,"")</f>
        <v>0</v>
      </c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  <c r="AH460" s="61"/>
      <c r="AI460" s="61"/>
      <c r="AJ460" s="61"/>
      <c r="AK460" s="61"/>
    </row>
    <row r="461" customHeight="1" spans="1:37">
      <c r="A461" s="61"/>
      <c r="B461" s="61"/>
      <c r="C461" s="61"/>
      <c r="D461" s="61"/>
      <c r="E461" s="61"/>
      <c r="F461" s="20">
        <f t="array" ref="F461">_xlfn.XLOOKUP(A461,'WK 47'!A:A,'WK 47'!F:F,"")</f>
        <v>0</v>
      </c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  <c r="AH461" s="61"/>
      <c r="AI461" s="61"/>
      <c r="AJ461" s="61"/>
      <c r="AK461" s="61"/>
    </row>
    <row r="462" customHeight="1" spans="1:37">
      <c r="A462" s="61"/>
      <c r="B462" s="61"/>
      <c r="C462" s="61"/>
      <c r="D462" s="61"/>
      <c r="E462" s="61"/>
      <c r="F462" s="20">
        <f t="array" ref="F462">_xlfn.XLOOKUP(A462,'WK 47'!A:A,'WK 47'!F:F,"")</f>
        <v>0</v>
      </c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  <c r="AH462" s="61"/>
      <c r="AI462" s="61"/>
      <c r="AJ462" s="61"/>
      <c r="AK462" s="61"/>
    </row>
    <row r="463" customHeight="1" spans="1:37">
      <c r="A463" s="61"/>
      <c r="B463" s="61"/>
      <c r="C463" s="61"/>
      <c r="D463" s="61"/>
      <c r="E463" s="61"/>
      <c r="F463" s="20">
        <f t="array" ref="F463">_xlfn.XLOOKUP(A463,'WK 47'!A:A,'WK 47'!F:F,"")</f>
        <v>0</v>
      </c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  <c r="AH463" s="61"/>
      <c r="AI463" s="61"/>
      <c r="AJ463" s="61"/>
      <c r="AK463" s="61"/>
    </row>
    <row r="464" customHeight="1" spans="1:37">
      <c r="A464" s="61"/>
      <c r="B464" s="61"/>
      <c r="C464" s="61"/>
      <c r="D464" s="61"/>
      <c r="E464" s="61"/>
      <c r="F464" s="20">
        <f t="array" ref="F464">_xlfn.XLOOKUP(A464,'WK 47'!A:A,'WK 47'!F:F,"")</f>
        <v>0</v>
      </c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  <c r="AH464" s="61"/>
      <c r="AI464" s="61"/>
      <c r="AJ464" s="61"/>
      <c r="AK464" s="61"/>
    </row>
    <row r="465" customHeight="1" spans="1:37">
      <c r="A465" s="61"/>
      <c r="B465" s="61"/>
      <c r="C465" s="61"/>
      <c r="D465" s="61"/>
      <c r="E465" s="61"/>
      <c r="F465" s="20">
        <f t="array" ref="F465">_xlfn.XLOOKUP(A465,'WK 47'!A:A,'WK 47'!F:F,"")</f>
        <v>0</v>
      </c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  <c r="AH465" s="61"/>
      <c r="AI465" s="61"/>
      <c r="AJ465" s="61"/>
      <c r="AK465" s="61"/>
    </row>
    <row r="466" customHeight="1" spans="1:37">
      <c r="A466" s="61"/>
      <c r="B466" s="61"/>
      <c r="C466" s="61"/>
      <c r="D466" s="61"/>
      <c r="E466" s="61"/>
      <c r="F466" s="20">
        <f t="array" ref="F466">_xlfn.XLOOKUP(A466,'WK 47'!A:A,'WK 47'!F:F,"")</f>
        <v>0</v>
      </c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  <c r="AH466" s="61"/>
      <c r="AI466" s="61"/>
      <c r="AJ466" s="61"/>
      <c r="AK466" s="61"/>
    </row>
    <row r="467" customHeight="1" spans="1:37">
      <c r="A467" s="61"/>
      <c r="B467" s="61"/>
      <c r="C467" s="61"/>
      <c r="D467" s="61"/>
      <c r="E467" s="61"/>
      <c r="F467" s="20">
        <f t="array" ref="F467">_xlfn.XLOOKUP(A467,'WK 47'!A:A,'WK 47'!F:F,"")</f>
        <v>0</v>
      </c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  <c r="AH467" s="61"/>
      <c r="AI467" s="61"/>
      <c r="AJ467" s="61"/>
      <c r="AK467" s="61"/>
    </row>
    <row r="468" customHeight="1" spans="1:37">
      <c r="A468" s="61"/>
      <c r="B468" s="61"/>
      <c r="C468" s="61"/>
      <c r="D468" s="61"/>
      <c r="E468" s="61"/>
      <c r="F468" s="20">
        <f t="array" ref="F468">_xlfn.XLOOKUP(A468,'WK 47'!A:A,'WK 47'!F:F,"")</f>
        <v>0</v>
      </c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  <c r="AH468" s="61"/>
      <c r="AI468" s="61"/>
      <c r="AJ468" s="61"/>
      <c r="AK468" s="61"/>
    </row>
    <row r="469" customHeight="1" spans="1:37">
      <c r="A469" s="61"/>
      <c r="B469" s="61"/>
      <c r="C469" s="61"/>
      <c r="D469" s="61"/>
      <c r="E469" s="61"/>
      <c r="F469" s="20">
        <f t="array" ref="F469">_xlfn.XLOOKUP(A469,'WK 47'!A:A,'WK 47'!F:F,"")</f>
        <v>0</v>
      </c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  <c r="AH469" s="61"/>
      <c r="AI469" s="61"/>
      <c r="AJ469" s="61"/>
      <c r="AK469" s="61"/>
    </row>
    <row r="470" customHeight="1" spans="1:37">
      <c r="A470" s="61"/>
      <c r="B470" s="61"/>
      <c r="C470" s="61"/>
      <c r="D470" s="61"/>
      <c r="E470" s="61"/>
      <c r="F470" s="20">
        <f t="array" ref="F470">_xlfn.XLOOKUP(A470,'WK 47'!A:A,'WK 47'!F:F,"")</f>
        <v>0</v>
      </c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  <c r="AH470" s="61"/>
      <c r="AI470" s="61"/>
      <c r="AJ470" s="61"/>
      <c r="AK470" s="61"/>
    </row>
    <row r="471" customHeight="1" spans="1:37">
      <c r="A471" s="61"/>
      <c r="B471" s="61"/>
      <c r="C471" s="61"/>
      <c r="D471" s="61"/>
      <c r="E471" s="61"/>
      <c r="F471" s="20">
        <f t="array" ref="F471">_xlfn.XLOOKUP(A471,'WK 47'!A:A,'WK 47'!F:F,"")</f>
        <v>0</v>
      </c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  <c r="AH471" s="61"/>
      <c r="AI471" s="61"/>
      <c r="AJ471" s="61"/>
      <c r="AK471" s="61"/>
    </row>
    <row r="472" customHeight="1" spans="1:37">
      <c r="A472" s="61"/>
      <c r="B472" s="61"/>
      <c r="C472" s="61"/>
      <c r="D472" s="61"/>
      <c r="E472" s="61"/>
      <c r="F472" s="20">
        <f t="array" ref="F472">_xlfn.XLOOKUP(A472,'WK 47'!A:A,'WK 47'!F:F,"")</f>
        <v>0</v>
      </c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  <c r="AH472" s="61"/>
      <c r="AI472" s="61"/>
      <c r="AJ472" s="61"/>
      <c r="AK472" s="61"/>
    </row>
    <row r="473" customHeight="1" spans="1:37">
      <c r="A473" s="61"/>
      <c r="B473" s="61"/>
      <c r="C473" s="61"/>
      <c r="D473" s="61"/>
      <c r="E473" s="61"/>
      <c r="F473" s="20">
        <f t="array" ref="F473">_xlfn.XLOOKUP(A473,'WK 47'!A:A,'WK 47'!F:F,"")</f>
        <v>0</v>
      </c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  <c r="AH473" s="61"/>
      <c r="AI473" s="61"/>
      <c r="AJ473" s="61"/>
      <c r="AK473" s="61"/>
    </row>
    <row r="474" customHeight="1" spans="1:37">
      <c r="A474" s="61"/>
      <c r="B474" s="61"/>
      <c r="C474" s="61"/>
      <c r="D474" s="61"/>
      <c r="E474" s="61"/>
      <c r="F474" s="20">
        <f t="array" ref="F474">_xlfn.XLOOKUP(A474,'WK 47'!A:A,'WK 47'!F:F,"")</f>
        <v>0</v>
      </c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  <c r="AH474" s="61"/>
      <c r="AI474" s="61"/>
      <c r="AJ474" s="61"/>
      <c r="AK474" s="61"/>
    </row>
    <row r="475" customHeight="1" spans="1:37">
      <c r="A475" s="61"/>
      <c r="B475" s="61"/>
      <c r="C475" s="61"/>
      <c r="D475" s="61"/>
      <c r="E475" s="61"/>
      <c r="F475" s="20">
        <f t="array" ref="F475">_xlfn.XLOOKUP(A475,'WK 47'!A:A,'WK 47'!F:F,"")</f>
        <v>0</v>
      </c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  <c r="AH475" s="61"/>
      <c r="AI475" s="61"/>
      <c r="AJ475" s="61"/>
      <c r="AK475" s="61"/>
    </row>
    <row r="476" customHeight="1" spans="1:37">
      <c r="A476" s="61"/>
      <c r="B476" s="61"/>
      <c r="C476" s="61"/>
      <c r="D476" s="61"/>
      <c r="E476" s="61"/>
      <c r="F476" s="20">
        <f t="array" ref="F476">_xlfn.XLOOKUP(A476,'WK 47'!A:A,'WK 47'!F:F,"")</f>
        <v>0</v>
      </c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  <c r="AH476" s="61"/>
      <c r="AI476" s="61"/>
      <c r="AJ476" s="61"/>
      <c r="AK476" s="61"/>
    </row>
    <row r="477" customHeight="1" spans="1:37">
      <c r="A477" s="61"/>
      <c r="B477" s="61"/>
      <c r="C477" s="61"/>
      <c r="D477" s="61"/>
      <c r="E477" s="61"/>
      <c r="F477" s="20">
        <f t="array" ref="F477">_xlfn.XLOOKUP(A477,'WK 47'!A:A,'WK 47'!F:F,"")</f>
        <v>0</v>
      </c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  <c r="AH477" s="61"/>
      <c r="AI477" s="61"/>
      <c r="AJ477" s="61"/>
      <c r="AK477" s="61"/>
    </row>
    <row r="478" customHeight="1" spans="1:37">
      <c r="A478" s="61"/>
      <c r="B478" s="61"/>
      <c r="C478" s="61"/>
      <c r="D478" s="61"/>
      <c r="E478" s="61"/>
      <c r="F478" s="20">
        <f t="array" ref="F478">_xlfn.XLOOKUP(A478,'WK 47'!A:A,'WK 47'!F:F,"")</f>
        <v>0</v>
      </c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  <c r="AH478" s="61"/>
      <c r="AI478" s="61"/>
      <c r="AJ478" s="61"/>
      <c r="AK478" s="61"/>
    </row>
    <row r="479" customHeight="1" spans="1:37">
      <c r="A479" s="61"/>
      <c r="B479" s="61"/>
      <c r="C479" s="61"/>
      <c r="D479" s="61"/>
      <c r="E479" s="61"/>
      <c r="F479" s="20">
        <f t="array" ref="F479">_xlfn.XLOOKUP(A479,'WK 47'!A:A,'WK 47'!F:F,"")</f>
        <v>0</v>
      </c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  <c r="AH479" s="61"/>
      <c r="AI479" s="61"/>
      <c r="AJ479" s="61"/>
      <c r="AK479" s="61"/>
    </row>
    <row r="480" customHeight="1" spans="1:37">
      <c r="A480" s="61"/>
      <c r="B480" s="61"/>
      <c r="C480" s="61"/>
      <c r="D480" s="61"/>
      <c r="E480" s="61"/>
      <c r="F480" s="20">
        <f t="array" ref="F480">_xlfn.XLOOKUP(A480,'WK 47'!A:A,'WK 47'!F:F,"")</f>
        <v>0</v>
      </c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  <c r="AH480" s="61"/>
      <c r="AI480" s="61"/>
      <c r="AJ480" s="61"/>
      <c r="AK480" s="61"/>
    </row>
    <row r="481" customHeight="1" spans="1:37">
      <c r="A481" s="61"/>
      <c r="B481" s="61"/>
      <c r="C481" s="61"/>
      <c r="D481" s="61"/>
      <c r="E481" s="61"/>
      <c r="F481" s="20">
        <f t="array" ref="F481">_xlfn.XLOOKUP(A481,'WK 47'!A:A,'WK 47'!F:F,"")</f>
        <v>0</v>
      </c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  <c r="AH481" s="61"/>
      <c r="AI481" s="61"/>
      <c r="AJ481" s="61"/>
      <c r="AK481" s="61"/>
    </row>
    <row r="482" customHeight="1" spans="1:37">
      <c r="A482" s="61"/>
      <c r="B482" s="61"/>
      <c r="C482" s="61"/>
      <c r="D482" s="61"/>
      <c r="E482" s="61"/>
      <c r="F482" s="20">
        <f t="array" ref="F482">_xlfn.XLOOKUP(A482,'WK 47'!A:A,'WK 47'!F:F,"")</f>
        <v>0</v>
      </c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  <c r="AH482" s="61"/>
      <c r="AI482" s="61"/>
      <c r="AJ482" s="61"/>
      <c r="AK482" s="61"/>
    </row>
    <row r="483" customHeight="1" spans="1:37">
      <c r="A483" s="61"/>
      <c r="B483" s="61"/>
      <c r="C483" s="61"/>
      <c r="D483" s="61"/>
      <c r="E483" s="61"/>
      <c r="F483" s="20">
        <f t="array" ref="F483">_xlfn.XLOOKUP(A483,'WK 47'!A:A,'WK 47'!F:F,"")</f>
        <v>0</v>
      </c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  <c r="AH483" s="61"/>
      <c r="AI483" s="61"/>
      <c r="AJ483" s="61"/>
      <c r="AK483" s="61"/>
    </row>
    <row r="484" customHeight="1" spans="1:37">
      <c r="A484" s="61"/>
      <c r="B484" s="61"/>
      <c r="C484" s="61"/>
      <c r="D484" s="61"/>
      <c r="E484" s="61"/>
      <c r="F484" s="20">
        <f t="array" ref="F484">_xlfn.XLOOKUP(A484,'WK 47'!A:A,'WK 47'!F:F,"")</f>
        <v>0</v>
      </c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  <c r="AH484" s="61"/>
      <c r="AI484" s="61"/>
      <c r="AJ484" s="61"/>
      <c r="AK484" s="61"/>
    </row>
    <row r="485" customHeight="1" spans="1:37">
      <c r="A485" s="61"/>
      <c r="B485" s="61"/>
      <c r="C485" s="61"/>
      <c r="D485" s="61"/>
      <c r="E485" s="61"/>
      <c r="F485" s="20">
        <f t="array" ref="F485">_xlfn.XLOOKUP(A485,'WK 47'!A:A,'WK 47'!F:F,"")</f>
        <v>0</v>
      </c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  <c r="AH485" s="61"/>
      <c r="AI485" s="61"/>
      <c r="AJ485" s="61"/>
      <c r="AK485" s="61"/>
    </row>
    <row r="486" customHeight="1" spans="1:37">
      <c r="A486" s="61"/>
      <c r="B486" s="61"/>
      <c r="C486" s="61"/>
      <c r="D486" s="61"/>
      <c r="E486" s="61"/>
      <c r="F486" s="20">
        <f t="array" ref="F486">_xlfn.XLOOKUP(A486,'WK 47'!A:A,'WK 47'!F:F,"")</f>
        <v>0</v>
      </c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  <c r="AI486" s="61"/>
      <c r="AJ486" s="61"/>
      <c r="AK486" s="61"/>
    </row>
    <row r="487" customHeight="1" spans="1:37">
      <c r="A487" s="61"/>
      <c r="B487" s="61"/>
      <c r="C487" s="61"/>
      <c r="D487" s="61"/>
      <c r="E487" s="61"/>
      <c r="F487" s="20">
        <f t="array" ref="F487">_xlfn.XLOOKUP(A487,'WK 47'!A:A,'WK 47'!F:F,"")</f>
        <v>0</v>
      </c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  <c r="AH487" s="61"/>
      <c r="AI487" s="61"/>
      <c r="AJ487" s="61"/>
      <c r="AK487" s="61"/>
    </row>
    <row r="488" customHeight="1" spans="1:37">
      <c r="A488" s="61"/>
      <c r="B488" s="61"/>
      <c r="C488" s="61"/>
      <c r="D488" s="61"/>
      <c r="E488" s="61"/>
      <c r="F488" s="20">
        <f t="array" ref="F488">_xlfn.XLOOKUP(A488,'WK 47'!A:A,'WK 47'!F:F,"")</f>
        <v>0</v>
      </c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  <c r="AH488" s="61"/>
      <c r="AI488" s="61"/>
      <c r="AJ488" s="61"/>
      <c r="AK488" s="61"/>
    </row>
    <row r="489" customHeight="1" spans="1:37">
      <c r="A489" s="61"/>
      <c r="B489" s="61"/>
      <c r="C489" s="61"/>
      <c r="D489" s="61"/>
      <c r="E489" s="61"/>
      <c r="F489" s="20">
        <f t="array" ref="F489">_xlfn.XLOOKUP(A489,'WK 47'!A:A,'WK 47'!F:F,"")</f>
        <v>0</v>
      </c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  <c r="AH489" s="61"/>
      <c r="AI489" s="61"/>
      <c r="AJ489" s="61"/>
      <c r="AK489" s="61"/>
    </row>
    <row r="490" customHeight="1" spans="1:37">
      <c r="A490" s="61"/>
      <c r="B490" s="61"/>
      <c r="C490" s="61"/>
      <c r="D490" s="61"/>
      <c r="E490" s="61"/>
      <c r="F490" s="20">
        <f t="array" ref="F490">_xlfn.XLOOKUP(A490,'WK 47'!A:A,'WK 47'!F:F,"")</f>
        <v>0</v>
      </c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  <c r="AH490" s="61"/>
      <c r="AI490" s="61"/>
      <c r="AJ490" s="61"/>
      <c r="AK490" s="61"/>
    </row>
    <row r="491" customHeight="1" spans="1:37">
      <c r="A491" s="61"/>
      <c r="B491" s="61"/>
      <c r="C491" s="61"/>
      <c r="D491" s="61"/>
      <c r="E491" s="61"/>
      <c r="F491" s="20">
        <f t="array" ref="F491">_xlfn.XLOOKUP(A491,'WK 47'!A:A,'WK 47'!F:F,"")</f>
        <v>0</v>
      </c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  <c r="AH491" s="61"/>
      <c r="AI491" s="61"/>
      <c r="AJ491" s="61"/>
      <c r="AK491" s="61"/>
    </row>
    <row r="492" customHeight="1" spans="1:37">
      <c r="A492" s="61"/>
      <c r="B492" s="61"/>
      <c r="C492" s="61"/>
      <c r="D492" s="61"/>
      <c r="E492" s="61"/>
      <c r="F492" s="20">
        <f t="array" ref="F492">_xlfn.XLOOKUP(A492,'WK 47'!A:A,'WK 47'!F:F,"")</f>
        <v>0</v>
      </c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  <c r="AH492" s="61"/>
      <c r="AI492" s="61"/>
      <c r="AJ492" s="61"/>
      <c r="AK492" s="61"/>
    </row>
    <row r="493" customHeight="1" spans="1:37">
      <c r="A493" s="61"/>
      <c r="B493" s="61"/>
      <c r="C493" s="61"/>
      <c r="D493" s="61"/>
      <c r="E493" s="61"/>
      <c r="F493" s="20">
        <f t="array" ref="F493">_xlfn.XLOOKUP(A493,'WK 47'!A:A,'WK 47'!F:F,"")</f>
        <v>0</v>
      </c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  <c r="AH493" s="61"/>
      <c r="AI493" s="61"/>
      <c r="AJ493" s="61"/>
      <c r="AK493" s="61"/>
    </row>
    <row r="494" customHeight="1" spans="1:37">
      <c r="A494" s="61"/>
      <c r="B494" s="61"/>
      <c r="C494" s="61"/>
      <c r="D494" s="61"/>
      <c r="E494" s="61"/>
      <c r="F494" s="20">
        <f t="array" ref="F494">_xlfn.XLOOKUP(A494,'WK 47'!A:A,'WK 47'!F:F,"")</f>
        <v>0</v>
      </c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  <c r="AH494" s="61"/>
      <c r="AI494" s="61"/>
      <c r="AJ494" s="61"/>
      <c r="AK494" s="61"/>
    </row>
    <row r="495" customHeight="1" spans="1:37">
      <c r="A495" s="61"/>
      <c r="B495" s="61"/>
      <c r="C495" s="61"/>
      <c r="D495" s="61"/>
      <c r="E495" s="61"/>
      <c r="F495" s="20">
        <f t="array" ref="F495">_xlfn.XLOOKUP(A495,'WK 47'!A:A,'WK 47'!F:F,"")</f>
        <v>0</v>
      </c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  <c r="AH495" s="61"/>
      <c r="AI495" s="61"/>
      <c r="AJ495" s="61"/>
      <c r="AK495" s="61"/>
    </row>
    <row r="496" customHeight="1" spans="1:37">
      <c r="A496" s="61"/>
      <c r="B496" s="61"/>
      <c r="C496" s="61"/>
      <c r="D496" s="61"/>
      <c r="E496" s="61"/>
      <c r="F496" s="20">
        <f t="array" ref="F496">_xlfn.XLOOKUP(A496,'WK 47'!A:A,'WK 47'!F:F,"")</f>
        <v>0</v>
      </c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  <c r="AH496" s="61"/>
      <c r="AI496" s="61"/>
      <c r="AJ496" s="61"/>
      <c r="AK496" s="61"/>
    </row>
    <row r="497" customHeight="1" spans="1:37">
      <c r="A497" s="61"/>
      <c r="B497" s="61"/>
      <c r="C497" s="61"/>
      <c r="D497" s="61"/>
      <c r="E497" s="61"/>
      <c r="F497" s="20">
        <f t="array" ref="F497">_xlfn.XLOOKUP(A497,'WK 47'!A:A,'WK 47'!F:F,"")</f>
        <v>0</v>
      </c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  <c r="AH497" s="61"/>
      <c r="AI497" s="61"/>
      <c r="AJ497" s="61"/>
      <c r="AK497" s="61"/>
    </row>
    <row r="498" customHeight="1" spans="1:37">
      <c r="A498" s="61"/>
      <c r="B498" s="61"/>
      <c r="C498" s="61"/>
      <c r="D498" s="61"/>
      <c r="E498" s="61"/>
      <c r="F498" s="20">
        <f t="array" ref="F498">_xlfn.XLOOKUP(A498,'WK 47'!A:A,'WK 47'!F:F,"")</f>
        <v>0</v>
      </c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  <c r="AH498" s="61"/>
      <c r="AI498" s="61"/>
      <c r="AJ498" s="61"/>
      <c r="AK498" s="61"/>
    </row>
    <row r="499" customHeight="1" spans="1:37">
      <c r="A499" s="61"/>
      <c r="B499" s="61"/>
      <c r="C499" s="61"/>
      <c r="D499" s="61"/>
      <c r="E499" s="61"/>
      <c r="F499" s="20">
        <f t="array" ref="F499">_xlfn.XLOOKUP(A499,'WK 47'!A:A,'WK 47'!F:F,"")</f>
        <v>0</v>
      </c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  <c r="AH499" s="61"/>
      <c r="AI499" s="61"/>
      <c r="AJ499" s="61"/>
      <c r="AK499" s="61"/>
    </row>
    <row r="500" customHeight="1" spans="1:37">
      <c r="A500" s="61"/>
      <c r="B500" s="61"/>
      <c r="C500" s="61"/>
      <c r="D500" s="61"/>
      <c r="E500" s="61"/>
      <c r="F500" s="20">
        <f t="array" ref="F500">_xlfn.XLOOKUP(A500,'WK 47'!A:A,'WK 47'!F:F,"")</f>
        <v>0</v>
      </c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  <c r="AH500" s="61"/>
      <c r="AI500" s="61"/>
      <c r="AJ500" s="61"/>
      <c r="AK500" s="61"/>
    </row>
    <row r="501" customHeight="1" spans="1:37">
      <c r="A501" s="61"/>
      <c r="B501" s="61"/>
      <c r="C501" s="61"/>
      <c r="D501" s="61"/>
      <c r="E501" s="61"/>
      <c r="F501" s="20">
        <f t="array" ref="F501">_xlfn.XLOOKUP(A501,'WK 47'!A:A,'WK 47'!F:F,"")</f>
        <v>0</v>
      </c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  <c r="AH501" s="61"/>
      <c r="AI501" s="61"/>
      <c r="AJ501" s="61"/>
      <c r="AK501" s="61"/>
    </row>
    <row r="502" customHeight="1" spans="1:37">
      <c r="A502" s="61"/>
      <c r="B502" s="61"/>
      <c r="C502" s="61"/>
      <c r="D502" s="61"/>
      <c r="E502" s="61"/>
      <c r="F502" s="20">
        <f t="array" ref="F502">_xlfn.XLOOKUP(A502,'WK 47'!A:A,'WK 47'!F:F,"")</f>
        <v>0</v>
      </c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  <c r="AI502" s="61"/>
      <c r="AJ502" s="61"/>
      <c r="AK502" s="61"/>
    </row>
    <row r="503" customHeight="1" spans="1:37">
      <c r="A503" s="61"/>
      <c r="B503" s="61"/>
      <c r="C503" s="61"/>
      <c r="D503" s="61"/>
      <c r="E503" s="61"/>
      <c r="F503" s="20">
        <f t="array" ref="F503">_xlfn.XLOOKUP(A503,'WK 47'!A:A,'WK 47'!F:F,"")</f>
        <v>0</v>
      </c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  <c r="AH503" s="61"/>
      <c r="AI503" s="61"/>
      <c r="AJ503" s="61"/>
      <c r="AK503" s="61"/>
    </row>
    <row r="504" customHeight="1" spans="1:37">
      <c r="A504" s="61"/>
      <c r="B504" s="61"/>
      <c r="C504" s="61"/>
      <c r="D504" s="61"/>
      <c r="E504" s="61"/>
      <c r="F504" s="20">
        <f t="array" ref="F504">_xlfn.XLOOKUP(A504,'WK 47'!A:A,'WK 47'!F:F,"")</f>
        <v>0</v>
      </c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  <c r="AH504" s="61"/>
      <c r="AI504" s="61"/>
      <c r="AJ504" s="61"/>
      <c r="AK504" s="61"/>
    </row>
    <row r="505" customHeight="1" spans="1:37">
      <c r="A505" s="61"/>
      <c r="B505" s="61"/>
      <c r="C505" s="61"/>
      <c r="D505" s="61"/>
      <c r="E505" s="61"/>
      <c r="F505" s="20">
        <f t="array" ref="F505">_xlfn.XLOOKUP(A505,'WK 47'!A:A,'WK 47'!F:F,"")</f>
        <v>0</v>
      </c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  <c r="AH505" s="61"/>
      <c r="AI505" s="61"/>
      <c r="AJ505" s="61"/>
      <c r="AK505" s="61"/>
    </row>
    <row r="506" customHeight="1" spans="1:37">
      <c r="A506" s="61"/>
      <c r="B506" s="61"/>
      <c r="C506" s="61"/>
      <c r="D506" s="61"/>
      <c r="E506" s="61"/>
      <c r="F506" s="20">
        <f t="array" ref="F506">_xlfn.XLOOKUP(A506,'WK 47'!A:A,'WK 47'!F:F,"")</f>
        <v>0</v>
      </c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  <c r="AH506" s="61"/>
      <c r="AI506" s="61"/>
      <c r="AJ506" s="61"/>
      <c r="AK506" s="61"/>
    </row>
    <row r="507" customHeight="1" spans="1:37">
      <c r="A507" s="61"/>
      <c r="B507" s="61"/>
      <c r="C507" s="61"/>
      <c r="D507" s="61"/>
      <c r="E507" s="61"/>
      <c r="F507" s="20">
        <f t="array" ref="F507">_xlfn.XLOOKUP(A507,'WK 47'!A:A,'WK 47'!F:F,"")</f>
        <v>0</v>
      </c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  <c r="AH507" s="61"/>
      <c r="AI507" s="61"/>
      <c r="AJ507" s="61"/>
      <c r="AK507" s="61"/>
    </row>
    <row r="508" customHeight="1" spans="1:37">
      <c r="A508" s="61"/>
      <c r="B508" s="61"/>
      <c r="C508" s="61"/>
      <c r="D508" s="61"/>
      <c r="E508" s="61"/>
      <c r="F508" s="20">
        <f t="array" ref="F508">_xlfn.XLOOKUP(A508,'WK 47'!A:A,'WK 47'!F:F,"")</f>
        <v>0</v>
      </c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  <c r="AH508" s="61"/>
      <c r="AI508" s="61"/>
      <c r="AJ508" s="61"/>
      <c r="AK508" s="61"/>
    </row>
    <row r="509" customHeight="1" spans="1:37">
      <c r="A509" s="61"/>
      <c r="B509" s="61"/>
      <c r="C509" s="61"/>
      <c r="D509" s="61"/>
      <c r="E509" s="61"/>
      <c r="F509" s="20">
        <f t="array" ref="F509">_xlfn.XLOOKUP(A509,'WK 47'!A:A,'WK 47'!F:F,"")</f>
        <v>0</v>
      </c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  <c r="AH509" s="61"/>
      <c r="AI509" s="61"/>
      <c r="AJ509" s="61"/>
      <c r="AK509" s="61"/>
    </row>
    <row r="510" customHeight="1" spans="1:37">
      <c r="A510" s="61"/>
      <c r="B510" s="61"/>
      <c r="C510" s="61"/>
      <c r="D510" s="61"/>
      <c r="E510" s="61"/>
      <c r="F510" s="20">
        <f t="array" ref="F510">_xlfn.XLOOKUP(A510,'WK 47'!A:A,'WK 47'!F:F,"")</f>
        <v>0</v>
      </c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  <c r="AH510" s="61"/>
      <c r="AI510" s="61"/>
      <c r="AJ510" s="61"/>
      <c r="AK510" s="61"/>
    </row>
    <row r="511" customHeight="1" spans="1:37">
      <c r="A511" s="61"/>
      <c r="B511" s="61"/>
      <c r="C511" s="61"/>
      <c r="D511" s="61"/>
      <c r="E511" s="61"/>
      <c r="F511" s="20">
        <f t="array" ref="F511">_xlfn.XLOOKUP(A511,'WK 47'!A:A,'WK 47'!F:F,"")</f>
        <v>0</v>
      </c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  <c r="AH511" s="61"/>
      <c r="AI511" s="61"/>
      <c r="AJ511" s="61"/>
      <c r="AK511" s="61"/>
    </row>
    <row r="512" customHeight="1" spans="1:37">
      <c r="A512" s="61"/>
      <c r="B512" s="61"/>
      <c r="C512" s="61"/>
      <c r="D512" s="61"/>
      <c r="E512" s="61"/>
      <c r="F512" s="20">
        <f t="array" ref="F512">_xlfn.XLOOKUP(A512,'WK 47'!A:A,'WK 47'!F:F,"")</f>
        <v>0</v>
      </c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  <c r="AH512" s="61"/>
      <c r="AI512" s="61"/>
      <c r="AJ512" s="61"/>
      <c r="AK512" s="61"/>
    </row>
    <row r="513" customHeight="1" spans="1:37">
      <c r="A513" s="61"/>
      <c r="B513" s="61"/>
      <c r="C513" s="61"/>
      <c r="D513" s="61"/>
      <c r="E513" s="61"/>
      <c r="F513" s="20">
        <f t="array" ref="F513">_xlfn.XLOOKUP(A513,'WK 47'!A:A,'WK 47'!F:F,"")</f>
        <v>0</v>
      </c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  <c r="AH513" s="61"/>
      <c r="AI513" s="61"/>
      <c r="AJ513" s="61"/>
      <c r="AK513" s="61"/>
    </row>
    <row r="514" customHeight="1" spans="1:37">
      <c r="A514" s="61"/>
      <c r="B514" s="61"/>
      <c r="C514" s="61"/>
      <c r="D514" s="61"/>
      <c r="E514" s="61"/>
      <c r="F514" s="20">
        <f t="array" ref="F514">_xlfn.XLOOKUP(A514,'WK 47'!A:A,'WK 47'!F:F,"")</f>
        <v>0</v>
      </c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  <c r="AH514" s="61"/>
      <c r="AI514" s="61"/>
      <c r="AJ514" s="61"/>
      <c r="AK514" s="61"/>
    </row>
    <row r="515" customHeight="1" spans="1:37">
      <c r="A515" s="61"/>
      <c r="B515" s="61"/>
      <c r="C515" s="61"/>
      <c r="D515" s="61"/>
      <c r="E515" s="61"/>
      <c r="F515" s="20">
        <f t="array" ref="F515">_xlfn.XLOOKUP(A515,'WK 47'!A:A,'WK 47'!F:F,"")</f>
        <v>0</v>
      </c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  <c r="AH515" s="61"/>
      <c r="AI515" s="61"/>
      <c r="AJ515" s="61"/>
      <c r="AK515" s="61"/>
    </row>
    <row r="516" customHeight="1" spans="1:37">
      <c r="A516" s="61"/>
      <c r="B516" s="61"/>
      <c r="C516" s="61"/>
      <c r="D516" s="61"/>
      <c r="E516" s="61"/>
      <c r="F516" s="20">
        <f t="array" ref="F516">_xlfn.XLOOKUP(A516,'WK 47'!A:A,'WK 47'!F:F,"")</f>
        <v>0</v>
      </c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  <c r="AH516" s="61"/>
      <c r="AI516" s="61"/>
      <c r="AJ516" s="61"/>
      <c r="AK516" s="61"/>
    </row>
    <row r="517" customHeight="1" spans="1:37">
      <c r="A517" s="61"/>
      <c r="B517" s="61"/>
      <c r="C517" s="61"/>
      <c r="D517" s="61"/>
      <c r="E517" s="61"/>
      <c r="F517" s="20">
        <f t="array" ref="F517">_xlfn.XLOOKUP(A517,'WK 47'!A:A,'WK 47'!F:F,"")</f>
        <v>0</v>
      </c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  <c r="AH517" s="61"/>
      <c r="AI517" s="61"/>
      <c r="AJ517" s="61"/>
      <c r="AK517" s="61"/>
    </row>
    <row r="518" customHeight="1" spans="1:37">
      <c r="A518" s="61"/>
      <c r="B518" s="61"/>
      <c r="C518" s="61"/>
      <c r="D518" s="61"/>
      <c r="E518" s="61"/>
      <c r="F518" s="20">
        <f t="array" ref="F518">_xlfn.XLOOKUP(A518,'WK 47'!A:A,'WK 47'!F:F,"")</f>
        <v>0</v>
      </c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  <c r="AH518" s="61"/>
      <c r="AI518" s="61"/>
      <c r="AJ518" s="61"/>
      <c r="AK518" s="61"/>
    </row>
    <row r="519" customHeight="1" spans="1:37">
      <c r="A519" s="61"/>
      <c r="B519" s="61"/>
      <c r="C519" s="61"/>
      <c r="D519" s="61"/>
      <c r="E519" s="61"/>
      <c r="F519" s="20">
        <f t="array" ref="F519">_xlfn.XLOOKUP(A519,'WK 47'!A:A,'WK 47'!F:F,"")</f>
        <v>0</v>
      </c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  <c r="AH519" s="61"/>
      <c r="AI519" s="61"/>
      <c r="AJ519" s="61"/>
      <c r="AK519" s="61"/>
    </row>
    <row r="520" customHeight="1" spans="1:37">
      <c r="A520" s="61"/>
      <c r="B520" s="61"/>
      <c r="C520" s="61"/>
      <c r="D520" s="61"/>
      <c r="E520" s="61"/>
      <c r="F520" s="20">
        <f t="array" ref="F520">_xlfn.XLOOKUP(A520,'WK 47'!A:A,'WK 47'!F:F,"")</f>
        <v>0</v>
      </c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  <c r="AH520" s="61"/>
      <c r="AI520" s="61"/>
      <c r="AJ520" s="61"/>
      <c r="AK520" s="61"/>
    </row>
    <row r="521" customHeight="1" spans="1:37">
      <c r="A521" s="61"/>
      <c r="B521" s="61"/>
      <c r="C521" s="61"/>
      <c r="D521" s="61"/>
      <c r="E521" s="61"/>
      <c r="F521" s="20">
        <f t="array" ref="F521">_xlfn.XLOOKUP(A521,'WK 47'!A:A,'WK 47'!F:F,"")</f>
        <v>0</v>
      </c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  <c r="AH521" s="61"/>
      <c r="AI521" s="61"/>
      <c r="AJ521" s="61"/>
      <c r="AK521" s="61"/>
    </row>
    <row r="522" customHeight="1" spans="1:37">
      <c r="A522" s="61"/>
      <c r="B522" s="61"/>
      <c r="C522" s="61"/>
      <c r="D522" s="61"/>
      <c r="E522" s="61"/>
      <c r="F522" s="20">
        <f t="array" ref="F522">_xlfn.XLOOKUP(A522,'WK 47'!A:A,'WK 47'!F:F,"")</f>
        <v>0</v>
      </c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  <c r="AH522" s="61"/>
      <c r="AI522" s="61"/>
      <c r="AJ522" s="61"/>
      <c r="AK522" s="61"/>
    </row>
    <row r="523" customHeight="1" spans="1:37">
      <c r="A523" s="61"/>
      <c r="B523" s="61"/>
      <c r="C523" s="61"/>
      <c r="D523" s="61"/>
      <c r="E523" s="61"/>
      <c r="F523" s="20">
        <f t="array" ref="F523">_xlfn.XLOOKUP(A523,'WK 47'!A:A,'WK 47'!F:F,"")</f>
        <v>0</v>
      </c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  <c r="AH523" s="61"/>
      <c r="AI523" s="61"/>
      <c r="AJ523" s="61"/>
      <c r="AK523" s="61"/>
    </row>
    <row r="524" customHeight="1" spans="1:37">
      <c r="A524" s="61"/>
      <c r="B524" s="61"/>
      <c r="C524" s="61"/>
      <c r="D524" s="61"/>
      <c r="E524" s="61"/>
      <c r="F524" s="20">
        <f t="array" ref="F524">_xlfn.XLOOKUP(A524,'WK 47'!A:A,'WK 47'!F:F,"")</f>
        <v>0</v>
      </c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  <c r="AH524" s="61"/>
      <c r="AI524" s="61"/>
      <c r="AJ524" s="61"/>
      <c r="AK524" s="61"/>
    </row>
    <row r="525" customHeight="1" spans="1:37">
      <c r="A525" s="61"/>
      <c r="B525" s="61"/>
      <c r="C525" s="61"/>
      <c r="D525" s="61"/>
      <c r="E525" s="61"/>
      <c r="F525" s="20">
        <f t="array" ref="F525">_xlfn.XLOOKUP(A525,'WK 47'!A:A,'WK 47'!F:F,"")</f>
        <v>0</v>
      </c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  <c r="AH525" s="61"/>
      <c r="AI525" s="61"/>
      <c r="AJ525" s="61"/>
      <c r="AK525" s="61"/>
    </row>
    <row r="526" customHeight="1" spans="1:37">
      <c r="A526" s="61"/>
      <c r="B526" s="61"/>
      <c r="C526" s="61"/>
      <c r="D526" s="61"/>
      <c r="E526" s="61"/>
      <c r="F526" s="20">
        <f t="array" ref="F526">_xlfn.XLOOKUP(A526,'WK 47'!A:A,'WK 47'!F:F,"")</f>
        <v>0</v>
      </c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  <c r="AH526" s="61"/>
      <c r="AI526" s="61"/>
      <c r="AJ526" s="61"/>
      <c r="AK526" s="61"/>
    </row>
    <row r="527" customHeight="1" spans="1:37">
      <c r="A527" s="61"/>
      <c r="B527" s="61"/>
      <c r="C527" s="61"/>
      <c r="D527" s="61"/>
      <c r="E527" s="61"/>
      <c r="F527" s="20">
        <f t="array" ref="F527">_xlfn.XLOOKUP(A527,'WK 47'!A:A,'WK 47'!F:F,"")</f>
        <v>0</v>
      </c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  <c r="AH527" s="61"/>
      <c r="AI527" s="61"/>
      <c r="AJ527" s="61"/>
      <c r="AK527" s="61"/>
    </row>
    <row r="528" customHeight="1" spans="1:37">
      <c r="A528" s="61"/>
      <c r="B528" s="61"/>
      <c r="C528" s="61"/>
      <c r="D528" s="61"/>
      <c r="E528" s="61"/>
      <c r="F528" s="20">
        <f t="array" ref="F528">_xlfn.XLOOKUP(A528,'WK 47'!A:A,'WK 47'!F:F,"")</f>
        <v>0</v>
      </c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  <c r="AH528" s="61"/>
      <c r="AI528" s="61"/>
      <c r="AJ528" s="61"/>
      <c r="AK528" s="61"/>
    </row>
    <row r="529" customHeight="1" spans="1:37">
      <c r="A529" s="61"/>
      <c r="B529" s="61"/>
      <c r="C529" s="61"/>
      <c r="D529" s="61"/>
      <c r="E529" s="61"/>
      <c r="F529" s="20">
        <f t="array" ref="F529">_xlfn.XLOOKUP(A529,'WK 47'!A:A,'WK 47'!F:F,"")</f>
        <v>0</v>
      </c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  <c r="AH529" s="61"/>
      <c r="AI529" s="61"/>
      <c r="AJ529" s="61"/>
      <c r="AK529" s="61"/>
    </row>
    <row r="530" customHeight="1" spans="1:37">
      <c r="A530" s="61"/>
      <c r="B530" s="61"/>
      <c r="C530" s="61"/>
      <c r="D530" s="61"/>
      <c r="E530" s="61"/>
      <c r="F530" s="20">
        <f t="array" ref="F530">_xlfn.XLOOKUP(A530,'WK 47'!A:A,'WK 47'!F:F,"")</f>
        <v>0</v>
      </c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  <c r="AH530" s="61"/>
      <c r="AI530" s="61"/>
      <c r="AJ530" s="61"/>
      <c r="AK530" s="61"/>
    </row>
    <row r="531" customHeight="1" spans="1:37">
      <c r="A531" s="61"/>
      <c r="B531" s="61"/>
      <c r="C531" s="61"/>
      <c r="D531" s="61"/>
      <c r="E531" s="61"/>
      <c r="F531" s="20">
        <f t="array" ref="F531">_xlfn.XLOOKUP(A531,'WK 47'!A:A,'WK 47'!F:F,"")</f>
        <v>0</v>
      </c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  <c r="AH531" s="61"/>
      <c r="AI531" s="61"/>
      <c r="AJ531" s="61"/>
      <c r="AK531" s="61"/>
    </row>
    <row r="532" customHeight="1" spans="1:37">
      <c r="A532" s="61"/>
      <c r="B532" s="61"/>
      <c r="C532" s="61"/>
      <c r="D532" s="61"/>
      <c r="E532" s="61"/>
      <c r="F532" s="20">
        <f t="array" ref="F532">_xlfn.XLOOKUP(A532,'WK 47'!A:A,'WK 47'!F:F,"")</f>
        <v>0</v>
      </c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  <c r="AH532" s="61"/>
      <c r="AI532" s="61"/>
      <c r="AJ532" s="61"/>
      <c r="AK532" s="61"/>
    </row>
    <row r="533" customHeight="1" spans="1:37">
      <c r="A533" s="61"/>
      <c r="B533" s="61"/>
      <c r="C533" s="61"/>
      <c r="D533" s="61"/>
      <c r="E533" s="61"/>
      <c r="F533" s="20">
        <f t="array" ref="F533">_xlfn.XLOOKUP(A533,'WK 47'!A:A,'WK 47'!F:F,"")</f>
        <v>0</v>
      </c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  <c r="AH533" s="61"/>
      <c r="AI533" s="61"/>
      <c r="AJ533" s="61"/>
      <c r="AK533" s="61"/>
    </row>
    <row r="534" customHeight="1" spans="1:37">
      <c r="A534" s="61"/>
      <c r="B534" s="61"/>
      <c r="C534" s="61"/>
      <c r="D534" s="61"/>
      <c r="E534" s="61"/>
      <c r="F534" s="20">
        <f t="array" ref="F534">_xlfn.XLOOKUP(A534,'WK 47'!A:A,'WK 47'!F:F,"")</f>
        <v>0</v>
      </c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  <c r="AH534" s="61"/>
      <c r="AI534" s="61"/>
      <c r="AJ534" s="61"/>
      <c r="AK534" s="61"/>
    </row>
    <row r="535" customHeight="1" spans="1:37">
      <c r="A535" s="61"/>
      <c r="B535" s="61"/>
      <c r="C535" s="61"/>
      <c r="D535" s="61"/>
      <c r="E535" s="61"/>
      <c r="F535" s="20">
        <f t="array" ref="F535">_xlfn.XLOOKUP(A535,'WK 47'!A:A,'WK 47'!F:F,"")</f>
        <v>0</v>
      </c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  <c r="AH535" s="61"/>
      <c r="AI535" s="61"/>
      <c r="AJ535" s="61"/>
      <c r="AK535" s="61"/>
    </row>
    <row r="536" customHeight="1" spans="1:37">
      <c r="A536" s="61"/>
      <c r="B536" s="61"/>
      <c r="C536" s="61"/>
      <c r="D536" s="61"/>
      <c r="E536" s="61"/>
      <c r="F536" s="20">
        <f t="array" ref="F536">_xlfn.XLOOKUP(A536,'WK 47'!A:A,'WK 47'!F:F,"")</f>
        <v>0</v>
      </c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  <c r="AH536" s="61"/>
      <c r="AI536" s="61"/>
      <c r="AJ536" s="61"/>
      <c r="AK536" s="61"/>
    </row>
    <row r="537" customHeight="1" spans="1:37">
      <c r="A537" s="61"/>
      <c r="B537" s="61"/>
      <c r="C537" s="61"/>
      <c r="D537" s="61"/>
      <c r="E537" s="61"/>
      <c r="F537" s="20">
        <f t="array" ref="F537">_xlfn.XLOOKUP(A537,'WK 47'!A:A,'WK 47'!F:F,"")</f>
        <v>0</v>
      </c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  <c r="AH537" s="61"/>
      <c r="AI537" s="61"/>
      <c r="AJ537" s="61"/>
      <c r="AK537" s="61"/>
    </row>
    <row r="538" customHeight="1" spans="1:37">
      <c r="A538" s="61"/>
      <c r="B538" s="61"/>
      <c r="C538" s="61"/>
      <c r="D538" s="61"/>
      <c r="E538" s="61"/>
      <c r="F538" s="20">
        <f t="array" ref="F538">_xlfn.XLOOKUP(A538,'WK 47'!A:A,'WK 47'!F:F,"")</f>
        <v>0</v>
      </c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  <c r="AH538" s="61"/>
      <c r="AI538" s="61"/>
      <c r="AJ538" s="61"/>
      <c r="AK538" s="61"/>
    </row>
    <row r="539" customHeight="1" spans="1:37">
      <c r="A539" s="61"/>
      <c r="B539" s="61"/>
      <c r="C539" s="61"/>
      <c r="D539" s="61"/>
      <c r="E539" s="61"/>
      <c r="F539" s="20">
        <f t="array" ref="F539">_xlfn.XLOOKUP(A539,'WK 47'!A:A,'WK 47'!F:F,"")</f>
        <v>0</v>
      </c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  <c r="AH539" s="61"/>
      <c r="AI539" s="61"/>
      <c r="AJ539" s="61"/>
      <c r="AK539" s="61"/>
    </row>
    <row r="540" customHeight="1" spans="1:37">
      <c r="A540" s="61"/>
      <c r="B540" s="61"/>
      <c r="C540" s="61"/>
      <c r="D540" s="61"/>
      <c r="E540" s="61"/>
      <c r="F540" s="20">
        <f t="array" ref="F540">_xlfn.XLOOKUP(A540,'WK 47'!A:A,'WK 47'!F:F,"")</f>
        <v>0</v>
      </c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  <c r="AH540" s="61"/>
      <c r="AI540" s="61"/>
      <c r="AJ540" s="61"/>
      <c r="AK540" s="61"/>
    </row>
    <row r="541" customHeight="1" spans="1:37">
      <c r="A541" s="61"/>
      <c r="B541" s="61"/>
      <c r="C541" s="61"/>
      <c r="D541" s="61"/>
      <c r="E541" s="61"/>
      <c r="F541" s="20">
        <f t="array" ref="F541">_xlfn.XLOOKUP(A541,'WK 47'!A:A,'WK 47'!F:F,"")</f>
        <v>0</v>
      </c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  <c r="AH541" s="61"/>
      <c r="AI541" s="61"/>
      <c r="AJ541" s="61"/>
      <c r="AK541" s="61"/>
    </row>
    <row r="542" customHeight="1" spans="1:37">
      <c r="A542" s="61"/>
      <c r="B542" s="61"/>
      <c r="C542" s="61"/>
      <c r="D542" s="61"/>
      <c r="E542" s="61"/>
      <c r="F542" s="20">
        <f t="array" ref="F542">_xlfn.XLOOKUP(A542,'WK 47'!A:A,'WK 47'!F:F,"")</f>
        <v>0</v>
      </c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  <c r="AH542" s="61"/>
      <c r="AI542" s="61"/>
      <c r="AJ542" s="61"/>
      <c r="AK542" s="61"/>
    </row>
    <row r="543" customHeight="1" spans="1:37">
      <c r="A543" s="61"/>
      <c r="B543" s="61"/>
      <c r="C543" s="61"/>
      <c r="D543" s="61"/>
      <c r="E543" s="61"/>
      <c r="F543" s="20">
        <f t="array" ref="F543">_xlfn.XLOOKUP(A543,'WK 47'!A:A,'WK 47'!F:F,"")</f>
        <v>0</v>
      </c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  <c r="AH543" s="61"/>
      <c r="AI543" s="61"/>
      <c r="AJ543" s="61"/>
      <c r="AK543" s="61"/>
    </row>
    <row r="544" customHeight="1" spans="1:37">
      <c r="A544" s="61"/>
      <c r="B544" s="61"/>
      <c r="C544" s="61"/>
      <c r="D544" s="61"/>
      <c r="E544" s="61"/>
      <c r="F544" s="20">
        <f t="array" ref="F544">_xlfn.XLOOKUP(A544,'WK 47'!A:A,'WK 47'!F:F,"")</f>
        <v>0</v>
      </c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  <c r="AH544" s="61"/>
      <c r="AI544" s="61"/>
      <c r="AJ544" s="61"/>
      <c r="AK544" s="61"/>
    </row>
    <row r="545" customHeight="1" spans="1:37">
      <c r="A545" s="61"/>
      <c r="B545" s="61"/>
      <c r="C545" s="61"/>
      <c r="D545" s="61"/>
      <c r="E545" s="61"/>
      <c r="F545" s="20">
        <f t="array" ref="F545">_xlfn.XLOOKUP(A545,'WK 47'!A:A,'WK 47'!F:F,"")</f>
        <v>0</v>
      </c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  <c r="AH545" s="61"/>
      <c r="AI545" s="61"/>
      <c r="AJ545" s="61"/>
      <c r="AK545" s="61"/>
    </row>
    <row r="546" customHeight="1" spans="1:37">
      <c r="A546" s="61"/>
      <c r="B546" s="61"/>
      <c r="C546" s="61"/>
      <c r="D546" s="61"/>
      <c r="E546" s="61"/>
      <c r="F546" s="20">
        <f t="array" ref="F546">_xlfn.XLOOKUP(A546,'WK 47'!A:A,'WK 47'!F:F,"")</f>
        <v>0</v>
      </c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  <c r="AH546" s="61"/>
      <c r="AI546" s="61"/>
      <c r="AJ546" s="61"/>
      <c r="AK546" s="61"/>
    </row>
    <row r="547" customHeight="1" spans="1:37">
      <c r="A547" s="61"/>
      <c r="B547" s="61"/>
      <c r="C547" s="61"/>
      <c r="D547" s="61"/>
      <c r="E547" s="61"/>
      <c r="F547" s="20">
        <f t="array" ref="F547">_xlfn.XLOOKUP(A547,'WK 47'!A:A,'WK 47'!F:F,"")</f>
        <v>0</v>
      </c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  <c r="AH547" s="61"/>
      <c r="AI547" s="61"/>
      <c r="AJ547" s="61"/>
      <c r="AK547" s="61"/>
    </row>
    <row r="548" customHeight="1" spans="1:37">
      <c r="A548" s="61"/>
      <c r="B548" s="61"/>
      <c r="C548" s="61"/>
      <c r="D548" s="61"/>
      <c r="E548" s="61"/>
      <c r="F548" s="20">
        <f t="array" ref="F548">_xlfn.XLOOKUP(A548,'WK 47'!A:A,'WK 47'!F:F,"")</f>
        <v>0</v>
      </c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  <c r="AH548" s="61"/>
      <c r="AI548" s="61"/>
      <c r="AJ548" s="61"/>
      <c r="AK548" s="61"/>
    </row>
    <row r="549" customHeight="1" spans="1:37">
      <c r="A549" s="61"/>
      <c r="B549" s="61"/>
      <c r="C549" s="61"/>
      <c r="D549" s="61"/>
      <c r="E549" s="61"/>
      <c r="F549" s="20">
        <f t="array" ref="F549">_xlfn.XLOOKUP(A549,'WK 47'!A:A,'WK 47'!F:F,"")</f>
        <v>0</v>
      </c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  <c r="AH549" s="61"/>
      <c r="AI549" s="61"/>
      <c r="AJ549" s="61"/>
      <c r="AK549" s="61"/>
    </row>
    <row r="550" customHeight="1" spans="1:37">
      <c r="A550" s="61"/>
      <c r="B550" s="61"/>
      <c r="C550" s="61"/>
      <c r="D550" s="61"/>
      <c r="E550" s="61"/>
      <c r="F550" s="20">
        <f t="array" ref="F550">_xlfn.XLOOKUP(A550,'WK 47'!A:A,'WK 47'!F:F,"")</f>
        <v>0</v>
      </c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  <c r="AH550" s="61"/>
      <c r="AI550" s="61"/>
      <c r="AJ550" s="61"/>
      <c r="AK550" s="61"/>
    </row>
    <row r="551" customHeight="1" spans="1:37">
      <c r="A551" s="61"/>
      <c r="B551" s="61"/>
      <c r="C551" s="61"/>
      <c r="D551" s="61"/>
      <c r="E551" s="61"/>
      <c r="F551" s="20">
        <f t="array" ref="F551">_xlfn.XLOOKUP(A551,'WK 47'!A:A,'WK 47'!F:F,"")</f>
        <v>0</v>
      </c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  <c r="AH551" s="61"/>
      <c r="AI551" s="61"/>
      <c r="AJ551" s="61"/>
      <c r="AK551" s="61"/>
    </row>
    <row r="552" customHeight="1" spans="1:37">
      <c r="A552" s="61"/>
      <c r="B552" s="61"/>
      <c r="C552" s="61"/>
      <c r="D552" s="61"/>
      <c r="E552" s="61"/>
      <c r="F552" s="20">
        <f t="array" ref="F552">_xlfn.XLOOKUP(A552,'WK 47'!A:A,'WK 47'!F:F,"")</f>
        <v>0</v>
      </c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  <c r="AH552" s="61"/>
      <c r="AI552" s="61"/>
      <c r="AJ552" s="61"/>
      <c r="AK552" s="61"/>
    </row>
    <row r="553" customHeight="1" spans="1:37">
      <c r="A553" s="61"/>
      <c r="B553" s="61"/>
      <c r="C553" s="61"/>
      <c r="D553" s="61"/>
      <c r="E553" s="61"/>
      <c r="F553" s="20">
        <f t="array" ref="F553">_xlfn.XLOOKUP(A553,'WK 47'!A:A,'WK 47'!F:F,"")</f>
        <v>0</v>
      </c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  <c r="AH553" s="61"/>
      <c r="AI553" s="61"/>
      <c r="AJ553" s="61"/>
      <c r="AK553" s="61"/>
    </row>
    <row r="554" customHeight="1" spans="1:37">
      <c r="A554" s="61"/>
      <c r="B554" s="61"/>
      <c r="C554" s="61"/>
      <c r="D554" s="61"/>
      <c r="E554" s="61"/>
      <c r="F554" s="20">
        <f t="array" ref="F554">_xlfn.XLOOKUP(A554,'WK 47'!A:A,'WK 47'!F:F,"")</f>
        <v>0</v>
      </c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  <c r="AH554" s="61"/>
      <c r="AI554" s="61"/>
      <c r="AJ554" s="61"/>
      <c r="AK554" s="61"/>
    </row>
    <row r="555" customHeight="1" spans="1:37">
      <c r="A555" s="61"/>
      <c r="B555" s="61"/>
      <c r="C555" s="61"/>
      <c r="D555" s="61"/>
      <c r="E555" s="61"/>
      <c r="F555" s="20">
        <f t="array" ref="F555">_xlfn.XLOOKUP(A555,'WK 47'!A:A,'WK 47'!F:F,"")</f>
        <v>0</v>
      </c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  <c r="AH555" s="61"/>
      <c r="AI555" s="61"/>
      <c r="AJ555" s="61"/>
      <c r="AK555" s="61"/>
    </row>
    <row r="556" customHeight="1" spans="1:37">
      <c r="A556" s="61"/>
      <c r="B556" s="61"/>
      <c r="C556" s="61"/>
      <c r="D556" s="61"/>
      <c r="E556" s="61"/>
      <c r="F556" s="20">
        <f t="array" ref="F556">_xlfn.XLOOKUP(A556,'WK 47'!A:A,'WK 47'!F:F,"")</f>
        <v>0</v>
      </c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  <c r="AH556" s="61"/>
      <c r="AI556" s="61"/>
      <c r="AJ556" s="61"/>
      <c r="AK556" s="61"/>
    </row>
    <row r="557" customHeight="1" spans="1:37">
      <c r="A557" s="61"/>
      <c r="B557" s="61"/>
      <c r="C557" s="61"/>
      <c r="D557" s="61"/>
      <c r="E557" s="61"/>
      <c r="F557" s="20">
        <f t="array" ref="F557">_xlfn.XLOOKUP(A557,'WK 47'!A:A,'WK 47'!F:F,"")</f>
        <v>0</v>
      </c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  <c r="AH557" s="61"/>
      <c r="AI557" s="61"/>
      <c r="AJ557" s="61"/>
      <c r="AK557" s="61"/>
    </row>
    <row r="558" customHeight="1" spans="1:37">
      <c r="A558" s="61"/>
      <c r="B558" s="61"/>
      <c r="C558" s="61"/>
      <c r="D558" s="61"/>
      <c r="E558" s="61"/>
      <c r="F558" s="20">
        <f t="array" ref="F558">_xlfn.XLOOKUP(A558,'WK 47'!A:A,'WK 47'!F:F,"")</f>
        <v>0</v>
      </c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  <c r="AH558" s="61"/>
      <c r="AI558" s="61"/>
      <c r="AJ558" s="61"/>
      <c r="AK558" s="61"/>
    </row>
    <row r="559" customHeight="1" spans="1:37">
      <c r="A559" s="61"/>
      <c r="B559" s="61"/>
      <c r="C559" s="61"/>
      <c r="D559" s="61"/>
      <c r="E559" s="61"/>
      <c r="F559" s="20">
        <f t="array" ref="F559">_xlfn.XLOOKUP(A559,'WK 47'!A:A,'WK 47'!F:F,"")</f>
        <v>0</v>
      </c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  <c r="AH559" s="61"/>
      <c r="AI559" s="61"/>
      <c r="AJ559" s="61"/>
      <c r="AK559" s="61"/>
    </row>
    <row r="560" customHeight="1" spans="1:37">
      <c r="A560" s="61"/>
      <c r="B560" s="61"/>
      <c r="C560" s="61"/>
      <c r="D560" s="61"/>
      <c r="E560" s="61"/>
      <c r="F560" s="20">
        <f t="array" ref="F560">_xlfn.XLOOKUP(A560,'WK 47'!A:A,'WK 47'!F:F,"")</f>
        <v>0</v>
      </c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  <c r="AH560" s="61"/>
      <c r="AI560" s="61"/>
      <c r="AJ560" s="61"/>
      <c r="AK560" s="61"/>
    </row>
    <row r="561" customHeight="1" spans="1:37">
      <c r="A561" s="61"/>
      <c r="B561" s="61"/>
      <c r="C561" s="61"/>
      <c r="D561" s="61"/>
      <c r="E561" s="61"/>
      <c r="F561" s="20">
        <f t="array" ref="F561">_xlfn.XLOOKUP(A561,'WK 47'!A:A,'WK 47'!F:F,"")</f>
        <v>0</v>
      </c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  <c r="AH561" s="61"/>
      <c r="AI561" s="61"/>
      <c r="AJ561" s="61"/>
      <c r="AK561" s="61"/>
    </row>
    <row r="562" customHeight="1" spans="1:37">
      <c r="A562" s="61"/>
      <c r="B562" s="61"/>
      <c r="C562" s="61"/>
      <c r="D562" s="61"/>
      <c r="E562" s="61"/>
      <c r="F562" s="20">
        <f t="array" ref="F562">_xlfn.XLOOKUP(A562,'WK 47'!A:A,'WK 47'!F:F,"")</f>
        <v>0</v>
      </c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  <c r="AH562" s="61"/>
      <c r="AI562" s="61"/>
      <c r="AJ562" s="61"/>
      <c r="AK562" s="61"/>
    </row>
    <row r="563" customHeight="1" spans="1:37">
      <c r="A563" s="61"/>
      <c r="B563" s="61"/>
      <c r="C563" s="61"/>
      <c r="D563" s="61"/>
      <c r="E563" s="61"/>
      <c r="F563" s="20">
        <f t="array" ref="F563">_xlfn.XLOOKUP(A563,'WK 47'!A:A,'WK 47'!F:F,"")</f>
        <v>0</v>
      </c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  <c r="AH563" s="61"/>
      <c r="AI563" s="61"/>
      <c r="AJ563" s="61"/>
      <c r="AK563" s="61"/>
    </row>
    <row r="564" customHeight="1" spans="1:37">
      <c r="A564" s="61"/>
      <c r="B564" s="61"/>
      <c r="C564" s="61"/>
      <c r="D564" s="61"/>
      <c r="E564" s="61"/>
      <c r="F564" s="20">
        <f t="array" ref="F564">_xlfn.XLOOKUP(A564,'WK 47'!A:A,'WK 47'!F:F,"")</f>
        <v>0</v>
      </c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  <c r="AH564" s="61"/>
      <c r="AI564" s="61"/>
      <c r="AJ564" s="61"/>
      <c r="AK564" s="61"/>
    </row>
    <row r="565" customHeight="1" spans="1:37">
      <c r="A565" s="61"/>
      <c r="B565" s="61"/>
      <c r="C565" s="61"/>
      <c r="D565" s="61"/>
      <c r="E565" s="61"/>
      <c r="F565" s="20">
        <f t="array" ref="F565">_xlfn.XLOOKUP(A565,'WK 47'!A:A,'WK 47'!F:F,"")</f>
        <v>0</v>
      </c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  <c r="AH565" s="61"/>
      <c r="AI565" s="61"/>
      <c r="AJ565" s="61"/>
      <c r="AK565" s="61"/>
    </row>
    <row r="566" customHeight="1" spans="1:37">
      <c r="A566" s="61"/>
      <c r="B566" s="61"/>
      <c r="C566" s="61"/>
      <c r="D566" s="61"/>
      <c r="E566" s="61"/>
      <c r="F566" s="20">
        <f t="array" ref="F566">_xlfn.XLOOKUP(A566,'WK 47'!A:A,'WK 47'!F:F,"")</f>
        <v>0</v>
      </c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  <c r="AH566" s="61"/>
      <c r="AI566" s="61"/>
      <c r="AJ566" s="61"/>
      <c r="AK566" s="61"/>
    </row>
    <row r="567" customHeight="1" spans="1:37">
      <c r="A567" s="61"/>
      <c r="B567" s="61"/>
      <c r="C567" s="61"/>
      <c r="D567" s="61"/>
      <c r="E567" s="61"/>
      <c r="F567" s="20">
        <f t="array" ref="F567">_xlfn.XLOOKUP(A567,'WK 47'!A:A,'WK 47'!F:F,"")</f>
        <v>0</v>
      </c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  <c r="AH567" s="61"/>
      <c r="AI567" s="61"/>
      <c r="AJ567" s="61"/>
      <c r="AK567" s="61"/>
    </row>
    <row r="568" customHeight="1" spans="1:37">
      <c r="A568" s="61"/>
      <c r="B568" s="61"/>
      <c r="C568" s="61"/>
      <c r="D568" s="61"/>
      <c r="E568" s="61"/>
      <c r="F568" s="20">
        <f t="array" ref="F568">_xlfn.XLOOKUP(A568,'WK 47'!A:A,'WK 47'!F:F,"")</f>
        <v>0</v>
      </c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  <c r="AH568" s="61"/>
      <c r="AI568" s="61"/>
      <c r="AJ568" s="61"/>
      <c r="AK568" s="61"/>
    </row>
    <row r="569" customHeight="1" spans="1:37">
      <c r="A569" s="61"/>
      <c r="B569" s="61"/>
      <c r="C569" s="61"/>
      <c r="D569" s="61"/>
      <c r="E569" s="61"/>
      <c r="F569" s="20">
        <f t="array" ref="F569">_xlfn.XLOOKUP(A569,'WK 47'!A:A,'WK 47'!F:F,"")</f>
        <v>0</v>
      </c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  <c r="AI569" s="61"/>
      <c r="AJ569" s="61"/>
      <c r="AK569" s="61"/>
    </row>
    <row r="570" customHeight="1" spans="1:37">
      <c r="A570" s="61"/>
      <c r="B570" s="61"/>
      <c r="C570" s="61"/>
      <c r="D570" s="61"/>
      <c r="E570" s="61"/>
      <c r="F570" s="20">
        <f t="array" ref="F570">_xlfn.XLOOKUP(A570,'WK 47'!A:A,'WK 47'!F:F,"")</f>
        <v>0</v>
      </c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  <c r="AH570" s="61"/>
      <c r="AI570" s="61"/>
      <c r="AJ570" s="61"/>
      <c r="AK570" s="61"/>
    </row>
    <row r="571" customHeight="1" spans="1:37">
      <c r="A571" s="61"/>
      <c r="B571" s="61"/>
      <c r="C571" s="61"/>
      <c r="D571" s="61"/>
      <c r="E571" s="61"/>
      <c r="F571" s="20">
        <f t="array" ref="F571">_xlfn.XLOOKUP(A571,'WK 47'!A:A,'WK 47'!F:F,"")</f>
        <v>0</v>
      </c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  <c r="AH571" s="61"/>
      <c r="AI571" s="61"/>
      <c r="AJ571" s="61"/>
      <c r="AK571" s="61"/>
    </row>
    <row r="572" customHeight="1" spans="1:37">
      <c r="A572" s="61"/>
      <c r="B572" s="61"/>
      <c r="C572" s="61"/>
      <c r="D572" s="61"/>
      <c r="E572" s="61"/>
      <c r="F572" s="20">
        <f t="array" ref="F572">_xlfn.XLOOKUP(A572,'WK 47'!A:A,'WK 47'!F:F,"")</f>
        <v>0</v>
      </c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  <c r="AH572" s="61"/>
      <c r="AI572" s="61"/>
      <c r="AJ572" s="61"/>
      <c r="AK572" s="61"/>
    </row>
    <row r="573" customHeight="1" spans="1:37">
      <c r="A573" s="61"/>
      <c r="B573" s="61"/>
      <c r="C573" s="61"/>
      <c r="D573" s="61"/>
      <c r="E573" s="61"/>
      <c r="F573" s="20">
        <f t="array" ref="F573">_xlfn.XLOOKUP(A573,'WK 47'!A:A,'WK 47'!F:F,"")</f>
        <v>0</v>
      </c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  <c r="AH573" s="61"/>
      <c r="AI573" s="61"/>
      <c r="AJ573" s="61"/>
      <c r="AK573" s="61"/>
    </row>
    <row r="574" customHeight="1" spans="1:37">
      <c r="A574" s="61"/>
      <c r="B574" s="61"/>
      <c r="C574" s="61"/>
      <c r="D574" s="61"/>
      <c r="E574" s="61"/>
      <c r="F574" s="20">
        <f t="array" ref="F574">_xlfn.XLOOKUP(A574,'WK 47'!A:A,'WK 47'!F:F,"")</f>
        <v>0</v>
      </c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  <c r="AH574" s="61"/>
      <c r="AI574" s="61"/>
      <c r="AJ574" s="61"/>
      <c r="AK574" s="61"/>
    </row>
    <row r="575" customHeight="1" spans="1:37">
      <c r="A575" s="61"/>
      <c r="B575" s="61"/>
      <c r="C575" s="61"/>
      <c r="D575" s="61"/>
      <c r="E575" s="61"/>
      <c r="F575" s="20">
        <f t="array" ref="F575">_xlfn.XLOOKUP(A575,'WK 47'!A:A,'WK 47'!F:F,"")</f>
        <v>0</v>
      </c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  <c r="AH575" s="61"/>
      <c r="AI575" s="61"/>
      <c r="AJ575" s="61"/>
      <c r="AK575" s="61"/>
    </row>
    <row r="576" customHeight="1" spans="1:37">
      <c r="A576" s="61"/>
      <c r="B576" s="61"/>
      <c r="C576" s="61"/>
      <c r="D576" s="61"/>
      <c r="E576" s="61"/>
      <c r="F576" s="20">
        <f t="array" ref="F576">_xlfn.XLOOKUP(A576,'WK 47'!A:A,'WK 47'!F:F,"")</f>
        <v>0</v>
      </c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  <c r="AH576" s="61"/>
      <c r="AI576" s="61"/>
      <c r="AJ576" s="61"/>
      <c r="AK576" s="61"/>
    </row>
    <row r="577" customHeight="1" spans="1:37">
      <c r="A577" s="61"/>
      <c r="B577" s="61"/>
      <c r="C577" s="61"/>
      <c r="D577" s="61"/>
      <c r="E577" s="61"/>
      <c r="F577" s="20">
        <f t="array" ref="F577">_xlfn.XLOOKUP(A577,'WK 47'!A:A,'WK 47'!F:F,"")</f>
        <v>0</v>
      </c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  <c r="AH577" s="61"/>
      <c r="AI577" s="61"/>
      <c r="AJ577" s="61"/>
      <c r="AK577" s="61"/>
    </row>
    <row r="578" customHeight="1" spans="1:37">
      <c r="A578" s="61"/>
      <c r="B578" s="61"/>
      <c r="C578" s="61"/>
      <c r="D578" s="61"/>
      <c r="E578" s="61"/>
      <c r="F578" s="20">
        <f t="array" ref="F578">_xlfn.XLOOKUP(A578,'WK 47'!A:A,'WK 47'!F:F,"")</f>
        <v>0</v>
      </c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  <c r="AH578" s="61"/>
      <c r="AI578" s="61"/>
      <c r="AJ578" s="61"/>
      <c r="AK578" s="61"/>
    </row>
    <row r="579" customHeight="1" spans="1:37">
      <c r="A579" s="61"/>
      <c r="B579" s="61"/>
      <c r="C579" s="61"/>
      <c r="D579" s="61"/>
      <c r="E579" s="61"/>
      <c r="F579" s="20">
        <f t="array" ref="F579">_xlfn.XLOOKUP(A579,'WK 47'!A:A,'WK 47'!F:F,"")</f>
        <v>0</v>
      </c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  <c r="AH579" s="61"/>
      <c r="AI579" s="61"/>
      <c r="AJ579" s="61"/>
      <c r="AK579" s="61"/>
    </row>
    <row r="580" customHeight="1" spans="1:37">
      <c r="A580" s="61"/>
      <c r="B580" s="61"/>
      <c r="C580" s="61"/>
      <c r="D580" s="61"/>
      <c r="E580" s="61"/>
      <c r="F580" s="20">
        <f t="array" ref="F580">_xlfn.XLOOKUP(A580,'WK 47'!A:A,'WK 47'!F:F,"")</f>
        <v>0</v>
      </c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  <c r="AH580" s="61"/>
      <c r="AI580" s="61"/>
      <c r="AJ580" s="61"/>
      <c r="AK580" s="61"/>
    </row>
    <row r="581" customHeight="1" spans="1:37">
      <c r="A581" s="61"/>
      <c r="B581" s="61"/>
      <c r="C581" s="61"/>
      <c r="D581" s="61"/>
      <c r="E581" s="61"/>
      <c r="F581" s="20">
        <f t="array" ref="F581">_xlfn.XLOOKUP(A581,'WK 47'!A:A,'WK 47'!F:F,"")</f>
        <v>0</v>
      </c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  <c r="AH581" s="61"/>
      <c r="AI581" s="61"/>
      <c r="AJ581" s="61"/>
      <c r="AK581" s="61"/>
    </row>
    <row r="582" customHeight="1" spans="1:37">
      <c r="A582" s="61"/>
      <c r="B582" s="61"/>
      <c r="C582" s="61"/>
      <c r="D582" s="61"/>
      <c r="E582" s="61"/>
      <c r="F582" s="20">
        <f t="array" ref="F582">_xlfn.XLOOKUP(A582,'WK 47'!A:A,'WK 47'!F:F,"")</f>
        <v>0</v>
      </c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  <c r="AH582" s="61"/>
      <c r="AI582" s="61"/>
      <c r="AJ582" s="61"/>
      <c r="AK582" s="61"/>
    </row>
    <row r="583" customHeight="1" spans="1:37">
      <c r="A583" s="61"/>
      <c r="B583" s="61"/>
      <c r="C583" s="61"/>
      <c r="D583" s="61"/>
      <c r="E583" s="61"/>
      <c r="F583" s="20">
        <f t="array" ref="F583">_xlfn.XLOOKUP(A583,'WK 47'!A:A,'WK 47'!F:F,"")</f>
        <v>0</v>
      </c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  <c r="AH583" s="61"/>
      <c r="AI583" s="61"/>
      <c r="AJ583" s="61"/>
      <c r="AK583" s="61"/>
    </row>
    <row r="584" customHeight="1" spans="1:37">
      <c r="A584" s="61"/>
      <c r="B584" s="61"/>
      <c r="C584" s="61"/>
      <c r="D584" s="61"/>
      <c r="E584" s="61"/>
      <c r="F584" s="20">
        <f t="array" ref="F584">_xlfn.XLOOKUP(A584,'WK 47'!A:A,'WK 47'!F:F,"")</f>
        <v>0</v>
      </c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  <c r="AH584" s="61"/>
      <c r="AI584" s="61"/>
      <c r="AJ584" s="61"/>
      <c r="AK584" s="61"/>
    </row>
    <row r="585" customHeight="1" spans="1:37">
      <c r="A585" s="61"/>
      <c r="B585" s="61"/>
      <c r="C585" s="61"/>
      <c r="D585" s="61"/>
      <c r="E585" s="61"/>
      <c r="F585" s="20">
        <f t="array" ref="F585">_xlfn.XLOOKUP(A585,'WK 47'!A:A,'WK 47'!F:F,"")</f>
        <v>0</v>
      </c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  <c r="AH585" s="61"/>
      <c r="AI585" s="61"/>
      <c r="AJ585" s="61"/>
      <c r="AK585" s="61"/>
    </row>
    <row r="586" customHeight="1" spans="1:37">
      <c r="A586" s="61"/>
      <c r="B586" s="61"/>
      <c r="C586" s="61"/>
      <c r="D586" s="61"/>
      <c r="E586" s="61"/>
      <c r="F586" s="20">
        <f t="array" ref="F586">_xlfn.XLOOKUP(A586,'WK 47'!A:A,'WK 47'!F:F,"")</f>
        <v>0</v>
      </c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  <c r="AH586" s="61"/>
      <c r="AI586" s="61"/>
      <c r="AJ586" s="61"/>
      <c r="AK586" s="61"/>
    </row>
    <row r="587" customHeight="1" spans="1:37">
      <c r="A587" s="61"/>
      <c r="B587" s="61"/>
      <c r="C587" s="61"/>
      <c r="D587" s="61"/>
      <c r="E587" s="61"/>
      <c r="F587" s="20">
        <f t="array" ref="F587">_xlfn.XLOOKUP(A587,'WK 47'!A:A,'WK 47'!F:F,"")</f>
        <v>0</v>
      </c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  <c r="AH587" s="61"/>
      <c r="AI587" s="61"/>
      <c r="AJ587" s="61"/>
      <c r="AK587" s="61"/>
    </row>
    <row r="588" customHeight="1" spans="1:37">
      <c r="A588" s="61"/>
      <c r="B588" s="61"/>
      <c r="C588" s="61"/>
      <c r="D588" s="61"/>
      <c r="E588" s="61"/>
      <c r="F588" s="20">
        <f t="array" ref="F588">_xlfn.XLOOKUP(A588,'WK 47'!A:A,'WK 47'!F:F,"")</f>
        <v>0</v>
      </c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  <c r="AH588" s="61"/>
      <c r="AI588" s="61"/>
      <c r="AJ588" s="61"/>
      <c r="AK588" s="61"/>
    </row>
    <row r="589" customHeight="1" spans="1:37">
      <c r="A589" s="61"/>
      <c r="B589" s="61"/>
      <c r="C589" s="61"/>
      <c r="D589" s="61"/>
      <c r="E589" s="61"/>
      <c r="F589" s="20">
        <f t="array" ref="F589">_xlfn.XLOOKUP(A589,'WK 47'!A:A,'WK 47'!F:F,"")</f>
        <v>0</v>
      </c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  <c r="AH589" s="61"/>
      <c r="AI589" s="61"/>
      <c r="AJ589" s="61"/>
      <c r="AK589" s="61"/>
    </row>
    <row r="590" customHeight="1" spans="1:37">
      <c r="A590" s="61"/>
      <c r="B590" s="61"/>
      <c r="C590" s="61"/>
      <c r="D590" s="61"/>
      <c r="E590" s="61"/>
      <c r="F590" s="20">
        <f t="array" ref="F590">_xlfn.XLOOKUP(A590,'WK 47'!A:A,'WK 47'!F:F,"")</f>
        <v>0</v>
      </c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  <c r="AH590" s="61"/>
      <c r="AI590" s="61"/>
      <c r="AJ590" s="61"/>
      <c r="AK590" s="61"/>
    </row>
    <row r="591" customHeight="1" spans="1:37">
      <c r="A591" s="61"/>
      <c r="B591" s="61"/>
      <c r="C591" s="61"/>
      <c r="D591" s="61"/>
      <c r="E591" s="61"/>
      <c r="F591" s="20">
        <f t="array" ref="F591">_xlfn.XLOOKUP(A591,'WK 47'!A:A,'WK 47'!F:F,"")</f>
        <v>0</v>
      </c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  <c r="AH591" s="61"/>
      <c r="AI591" s="61"/>
      <c r="AJ591" s="61"/>
      <c r="AK591" s="61"/>
    </row>
    <row r="592" customHeight="1" spans="1:37">
      <c r="A592" s="61"/>
      <c r="B592" s="61"/>
      <c r="C592" s="61"/>
      <c r="D592" s="61"/>
      <c r="E592" s="61"/>
      <c r="F592" s="20">
        <f t="array" ref="F592">_xlfn.XLOOKUP(A592,'WK 47'!A:A,'WK 47'!F:F,"")</f>
        <v>0</v>
      </c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  <c r="AH592" s="61"/>
      <c r="AI592" s="61"/>
      <c r="AJ592" s="61"/>
      <c r="AK592" s="61"/>
    </row>
    <row r="593" customHeight="1" spans="1:37">
      <c r="A593" s="61"/>
      <c r="B593" s="61"/>
      <c r="C593" s="61"/>
      <c r="D593" s="61"/>
      <c r="E593" s="61"/>
      <c r="F593" s="20">
        <f t="array" ref="F593">_xlfn.XLOOKUP(A593,'WK 47'!A:A,'WK 47'!F:F,"")</f>
        <v>0</v>
      </c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  <c r="AH593" s="61"/>
      <c r="AI593" s="61"/>
      <c r="AJ593" s="61"/>
      <c r="AK593" s="61"/>
    </row>
    <row r="594" customHeight="1" spans="1:37">
      <c r="A594" s="61"/>
      <c r="B594" s="61"/>
      <c r="C594" s="61"/>
      <c r="D594" s="61"/>
      <c r="E594" s="61"/>
      <c r="F594" s="20">
        <f t="array" ref="F594">_xlfn.XLOOKUP(A594,'WK 47'!A:A,'WK 47'!F:F,"")</f>
        <v>0</v>
      </c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  <c r="AH594" s="61"/>
      <c r="AI594" s="61"/>
      <c r="AJ594" s="61"/>
      <c r="AK594" s="61"/>
    </row>
    <row r="595" customHeight="1" spans="1:37">
      <c r="A595" s="61"/>
      <c r="B595" s="61"/>
      <c r="C595" s="61"/>
      <c r="D595" s="61"/>
      <c r="E595" s="61"/>
      <c r="F595" s="20">
        <f t="array" ref="F595">_xlfn.XLOOKUP(A595,'WK 47'!A:A,'WK 47'!F:F,"")</f>
        <v>0</v>
      </c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  <c r="AH595" s="61"/>
      <c r="AI595" s="61"/>
      <c r="AJ595" s="61"/>
      <c r="AK595" s="61"/>
    </row>
    <row r="596" customHeight="1" spans="1:37">
      <c r="A596" s="61"/>
      <c r="B596" s="61"/>
      <c r="C596" s="61"/>
      <c r="D596" s="61"/>
      <c r="E596" s="61"/>
      <c r="F596" s="20">
        <f t="array" ref="F596">_xlfn.XLOOKUP(A596,'WK 47'!A:A,'WK 47'!F:F,"")</f>
        <v>0</v>
      </c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  <c r="AH596" s="61"/>
      <c r="AI596" s="61"/>
      <c r="AJ596" s="61"/>
      <c r="AK596" s="61"/>
    </row>
    <row r="597" customHeight="1" spans="1:37">
      <c r="A597" s="61"/>
      <c r="B597" s="61"/>
      <c r="C597" s="61"/>
      <c r="D597" s="61"/>
      <c r="E597" s="61"/>
      <c r="F597" s="20">
        <f t="array" ref="F597">_xlfn.XLOOKUP(A597,'WK 47'!A:A,'WK 47'!F:F,"")</f>
        <v>0</v>
      </c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  <c r="AH597" s="61"/>
      <c r="AI597" s="61"/>
      <c r="AJ597" s="61"/>
      <c r="AK597" s="61"/>
    </row>
    <row r="598" customHeight="1" spans="1:37">
      <c r="A598" s="61"/>
      <c r="B598" s="61"/>
      <c r="C598" s="61"/>
      <c r="D598" s="61"/>
      <c r="E598" s="61"/>
      <c r="F598" s="20">
        <f t="array" ref="F598">_xlfn.XLOOKUP(A598,'WK 47'!A:A,'WK 47'!F:F,"")</f>
        <v>0</v>
      </c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  <c r="AH598" s="61"/>
      <c r="AI598" s="61"/>
      <c r="AJ598" s="61"/>
      <c r="AK598" s="61"/>
    </row>
    <row r="599" customHeight="1" spans="1:37">
      <c r="A599" s="61"/>
      <c r="B599" s="61"/>
      <c r="C599" s="61"/>
      <c r="D599" s="61"/>
      <c r="E599" s="61"/>
      <c r="F599" s="20">
        <f t="array" ref="F599">_xlfn.XLOOKUP(A599,'WK 47'!A:A,'WK 47'!F:F,"")</f>
        <v>0</v>
      </c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  <c r="AH599" s="61"/>
      <c r="AI599" s="61"/>
      <c r="AJ599" s="61"/>
      <c r="AK599" s="61"/>
    </row>
    <row r="600" customHeight="1" spans="1:37">
      <c r="A600" s="61"/>
      <c r="B600" s="61"/>
      <c r="C600" s="61"/>
      <c r="D600" s="61"/>
      <c r="E600" s="61"/>
      <c r="F600" s="20">
        <f t="array" ref="F600">_xlfn.XLOOKUP(A600,'WK 47'!A:A,'WK 47'!F:F,"")</f>
        <v>0</v>
      </c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  <c r="AH600" s="61"/>
      <c r="AI600" s="61"/>
      <c r="AJ600" s="61"/>
      <c r="AK600" s="61"/>
    </row>
    <row r="601" customHeight="1" spans="1:37">
      <c r="A601" s="61"/>
      <c r="B601" s="61"/>
      <c r="C601" s="61"/>
      <c r="D601" s="61"/>
      <c r="E601" s="61"/>
      <c r="F601" s="20">
        <f t="array" ref="F601">_xlfn.XLOOKUP(A601,'WK 47'!A:A,'WK 47'!F:F,"")</f>
        <v>0</v>
      </c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  <c r="AH601" s="61"/>
      <c r="AI601" s="61"/>
      <c r="AJ601" s="61"/>
      <c r="AK601" s="61"/>
    </row>
    <row r="602" customHeight="1" spans="1:37">
      <c r="A602" s="61"/>
      <c r="B602" s="61"/>
      <c r="C602" s="61"/>
      <c r="D602" s="61"/>
      <c r="E602" s="61"/>
      <c r="F602" s="20">
        <f t="array" ref="F602">_xlfn.XLOOKUP(A602,'WK 47'!A:A,'WK 47'!F:F,"")</f>
        <v>0</v>
      </c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  <c r="AH602" s="61"/>
      <c r="AI602" s="61"/>
      <c r="AJ602" s="61"/>
      <c r="AK602" s="61"/>
    </row>
    <row r="603" customHeight="1" spans="1:37">
      <c r="A603" s="61"/>
      <c r="B603" s="61"/>
      <c r="C603" s="61"/>
      <c r="D603" s="61"/>
      <c r="E603" s="61"/>
      <c r="F603" s="20">
        <f t="array" ref="F603">_xlfn.XLOOKUP(A603,'WK 47'!A:A,'WK 47'!F:F,"")</f>
        <v>0</v>
      </c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  <c r="AH603" s="61"/>
      <c r="AI603" s="61"/>
      <c r="AJ603" s="61"/>
      <c r="AK603" s="61"/>
    </row>
    <row r="604" customHeight="1" spans="1:37">
      <c r="A604" s="61"/>
      <c r="B604" s="61"/>
      <c r="C604" s="61"/>
      <c r="D604" s="61"/>
      <c r="E604" s="61"/>
      <c r="F604" s="20">
        <f t="array" ref="F604">_xlfn.XLOOKUP(A604,'WK 47'!A:A,'WK 47'!F:F,"")</f>
        <v>0</v>
      </c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  <c r="AH604" s="61"/>
      <c r="AI604" s="61"/>
      <c r="AJ604" s="61"/>
      <c r="AK604" s="61"/>
    </row>
    <row r="605" customHeight="1" spans="1:37">
      <c r="A605" s="61"/>
      <c r="B605" s="61"/>
      <c r="C605" s="61"/>
      <c r="D605" s="61"/>
      <c r="E605" s="61"/>
      <c r="F605" s="20">
        <f t="array" ref="F605">_xlfn.XLOOKUP(A605,'WK 47'!A:A,'WK 47'!F:F,"")</f>
        <v>0</v>
      </c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  <c r="AH605" s="61"/>
      <c r="AI605" s="61"/>
      <c r="AJ605" s="61"/>
      <c r="AK605" s="61"/>
    </row>
    <row r="606" customHeight="1" spans="1:37">
      <c r="A606" s="61"/>
      <c r="B606" s="61"/>
      <c r="C606" s="61"/>
      <c r="D606" s="61"/>
      <c r="E606" s="61"/>
      <c r="F606" s="20">
        <f t="array" ref="F606">_xlfn.XLOOKUP(A606,'WK 47'!A:A,'WK 47'!F:F,"")</f>
        <v>0</v>
      </c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  <c r="AH606" s="61"/>
      <c r="AI606" s="61"/>
      <c r="AJ606" s="61"/>
      <c r="AK606" s="61"/>
    </row>
    <row r="607" customHeight="1" spans="1:37">
      <c r="A607" s="61"/>
      <c r="B607" s="61"/>
      <c r="C607" s="61"/>
      <c r="D607" s="61"/>
      <c r="E607" s="61"/>
      <c r="F607" s="20">
        <f t="array" ref="F607">_xlfn.XLOOKUP(A607,'WK 47'!A:A,'WK 47'!F:F,"")</f>
        <v>0</v>
      </c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  <c r="AH607" s="61"/>
      <c r="AI607" s="61"/>
      <c r="AJ607" s="61"/>
      <c r="AK607" s="61"/>
    </row>
    <row r="608" customHeight="1" spans="1:37">
      <c r="A608" s="61"/>
      <c r="B608" s="61"/>
      <c r="C608" s="61"/>
      <c r="D608" s="61"/>
      <c r="E608" s="61"/>
      <c r="F608" s="20">
        <f t="array" ref="F608">_xlfn.XLOOKUP(A608,'WK 47'!A:A,'WK 47'!F:F,"")</f>
        <v>0</v>
      </c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  <c r="AH608" s="61"/>
      <c r="AI608" s="61"/>
      <c r="AJ608" s="61"/>
      <c r="AK608" s="61"/>
    </row>
    <row r="609" customHeight="1" spans="1:37">
      <c r="A609" s="61"/>
      <c r="B609" s="61"/>
      <c r="C609" s="61"/>
      <c r="D609" s="61"/>
      <c r="E609" s="61"/>
      <c r="F609" s="20">
        <f t="array" ref="F609">_xlfn.XLOOKUP(A609,'WK 47'!A:A,'WK 47'!F:F,"")</f>
        <v>0</v>
      </c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  <c r="AH609" s="61"/>
      <c r="AI609" s="61"/>
      <c r="AJ609" s="61"/>
      <c r="AK609" s="61"/>
    </row>
    <row r="610" customHeight="1" spans="1:37">
      <c r="A610" s="61"/>
      <c r="B610" s="61"/>
      <c r="C610" s="61"/>
      <c r="D610" s="61"/>
      <c r="E610" s="61"/>
      <c r="F610" s="20">
        <f t="array" ref="F610">_xlfn.XLOOKUP(A610,'WK 47'!A:A,'WK 47'!F:F,"")</f>
        <v>0</v>
      </c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  <c r="AH610" s="61"/>
      <c r="AI610" s="61"/>
      <c r="AJ610" s="61"/>
      <c r="AK610" s="61"/>
    </row>
    <row r="611" customHeight="1" spans="1:37">
      <c r="A611" s="61"/>
      <c r="B611" s="61"/>
      <c r="C611" s="61"/>
      <c r="D611" s="61"/>
      <c r="E611" s="61"/>
      <c r="F611" s="20">
        <f t="array" ref="F611">_xlfn.XLOOKUP(A611,'WK 47'!A:A,'WK 47'!F:F,"")</f>
        <v>0</v>
      </c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  <c r="AH611" s="61"/>
      <c r="AI611" s="61"/>
      <c r="AJ611" s="61"/>
      <c r="AK611" s="61"/>
    </row>
    <row r="612" customHeight="1" spans="1:37">
      <c r="A612" s="61"/>
      <c r="B612" s="61"/>
      <c r="C612" s="61"/>
      <c r="D612" s="61"/>
      <c r="E612" s="61"/>
      <c r="F612" s="20">
        <f t="array" ref="F612">_xlfn.XLOOKUP(A612,'WK 47'!A:A,'WK 47'!F:F,"")</f>
        <v>0</v>
      </c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  <c r="AH612" s="61"/>
      <c r="AI612" s="61"/>
      <c r="AJ612" s="61"/>
      <c r="AK612" s="61"/>
    </row>
    <row r="613" customHeight="1" spans="1:37">
      <c r="A613" s="61"/>
      <c r="B613" s="61"/>
      <c r="C613" s="61"/>
      <c r="D613" s="61"/>
      <c r="E613" s="61"/>
      <c r="F613" s="20">
        <f t="array" ref="F613">_xlfn.XLOOKUP(A613,'WK 47'!A:A,'WK 47'!F:F,"")</f>
        <v>0</v>
      </c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  <c r="AH613" s="61"/>
      <c r="AI613" s="61"/>
      <c r="AJ613" s="61"/>
      <c r="AK613" s="61"/>
    </row>
    <row r="614" customHeight="1" spans="1:37">
      <c r="A614" s="61"/>
      <c r="B614" s="61"/>
      <c r="C614" s="61"/>
      <c r="D614" s="61"/>
      <c r="E614" s="61"/>
      <c r="F614" s="20">
        <f t="array" ref="F614">_xlfn.XLOOKUP(A614,'WK 47'!A:A,'WK 47'!F:F,"")</f>
        <v>0</v>
      </c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  <c r="AH614" s="61"/>
      <c r="AI614" s="61"/>
      <c r="AJ614" s="61"/>
      <c r="AK614" s="61"/>
    </row>
    <row r="615" customHeight="1" spans="1:37">
      <c r="A615" s="61"/>
      <c r="B615" s="61"/>
      <c r="C615" s="61"/>
      <c r="D615" s="61"/>
      <c r="E615" s="61"/>
      <c r="F615" s="20">
        <f t="array" ref="F615">_xlfn.XLOOKUP(A615,'WK 47'!A:A,'WK 47'!F:F,"")</f>
        <v>0</v>
      </c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  <c r="AH615" s="61"/>
      <c r="AI615" s="61"/>
      <c r="AJ615" s="61"/>
      <c r="AK615" s="61"/>
    </row>
    <row r="616" customHeight="1" spans="1:37">
      <c r="A616" s="61"/>
      <c r="B616" s="61"/>
      <c r="C616" s="61"/>
      <c r="D616" s="61"/>
      <c r="E616" s="61"/>
      <c r="F616" s="20">
        <f t="array" ref="F616">_xlfn.XLOOKUP(A616,'WK 47'!A:A,'WK 47'!F:F,"")</f>
        <v>0</v>
      </c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  <c r="AH616" s="61"/>
      <c r="AI616" s="61"/>
      <c r="AJ616" s="61"/>
      <c r="AK616" s="61"/>
    </row>
    <row r="617" customHeight="1" spans="1:37">
      <c r="A617" s="61"/>
      <c r="B617" s="61"/>
      <c r="C617" s="61"/>
      <c r="D617" s="61"/>
      <c r="E617" s="61"/>
      <c r="F617" s="20">
        <f t="array" ref="F617">_xlfn.XLOOKUP(A617,'WK 47'!A:A,'WK 47'!F:F,"")</f>
        <v>0</v>
      </c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  <c r="AH617" s="61"/>
      <c r="AI617" s="61"/>
      <c r="AJ617" s="61"/>
      <c r="AK617" s="61"/>
    </row>
    <row r="618" customHeight="1" spans="1:37">
      <c r="A618" s="61"/>
      <c r="B618" s="61"/>
      <c r="C618" s="61"/>
      <c r="D618" s="61"/>
      <c r="E618" s="61"/>
      <c r="F618" s="20">
        <f t="array" ref="F618">_xlfn.XLOOKUP(A618,'WK 47'!A:A,'WK 47'!F:F,"")</f>
        <v>0</v>
      </c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  <c r="AH618" s="61"/>
      <c r="AI618" s="61"/>
      <c r="AJ618" s="61"/>
      <c r="AK618" s="61"/>
    </row>
    <row r="619" customHeight="1" spans="1:37">
      <c r="A619" s="61"/>
      <c r="B619" s="61"/>
      <c r="C619" s="61"/>
      <c r="D619" s="61"/>
      <c r="E619" s="61"/>
      <c r="F619" s="20">
        <f t="array" ref="F619">_xlfn.XLOOKUP(A619,'WK 47'!A:A,'WK 47'!F:F,"")</f>
        <v>0</v>
      </c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  <c r="AH619" s="61"/>
      <c r="AI619" s="61"/>
      <c r="AJ619" s="61"/>
      <c r="AK619" s="61"/>
    </row>
    <row r="620" customHeight="1" spans="1:37">
      <c r="A620" s="61"/>
      <c r="B620" s="61"/>
      <c r="C620" s="61"/>
      <c r="D620" s="61"/>
      <c r="E620" s="61"/>
      <c r="F620" s="20">
        <f t="array" ref="F620">_xlfn.XLOOKUP(A620,'WK 47'!A:A,'WK 47'!F:F,"")</f>
        <v>0</v>
      </c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  <c r="AH620" s="61"/>
      <c r="AI620" s="61"/>
      <c r="AJ620" s="61"/>
      <c r="AK620" s="61"/>
    </row>
    <row r="621" customHeight="1" spans="1:37">
      <c r="A621" s="61"/>
      <c r="B621" s="61"/>
      <c r="C621" s="61"/>
      <c r="D621" s="61"/>
      <c r="E621" s="61"/>
      <c r="F621" s="20">
        <f t="array" ref="F621">_xlfn.XLOOKUP(A621,'WK 47'!A:A,'WK 47'!F:F,"")</f>
        <v>0</v>
      </c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  <c r="AH621" s="61"/>
      <c r="AI621" s="61"/>
      <c r="AJ621" s="61"/>
      <c r="AK621" s="61"/>
    </row>
    <row r="622" customHeight="1" spans="1:37">
      <c r="A622" s="61"/>
      <c r="B622" s="61"/>
      <c r="C622" s="61"/>
      <c r="D622" s="61"/>
      <c r="E622" s="61"/>
      <c r="F622" s="20">
        <f t="array" ref="F622">_xlfn.XLOOKUP(A622,'WK 47'!A:A,'WK 47'!F:F,"")</f>
        <v>0</v>
      </c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  <c r="AH622" s="61"/>
      <c r="AI622" s="61"/>
      <c r="AJ622" s="61"/>
      <c r="AK622" s="61"/>
    </row>
    <row r="623" customHeight="1" spans="1:37">
      <c r="A623" s="61"/>
      <c r="B623" s="61"/>
      <c r="C623" s="61"/>
      <c r="D623" s="61"/>
      <c r="E623" s="61"/>
      <c r="F623" s="20">
        <f t="array" ref="F623">_xlfn.XLOOKUP(A623,'WK 47'!A:A,'WK 47'!F:F,"")</f>
        <v>0</v>
      </c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  <c r="AH623" s="61"/>
      <c r="AI623" s="61"/>
      <c r="AJ623" s="61"/>
      <c r="AK623" s="61"/>
    </row>
    <row r="624" customHeight="1" spans="1:37">
      <c r="A624" s="61"/>
      <c r="B624" s="61"/>
      <c r="C624" s="61"/>
      <c r="D624" s="61"/>
      <c r="E624" s="61"/>
      <c r="F624" s="20">
        <f t="array" ref="F624">_xlfn.XLOOKUP(A624,'WK 47'!A:A,'WK 47'!F:F,"")</f>
        <v>0</v>
      </c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  <c r="AH624" s="61"/>
      <c r="AI624" s="61"/>
      <c r="AJ624" s="61"/>
      <c r="AK624" s="61"/>
    </row>
    <row r="625" customHeight="1" spans="1:37">
      <c r="A625" s="61"/>
      <c r="B625" s="61"/>
      <c r="C625" s="61"/>
      <c r="D625" s="61"/>
      <c r="E625" s="61"/>
      <c r="F625" s="20">
        <f t="array" ref="F625">_xlfn.XLOOKUP(A625,'WK 47'!A:A,'WK 47'!F:F,"")</f>
        <v>0</v>
      </c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  <c r="AH625" s="61"/>
      <c r="AI625" s="61"/>
      <c r="AJ625" s="61"/>
      <c r="AK625" s="61"/>
    </row>
    <row r="626" customHeight="1" spans="1:37">
      <c r="A626" s="61"/>
      <c r="B626" s="61"/>
      <c r="C626" s="61"/>
      <c r="D626" s="61"/>
      <c r="E626" s="61"/>
      <c r="F626" s="20">
        <f t="array" ref="F626">_xlfn.XLOOKUP(A626,'WK 47'!A:A,'WK 47'!F:F,"")</f>
        <v>0</v>
      </c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  <c r="AH626" s="61"/>
      <c r="AI626" s="61"/>
      <c r="AJ626" s="61"/>
      <c r="AK626" s="61"/>
    </row>
    <row r="627" customHeight="1" spans="1:37">
      <c r="A627" s="61"/>
      <c r="B627" s="61"/>
      <c r="C627" s="61"/>
      <c r="D627" s="61"/>
      <c r="E627" s="61"/>
      <c r="F627" s="20">
        <f t="array" ref="F627">_xlfn.XLOOKUP(A627,'WK 47'!A:A,'WK 47'!F:F,"")</f>
        <v>0</v>
      </c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  <c r="AH627" s="61"/>
      <c r="AI627" s="61"/>
      <c r="AJ627" s="61"/>
      <c r="AK627" s="61"/>
    </row>
    <row r="628" customHeight="1" spans="1:37">
      <c r="A628" s="61"/>
      <c r="B628" s="61"/>
      <c r="C628" s="61"/>
      <c r="D628" s="61"/>
      <c r="E628" s="61"/>
      <c r="F628" s="20">
        <f t="array" ref="F628">_xlfn.XLOOKUP(A628,'WK 47'!A:A,'WK 47'!F:F,"")</f>
        <v>0</v>
      </c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  <c r="AH628" s="61"/>
      <c r="AI628" s="61"/>
      <c r="AJ628" s="61"/>
      <c r="AK628" s="61"/>
    </row>
    <row r="629" customHeight="1" spans="1:37">
      <c r="A629" s="61"/>
      <c r="B629" s="61"/>
      <c r="C629" s="61"/>
      <c r="D629" s="61"/>
      <c r="E629" s="61"/>
      <c r="F629" s="20">
        <f t="array" ref="F629">_xlfn.XLOOKUP(A629,'WK 47'!A:A,'WK 47'!F:F,"")</f>
        <v>0</v>
      </c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  <c r="AH629" s="61"/>
      <c r="AI629" s="61"/>
      <c r="AJ629" s="61"/>
      <c r="AK629" s="61"/>
    </row>
    <row r="630" customHeight="1" spans="1:37">
      <c r="A630" s="61"/>
      <c r="B630" s="61"/>
      <c r="C630" s="61"/>
      <c r="D630" s="61"/>
      <c r="E630" s="61"/>
      <c r="F630" s="20">
        <f t="array" ref="F630">_xlfn.XLOOKUP(A630,'WK 47'!A:A,'WK 47'!F:F,"")</f>
        <v>0</v>
      </c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  <c r="AH630" s="61"/>
      <c r="AI630" s="61"/>
      <c r="AJ630" s="61"/>
      <c r="AK630" s="61"/>
    </row>
    <row r="631" customHeight="1" spans="1:37">
      <c r="A631" s="61"/>
      <c r="B631" s="61"/>
      <c r="C631" s="61"/>
      <c r="D631" s="61"/>
      <c r="E631" s="61"/>
      <c r="F631" s="20">
        <f t="array" ref="F631">_xlfn.XLOOKUP(A631,'WK 47'!A:A,'WK 47'!F:F,"")</f>
        <v>0</v>
      </c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  <c r="AH631" s="61"/>
      <c r="AI631" s="61"/>
      <c r="AJ631" s="61"/>
      <c r="AK631" s="61"/>
    </row>
    <row r="632" customHeight="1" spans="1:37">
      <c r="A632" s="61"/>
      <c r="B632" s="61"/>
      <c r="C632" s="61"/>
      <c r="D632" s="61"/>
      <c r="E632" s="61"/>
      <c r="F632" s="20">
        <f t="array" ref="F632">_xlfn.XLOOKUP(A632,'WK 47'!A:A,'WK 47'!F:F,"")</f>
        <v>0</v>
      </c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  <c r="AH632" s="61"/>
      <c r="AI632" s="61"/>
      <c r="AJ632" s="61"/>
      <c r="AK632" s="61"/>
    </row>
    <row r="633" customHeight="1" spans="1:37">
      <c r="A633" s="61"/>
      <c r="B633" s="61"/>
      <c r="C633" s="61"/>
      <c r="D633" s="61"/>
      <c r="E633" s="61"/>
      <c r="F633" s="20">
        <f t="array" ref="F633">_xlfn.XLOOKUP(A633,'WK 47'!A:A,'WK 47'!F:F,"")</f>
        <v>0</v>
      </c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  <c r="AH633" s="61"/>
      <c r="AI633" s="61"/>
      <c r="AJ633" s="61"/>
      <c r="AK633" s="61"/>
    </row>
    <row r="634" customHeight="1" spans="1:37">
      <c r="A634" s="61"/>
      <c r="B634" s="61"/>
      <c r="C634" s="61"/>
      <c r="D634" s="61"/>
      <c r="E634" s="61"/>
      <c r="F634" s="20">
        <f t="array" ref="F634">_xlfn.XLOOKUP(A634,'WK 47'!A:A,'WK 47'!F:F,"")</f>
        <v>0</v>
      </c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  <c r="AH634" s="61"/>
      <c r="AI634" s="61"/>
      <c r="AJ634" s="61"/>
      <c r="AK634" s="61"/>
    </row>
    <row r="635" customHeight="1" spans="1:37">
      <c r="A635" s="61"/>
      <c r="B635" s="61"/>
      <c r="C635" s="61"/>
      <c r="D635" s="61"/>
      <c r="E635" s="61"/>
      <c r="F635" s="20">
        <f t="array" ref="F635">_xlfn.XLOOKUP(A635,'WK 47'!A:A,'WK 47'!F:F,"")</f>
        <v>0</v>
      </c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  <c r="AH635" s="61"/>
      <c r="AI635" s="61"/>
      <c r="AJ635" s="61"/>
      <c r="AK635" s="61"/>
    </row>
    <row r="636" customHeight="1" spans="1:37">
      <c r="A636" s="61"/>
      <c r="B636" s="61"/>
      <c r="C636" s="61"/>
      <c r="D636" s="61"/>
      <c r="E636" s="61"/>
      <c r="F636" s="20">
        <f t="array" ref="F636">_xlfn.XLOOKUP(A636,'WK 47'!A:A,'WK 47'!F:F,"")</f>
        <v>0</v>
      </c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  <c r="AH636" s="61"/>
      <c r="AI636" s="61"/>
      <c r="AJ636" s="61"/>
      <c r="AK636" s="61"/>
    </row>
    <row r="637" customHeight="1" spans="1:37">
      <c r="A637" s="61"/>
      <c r="B637" s="61"/>
      <c r="C637" s="61"/>
      <c r="D637" s="61"/>
      <c r="E637" s="61"/>
      <c r="F637" s="20">
        <f t="array" ref="F637">_xlfn.XLOOKUP(A637,'WK 47'!A:A,'WK 47'!F:F,"")</f>
        <v>0</v>
      </c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  <c r="AH637" s="61"/>
      <c r="AI637" s="61"/>
      <c r="AJ637" s="61"/>
      <c r="AK637" s="61"/>
    </row>
    <row r="638" customHeight="1" spans="1:37">
      <c r="A638" s="61"/>
      <c r="B638" s="61"/>
      <c r="C638" s="61"/>
      <c r="D638" s="61"/>
      <c r="E638" s="61"/>
      <c r="F638" s="20">
        <f t="array" ref="F638">_xlfn.XLOOKUP(A638,'WK 47'!A:A,'WK 47'!F:F,"")</f>
        <v>0</v>
      </c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  <c r="AH638" s="61"/>
      <c r="AI638" s="61"/>
      <c r="AJ638" s="61"/>
      <c r="AK638" s="61"/>
    </row>
    <row r="639" customHeight="1" spans="1:37">
      <c r="A639" s="61"/>
      <c r="B639" s="61"/>
      <c r="C639" s="61"/>
      <c r="D639" s="61"/>
      <c r="E639" s="61"/>
      <c r="F639" s="20">
        <f t="array" ref="F639">_xlfn.XLOOKUP(A639,'WK 47'!A:A,'WK 47'!F:F,"")</f>
        <v>0</v>
      </c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  <c r="AH639" s="61"/>
      <c r="AI639" s="61"/>
      <c r="AJ639" s="61"/>
      <c r="AK639" s="61"/>
    </row>
    <row r="640" customHeight="1" spans="1:37">
      <c r="A640" s="61"/>
      <c r="B640" s="61"/>
      <c r="C640" s="61"/>
      <c r="D640" s="61"/>
      <c r="E640" s="61"/>
      <c r="F640" s="20">
        <f t="array" ref="F640">_xlfn.XLOOKUP(A640,'WK 47'!A:A,'WK 47'!F:F,"")</f>
        <v>0</v>
      </c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  <c r="AH640" s="61"/>
      <c r="AI640" s="61"/>
      <c r="AJ640" s="61"/>
      <c r="AK640" s="61"/>
    </row>
    <row r="641" customHeight="1" spans="1:37">
      <c r="A641" s="61"/>
      <c r="B641" s="61"/>
      <c r="C641" s="61"/>
      <c r="D641" s="61"/>
      <c r="E641" s="61"/>
      <c r="F641" s="20">
        <f t="array" ref="F641">_xlfn.XLOOKUP(A641,'WK 47'!A:A,'WK 47'!F:F,"")</f>
        <v>0</v>
      </c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  <c r="AH641" s="61"/>
      <c r="AI641" s="61"/>
      <c r="AJ641" s="61"/>
      <c r="AK641" s="61"/>
    </row>
    <row r="642" customHeight="1" spans="1:37">
      <c r="A642" s="61"/>
      <c r="B642" s="61"/>
      <c r="C642" s="61"/>
      <c r="D642" s="61"/>
      <c r="E642" s="61"/>
      <c r="F642" s="20">
        <f t="array" ref="F642">_xlfn.XLOOKUP(A642,'WK 47'!A:A,'WK 47'!F:F,"")</f>
        <v>0</v>
      </c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  <c r="AH642" s="61"/>
      <c r="AI642" s="61"/>
      <c r="AJ642" s="61"/>
      <c r="AK642" s="61"/>
    </row>
    <row r="643" customHeight="1" spans="1:37">
      <c r="A643" s="61"/>
      <c r="B643" s="61"/>
      <c r="C643" s="61"/>
      <c r="D643" s="61"/>
      <c r="E643" s="61"/>
      <c r="F643" s="20">
        <f t="array" ref="F643">_xlfn.XLOOKUP(A643,'WK 47'!A:A,'WK 47'!F:F,"")</f>
        <v>0</v>
      </c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  <c r="AH643" s="61"/>
      <c r="AI643" s="61"/>
      <c r="AJ643" s="61"/>
      <c r="AK643" s="61"/>
    </row>
    <row r="644" customHeight="1" spans="1:37">
      <c r="A644" s="61"/>
      <c r="B644" s="61"/>
      <c r="C644" s="61"/>
      <c r="D644" s="61"/>
      <c r="E644" s="61"/>
      <c r="F644" s="20">
        <f t="array" ref="F644">_xlfn.XLOOKUP(A644,'WK 47'!A:A,'WK 47'!F:F,"")</f>
        <v>0</v>
      </c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  <c r="AH644" s="61"/>
      <c r="AI644" s="61"/>
      <c r="AJ644" s="61"/>
      <c r="AK644" s="61"/>
    </row>
    <row r="645" customHeight="1" spans="1:37">
      <c r="A645" s="61"/>
      <c r="B645" s="61"/>
      <c r="C645" s="61"/>
      <c r="D645" s="61"/>
      <c r="E645" s="61"/>
      <c r="F645" s="20">
        <f t="array" ref="F645">_xlfn.XLOOKUP(A645,'WK 47'!A:A,'WK 47'!F:F,"")</f>
        <v>0</v>
      </c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  <c r="AH645" s="61"/>
      <c r="AI645" s="61"/>
      <c r="AJ645" s="61"/>
      <c r="AK645" s="61"/>
    </row>
    <row r="646" customHeight="1" spans="1:37">
      <c r="A646" s="61"/>
      <c r="B646" s="61"/>
      <c r="C646" s="61"/>
      <c r="D646" s="61"/>
      <c r="E646" s="61"/>
      <c r="F646" s="20">
        <f t="array" ref="F646">_xlfn.XLOOKUP(A646,'WK 47'!A:A,'WK 47'!F:F,"")</f>
        <v>0</v>
      </c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  <c r="AH646" s="61"/>
      <c r="AI646" s="61"/>
      <c r="AJ646" s="61"/>
      <c r="AK646" s="61"/>
    </row>
    <row r="647" customHeight="1" spans="1:37">
      <c r="A647" s="61"/>
      <c r="B647" s="61"/>
      <c r="C647" s="61"/>
      <c r="D647" s="61"/>
      <c r="E647" s="61"/>
      <c r="F647" s="20">
        <f t="array" ref="F647">_xlfn.XLOOKUP(A647,'WK 47'!A:A,'WK 47'!F:F,"")</f>
        <v>0</v>
      </c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  <c r="AH647" s="61"/>
      <c r="AI647" s="61"/>
      <c r="AJ647" s="61"/>
      <c r="AK647" s="61"/>
    </row>
    <row r="648" customHeight="1" spans="1:37">
      <c r="A648" s="61"/>
      <c r="B648" s="61"/>
      <c r="C648" s="61"/>
      <c r="D648" s="61"/>
      <c r="E648" s="61"/>
      <c r="F648" s="20">
        <f t="array" ref="F648">_xlfn.XLOOKUP(A648,'WK 47'!A:A,'WK 47'!F:F,"")</f>
        <v>0</v>
      </c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  <c r="AH648" s="61"/>
      <c r="AI648" s="61"/>
      <c r="AJ648" s="61"/>
      <c r="AK648" s="61"/>
    </row>
    <row r="649" customHeight="1" spans="1:37">
      <c r="A649" s="61"/>
      <c r="B649" s="61"/>
      <c r="C649" s="61"/>
      <c r="D649" s="61"/>
      <c r="E649" s="61"/>
      <c r="F649" s="20">
        <f t="array" ref="F649">_xlfn.XLOOKUP(A649,'WK 47'!A:A,'WK 47'!F:F,"")</f>
        <v>0</v>
      </c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  <c r="AH649" s="61"/>
      <c r="AI649" s="61"/>
      <c r="AJ649" s="61"/>
      <c r="AK649" s="61"/>
    </row>
    <row r="650" customHeight="1" spans="1:37">
      <c r="A650" s="61"/>
      <c r="B650" s="61"/>
      <c r="C650" s="61"/>
      <c r="D650" s="61"/>
      <c r="E650" s="61"/>
      <c r="F650" s="20">
        <f t="array" ref="F650">_xlfn.XLOOKUP(A650,'WK 47'!A:A,'WK 47'!F:F,"")</f>
        <v>0</v>
      </c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  <c r="AH650" s="61"/>
      <c r="AI650" s="61"/>
      <c r="AJ650" s="61"/>
      <c r="AK650" s="61"/>
    </row>
    <row r="651" customHeight="1" spans="1:37">
      <c r="A651" s="61"/>
      <c r="B651" s="61"/>
      <c r="C651" s="61"/>
      <c r="D651" s="61"/>
      <c r="E651" s="61"/>
      <c r="F651" s="20">
        <f t="array" ref="F651">_xlfn.XLOOKUP(A651,'WK 47'!A:A,'WK 47'!F:F,"")</f>
        <v>0</v>
      </c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  <c r="AH651" s="61"/>
      <c r="AI651" s="61"/>
      <c r="AJ651" s="61"/>
      <c r="AK651" s="61"/>
    </row>
    <row r="652" customHeight="1" spans="1:37">
      <c r="A652" s="61"/>
      <c r="B652" s="61"/>
      <c r="C652" s="61"/>
      <c r="D652" s="61"/>
      <c r="E652" s="61"/>
      <c r="F652" s="20">
        <f t="array" ref="F652">_xlfn.XLOOKUP(A652,'WK 47'!A:A,'WK 47'!F:F,"")</f>
        <v>0</v>
      </c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  <c r="AH652" s="61"/>
      <c r="AI652" s="61"/>
      <c r="AJ652" s="61"/>
      <c r="AK652" s="61"/>
    </row>
    <row r="653" customHeight="1" spans="1:37">
      <c r="A653" s="61"/>
      <c r="B653" s="61"/>
      <c r="C653" s="61"/>
      <c r="D653" s="61"/>
      <c r="E653" s="61"/>
      <c r="F653" s="20">
        <f t="array" ref="F653">_xlfn.XLOOKUP(A653,'WK 47'!A:A,'WK 47'!F:F,"")</f>
        <v>0</v>
      </c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  <c r="AH653" s="61"/>
      <c r="AI653" s="61"/>
      <c r="AJ653" s="61"/>
      <c r="AK653" s="61"/>
    </row>
    <row r="654" customHeight="1" spans="1:37">
      <c r="A654" s="61"/>
      <c r="B654" s="61"/>
      <c r="C654" s="61"/>
      <c r="D654" s="61"/>
      <c r="E654" s="61"/>
      <c r="F654" s="20">
        <f t="array" ref="F654">_xlfn.XLOOKUP(A654,'WK 47'!A:A,'WK 47'!F:F,"")</f>
        <v>0</v>
      </c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  <c r="AH654" s="61"/>
      <c r="AI654" s="61"/>
      <c r="AJ654" s="61"/>
      <c r="AK654" s="61"/>
    </row>
    <row r="655" customHeight="1" spans="1:37">
      <c r="A655" s="61"/>
      <c r="B655" s="61"/>
      <c r="C655" s="61"/>
      <c r="D655" s="61"/>
      <c r="E655" s="61"/>
      <c r="F655" s="20">
        <f t="array" ref="F655">_xlfn.XLOOKUP(A655,'WK 47'!A:A,'WK 47'!F:F,"")</f>
        <v>0</v>
      </c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  <c r="AH655" s="61"/>
      <c r="AI655" s="61"/>
      <c r="AJ655" s="61"/>
      <c r="AK655" s="61"/>
    </row>
    <row r="656" customHeight="1" spans="1:37">
      <c r="A656" s="61"/>
      <c r="B656" s="61"/>
      <c r="C656" s="61"/>
      <c r="D656" s="61"/>
      <c r="E656" s="61"/>
      <c r="F656" s="20">
        <f t="array" ref="F656">_xlfn.XLOOKUP(A656,'WK 47'!A:A,'WK 47'!F:F,"")</f>
        <v>0</v>
      </c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  <c r="AH656" s="61"/>
      <c r="AI656" s="61"/>
      <c r="AJ656" s="61"/>
      <c r="AK656" s="61"/>
    </row>
    <row r="657" customHeight="1" spans="1:37">
      <c r="A657" s="61"/>
      <c r="B657" s="61"/>
      <c r="C657" s="61"/>
      <c r="D657" s="61"/>
      <c r="E657" s="61"/>
      <c r="F657" s="20">
        <f t="array" ref="F657">_xlfn.XLOOKUP(A657,'WK 47'!A:A,'WK 47'!F:F,"")</f>
        <v>0</v>
      </c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  <c r="AH657" s="61"/>
      <c r="AI657" s="61"/>
      <c r="AJ657" s="61"/>
      <c r="AK657" s="61"/>
    </row>
    <row r="658" customHeight="1" spans="1:37">
      <c r="A658" s="61"/>
      <c r="B658" s="61"/>
      <c r="C658" s="61"/>
      <c r="D658" s="61"/>
      <c r="E658" s="61"/>
      <c r="F658" s="20">
        <f t="array" ref="F658">_xlfn.XLOOKUP(A658,'WK 47'!A:A,'WK 47'!F:F,"")</f>
        <v>0</v>
      </c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  <c r="AH658" s="61"/>
      <c r="AI658" s="61"/>
      <c r="AJ658" s="61"/>
      <c r="AK658" s="61"/>
    </row>
    <row r="659" customHeight="1" spans="1:37">
      <c r="A659" s="61"/>
      <c r="B659" s="61"/>
      <c r="C659" s="61"/>
      <c r="D659" s="61"/>
      <c r="E659" s="61"/>
      <c r="F659" s="20">
        <f t="array" ref="F659">_xlfn.XLOOKUP(A659,'WK 47'!A:A,'WK 47'!F:F,"")</f>
        <v>0</v>
      </c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  <c r="AH659" s="61"/>
      <c r="AI659" s="61"/>
      <c r="AJ659" s="61"/>
      <c r="AK659" s="61"/>
    </row>
    <row r="660" customHeight="1" spans="1:37">
      <c r="A660" s="61"/>
      <c r="B660" s="61"/>
      <c r="C660" s="61"/>
      <c r="D660" s="61"/>
      <c r="E660" s="61"/>
      <c r="F660" s="20">
        <f t="array" ref="F660">_xlfn.XLOOKUP(A660,'WK 47'!A:A,'WK 47'!F:F,"")</f>
        <v>0</v>
      </c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  <c r="AH660" s="61"/>
      <c r="AI660" s="61"/>
      <c r="AJ660" s="61"/>
      <c r="AK660" s="61"/>
    </row>
    <row r="661" customHeight="1" spans="1:37">
      <c r="A661" s="61"/>
      <c r="B661" s="61"/>
      <c r="C661" s="61"/>
      <c r="D661" s="61"/>
      <c r="E661" s="61"/>
      <c r="F661" s="20">
        <f t="array" ref="F661">_xlfn.XLOOKUP(A661,'WK 47'!A:A,'WK 47'!F:F,"")</f>
        <v>0</v>
      </c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  <c r="AH661" s="61"/>
      <c r="AI661" s="61"/>
      <c r="AJ661" s="61"/>
      <c r="AK661" s="61"/>
    </row>
    <row r="662" customHeight="1" spans="1:37">
      <c r="A662" s="61"/>
      <c r="B662" s="61"/>
      <c r="C662" s="61"/>
      <c r="D662" s="61"/>
      <c r="E662" s="61"/>
      <c r="F662" s="20">
        <f t="array" ref="F662">_xlfn.XLOOKUP(A662,'WK 47'!A:A,'WK 47'!F:F,"")</f>
        <v>0</v>
      </c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  <c r="AH662" s="61"/>
      <c r="AI662" s="61"/>
      <c r="AJ662" s="61"/>
      <c r="AK662" s="61"/>
    </row>
    <row r="663" customHeight="1" spans="1:37">
      <c r="A663" s="61"/>
      <c r="B663" s="61"/>
      <c r="C663" s="61"/>
      <c r="D663" s="61"/>
      <c r="E663" s="61"/>
      <c r="F663" s="20">
        <f t="array" ref="F663">_xlfn.XLOOKUP(A663,'WK 47'!A:A,'WK 47'!F:F,"")</f>
        <v>0</v>
      </c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  <c r="AH663" s="61"/>
      <c r="AI663" s="61"/>
      <c r="AJ663" s="61"/>
      <c r="AK663" s="61"/>
    </row>
    <row r="664" customHeight="1" spans="1:37">
      <c r="A664" s="61"/>
      <c r="B664" s="61"/>
      <c r="C664" s="61"/>
      <c r="D664" s="61"/>
      <c r="E664" s="61"/>
      <c r="F664" s="20">
        <f t="array" ref="F664">_xlfn.XLOOKUP(A664,'WK 47'!A:A,'WK 47'!F:F,"")</f>
        <v>0</v>
      </c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  <c r="AH664" s="61"/>
      <c r="AI664" s="61"/>
      <c r="AJ664" s="61"/>
      <c r="AK664" s="61"/>
    </row>
    <row r="665" customHeight="1" spans="1:37">
      <c r="A665" s="61"/>
      <c r="B665" s="61"/>
      <c r="C665" s="61"/>
      <c r="D665" s="61"/>
      <c r="E665" s="61"/>
      <c r="F665" s="20">
        <f t="array" ref="F665">_xlfn.XLOOKUP(A665,'WK 47'!A:A,'WK 47'!F:F,"")</f>
        <v>0</v>
      </c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  <c r="AH665" s="61"/>
      <c r="AI665" s="61"/>
      <c r="AJ665" s="61"/>
      <c r="AK665" s="61"/>
    </row>
    <row r="666" customHeight="1" spans="1:37">
      <c r="A666" s="61"/>
      <c r="B666" s="61"/>
      <c r="C666" s="61"/>
      <c r="D666" s="61"/>
      <c r="E666" s="61"/>
      <c r="F666" s="20">
        <f t="array" ref="F666">_xlfn.XLOOKUP(A666,'WK 47'!A:A,'WK 47'!F:F,"")</f>
        <v>0</v>
      </c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  <c r="AH666" s="61"/>
      <c r="AI666" s="61"/>
      <c r="AJ666" s="61"/>
      <c r="AK666" s="61"/>
    </row>
    <row r="667" customHeight="1" spans="1:37">
      <c r="A667" s="61"/>
      <c r="B667" s="61"/>
      <c r="C667" s="61"/>
      <c r="D667" s="61"/>
      <c r="E667" s="61"/>
      <c r="F667" s="20">
        <f t="array" ref="F667">_xlfn.XLOOKUP(A667,'WK 47'!A:A,'WK 47'!F:F,"")</f>
        <v>0</v>
      </c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  <c r="AH667" s="61"/>
      <c r="AI667" s="61"/>
      <c r="AJ667" s="61"/>
      <c r="AK667" s="61"/>
    </row>
    <row r="668" customHeight="1" spans="1:37">
      <c r="A668" s="61"/>
      <c r="B668" s="61"/>
      <c r="C668" s="61"/>
      <c r="D668" s="61"/>
      <c r="E668" s="61"/>
      <c r="F668" s="20">
        <f t="array" ref="F668">_xlfn.XLOOKUP(A668,'WK 47'!A:A,'WK 47'!F:F,"")</f>
        <v>0</v>
      </c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  <c r="AH668" s="61"/>
      <c r="AI668" s="61"/>
      <c r="AJ668" s="61"/>
      <c r="AK668" s="61"/>
    </row>
    <row r="669" customHeight="1" spans="1:37">
      <c r="A669" s="61"/>
      <c r="B669" s="61"/>
      <c r="C669" s="61"/>
      <c r="D669" s="61"/>
      <c r="E669" s="61"/>
      <c r="F669" s="20">
        <f t="array" ref="F669">_xlfn.XLOOKUP(A669,'WK 47'!A:A,'WK 47'!F:F,"")</f>
        <v>0</v>
      </c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  <c r="AH669" s="61"/>
      <c r="AI669" s="61"/>
      <c r="AJ669" s="61"/>
      <c r="AK669" s="61"/>
    </row>
    <row r="670" customHeight="1" spans="1:37">
      <c r="A670" s="61"/>
      <c r="B670" s="61"/>
      <c r="C670" s="61"/>
      <c r="D670" s="61"/>
      <c r="E670" s="61"/>
      <c r="F670" s="20">
        <f t="array" ref="F670">_xlfn.XLOOKUP(A670,'WK 47'!A:A,'WK 47'!F:F,"")</f>
        <v>0</v>
      </c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  <c r="AH670" s="61"/>
      <c r="AI670" s="61"/>
      <c r="AJ670" s="61"/>
      <c r="AK670" s="61"/>
    </row>
    <row r="671" customHeight="1" spans="1:37">
      <c r="A671" s="61"/>
      <c r="B671" s="61"/>
      <c r="C671" s="61"/>
      <c r="D671" s="61"/>
      <c r="E671" s="61"/>
      <c r="F671" s="20">
        <f t="array" ref="F671">_xlfn.XLOOKUP(A671,'WK 47'!A:A,'WK 47'!F:F,"")</f>
        <v>0</v>
      </c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  <c r="AH671" s="61"/>
      <c r="AI671" s="61"/>
      <c r="AJ671" s="61"/>
      <c r="AK671" s="61"/>
    </row>
    <row r="672" customHeight="1" spans="1:37">
      <c r="A672" s="61"/>
      <c r="B672" s="61"/>
      <c r="C672" s="61"/>
      <c r="D672" s="61"/>
      <c r="E672" s="61"/>
      <c r="F672" s="20">
        <f t="array" ref="F672">_xlfn.XLOOKUP(A672,'WK 47'!A:A,'WK 47'!F:F,"")</f>
        <v>0</v>
      </c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  <c r="AH672" s="61"/>
      <c r="AI672" s="61"/>
      <c r="AJ672" s="61"/>
      <c r="AK672" s="61"/>
    </row>
    <row r="673" customHeight="1" spans="1:37">
      <c r="A673" s="61"/>
      <c r="B673" s="61"/>
      <c r="C673" s="61"/>
      <c r="D673" s="61"/>
      <c r="E673" s="61"/>
      <c r="F673" s="20">
        <f t="array" ref="F673">_xlfn.XLOOKUP(A673,'WK 47'!A:A,'WK 47'!F:F,"")</f>
        <v>0</v>
      </c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  <c r="AH673" s="61"/>
      <c r="AI673" s="61"/>
      <c r="AJ673" s="61"/>
      <c r="AK673" s="61"/>
    </row>
    <row r="674" customHeight="1" spans="1:37">
      <c r="A674" s="61"/>
      <c r="B674" s="61"/>
      <c r="C674" s="61"/>
      <c r="D674" s="61"/>
      <c r="E674" s="61"/>
      <c r="F674" s="20">
        <f t="array" ref="F674">_xlfn.XLOOKUP(A674,'WK 47'!A:A,'WK 47'!F:F,"")</f>
        <v>0</v>
      </c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  <c r="AH674" s="61"/>
      <c r="AI674" s="61"/>
      <c r="AJ674" s="61"/>
      <c r="AK674" s="61"/>
    </row>
    <row r="675" customHeight="1" spans="1:37">
      <c r="A675" s="61"/>
      <c r="B675" s="61"/>
      <c r="C675" s="61"/>
      <c r="D675" s="61"/>
      <c r="E675" s="61"/>
      <c r="F675" s="20">
        <f t="array" ref="F675">_xlfn.XLOOKUP(A675,'WK 47'!A:A,'WK 47'!F:F,"")</f>
        <v>0</v>
      </c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  <c r="AH675" s="61"/>
      <c r="AI675" s="61"/>
      <c r="AJ675" s="61"/>
      <c r="AK675" s="61"/>
    </row>
    <row r="676" customHeight="1" spans="1:37">
      <c r="A676" s="61"/>
      <c r="B676" s="61"/>
      <c r="C676" s="61"/>
      <c r="D676" s="61"/>
      <c r="E676" s="61"/>
      <c r="F676" s="20">
        <f t="array" ref="F676">_xlfn.XLOOKUP(A676,'WK 47'!A:A,'WK 47'!F:F,"")</f>
        <v>0</v>
      </c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  <c r="AH676" s="61"/>
      <c r="AI676" s="61"/>
      <c r="AJ676" s="61"/>
      <c r="AK676" s="61"/>
    </row>
    <row r="677" customHeight="1" spans="1:37">
      <c r="A677" s="61"/>
      <c r="B677" s="61"/>
      <c r="C677" s="61"/>
      <c r="D677" s="61"/>
      <c r="E677" s="61"/>
      <c r="F677" s="20">
        <f t="array" ref="F677">_xlfn.XLOOKUP(A677,'WK 47'!A:A,'WK 47'!F:F,"")</f>
        <v>0</v>
      </c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  <c r="AH677" s="61"/>
      <c r="AI677" s="61"/>
      <c r="AJ677" s="61"/>
      <c r="AK677" s="61"/>
    </row>
    <row r="678" customHeight="1" spans="1:37">
      <c r="A678" s="61"/>
      <c r="B678" s="61"/>
      <c r="C678" s="61"/>
      <c r="D678" s="61"/>
      <c r="E678" s="61"/>
      <c r="F678" s="20">
        <f t="array" ref="F678">_xlfn.XLOOKUP(A678,'WK 47'!A:A,'WK 47'!F:F,"")</f>
        <v>0</v>
      </c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  <c r="AH678" s="61"/>
      <c r="AI678" s="61"/>
      <c r="AJ678" s="61"/>
      <c r="AK678" s="61"/>
    </row>
    <row r="679" customHeight="1" spans="1:37">
      <c r="A679" s="61"/>
      <c r="B679" s="61"/>
      <c r="C679" s="61"/>
      <c r="D679" s="61"/>
      <c r="E679" s="61"/>
      <c r="F679" s="20">
        <f t="array" ref="F679">_xlfn.XLOOKUP(A679,'WK 47'!A:A,'WK 47'!F:F,"")</f>
        <v>0</v>
      </c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  <c r="AH679" s="61"/>
      <c r="AI679" s="61"/>
      <c r="AJ679" s="61"/>
      <c r="AK679" s="61"/>
    </row>
    <row r="680" customHeight="1" spans="1:37">
      <c r="A680" s="61"/>
      <c r="B680" s="61"/>
      <c r="C680" s="61"/>
      <c r="D680" s="61"/>
      <c r="E680" s="61"/>
      <c r="F680" s="20">
        <f t="array" ref="F680">_xlfn.XLOOKUP(A680,'WK 47'!A:A,'WK 47'!F:F,"")</f>
        <v>0</v>
      </c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  <c r="AH680" s="61"/>
      <c r="AI680" s="61"/>
      <c r="AJ680" s="61"/>
      <c r="AK680" s="61"/>
    </row>
    <row r="681" customHeight="1" spans="1:37">
      <c r="A681" s="61"/>
      <c r="B681" s="61"/>
      <c r="C681" s="61"/>
      <c r="D681" s="61"/>
      <c r="E681" s="61"/>
      <c r="F681" s="20">
        <f t="array" ref="F681">_xlfn.XLOOKUP(A681,'WK 47'!A:A,'WK 47'!F:F,"")</f>
        <v>0</v>
      </c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  <c r="AH681" s="61"/>
      <c r="AI681" s="61"/>
      <c r="AJ681" s="61"/>
      <c r="AK681" s="61"/>
    </row>
    <row r="682" customHeight="1" spans="1:37">
      <c r="A682" s="61"/>
      <c r="B682" s="61"/>
      <c r="C682" s="61"/>
      <c r="D682" s="61"/>
      <c r="E682" s="61"/>
      <c r="F682" s="20">
        <f t="array" ref="F682">_xlfn.XLOOKUP(A682,'WK 47'!A:A,'WK 47'!F:F,"")</f>
        <v>0</v>
      </c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  <c r="AH682" s="61"/>
      <c r="AI682" s="61"/>
      <c r="AJ682" s="61"/>
      <c r="AK682" s="61"/>
    </row>
    <row r="683" customHeight="1" spans="1:37">
      <c r="A683" s="61"/>
      <c r="B683" s="61"/>
      <c r="C683" s="61"/>
      <c r="D683" s="61"/>
      <c r="E683" s="61"/>
      <c r="F683" s="20">
        <f t="array" ref="F683">_xlfn.XLOOKUP(A683,'WK 47'!A:A,'WK 47'!F:F,"")</f>
        <v>0</v>
      </c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  <c r="AH683" s="61"/>
      <c r="AI683" s="61"/>
      <c r="AJ683" s="61"/>
      <c r="AK683" s="61"/>
    </row>
    <row r="684" customHeight="1" spans="1:37">
      <c r="A684" s="61"/>
      <c r="B684" s="61"/>
      <c r="C684" s="61"/>
      <c r="D684" s="61"/>
      <c r="E684" s="61"/>
      <c r="F684" s="20">
        <f t="array" ref="F684">_xlfn.XLOOKUP(A684,'WK 47'!A:A,'WK 47'!F:F,"")</f>
        <v>0</v>
      </c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  <c r="AH684" s="61"/>
      <c r="AI684" s="61"/>
      <c r="AJ684" s="61"/>
      <c r="AK684" s="61"/>
    </row>
    <row r="685" customHeight="1" spans="1:37">
      <c r="A685" s="61"/>
      <c r="B685" s="61"/>
      <c r="C685" s="61"/>
      <c r="D685" s="61"/>
      <c r="E685" s="61"/>
      <c r="F685" s="20">
        <f t="array" ref="F685">_xlfn.XLOOKUP(A685,'WK 47'!A:A,'WK 47'!F:F,"")</f>
        <v>0</v>
      </c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  <c r="AH685" s="61"/>
      <c r="AI685" s="61"/>
      <c r="AJ685" s="61"/>
      <c r="AK685" s="61"/>
    </row>
    <row r="686" customHeight="1" spans="1:37">
      <c r="A686" s="61"/>
      <c r="B686" s="61"/>
      <c r="C686" s="61"/>
      <c r="D686" s="61"/>
      <c r="E686" s="61"/>
      <c r="F686" s="20">
        <f t="array" ref="F686">_xlfn.XLOOKUP(A686,'WK 47'!A:A,'WK 47'!F:F,"")</f>
        <v>0</v>
      </c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  <c r="AH686" s="61"/>
      <c r="AI686" s="61"/>
      <c r="AJ686" s="61"/>
      <c r="AK686" s="61"/>
    </row>
    <row r="687" customHeight="1" spans="1:37">
      <c r="A687" s="61"/>
      <c r="B687" s="61"/>
      <c r="C687" s="61"/>
      <c r="D687" s="61"/>
      <c r="E687" s="61"/>
      <c r="F687" s="20">
        <f t="array" ref="F687">_xlfn.XLOOKUP(A687,'WK 47'!A:A,'WK 47'!F:F,"")</f>
        <v>0</v>
      </c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  <c r="AH687" s="61"/>
      <c r="AI687" s="61"/>
      <c r="AJ687" s="61"/>
      <c r="AK687" s="61"/>
    </row>
    <row r="688" customHeight="1" spans="1:37">
      <c r="A688" s="61"/>
      <c r="B688" s="61"/>
      <c r="C688" s="61"/>
      <c r="D688" s="61"/>
      <c r="E688" s="61"/>
      <c r="F688" s="20">
        <f t="array" ref="F688">_xlfn.XLOOKUP(A688,'WK 47'!A:A,'WK 47'!F:F,"")</f>
        <v>0</v>
      </c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  <c r="AH688" s="61"/>
      <c r="AI688" s="61"/>
      <c r="AJ688" s="61"/>
      <c r="AK688" s="61"/>
    </row>
    <row r="689" customHeight="1" spans="1:37">
      <c r="A689" s="61"/>
      <c r="B689" s="61"/>
      <c r="C689" s="61"/>
      <c r="D689" s="61"/>
      <c r="E689" s="61"/>
      <c r="F689" s="20">
        <f t="array" ref="F689">_xlfn.XLOOKUP(A689,'WK 47'!A:A,'WK 47'!F:F,"")</f>
        <v>0</v>
      </c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  <c r="AH689" s="61"/>
      <c r="AI689" s="61"/>
      <c r="AJ689" s="61"/>
      <c r="AK689" s="61"/>
    </row>
    <row r="690" customHeight="1" spans="1:37">
      <c r="A690" s="61"/>
      <c r="B690" s="61"/>
      <c r="C690" s="61"/>
      <c r="D690" s="61"/>
      <c r="E690" s="61"/>
      <c r="F690" s="20">
        <f t="array" ref="F690">_xlfn.XLOOKUP(A690,'WK 47'!A:A,'WK 47'!F:F,"")</f>
        <v>0</v>
      </c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  <c r="AH690" s="61"/>
      <c r="AI690" s="61"/>
      <c r="AJ690" s="61"/>
      <c r="AK690" s="61"/>
    </row>
    <row r="691" customHeight="1" spans="1:37">
      <c r="A691" s="61"/>
      <c r="B691" s="61"/>
      <c r="C691" s="61"/>
      <c r="D691" s="61"/>
      <c r="E691" s="61"/>
      <c r="F691" s="20">
        <f t="array" ref="F691">_xlfn.XLOOKUP(A691,'WK 47'!A:A,'WK 47'!F:F,"")</f>
        <v>0</v>
      </c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  <c r="AH691" s="61"/>
      <c r="AI691" s="61"/>
      <c r="AJ691" s="61"/>
      <c r="AK691" s="61"/>
    </row>
    <row r="692" customHeight="1" spans="1:37">
      <c r="A692" s="61"/>
      <c r="B692" s="61"/>
      <c r="C692" s="61"/>
      <c r="D692" s="61"/>
      <c r="E692" s="61"/>
      <c r="F692" s="20">
        <f t="array" ref="F692">_xlfn.XLOOKUP(A692,'WK 47'!A:A,'WK 47'!F:F,"")</f>
        <v>0</v>
      </c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  <c r="AH692" s="61"/>
      <c r="AI692" s="61"/>
      <c r="AJ692" s="61"/>
      <c r="AK692" s="61"/>
    </row>
    <row r="693" customHeight="1" spans="1:37">
      <c r="A693" s="61"/>
      <c r="B693" s="61"/>
      <c r="C693" s="61"/>
      <c r="D693" s="61"/>
      <c r="E693" s="61"/>
      <c r="F693" s="20">
        <f t="array" ref="F693">_xlfn.XLOOKUP(A693,'WK 47'!A:A,'WK 47'!F:F,"")</f>
        <v>0</v>
      </c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  <c r="AH693" s="61"/>
      <c r="AI693" s="61"/>
      <c r="AJ693" s="61"/>
      <c r="AK693" s="61"/>
    </row>
    <row r="694" customHeight="1" spans="1:37">
      <c r="A694" s="61"/>
      <c r="B694" s="61"/>
      <c r="C694" s="61"/>
      <c r="D694" s="61"/>
      <c r="E694" s="61"/>
      <c r="F694" s="20">
        <f t="array" ref="F694">_xlfn.XLOOKUP(A694,'WK 47'!A:A,'WK 47'!F:F,"")</f>
        <v>0</v>
      </c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  <c r="AH694" s="61"/>
      <c r="AI694" s="61"/>
      <c r="AJ694" s="61"/>
      <c r="AK694" s="61"/>
    </row>
    <row r="695" customHeight="1" spans="1:37">
      <c r="A695" s="61"/>
      <c r="B695" s="61"/>
      <c r="C695" s="61"/>
      <c r="D695" s="61"/>
      <c r="E695" s="61"/>
      <c r="F695" s="20">
        <f t="array" ref="F695">_xlfn.XLOOKUP(A695,'WK 47'!A:A,'WK 47'!F:F,"")</f>
        <v>0</v>
      </c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  <c r="AH695" s="61"/>
      <c r="AI695" s="61"/>
      <c r="AJ695" s="61"/>
      <c r="AK695" s="61"/>
    </row>
    <row r="696" customHeight="1" spans="1:37">
      <c r="A696" s="61"/>
      <c r="B696" s="61"/>
      <c r="C696" s="61"/>
      <c r="D696" s="61"/>
      <c r="E696" s="61"/>
      <c r="F696" s="20">
        <f t="array" ref="F696">_xlfn.XLOOKUP(A696,'WK 47'!A:A,'WK 47'!F:F,"")</f>
        <v>0</v>
      </c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  <c r="AH696" s="61"/>
      <c r="AI696" s="61"/>
      <c r="AJ696" s="61"/>
      <c r="AK696" s="61"/>
    </row>
    <row r="697" customHeight="1" spans="1:37">
      <c r="A697" s="61"/>
      <c r="B697" s="61"/>
      <c r="C697" s="61"/>
      <c r="D697" s="61"/>
      <c r="E697" s="61"/>
      <c r="F697" s="20">
        <f t="array" ref="F697">_xlfn.XLOOKUP(A697,'WK 47'!A:A,'WK 47'!F:F,"")</f>
        <v>0</v>
      </c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  <c r="AH697" s="61"/>
      <c r="AI697" s="61"/>
      <c r="AJ697" s="61"/>
      <c r="AK697" s="61"/>
    </row>
    <row r="698" customHeight="1" spans="1:37">
      <c r="A698" s="61"/>
      <c r="B698" s="61"/>
      <c r="C698" s="61"/>
      <c r="D698" s="61"/>
      <c r="E698" s="61"/>
      <c r="F698" s="20">
        <f t="array" ref="F698">_xlfn.XLOOKUP(A698,'WK 47'!A:A,'WK 47'!F:F,"")</f>
        <v>0</v>
      </c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  <c r="AH698" s="61"/>
      <c r="AI698" s="61"/>
      <c r="AJ698" s="61"/>
      <c r="AK698" s="61"/>
    </row>
    <row r="699" customHeight="1" spans="1:37">
      <c r="A699" s="61"/>
      <c r="B699" s="61"/>
      <c r="C699" s="61"/>
      <c r="D699" s="61"/>
      <c r="E699" s="61"/>
      <c r="F699" s="20">
        <f t="array" ref="F699">_xlfn.XLOOKUP(A699,'WK 47'!A:A,'WK 47'!F:F,"")</f>
        <v>0</v>
      </c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  <c r="AH699" s="61"/>
      <c r="AI699" s="61"/>
      <c r="AJ699" s="61"/>
      <c r="AK699" s="61"/>
    </row>
    <row r="700" customHeight="1" spans="1:37">
      <c r="A700" s="61"/>
      <c r="B700" s="61"/>
      <c r="C700" s="61"/>
      <c r="D700" s="61"/>
      <c r="E700" s="61"/>
      <c r="F700" s="20">
        <f t="array" ref="F700">_xlfn.XLOOKUP(A700,'WK 47'!A:A,'WK 47'!F:F,"")</f>
        <v>0</v>
      </c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  <c r="AH700" s="61"/>
      <c r="AI700" s="61"/>
      <c r="AJ700" s="61"/>
      <c r="AK700" s="61"/>
    </row>
    <row r="701" customHeight="1" spans="1:37">
      <c r="A701" s="61"/>
      <c r="B701" s="61"/>
      <c r="C701" s="61"/>
      <c r="D701" s="61"/>
      <c r="E701" s="61"/>
      <c r="F701" s="20">
        <f t="array" ref="F701">_xlfn.XLOOKUP(A701,'WK 47'!A:A,'WK 47'!F:F,"")</f>
        <v>0</v>
      </c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  <c r="AH701" s="61"/>
      <c r="AI701" s="61"/>
      <c r="AJ701" s="61"/>
      <c r="AK701" s="61"/>
    </row>
    <row r="702" customHeight="1" spans="1:37">
      <c r="A702" s="61"/>
      <c r="B702" s="61"/>
      <c r="C702" s="61"/>
      <c r="D702" s="61"/>
      <c r="E702" s="61"/>
      <c r="F702" s="20">
        <f t="array" ref="F702">_xlfn.XLOOKUP(A702,'WK 47'!A:A,'WK 47'!F:F,"")</f>
        <v>0</v>
      </c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  <c r="AH702" s="61"/>
      <c r="AI702" s="61"/>
      <c r="AJ702" s="61"/>
      <c r="AK702" s="61"/>
    </row>
    <row r="703" customHeight="1" spans="1:37">
      <c r="A703" s="61"/>
      <c r="B703" s="61"/>
      <c r="C703" s="61"/>
      <c r="D703" s="61"/>
      <c r="E703" s="61"/>
      <c r="F703" s="20">
        <f t="array" ref="F703">_xlfn.XLOOKUP(A703,'WK 47'!A:A,'WK 47'!F:F,"")</f>
        <v>0</v>
      </c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  <c r="AH703" s="61"/>
      <c r="AI703" s="61"/>
      <c r="AJ703" s="61"/>
      <c r="AK703" s="61"/>
    </row>
    <row r="704" customHeight="1" spans="1:37">
      <c r="A704" s="61"/>
      <c r="B704" s="61"/>
      <c r="C704" s="61"/>
      <c r="D704" s="61"/>
      <c r="E704" s="61"/>
      <c r="F704" s="20">
        <f t="array" ref="F704">_xlfn.XLOOKUP(A704,'WK 47'!A:A,'WK 47'!F:F,"")</f>
        <v>0</v>
      </c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  <c r="AH704" s="61"/>
      <c r="AI704" s="61"/>
      <c r="AJ704" s="61"/>
      <c r="AK704" s="61"/>
    </row>
    <row r="705" customHeight="1" spans="1:37">
      <c r="A705" s="61"/>
      <c r="B705" s="61"/>
      <c r="C705" s="61"/>
      <c r="D705" s="61"/>
      <c r="E705" s="61"/>
      <c r="F705" s="20">
        <f t="array" ref="F705">_xlfn.XLOOKUP(A705,'WK 47'!A:A,'WK 47'!F:F,"")</f>
        <v>0</v>
      </c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  <c r="AH705" s="61"/>
      <c r="AI705" s="61"/>
      <c r="AJ705" s="61"/>
      <c r="AK705" s="61"/>
    </row>
    <row r="706" customHeight="1" spans="1:37">
      <c r="A706" s="61"/>
      <c r="B706" s="61"/>
      <c r="C706" s="61"/>
      <c r="D706" s="61"/>
      <c r="E706" s="61"/>
      <c r="F706" s="20">
        <f t="array" ref="F706">_xlfn.XLOOKUP(A706,'WK 47'!A:A,'WK 47'!F:F,"")</f>
        <v>0</v>
      </c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  <c r="AH706" s="61"/>
      <c r="AI706" s="61"/>
      <c r="AJ706" s="61"/>
      <c r="AK706" s="61"/>
    </row>
    <row r="707" customHeight="1" spans="1:37">
      <c r="A707" s="61"/>
      <c r="B707" s="61"/>
      <c r="C707" s="61"/>
      <c r="D707" s="61"/>
      <c r="E707" s="61"/>
      <c r="F707" s="20">
        <f t="array" ref="F707">_xlfn.XLOOKUP(A707,'WK 47'!A:A,'WK 47'!F:F,"")</f>
        <v>0</v>
      </c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  <c r="AH707" s="61"/>
      <c r="AI707" s="61"/>
      <c r="AJ707" s="61"/>
      <c r="AK707" s="61"/>
    </row>
    <row r="708" customHeight="1" spans="1:37">
      <c r="A708" s="61"/>
      <c r="B708" s="61"/>
      <c r="C708" s="61"/>
      <c r="D708" s="61"/>
      <c r="E708" s="61"/>
      <c r="F708" s="20">
        <f t="array" ref="F708">_xlfn.XLOOKUP(A708,'WK 47'!A:A,'WK 47'!F:F,"")</f>
        <v>0</v>
      </c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  <c r="AH708" s="61"/>
      <c r="AI708" s="61"/>
      <c r="AJ708" s="61"/>
      <c r="AK708" s="61"/>
    </row>
    <row r="709" customHeight="1" spans="1:37">
      <c r="A709" s="61"/>
      <c r="B709" s="61"/>
      <c r="C709" s="61"/>
      <c r="D709" s="61"/>
      <c r="E709" s="61"/>
      <c r="F709" s="20">
        <f t="array" ref="F709">_xlfn.XLOOKUP(A709,'WK 47'!A:A,'WK 47'!F:F,"")</f>
        <v>0</v>
      </c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  <c r="AH709" s="61"/>
      <c r="AI709" s="61"/>
      <c r="AJ709" s="61"/>
      <c r="AK709" s="61"/>
    </row>
    <row r="710" customHeight="1" spans="1:37">
      <c r="A710" s="61"/>
      <c r="B710" s="61"/>
      <c r="C710" s="61"/>
      <c r="D710" s="61"/>
      <c r="E710" s="61"/>
      <c r="F710" s="20">
        <f t="array" ref="F710">_xlfn.XLOOKUP(A710,'WK 47'!A:A,'WK 47'!F:F,"")</f>
        <v>0</v>
      </c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  <c r="AH710" s="61"/>
      <c r="AI710" s="61"/>
      <c r="AJ710" s="61"/>
      <c r="AK710" s="61"/>
    </row>
    <row r="711" customHeight="1" spans="1:37">
      <c r="A711" s="61"/>
      <c r="B711" s="61"/>
      <c r="C711" s="61"/>
      <c r="D711" s="61"/>
      <c r="E711" s="61"/>
      <c r="F711" s="20">
        <f t="array" ref="F711">_xlfn.XLOOKUP(A711,'WK 47'!A:A,'WK 47'!F:F,"")</f>
        <v>0</v>
      </c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  <c r="AH711" s="61"/>
      <c r="AI711" s="61"/>
      <c r="AJ711" s="61"/>
      <c r="AK711" s="61"/>
    </row>
    <row r="712" customHeight="1" spans="1:37">
      <c r="A712" s="61"/>
      <c r="B712" s="61"/>
      <c r="C712" s="61"/>
      <c r="D712" s="61"/>
      <c r="E712" s="61"/>
      <c r="F712" s="20">
        <f t="array" ref="F712">_xlfn.XLOOKUP(A712,'WK 47'!A:A,'WK 47'!F:F,"")</f>
        <v>0</v>
      </c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  <c r="AH712" s="61"/>
      <c r="AI712" s="61"/>
      <c r="AJ712" s="61"/>
      <c r="AK712" s="61"/>
    </row>
    <row r="713" customHeight="1" spans="1:37">
      <c r="A713" s="61"/>
      <c r="B713" s="61"/>
      <c r="C713" s="61"/>
      <c r="D713" s="61"/>
      <c r="E713" s="61"/>
      <c r="F713" s="20">
        <f t="array" ref="F713">_xlfn.XLOOKUP(A713,'WK 47'!A:A,'WK 47'!F:F,"")</f>
        <v>0</v>
      </c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  <c r="AH713" s="61"/>
      <c r="AI713" s="61"/>
      <c r="AJ713" s="61"/>
      <c r="AK713" s="61"/>
    </row>
    <row r="714" customHeight="1" spans="1:37">
      <c r="A714" s="61"/>
      <c r="B714" s="61"/>
      <c r="C714" s="61"/>
      <c r="D714" s="61"/>
      <c r="E714" s="61"/>
      <c r="F714" s="20">
        <f t="array" ref="F714">_xlfn.XLOOKUP(A714,'WK 47'!A:A,'WK 47'!F:F,"")</f>
        <v>0</v>
      </c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  <c r="AH714" s="61"/>
      <c r="AI714" s="61"/>
      <c r="AJ714" s="61"/>
      <c r="AK714" s="61"/>
    </row>
    <row r="715" customHeight="1" spans="1:37">
      <c r="A715" s="61"/>
      <c r="B715" s="61"/>
      <c r="C715" s="61"/>
      <c r="D715" s="61"/>
      <c r="E715" s="61"/>
      <c r="F715" s="20">
        <f t="array" ref="F715">_xlfn.XLOOKUP(A715,'WK 47'!A:A,'WK 47'!F:F,"")</f>
        <v>0</v>
      </c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  <c r="AH715" s="61"/>
      <c r="AI715" s="61"/>
      <c r="AJ715" s="61"/>
      <c r="AK715" s="61"/>
    </row>
    <row r="716" customHeight="1" spans="1:37">
      <c r="A716" s="61"/>
      <c r="B716" s="61"/>
      <c r="C716" s="61"/>
      <c r="D716" s="61"/>
      <c r="E716" s="61"/>
      <c r="F716" s="20">
        <f t="array" ref="F716">_xlfn.XLOOKUP(A716,'WK 47'!A:A,'WK 47'!F:F,"")</f>
        <v>0</v>
      </c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  <c r="AH716" s="61"/>
      <c r="AI716" s="61"/>
      <c r="AJ716" s="61"/>
      <c r="AK716" s="61"/>
    </row>
    <row r="717" customHeight="1" spans="1:37">
      <c r="A717" s="61"/>
      <c r="B717" s="61"/>
      <c r="C717" s="61"/>
      <c r="D717" s="61"/>
      <c r="E717" s="61"/>
      <c r="F717" s="20">
        <f t="array" ref="F717">_xlfn.XLOOKUP(A717,'WK 47'!A:A,'WK 47'!F:F,"")</f>
        <v>0</v>
      </c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  <c r="AH717" s="61"/>
      <c r="AI717" s="61"/>
      <c r="AJ717" s="61"/>
      <c r="AK717" s="61"/>
    </row>
    <row r="718" customHeight="1" spans="1:37">
      <c r="A718" s="61"/>
      <c r="B718" s="61"/>
      <c r="C718" s="61"/>
      <c r="D718" s="61"/>
      <c r="E718" s="61"/>
      <c r="F718" s="20">
        <f t="array" ref="F718">_xlfn.XLOOKUP(A718,'WK 47'!A:A,'WK 47'!F:F,"")</f>
        <v>0</v>
      </c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  <c r="AH718" s="61"/>
      <c r="AI718" s="61"/>
      <c r="AJ718" s="61"/>
      <c r="AK718" s="61"/>
    </row>
    <row r="719" customHeight="1" spans="1:37">
      <c r="A719" s="61"/>
      <c r="B719" s="61"/>
      <c r="C719" s="61"/>
      <c r="D719" s="61"/>
      <c r="E719" s="61"/>
      <c r="F719" s="20">
        <f t="array" ref="F719">_xlfn.XLOOKUP(A719,'WK 47'!A:A,'WK 47'!F:F,"")</f>
        <v>0</v>
      </c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  <c r="AH719" s="61"/>
      <c r="AI719" s="61"/>
      <c r="AJ719" s="61"/>
      <c r="AK719" s="61"/>
    </row>
    <row r="720" customHeight="1" spans="1:37">
      <c r="A720" s="61"/>
      <c r="B720" s="61"/>
      <c r="C720" s="61"/>
      <c r="D720" s="61"/>
      <c r="E720" s="61"/>
      <c r="F720" s="20">
        <f t="array" ref="F720">_xlfn.XLOOKUP(A720,'WK 47'!A:A,'WK 47'!F:F,"")</f>
        <v>0</v>
      </c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  <c r="AH720" s="61"/>
      <c r="AI720" s="61"/>
      <c r="AJ720" s="61"/>
      <c r="AK720" s="61"/>
    </row>
    <row r="721" customHeight="1" spans="1:37">
      <c r="A721" s="61"/>
      <c r="B721" s="61"/>
      <c r="C721" s="61"/>
      <c r="D721" s="61"/>
      <c r="E721" s="61"/>
      <c r="F721" s="20">
        <f t="array" ref="F721">_xlfn.XLOOKUP(A721,'WK 47'!A:A,'WK 47'!F:F,"")</f>
        <v>0</v>
      </c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  <c r="AH721" s="61"/>
      <c r="AI721" s="61"/>
      <c r="AJ721" s="61"/>
      <c r="AK721" s="61"/>
    </row>
    <row r="722" customHeight="1" spans="1:37">
      <c r="A722" s="61"/>
      <c r="B722" s="61"/>
      <c r="C722" s="61"/>
      <c r="D722" s="61"/>
      <c r="E722" s="61"/>
      <c r="F722" s="20">
        <f t="array" ref="F722">_xlfn.XLOOKUP(A722,'WK 47'!A:A,'WK 47'!F:F,"")</f>
        <v>0</v>
      </c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  <c r="AH722" s="61"/>
      <c r="AI722" s="61"/>
      <c r="AJ722" s="61"/>
      <c r="AK722" s="61"/>
    </row>
    <row r="723" customHeight="1" spans="1:37">
      <c r="A723" s="61"/>
      <c r="B723" s="61"/>
      <c r="C723" s="61"/>
      <c r="D723" s="61"/>
      <c r="E723" s="61"/>
      <c r="F723" s="20">
        <f t="array" ref="F723">_xlfn.XLOOKUP(A723,'WK 47'!A:A,'WK 47'!F:F,"")</f>
        <v>0</v>
      </c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  <c r="AH723" s="61"/>
      <c r="AI723" s="61"/>
      <c r="AJ723" s="61"/>
      <c r="AK723" s="61"/>
    </row>
    <row r="724" customHeight="1" spans="1:37">
      <c r="A724" s="61"/>
      <c r="B724" s="61"/>
      <c r="C724" s="61"/>
      <c r="D724" s="61"/>
      <c r="E724" s="61"/>
      <c r="F724" s="20">
        <f t="array" ref="F724">_xlfn.XLOOKUP(A724,'WK 47'!A:A,'WK 47'!F:F,"")</f>
        <v>0</v>
      </c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  <c r="AH724" s="61"/>
      <c r="AI724" s="61"/>
      <c r="AJ724" s="61"/>
      <c r="AK724" s="61"/>
    </row>
    <row r="725" customHeight="1" spans="1:37">
      <c r="A725" s="61"/>
      <c r="B725" s="61"/>
      <c r="C725" s="61"/>
      <c r="D725" s="61"/>
      <c r="E725" s="61"/>
      <c r="F725" s="20">
        <f t="array" ref="F725">_xlfn.XLOOKUP(A725,'WK 47'!A:A,'WK 47'!F:F,"")</f>
        <v>0</v>
      </c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  <c r="AH725" s="61"/>
      <c r="AI725" s="61"/>
      <c r="AJ725" s="61"/>
      <c r="AK725" s="61"/>
    </row>
    <row r="726" customHeight="1" spans="1:37">
      <c r="A726" s="61"/>
      <c r="B726" s="61"/>
      <c r="C726" s="61"/>
      <c r="D726" s="61"/>
      <c r="E726" s="61"/>
      <c r="F726" s="20">
        <f t="array" ref="F726">_xlfn.XLOOKUP(A726,'WK 47'!A:A,'WK 47'!F:F,"")</f>
        <v>0</v>
      </c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  <c r="AH726" s="61"/>
      <c r="AI726" s="61"/>
      <c r="AJ726" s="61"/>
      <c r="AK726" s="61"/>
    </row>
    <row r="727" customHeight="1" spans="1:37">
      <c r="A727" s="61"/>
      <c r="B727" s="61"/>
      <c r="C727" s="61"/>
      <c r="D727" s="61"/>
      <c r="E727" s="61"/>
      <c r="F727" s="20">
        <f t="array" ref="F727">_xlfn.XLOOKUP(A727,'WK 47'!A:A,'WK 47'!F:F,"")</f>
        <v>0</v>
      </c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  <c r="AH727" s="61"/>
      <c r="AI727" s="61"/>
      <c r="AJ727" s="61"/>
      <c r="AK727" s="61"/>
    </row>
    <row r="728" customHeight="1" spans="1:37">
      <c r="A728" s="61"/>
      <c r="B728" s="61"/>
      <c r="C728" s="61"/>
      <c r="D728" s="61"/>
      <c r="E728" s="61"/>
      <c r="F728" s="20">
        <f t="array" ref="F728">_xlfn.XLOOKUP(A728,'WK 47'!A:A,'WK 47'!F:F,"")</f>
        <v>0</v>
      </c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  <c r="AH728" s="61"/>
      <c r="AI728" s="61"/>
      <c r="AJ728" s="61"/>
      <c r="AK728" s="61"/>
    </row>
    <row r="729" customHeight="1" spans="1:37">
      <c r="A729" s="61"/>
      <c r="B729" s="61"/>
      <c r="C729" s="61"/>
      <c r="D729" s="61"/>
      <c r="E729" s="61"/>
      <c r="F729" s="20">
        <f t="array" ref="F729">_xlfn.XLOOKUP(A729,'WK 47'!A:A,'WK 47'!F:F,"")</f>
        <v>0</v>
      </c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  <c r="AH729" s="61"/>
      <c r="AI729" s="61"/>
      <c r="AJ729" s="61"/>
      <c r="AK729" s="61"/>
    </row>
    <row r="730" customHeight="1" spans="1:37">
      <c r="A730" s="61"/>
      <c r="B730" s="61"/>
      <c r="C730" s="61"/>
      <c r="D730" s="61"/>
      <c r="E730" s="61"/>
      <c r="F730" s="20">
        <f t="array" ref="F730">_xlfn.XLOOKUP(A730,'WK 47'!A:A,'WK 47'!F:F,"")</f>
        <v>0</v>
      </c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  <c r="AH730" s="61"/>
      <c r="AI730" s="61"/>
      <c r="AJ730" s="61"/>
      <c r="AK730" s="61"/>
    </row>
    <row r="731" customHeight="1" spans="1:37">
      <c r="A731" s="61"/>
      <c r="B731" s="61"/>
      <c r="C731" s="61"/>
      <c r="D731" s="61"/>
      <c r="E731" s="61"/>
      <c r="F731" s="20">
        <f t="array" ref="F731">_xlfn.XLOOKUP(A731,'WK 47'!A:A,'WK 47'!F:F,"")</f>
        <v>0</v>
      </c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  <c r="AH731" s="61"/>
      <c r="AI731" s="61"/>
      <c r="AJ731" s="61"/>
      <c r="AK731" s="61"/>
    </row>
    <row r="732" customHeight="1" spans="1:37">
      <c r="A732" s="61"/>
      <c r="B732" s="61"/>
      <c r="C732" s="61"/>
      <c r="D732" s="61"/>
      <c r="E732" s="61"/>
      <c r="F732" s="20">
        <f t="array" ref="F732">_xlfn.XLOOKUP(A732,'WK 47'!A:A,'WK 47'!F:F,"")</f>
        <v>0</v>
      </c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  <c r="AH732" s="61"/>
      <c r="AI732" s="61"/>
      <c r="AJ732" s="61"/>
      <c r="AK732" s="61"/>
    </row>
    <row r="733" customHeight="1" spans="1:37">
      <c r="A733" s="61"/>
      <c r="B733" s="61"/>
      <c r="C733" s="61"/>
      <c r="D733" s="61"/>
      <c r="E733" s="61"/>
      <c r="F733" s="20">
        <f t="array" ref="F733">_xlfn.XLOOKUP(A733,'WK 47'!A:A,'WK 47'!F:F,"")</f>
        <v>0</v>
      </c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  <c r="AH733" s="61"/>
      <c r="AI733" s="61"/>
      <c r="AJ733" s="61"/>
      <c r="AK733" s="61"/>
    </row>
    <row r="734" customHeight="1" spans="1:37">
      <c r="A734" s="61"/>
      <c r="B734" s="61"/>
      <c r="C734" s="61"/>
      <c r="D734" s="61"/>
      <c r="E734" s="61"/>
      <c r="F734" s="20">
        <f t="array" ref="F734">_xlfn.XLOOKUP(A734,'WK 47'!A:A,'WK 47'!F:F,"")</f>
        <v>0</v>
      </c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  <c r="AH734" s="61"/>
      <c r="AI734" s="61"/>
      <c r="AJ734" s="61"/>
      <c r="AK734" s="61"/>
    </row>
    <row r="735" customHeight="1" spans="1:37">
      <c r="A735" s="61"/>
      <c r="B735" s="61"/>
      <c r="C735" s="61"/>
      <c r="D735" s="61"/>
      <c r="E735" s="61"/>
      <c r="F735" s="20">
        <f t="array" ref="F735">_xlfn.XLOOKUP(A735,'WK 47'!A:A,'WK 47'!F:F,"")</f>
        <v>0</v>
      </c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  <c r="AH735" s="61"/>
      <c r="AI735" s="61"/>
      <c r="AJ735" s="61"/>
      <c r="AK735" s="61"/>
    </row>
    <row r="736" customHeight="1" spans="1:37">
      <c r="A736" s="61"/>
      <c r="B736" s="61"/>
      <c r="C736" s="61"/>
      <c r="D736" s="61"/>
      <c r="E736" s="61"/>
      <c r="F736" s="20">
        <f t="array" ref="F736">_xlfn.XLOOKUP(A736,'WK 47'!A:A,'WK 47'!F:F,"")</f>
        <v>0</v>
      </c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  <c r="AH736" s="61"/>
      <c r="AI736" s="61"/>
      <c r="AJ736" s="61"/>
      <c r="AK736" s="61"/>
    </row>
    <row r="737" customHeight="1" spans="1:37">
      <c r="A737" s="61"/>
      <c r="B737" s="61"/>
      <c r="C737" s="61"/>
      <c r="D737" s="61"/>
      <c r="E737" s="61"/>
      <c r="F737" s="20">
        <f t="array" ref="F737">_xlfn.XLOOKUP(A737,'WK 47'!A:A,'WK 47'!F:F,"")</f>
        <v>0</v>
      </c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  <c r="AH737" s="61"/>
      <c r="AI737" s="61"/>
      <c r="AJ737" s="61"/>
      <c r="AK737" s="61"/>
    </row>
    <row r="738" customHeight="1" spans="1:37">
      <c r="A738" s="61"/>
      <c r="B738" s="61"/>
      <c r="C738" s="61"/>
      <c r="D738" s="61"/>
      <c r="E738" s="61"/>
      <c r="F738" s="20">
        <f t="array" ref="F738">_xlfn.XLOOKUP(A738,'WK 47'!A:A,'WK 47'!F:F,"")</f>
        <v>0</v>
      </c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  <c r="AH738" s="61"/>
      <c r="AI738" s="61"/>
      <c r="AJ738" s="61"/>
      <c r="AK738" s="61"/>
    </row>
    <row r="739" customHeight="1" spans="1:37">
      <c r="A739" s="61"/>
      <c r="B739" s="61"/>
      <c r="C739" s="61"/>
      <c r="D739" s="61"/>
      <c r="E739" s="61"/>
      <c r="F739" s="20">
        <f t="array" ref="F739">_xlfn.XLOOKUP(A739,'WK 47'!A:A,'WK 47'!F:F,"")</f>
        <v>0</v>
      </c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  <c r="AH739" s="61"/>
      <c r="AI739" s="61"/>
      <c r="AJ739" s="61"/>
      <c r="AK739" s="61"/>
    </row>
    <row r="740" customHeight="1" spans="1:37">
      <c r="A740" s="61"/>
      <c r="B740" s="61"/>
      <c r="C740" s="61"/>
      <c r="D740" s="61"/>
      <c r="E740" s="61"/>
      <c r="F740" s="20">
        <f t="array" ref="F740">_xlfn.XLOOKUP(A740,'WK 47'!A:A,'WK 47'!F:F,"")</f>
        <v>0</v>
      </c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  <c r="AH740" s="61"/>
      <c r="AI740" s="61"/>
      <c r="AJ740" s="61"/>
      <c r="AK740" s="61"/>
    </row>
    <row r="741" customHeight="1" spans="1:37">
      <c r="A741" s="61"/>
      <c r="B741" s="61"/>
      <c r="C741" s="61"/>
      <c r="D741" s="61"/>
      <c r="E741" s="61"/>
      <c r="F741" s="20">
        <f t="array" ref="F741">_xlfn.XLOOKUP(A741,'WK 47'!A:A,'WK 47'!F:F,"")</f>
        <v>0</v>
      </c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  <c r="AH741" s="61"/>
      <c r="AI741" s="61"/>
      <c r="AJ741" s="61"/>
      <c r="AK741" s="61"/>
    </row>
    <row r="742" customHeight="1" spans="1:37">
      <c r="A742" s="61"/>
      <c r="B742" s="61"/>
      <c r="C742" s="61"/>
      <c r="D742" s="61"/>
      <c r="E742" s="61"/>
      <c r="F742" s="20">
        <f t="array" ref="F742">_xlfn.XLOOKUP(A742,'WK 47'!A:A,'WK 47'!F:F,"")</f>
        <v>0</v>
      </c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  <c r="AH742" s="61"/>
      <c r="AI742" s="61"/>
      <c r="AJ742" s="61"/>
      <c r="AK742" s="61"/>
    </row>
    <row r="743" customHeight="1" spans="1:37">
      <c r="A743" s="61"/>
      <c r="B743" s="61"/>
      <c r="C743" s="61"/>
      <c r="D743" s="61"/>
      <c r="E743" s="61"/>
      <c r="F743" s="20">
        <f t="array" ref="F743">_xlfn.XLOOKUP(A743,'WK 47'!A:A,'WK 47'!F:F,"")</f>
        <v>0</v>
      </c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  <c r="AH743" s="61"/>
      <c r="AI743" s="61"/>
      <c r="AJ743" s="61"/>
      <c r="AK743" s="61"/>
    </row>
    <row r="744" customHeight="1" spans="1:37">
      <c r="A744" s="61"/>
      <c r="B744" s="61"/>
      <c r="C744" s="61"/>
      <c r="D744" s="61"/>
      <c r="E744" s="61"/>
      <c r="F744" s="20">
        <f t="array" ref="F744">_xlfn.XLOOKUP(A744,'WK 47'!A:A,'WK 47'!F:F,"")</f>
        <v>0</v>
      </c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  <c r="AH744" s="61"/>
      <c r="AI744" s="61"/>
      <c r="AJ744" s="61"/>
      <c r="AK744" s="61"/>
    </row>
    <row r="745" customHeight="1" spans="1:37">
      <c r="A745" s="61"/>
      <c r="B745" s="61"/>
      <c r="C745" s="61"/>
      <c r="D745" s="61"/>
      <c r="E745" s="61"/>
      <c r="F745" s="20">
        <f t="array" ref="F745">_xlfn.XLOOKUP(A745,'WK 47'!A:A,'WK 47'!F:F,"")</f>
        <v>0</v>
      </c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  <c r="AH745" s="61"/>
      <c r="AI745" s="61"/>
      <c r="AJ745" s="61"/>
      <c r="AK745" s="61"/>
    </row>
    <row r="746" customHeight="1" spans="1:37">
      <c r="A746" s="61"/>
      <c r="B746" s="61"/>
      <c r="C746" s="61"/>
      <c r="D746" s="61"/>
      <c r="E746" s="61"/>
      <c r="F746" s="20">
        <f t="array" ref="F746">_xlfn.XLOOKUP(A746,'WK 47'!A:A,'WK 47'!F:F,"")</f>
        <v>0</v>
      </c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  <c r="AH746" s="61"/>
      <c r="AI746" s="61"/>
      <c r="AJ746" s="61"/>
      <c r="AK746" s="61"/>
    </row>
    <row r="747" customHeight="1" spans="1:37">
      <c r="A747" s="61"/>
      <c r="B747" s="61"/>
      <c r="C747" s="61"/>
      <c r="D747" s="61"/>
      <c r="E747" s="61"/>
      <c r="F747" s="20">
        <f t="array" ref="F747">_xlfn.XLOOKUP(A747,'WK 47'!A:A,'WK 47'!F:F,"")</f>
        <v>0</v>
      </c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  <c r="AH747" s="61"/>
      <c r="AI747" s="61"/>
      <c r="AJ747" s="61"/>
      <c r="AK747" s="61"/>
    </row>
    <row r="748" customHeight="1" spans="1:37">
      <c r="A748" s="61"/>
      <c r="B748" s="61"/>
      <c r="C748" s="61"/>
      <c r="D748" s="61"/>
      <c r="E748" s="61"/>
      <c r="F748" s="20">
        <f t="array" ref="F748">_xlfn.XLOOKUP(A748,'WK 47'!A:A,'WK 47'!F:F,"")</f>
        <v>0</v>
      </c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  <c r="AH748" s="61"/>
      <c r="AI748" s="61"/>
      <c r="AJ748" s="61"/>
      <c r="AK748" s="61"/>
    </row>
    <row r="749" customHeight="1" spans="1:37">
      <c r="A749" s="61"/>
      <c r="B749" s="61"/>
      <c r="C749" s="61"/>
      <c r="D749" s="61"/>
      <c r="E749" s="61"/>
      <c r="F749" s="20">
        <f t="array" ref="F749">_xlfn.XLOOKUP(A749,'WK 47'!A:A,'WK 47'!F:F,"")</f>
        <v>0</v>
      </c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  <c r="AH749" s="61"/>
      <c r="AI749" s="61"/>
      <c r="AJ749" s="61"/>
      <c r="AK749" s="61"/>
    </row>
    <row r="750" customHeight="1" spans="1:37">
      <c r="A750" s="61"/>
      <c r="B750" s="61"/>
      <c r="C750" s="61"/>
      <c r="D750" s="61"/>
      <c r="E750" s="61"/>
      <c r="F750" s="20">
        <f t="array" ref="F750">_xlfn.XLOOKUP(A750,'WK 47'!A:A,'WK 47'!F:F,"")</f>
        <v>0</v>
      </c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  <c r="AH750" s="61"/>
      <c r="AI750" s="61"/>
      <c r="AJ750" s="61"/>
      <c r="AK750" s="61"/>
    </row>
    <row r="751" customHeight="1" spans="1:37">
      <c r="A751" s="61"/>
      <c r="B751" s="61"/>
      <c r="C751" s="61"/>
      <c r="D751" s="61"/>
      <c r="E751" s="61"/>
      <c r="F751" s="20">
        <f t="array" ref="F751">_xlfn.XLOOKUP(A751,'WK 47'!A:A,'WK 47'!F:F,"")</f>
        <v>0</v>
      </c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  <c r="AH751" s="61"/>
      <c r="AI751" s="61"/>
      <c r="AJ751" s="61"/>
      <c r="AK751" s="61"/>
    </row>
    <row r="752" customHeight="1" spans="1:37">
      <c r="A752" s="61"/>
      <c r="B752" s="61"/>
      <c r="C752" s="61"/>
      <c r="D752" s="61"/>
      <c r="E752" s="61"/>
      <c r="F752" s="20">
        <f t="array" ref="F752">_xlfn.XLOOKUP(A752,'WK 47'!A:A,'WK 47'!F:F,"")</f>
        <v>0</v>
      </c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  <c r="AH752" s="61"/>
      <c r="AI752" s="61"/>
      <c r="AJ752" s="61"/>
      <c r="AK752" s="61"/>
    </row>
    <row r="753" customHeight="1" spans="1:37">
      <c r="A753" s="61"/>
      <c r="B753" s="61"/>
      <c r="C753" s="61"/>
      <c r="D753" s="61"/>
      <c r="E753" s="61"/>
      <c r="F753" s="20">
        <f t="array" ref="F753">_xlfn.XLOOKUP(A753,'WK 47'!A:A,'WK 47'!F:F,"")</f>
        <v>0</v>
      </c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  <c r="AH753" s="61"/>
      <c r="AI753" s="61"/>
      <c r="AJ753" s="61"/>
      <c r="AK753" s="61"/>
    </row>
    <row r="754" customHeight="1" spans="1:37">
      <c r="A754" s="61"/>
      <c r="B754" s="61"/>
      <c r="C754" s="61"/>
      <c r="D754" s="61"/>
      <c r="E754" s="61"/>
      <c r="F754" s="20">
        <f t="array" ref="F754">_xlfn.XLOOKUP(A754,'WK 47'!A:A,'WK 47'!F:F,"")</f>
        <v>0</v>
      </c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  <c r="AH754" s="61"/>
      <c r="AI754" s="61"/>
      <c r="AJ754" s="61"/>
      <c r="AK754" s="61"/>
    </row>
    <row r="755" customHeight="1" spans="1:37">
      <c r="A755" s="61"/>
      <c r="B755" s="61"/>
      <c r="C755" s="61"/>
      <c r="D755" s="61"/>
      <c r="E755" s="61"/>
      <c r="F755" s="20">
        <f t="array" ref="F755">_xlfn.XLOOKUP(A755,'WK 47'!A:A,'WK 47'!F:F,"")</f>
        <v>0</v>
      </c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  <c r="AH755" s="61"/>
      <c r="AI755" s="61"/>
      <c r="AJ755" s="61"/>
      <c r="AK755" s="61"/>
    </row>
    <row r="756" customHeight="1" spans="1:37">
      <c r="A756" s="61"/>
      <c r="B756" s="61"/>
      <c r="C756" s="61"/>
      <c r="D756" s="61"/>
      <c r="E756" s="61"/>
      <c r="F756" s="20">
        <f t="array" ref="F756">_xlfn.XLOOKUP(A756,'WK 47'!A:A,'WK 47'!F:F,"")</f>
        <v>0</v>
      </c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  <c r="AH756" s="61"/>
      <c r="AI756" s="61"/>
      <c r="AJ756" s="61"/>
      <c r="AK756" s="61"/>
    </row>
    <row r="757" customHeight="1" spans="1:37">
      <c r="A757" s="61"/>
      <c r="B757" s="61"/>
      <c r="C757" s="61"/>
      <c r="D757" s="61"/>
      <c r="E757" s="61"/>
      <c r="F757" s="20">
        <f t="array" ref="F757">_xlfn.XLOOKUP(A757,'WK 47'!A:A,'WK 47'!F:F,"")</f>
        <v>0</v>
      </c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  <c r="AH757" s="61"/>
      <c r="AI757" s="61"/>
      <c r="AJ757" s="61"/>
      <c r="AK757" s="61"/>
    </row>
    <row r="758" customHeight="1" spans="1:37">
      <c r="A758" s="61"/>
      <c r="B758" s="61"/>
      <c r="C758" s="61"/>
      <c r="D758" s="61"/>
      <c r="E758" s="61"/>
      <c r="F758" s="20">
        <f t="array" ref="F758">_xlfn.XLOOKUP(A758,'WK 47'!A:A,'WK 47'!F:F,"")</f>
        <v>0</v>
      </c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  <c r="AH758" s="61"/>
      <c r="AI758" s="61"/>
      <c r="AJ758" s="61"/>
      <c r="AK758" s="61"/>
    </row>
    <row r="759" customHeight="1" spans="1:37">
      <c r="A759" s="61"/>
      <c r="B759" s="61"/>
      <c r="C759" s="61"/>
      <c r="D759" s="61"/>
      <c r="E759" s="61"/>
      <c r="F759" s="20">
        <f t="array" ref="F759">_xlfn.XLOOKUP(A759,'WK 47'!A:A,'WK 47'!F:F,"")</f>
        <v>0</v>
      </c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  <c r="AH759" s="61"/>
      <c r="AI759" s="61"/>
      <c r="AJ759" s="61"/>
      <c r="AK759" s="61"/>
    </row>
    <row r="760" customHeight="1" spans="1:37">
      <c r="A760" s="61"/>
      <c r="B760" s="61"/>
      <c r="C760" s="61"/>
      <c r="D760" s="61"/>
      <c r="E760" s="61"/>
      <c r="F760" s="20">
        <f t="array" ref="F760">_xlfn.XLOOKUP(A760,'WK 47'!A:A,'WK 47'!F:F,"")</f>
        <v>0</v>
      </c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  <c r="AH760" s="61"/>
      <c r="AI760" s="61"/>
      <c r="AJ760" s="61"/>
      <c r="AK760" s="61"/>
    </row>
    <row r="761" customHeight="1" spans="1:37">
      <c r="A761" s="61"/>
      <c r="B761" s="61"/>
      <c r="C761" s="61"/>
      <c r="D761" s="61"/>
      <c r="E761" s="61"/>
      <c r="F761" s="20">
        <f t="array" ref="F761">_xlfn.XLOOKUP(A761,'WK 47'!A:A,'WK 47'!F:F,"")</f>
        <v>0</v>
      </c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  <c r="AH761" s="61"/>
      <c r="AI761" s="61"/>
      <c r="AJ761" s="61"/>
      <c r="AK761" s="61"/>
    </row>
    <row r="762" customHeight="1" spans="1:37">
      <c r="A762" s="61"/>
      <c r="B762" s="61"/>
      <c r="C762" s="61"/>
      <c r="D762" s="61"/>
      <c r="E762" s="61"/>
      <c r="F762" s="20">
        <f t="array" ref="F762">_xlfn.XLOOKUP(A762,'WK 47'!A:A,'WK 47'!F:F,"")</f>
        <v>0</v>
      </c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  <c r="AH762" s="61"/>
      <c r="AI762" s="61"/>
      <c r="AJ762" s="61"/>
      <c r="AK762" s="61"/>
    </row>
    <row r="763" customHeight="1" spans="1:37">
      <c r="A763" s="61"/>
      <c r="B763" s="61"/>
      <c r="C763" s="61"/>
      <c r="D763" s="61"/>
      <c r="E763" s="61"/>
      <c r="F763" s="20">
        <f t="array" ref="F763">_xlfn.XLOOKUP(A763,'WK 47'!A:A,'WK 47'!F:F,"")</f>
        <v>0</v>
      </c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  <c r="AH763" s="61"/>
      <c r="AI763" s="61"/>
      <c r="AJ763" s="61"/>
      <c r="AK763" s="61"/>
    </row>
    <row r="764" customHeight="1" spans="1:37">
      <c r="A764" s="61"/>
      <c r="B764" s="61"/>
      <c r="C764" s="61"/>
      <c r="D764" s="61"/>
      <c r="E764" s="61"/>
      <c r="F764" s="20">
        <f t="array" ref="F764">_xlfn.XLOOKUP(A764,'WK 47'!A:A,'WK 47'!F:F,"")</f>
        <v>0</v>
      </c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  <c r="AH764" s="61"/>
      <c r="AI764" s="61"/>
      <c r="AJ764" s="61"/>
      <c r="AK764" s="61"/>
    </row>
    <row r="765" customHeight="1" spans="1:37">
      <c r="A765" s="61"/>
      <c r="B765" s="61"/>
      <c r="C765" s="61"/>
      <c r="D765" s="61"/>
      <c r="E765" s="61"/>
      <c r="F765" s="20">
        <f t="array" ref="F765">_xlfn.XLOOKUP(A765,'WK 47'!A:A,'WK 47'!F:F,"")</f>
        <v>0</v>
      </c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  <c r="AH765" s="61"/>
      <c r="AI765" s="61"/>
      <c r="AJ765" s="61"/>
      <c r="AK765" s="61"/>
    </row>
    <row r="766" customHeight="1" spans="1:37">
      <c r="A766" s="61"/>
      <c r="B766" s="61"/>
      <c r="C766" s="61"/>
      <c r="D766" s="61"/>
      <c r="E766" s="61"/>
      <c r="F766" s="20">
        <f t="array" ref="F766">_xlfn.XLOOKUP(A766,'WK 47'!A:A,'WK 47'!F:F,"")</f>
        <v>0</v>
      </c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  <c r="AH766" s="61"/>
      <c r="AI766" s="61"/>
      <c r="AJ766" s="61"/>
      <c r="AK766" s="61"/>
    </row>
    <row r="767" customHeight="1" spans="1:37">
      <c r="A767" s="61"/>
      <c r="B767" s="61"/>
      <c r="C767" s="61"/>
      <c r="D767" s="61"/>
      <c r="E767" s="61"/>
      <c r="F767" s="20">
        <f t="array" ref="F767">_xlfn.XLOOKUP(A767,'WK 47'!A:A,'WK 47'!F:F,"")</f>
        <v>0</v>
      </c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  <c r="AH767" s="61"/>
      <c r="AI767" s="61"/>
      <c r="AJ767" s="61"/>
      <c r="AK767" s="61"/>
    </row>
    <row r="768" customHeight="1" spans="1:37">
      <c r="A768" s="61"/>
      <c r="B768" s="61"/>
      <c r="C768" s="61"/>
      <c r="D768" s="61"/>
      <c r="E768" s="61"/>
      <c r="F768" s="20">
        <f t="array" ref="F768">_xlfn.XLOOKUP(A768,'WK 47'!A:A,'WK 47'!F:F,"")</f>
        <v>0</v>
      </c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  <c r="AH768" s="61"/>
      <c r="AI768" s="61"/>
      <c r="AJ768" s="61"/>
      <c r="AK768" s="61"/>
    </row>
    <row r="769" customHeight="1" spans="1:37">
      <c r="A769" s="61"/>
      <c r="B769" s="61"/>
      <c r="C769" s="61"/>
      <c r="D769" s="61"/>
      <c r="E769" s="61"/>
      <c r="F769" s="20">
        <f t="array" ref="F769">_xlfn.XLOOKUP(A769,'WK 47'!A:A,'WK 47'!F:F,"")</f>
        <v>0</v>
      </c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  <c r="AH769" s="61"/>
      <c r="AI769" s="61"/>
      <c r="AJ769" s="61"/>
      <c r="AK769" s="61"/>
    </row>
    <row r="770" customHeight="1" spans="1:37">
      <c r="A770" s="61"/>
      <c r="B770" s="61"/>
      <c r="C770" s="61"/>
      <c r="D770" s="61"/>
      <c r="E770" s="61"/>
      <c r="F770" s="20">
        <f t="array" ref="F770">_xlfn.XLOOKUP(A770,'WK 47'!A:A,'WK 47'!F:F,"")</f>
        <v>0</v>
      </c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  <c r="AH770" s="61"/>
      <c r="AI770" s="61"/>
      <c r="AJ770" s="61"/>
      <c r="AK770" s="61"/>
    </row>
    <row r="771" customHeight="1" spans="1:37">
      <c r="A771" s="61"/>
      <c r="B771" s="61"/>
      <c r="C771" s="61"/>
      <c r="D771" s="61"/>
      <c r="E771" s="61"/>
      <c r="F771" s="20">
        <f t="array" ref="F771">_xlfn.XLOOKUP(A771,'WK 47'!A:A,'WK 47'!F:F,"")</f>
        <v>0</v>
      </c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  <c r="AH771" s="61"/>
      <c r="AI771" s="61"/>
      <c r="AJ771" s="61"/>
      <c r="AK771" s="61"/>
    </row>
    <row r="772" customHeight="1" spans="1:37">
      <c r="A772" s="61"/>
      <c r="B772" s="61"/>
      <c r="C772" s="61"/>
      <c r="D772" s="61"/>
      <c r="E772" s="61"/>
      <c r="F772" s="20">
        <f t="array" ref="F772">_xlfn.XLOOKUP(A772,'WK 47'!A:A,'WK 47'!F:F,"")</f>
        <v>0</v>
      </c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  <c r="AH772" s="61"/>
      <c r="AI772" s="61"/>
      <c r="AJ772" s="61"/>
      <c r="AK772" s="61"/>
    </row>
    <row r="773" customHeight="1" spans="1:37">
      <c r="A773" s="61"/>
      <c r="B773" s="61"/>
      <c r="C773" s="61"/>
      <c r="D773" s="61"/>
      <c r="E773" s="61"/>
      <c r="F773" s="20">
        <f t="array" ref="F773">_xlfn.XLOOKUP(A773,'WK 47'!A:A,'WK 47'!F:F,"")</f>
        <v>0</v>
      </c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  <c r="AH773" s="61"/>
      <c r="AI773" s="61"/>
      <c r="AJ773" s="61"/>
      <c r="AK773" s="61"/>
    </row>
    <row r="774" customHeight="1" spans="1:37">
      <c r="A774" s="61"/>
      <c r="B774" s="61"/>
      <c r="C774" s="61"/>
      <c r="D774" s="61"/>
      <c r="E774" s="61"/>
      <c r="F774" s="20">
        <f t="array" ref="F774">_xlfn.XLOOKUP(A774,'WK 47'!A:A,'WK 47'!F:F,"")</f>
        <v>0</v>
      </c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  <c r="AH774" s="61"/>
      <c r="AI774" s="61"/>
      <c r="AJ774" s="61"/>
      <c r="AK774" s="61"/>
    </row>
    <row r="775" customHeight="1" spans="1:37">
      <c r="A775" s="61"/>
      <c r="B775" s="61"/>
      <c r="C775" s="61"/>
      <c r="D775" s="61"/>
      <c r="E775" s="61"/>
      <c r="F775" s="20">
        <f t="array" ref="F775">_xlfn.XLOOKUP(A775,'WK 47'!A:A,'WK 47'!F:F,"")</f>
        <v>0</v>
      </c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  <c r="AH775" s="61"/>
      <c r="AI775" s="61"/>
      <c r="AJ775" s="61"/>
      <c r="AK775" s="61"/>
    </row>
    <row r="776" customHeight="1" spans="1:37">
      <c r="A776" s="61"/>
      <c r="B776" s="61"/>
      <c r="C776" s="61"/>
      <c r="D776" s="61"/>
      <c r="E776" s="61"/>
      <c r="F776" s="20">
        <f t="array" ref="F776">_xlfn.XLOOKUP(A776,'WK 47'!A:A,'WK 47'!F:F,"")</f>
        <v>0</v>
      </c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  <c r="AH776" s="61"/>
      <c r="AI776" s="61"/>
      <c r="AJ776" s="61"/>
      <c r="AK776" s="61"/>
    </row>
    <row r="777" customHeight="1" spans="1:37">
      <c r="A777" s="61"/>
      <c r="B777" s="61"/>
      <c r="C777" s="61"/>
      <c r="D777" s="61"/>
      <c r="E777" s="61"/>
      <c r="F777" s="20">
        <f t="array" ref="F777">_xlfn.XLOOKUP(A777,'WK 47'!A:A,'WK 47'!F:F,"")</f>
        <v>0</v>
      </c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  <c r="AH777" s="61"/>
      <c r="AI777" s="61"/>
      <c r="AJ777" s="61"/>
      <c r="AK777" s="61"/>
    </row>
    <row r="778" customHeight="1" spans="1:37">
      <c r="A778" s="61"/>
      <c r="B778" s="61"/>
      <c r="C778" s="61"/>
      <c r="D778" s="61"/>
      <c r="E778" s="61"/>
      <c r="F778" s="20">
        <f t="array" ref="F778">_xlfn.XLOOKUP(A778,'WK 47'!A:A,'WK 47'!F:F,"")</f>
        <v>0</v>
      </c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  <c r="AH778" s="61"/>
      <c r="AI778" s="61"/>
      <c r="AJ778" s="61"/>
      <c r="AK778" s="61"/>
    </row>
    <row r="779" customHeight="1" spans="1:37">
      <c r="A779" s="61"/>
      <c r="B779" s="61"/>
      <c r="C779" s="61"/>
      <c r="D779" s="61"/>
      <c r="E779" s="61"/>
      <c r="F779" s="20">
        <f t="array" ref="F779">_xlfn.XLOOKUP(A779,'WK 47'!A:A,'WK 47'!F:F,"")</f>
        <v>0</v>
      </c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  <c r="AH779" s="61"/>
      <c r="AI779" s="61"/>
      <c r="AJ779" s="61"/>
      <c r="AK779" s="61"/>
    </row>
    <row r="780" customHeight="1" spans="1:37">
      <c r="A780" s="61"/>
      <c r="B780" s="61"/>
      <c r="C780" s="61"/>
      <c r="D780" s="61"/>
      <c r="E780" s="61"/>
      <c r="F780" s="20">
        <f t="array" ref="F780">_xlfn.XLOOKUP(A780,'WK 47'!A:A,'WK 47'!F:F,"")</f>
        <v>0</v>
      </c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  <c r="AH780" s="61"/>
      <c r="AI780" s="61"/>
      <c r="AJ780" s="61"/>
      <c r="AK780" s="61"/>
    </row>
    <row r="781" customHeight="1" spans="1:37">
      <c r="A781" s="61"/>
      <c r="B781" s="61"/>
      <c r="C781" s="61"/>
      <c r="D781" s="61"/>
      <c r="E781" s="61"/>
      <c r="F781" s="20">
        <f t="array" ref="F781">_xlfn.XLOOKUP(A781,'WK 47'!A:A,'WK 47'!F:F,"")</f>
        <v>0</v>
      </c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  <c r="AH781" s="61"/>
      <c r="AI781" s="61"/>
      <c r="AJ781" s="61"/>
      <c r="AK781" s="61"/>
    </row>
    <row r="782" customHeight="1" spans="1:37">
      <c r="A782" s="61"/>
      <c r="B782" s="61"/>
      <c r="C782" s="61"/>
      <c r="D782" s="61"/>
      <c r="E782" s="61"/>
      <c r="F782" s="20">
        <f t="array" ref="F782">_xlfn.XLOOKUP(A782,'WK 47'!A:A,'WK 47'!F:F,"")</f>
        <v>0</v>
      </c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  <c r="AH782" s="61"/>
      <c r="AI782" s="61"/>
      <c r="AJ782" s="61"/>
      <c r="AK782" s="61"/>
    </row>
    <row r="783" customHeight="1" spans="1:37">
      <c r="A783" s="61"/>
      <c r="B783" s="61"/>
      <c r="C783" s="61"/>
      <c r="D783" s="61"/>
      <c r="E783" s="61"/>
      <c r="F783" s="20">
        <f t="array" ref="F783">_xlfn.XLOOKUP(A783,'WK 47'!A:A,'WK 47'!F:F,"")</f>
        <v>0</v>
      </c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  <c r="AH783" s="61"/>
      <c r="AI783" s="61"/>
      <c r="AJ783" s="61"/>
      <c r="AK783" s="61"/>
    </row>
    <row r="784" customHeight="1" spans="1:37">
      <c r="A784" s="61"/>
      <c r="B784" s="61"/>
      <c r="C784" s="61"/>
      <c r="D784" s="61"/>
      <c r="E784" s="61"/>
      <c r="F784" s="20">
        <f t="array" ref="F784">_xlfn.XLOOKUP(A784,'WK 47'!A:A,'WK 47'!F:F,"")</f>
        <v>0</v>
      </c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  <c r="AH784" s="61"/>
      <c r="AI784" s="61"/>
      <c r="AJ784" s="61"/>
      <c r="AK784" s="61"/>
    </row>
    <row r="785" customHeight="1" spans="1:37">
      <c r="A785" s="61"/>
      <c r="B785" s="61"/>
      <c r="C785" s="61"/>
      <c r="D785" s="61"/>
      <c r="E785" s="61"/>
      <c r="F785" s="20">
        <f t="array" ref="F785">_xlfn.XLOOKUP(A785,'WK 47'!A:A,'WK 47'!F:F,"")</f>
        <v>0</v>
      </c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  <c r="AH785" s="61"/>
      <c r="AI785" s="61"/>
      <c r="AJ785" s="61"/>
      <c r="AK785" s="61"/>
    </row>
    <row r="786" customHeight="1" spans="1:37">
      <c r="A786" s="61"/>
      <c r="B786" s="61"/>
      <c r="C786" s="61"/>
      <c r="D786" s="61"/>
      <c r="E786" s="61"/>
      <c r="F786" s="20">
        <f t="array" ref="F786">_xlfn.XLOOKUP(A786,'WK 47'!A:A,'WK 47'!F:F,"")</f>
        <v>0</v>
      </c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  <c r="AH786" s="61"/>
      <c r="AI786" s="61"/>
      <c r="AJ786" s="61"/>
      <c r="AK786" s="61"/>
    </row>
    <row r="787" customHeight="1" spans="1:37">
      <c r="A787" s="61"/>
      <c r="B787" s="61"/>
      <c r="C787" s="61"/>
      <c r="D787" s="61"/>
      <c r="E787" s="61"/>
      <c r="F787" s="20">
        <f t="array" ref="F787">_xlfn.XLOOKUP(A787,'WK 47'!A:A,'WK 47'!F:F,"")</f>
        <v>0</v>
      </c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  <c r="AH787" s="61"/>
      <c r="AI787" s="61"/>
      <c r="AJ787" s="61"/>
      <c r="AK787" s="61"/>
    </row>
    <row r="788" customHeight="1" spans="1:37">
      <c r="A788" s="61"/>
      <c r="B788" s="61"/>
      <c r="C788" s="61"/>
      <c r="D788" s="61"/>
      <c r="E788" s="61"/>
      <c r="F788" s="20">
        <f t="array" ref="F788">_xlfn.XLOOKUP(A788,'WK 47'!A:A,'WK 47'!F:F,"")</f>
        <v>0</v>
      </c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  <c r="AH788" s="61"/>
      <c r="AI788" s="61"/>
      <c r="AJ788" s="61"/>
      <c r="AK788" s="61"/>
    </row>
    <row r="789" customHeight="1" spans="1:37">
      <c r="A789" s="61"/>
      <c r="B789" s="61"/>
      <c r="C789" s="61"/>
      <c r="D789" s="61"/>
      <c r="E789" s="61"/>
      <c r="F789" s="20">
        <f t="array" ref="F789">_xlfn.XLOOKUP(A789,'WK 47'!A:A,'WK 47'!F:F,"")</f>
        <v>0</v>
      </c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  <c r="AH789" s="61"/>
      <c r="AI789" s="61"/>
      <c r="AJ789" s="61"/>
      <c r="AK789" s="61"/>
    </row>
    <row r="790" customHeight="1" spans="1:37">
      <c r="A790" s="61"/>
      <c r="B790" s="61"/>
      <c r="C790" s="61"/>
      <c r="D790" s="61"/>
      <c r="E790" s="61"/>
      <c r="F790" s="20">
        <f t="array" ref="F790">_xlfn.XLOOKUP(A790,'WK 47'!A:A,'WK 47'!F:F,"")</f>
        <v>0</v>
      </c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  <c r="AH790" s="61"/>
      <c r="AI790" s="61"/>
      <c r="AJ790" s="61"/>
      <c r="AK790" s="61"/>
    </row>
    <row r="791" customHeight="1" spans="1:37">
      <c r="A791" s="61"/>
      <c r="B791" s="61"/>
      <c r="C791" s="61"/>
      <c r="D791" s="61"/>
      <c r="E791" s="61"/>
      <c r="F791" s="20">
        <f t="array" ref="F791">_xlfn.XLOOKUP(A791,'WK 47'!A:A,'WK 47'!F:F,"")</f>
        <v>0</v>
      </c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  <c r="AH791" s="61"/>
      <c r="AI791" s="61"/>
      <c r="AJ791" s="61"/>
      <c r="AK791" s="61"/>
    </row>
    <row r="792" customHeight="1" spans="1:37">
      <c r="A792" s="61"/>
      <c r="B792" s="61"/>
      <c r="C792" s="61"/>
      <c r="D792" s="61"/>
      <c r="E792" s="61"/>
      <c r="F792" s="20">
        <f t="array" ref="F792">_xlfn.XLOOKUP(A792,'WK 47'!A:A,'WK 47'!F:F,"")</f>
        <v>0</v>
      </c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  <c r="AH792" s="61"/>
      <c r="AI792" s="61"/>
      <c r="AJ792" s="61"/>
      <c r="AK792" s="61"/>
    </row>
    <row r="793" customHeight="1" spans="1:37">
      <c r="A793" s="61"/>
      <c r="B793" s="61"/>
      <c r="C793" s="61"/>
      <c r="D793" s="61"/>
      <c r="E793" s="61"/>
      <c r="F793" s="20">
        <f t="array" ref="F793">_xlfn.XLOOKUP(A793,'WK 47'!A:A,'WK 47'!F:F,"")</f>
        <v>0</v>
      </c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  <c r="AH793" s="61"/>
      <c r="AI793" s="61"/>
      <c r="AJ793" s="61"/>
      <c r="AK793" s="61"/>
    </row>
    <row r="794" customHeight="1" spans="1:37">
      <c r="A794" s="61"/>
      <c r="B794" s="61"/>
      <c r="C794" s="61"/>
      <c r="D794" s="61"/>
      <c r="E794" s="61"/>
      <c r="F794" s="20">
        <f t="array" ref="F794">_xlfn.XLOOKUP(A794,'WK 47'!A:A,'WK 47'!F:F,"")</f>
        <v>0</v>
      </c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  <c r="AH794" s="61"/>
      <c r="AI794" s="61"/>
      <c r="AJ794" s="61"/>
      <c r="AK794" s="61"/>
    </row>
    <row r="795" customHeight="1" spans="1:37">
      <c r="A795" s="61"/>
      <c r="B795" s="61"/>
      <c r="C795" s="61"/>
      <c r="D795" s="61"/>
      <c r="E795" s="61"/>
      <c r="F795" s="20">
        <f t="array" ref="F795">_xlfn.XLOOKUP(A795,'WK 47'!A:A,'WK 47'!F:F,"")</f>
        <v>0</v>
      </c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  <c r="AH795" s="61"/>
      <c r="AI795" s="61"/>
      <c r="AJ795" s="61"/>
      <c r="AK795" s="61"/>
    </row>
    <row r="796" customHeight="1" spans="1:37">
      <c r="A796" s="61"/>
      <c r="B796" s="61"/>
      <c r="C796" s="61"/>
      <c r="D796" s="61"/>
      <c r="E796" s="61"/>
      <c r="F796" s="20">
        <f t="array" ref="F796">_xlfn.XLOOKUP(A796,'WK 47'!A:A,'WK 47'!F:F,"")</f>
        <v>0</v>
      </c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  <c r="AH796" s="61"/>
      <c r="AI796" s="61"/>
      <c r="AJ796" s="61"/>
      <c r="AK796" s="61"/>
    </row>
    <row r="797" customHeight="1" spans="1:37">
      <c r="A797" s="61"/>
      <c r="B797" s="61"/>
      <c r="C797" s="61"/>
      <c r="D797" s="61"/>
      <c r="E797" s="61"/>
      <c r="F797" s="20">
        <f t="array" ref="F797">_xlfn.XLOOKUP(A797,'WK 47'!A:A,'WK 47'!F:F,"")</f>
        <v>0</v>
      </c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  <c r="AH797" s="61"/>
      <c r="AI797" s="61"/>
      <c r="AJ797" s="61"/>
      <c r="AK797" s="61"/>
    </row>
    <row r="798" customHeight="1" spans="1:37">
      <c r="A798" s="61"/>
      <c r="B798" s="61"/>
      <c r="C798" s="61"/>
      <c r="D798" s="61"/>
      <c r="E798" s="61"/>
      <c r="F798" s="20">
        <f t="array" ref="F798">_xlfn.XLOOKUP(A798,'WK 47'!A:A,'WK 47'!F:F,"")</f>
        <v>0</v>
      </c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  <c r="AH798" s="61"/>
      <c r="AI798" s="61"/>
      <c r="AJ798" s="61"/>
      <c r="AK798" s="61"/>
    </row>
    <row r="799" customHeight="1" spans="1:37">
      <c r="A799" s="61"/>
      <c r="B799" s="61"/>
      <c r="C799" s="61"/>
      <c r="D799" s="61"/>
      <c r="E799" s="61"/>
      <c r="F799" s="20">
        <f t="array" ref="F799">_xlfn.XLOOKUP(A799,'WK 47'!A:A,'WK 47'!F:F,"")</f>
        <v>0</v>
      </c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  <c r="AH799" s="61"/>
      <c r="AI799" s="61"/>
      <c r="AJ799" s="61"/>
      <c r="AK799" s="61"/>
    </row>
    <row r="800" customHeight="1" spans="1:37">
      <c r="A800" s="61"/>
      <c r="B800" s="61"/>
      <c r="C800" s="61"/>
      <c r="D800" s="61"/>
      <c r="E800" s="61"/>
      <c r="F800" s="20">
        <f t="array" ref="F800">_xlfn.XLOOKUP(A800,'WK 47'!A:A,'WK 47'!F:F,"")</f>
        <v>0</v>
      </c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  <c r="AH800" s="61"/>
      <c r="AI800" s="61"/>
      <c r="AJ800" s="61"/>
      <c r="AK800" s="61"/>
    </row>
    <row r="801" customHeight="1" spans="1:37">
      <c r="A801" s="61"/>
      <c r="B801" s="61"/>
      <c r="C801" s="61"/>
      <c r="D801" s="61"/>
      <c r="E801" s="61"/>
      <c r="F801" s="20">
        <f t="array" ref="F801">_xlfn.XLOOKUP(A801,'WK 47'!A:A,'WK 47'!F:F,"")</f>
        <v>0</v>
      </c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  <c r="AH801" s="61"/>
      <c r="AI801" s="61"/>
      <c r="AJ801" s="61"/>
      <c r="AK801" s="61"/>
    </row>
    <row r="802" customHeight="1" spans="1:37">
      <c r="A802" s="61"/>
      <c r="B802" s="61"/>
      <c r="C802" s="61"/>
      <c r="D802" s="61"/>
      <c r="E802" s="61"/>
      <c r="F802" s="20">
        <f t="array" ref="F802">_xlfn.XLOOKUP(A802,'WK 47'!A:A,'WK 47'!F:F,"")</f>
        <v>0</v>
      </c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  <c r="AH802" s="61"/>
      <c r="AI802" s="61"/>
      <c r="AJ802" s="61"/>
      <c r="AK802" s="61"/>
    </row>
    <row r="803" customHeight="1" spans="1:37">
      <c r="A803" s="61"/>
      <c r="B803" s="61"/>
      <c r="C803" s="61"/>
      <c r="D803" s="61"/>
      <c r="E803" s="61"/>
      <c r="F803" s="20">
        <f t="array" ref="F803">_xlfn.XLOOKUP(A803,'WK 47'!A:A,'WK 47'!F:F,"")</f>
        <v>0</v>
      </c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  <c r="AH803" s="61"/>
      <c r="AI803" s="61"/>
      <c r="AJ803" s="61"/>
      <c r="AK803" s="61"/>
    </row>
    <row r="804" customHeight="1" spans="1:37">
      <c r="A804" s="61"/>
      <c r="B804" s="61"/>
      <c r="C804" s="61"/>
      <c r="D804" s="61"/>
      <c r="E804" s="61"/>
      <c r="F804" s="20">
        <f t="array" ref="F804">_xlfn.XLOOKUP(A804,'WK 47'!A:A,'WK 47'!F:F,"")</f>
        <v>0</v>
      </c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  <c r="AH804" s="61"/>
      <c r="AI804" s="61"/>
      <c r="AJ804" s="61"/>
      <c r="AK804" s="61"/>
    </row>
    <row r="805" customHeight="1" spans="1:37">
      <c r="A805" s="61"/>
      <c r="B805" s="61"/>
      <c r="C805" s="61"/>
      <c r="D805" s="61"/>
      <c r="E805" s="61"/>
      <c r="F805" s="20">
        <f t="array" ref="F805">_xlfn.XLOOKUP(A805,'WK 47'!A:A,'WK 47'!F:F,"")</f>
        <v>0</v>
      </c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  <c r="AH805" s="61"/>
      <c r="AI805" s="61"/>
      <c r="AJ805" s="61"/>
      <c r="AK805" s="61"/>
    </row>
    <row r="806" customHeight="1" spans="1:37">
      <c r="A806" s="61"/>
      <c r="B806" s="61"/>
      <c r="C806" s="61"/>
      <c r="D806" s="61"/>
      <c r="E806" s="61"/>
      <c r="F806" s="20">
        <f t="array" ref="F806">_xlfn.XLOOKUP(A806,'WK 47'!A:A,'WK 47'!F:F,"")</f>
        <v>0</v>
      </c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  <c r="AH806" s="61"/>
      <c r="AI806" s="61"/>
      <c r="AJ806" s="61"/>
      <c r="AK806" s="61"/>
    </row>
    <row r="807" customHeight="1" spans="1:37">
      <c r="A807" s="61"/>
      <c r="B807" s="61"/>
      <c r="C807" s="61"/>
      <c r="D807" s="61"/>
      <c r="E807" s="61"/>
      <c r="F807" s="20">
        <f t="array" ref="F807">_xlfn.XLOOKUP(A807,'WK 47'!A:A,'WK 47'!F:F,"")</f>
        <v>0</v>
      </c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  <c r="AH807" s="61"/>
      <c r="AI807" s="61"/>
      <c r="AJ807" s="61"/>
      <c r="AK807" s="61"/>
    </row>
    <row r="808" customHeight="1" spans="1:37">
      <c r="A808" s="61"/>
      <c r="B808" s="61"/>
      <c r="C808" s="61"/>
      <c r="D808" s="61"/>
      <c r="E808" s="61"/>
      <c r="F808" s="20">
        <f t="array" ref="F808">_xlfn.XLOOKUP(A808,'WK 47'!A:A,'WK 47'!F:F,"")</f>
        <v>0</v>
      </c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  <c r="AH808" s="61"/>
      <c r="AI808" s="61"/>
      <c r="AJ808" s="61"/>
      <c r="AK808" s="61"/>
    </row>
    <row r="809" customHeight="1" spans="1:37">
      <c r="A809" s="61"/>
      <c r="B809" s="61"/>
      <c r="C809" s="61"/>
      <c r="D809" s="61"/>
      <c r="E809" s="61"/>
      <c r="F809" s="20">
        <f t="array" ref="F809">_xlfn.XLOOKUP(A809,'WK 47'!A:A,'WK 47'!F:F,"")</f>
        <v>0</v>
      </c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  <c r="AH809" s="61"/>
      <c r="AI809" s="61"/>
      <c r="AJ809" s="61"/>
      <c r="AK809" s="61"/>
    </row>
    <row r="810" customHeight="1" spans="1:37">
      <c r="A810" s="61"/>
      <c r="B810" s="61"/>
      <c r="C810" s="61"/>
      <c r="D810" s="61"/>
      <c r="E810" s="61"/>
      <c r="F810" s="20">
        <f t="array" ref="F810">_xlfn.XLOOKUP(A810,'WK 47'!A:A,'WK 47'!F:F,"")</f>
        <v>0</v>
      </c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  <c r="AH810" s="61"/>
      <c r="AI810" s="61"/>
      <c r="AJ810" s="61"/>
      <c r="AK810" s="61"/>
    </row>
    <row r="811" customHeight="1" spans="1:37">
      <c r="A811" s="61"/>
      <c r="B811" s="61"/>
      <c r="C811" s="61"/>
      <c r="D811" s="61"/>
      <c r="E811" s="61"/>
      <c r="F811" s="20">
        <f t="array" ref="F811">_xlfn.XLOOKUP(A811,'WK 47'!A:A,'WK 47'!F:F,"")</f>
        <v>0</v>
      </c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  <c r="AH811" s="61"/>
      <c r="AI811" s="61"/>
      <c r="AJ811" s="61"/>
      <c r="AK811" s="61"/>
    </row>
    <row r="812" customHeight="1" spans="1:37">
      <c r="A812" s="61"/>
      <c r="B812" s="61"/>
      <c r="C812" s="61"/>
      <c r="D812" s="61"/>
      <c r="E812" s="61"/>
      <c r="F812" s="20">
        <f t="array" ref="F812">_xlfn.XLOOKUP(A812,'WK 47'!A:A,'WK 47'!F:F,"")</f>
        <v>0</v>
      </c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  <c r="AH812" s="61"/>
      <c r="AI812" s="61"/>
      <c r="AJ812" s="61"/>
      <c r="AK812" s="61"/>
    </row>
    <row r="813" customHeight="1" spans="1:37">
      <c r="A813" s="61"/>
      <c r="B813" s="61"/>
      <c r="C813" s="61"/>
      <c r="D813" s="61"/>
      <c r="E813" s="61"/>
      <c r="F813" s="20">
        <f t="array" ref="F813">_xlfn.XLOOKUP(A813,'WK 47'!A:A,'WK 47'!F:F,"")</f>
        <v>0</v>
      </c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  <c r="AH813" s="61"/>
      <c r="AI813" s="61"/>
      <c r="AJ813" s="61"/>
      <c r="AK813" s="61"/>
    </row>
    <row r="814" customHeight="1" spans="1:37">
      <c r="A814" s="61"/>
      <c r="B814" s="61"/>
      <c r="C814" s="61"/>
      <c r="D814" s="61"/>
      <c r="E814" s="61"/>
      <c r="F814" s="20">
        <f t="array" ref="F814">_xlfn.XLOOKUP(A814,'WK 47'!A:A,'WK 47'!F:F,"")</f>
        <v>0</v>
      </c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  <c r="AH814" s="61"/>
      <c r="AI814" s="61"/>
      <c r="AJ814" s="61"/>
      <c r="AK814" s="61"/>
    </row>
    <row r="815" customHeight="1" spans="1:37">
      <c r="A815" s="61"/>
      <c r="B815" s="61"/>
      <c r="C815" s="61"/>
      <c r="D815" s="61"/>
      <c r="E815" s="61"/>
      <c r="F815" s="20">
        <f t="array" ref="F815">_xlfn.XLOOKUP(A815,'WK 47'!A:A,'WK 47'!F:F,"")</f>
        <v>0</v>
      </c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  <c r="AH815" s="61"/>
      <c r="AI815" s="61"/>
      <c r="AJ815" s="61"/>
      <c r="AK815" s="61"/>
    </row>
    <row r="816" customHeight="1" spans="1:37">
      <c r="A816" s="61"/>
      <c r="B816" s="61"/>
      <c r="C816" s="61"/>
      <c r="D816" s="61"/>
      <c r="E816" s="61"/>
      <c r="F816" s="20">
        <f t="array" ref="F816">_xlfn.XLOOKUP(A816,'WK 47'!A:A,'WK 47'!F:F,"")</f>
        <v>0</v>
      </c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  <c r="AH816" s="61"/>
      <c r="AI816" s="61"/>
      <c r="AJ816" s="61"/>
      <c r="AK816" s="61"/>
    </row>
    <row r="817" customHeight="1" spans="1:37">
      <c r="A817" s="61"/>
      <c r="B817" s="61"/>
      <c r="C817" s="61"/>
      <c r="D817" s="61"/>
      <c r="E817" s="61"/>
      <c r="F817" s="20">
        <f t="array" ref="F817">_xlfn.XLOOKUP(A817,'WK 47'!A:A,'WK 47'!F:F,"")</f>
        <v>0</v>
      </c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  <c r="AH817" s="61"/>
      <c r="AI817" s="61"/>
      <c r="AJ817" s="61"/>
      <c r="AK817" s="61"/>
    </row>
    <row r="818" customHeight="1" spans="1:37">
      <c r="A818" s="61"/>
      <c r="B818" s="61"/>
      <c r="C818" s="61"/>
      <c r="D818" s="61"/>
      <c r="E818" s="61"/>
      <c r="F818" s="20">
        <f t="array" ref="F818">_xlfn.XLOOKUP(A818,'WK 47'!A:A,'WK 47'!F:F,"")</f>
        <v>0</v>
      </c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  <c r="AH818" s="61"/>
      <c r="AI818" s="61"/>
      <c r="AJ818" s="61"/>
      <c r="AK818" s="61"/>
    </row>
    <row r="819" customHeight="1" spans="1:37">
      <c r="A819" s="61"/>
      <c r="B819" s="61"/>
      <c r="C819" s="61"/>
      <c r="D819" s="61"/>
      <c r="E819" s="61"/>
      <c r="F819" s="20">
        <f t="array" ref="F819">_xlfn.XLOOKUP(A819,'WK 47'!A:A,'WK 47'!F:F,"")</f>
        <v>0</v>
      </c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  <c r="AH819" s="61"/>
      <c r="AI819" s="61"/>
      <c r="AJ819" s="61"/>
      <c r="AK819" s="61"/>
    </row>
    <row r="820" customHeight="1" spans="1:37">
      <c r="A820" s="61"/>
      <c r="B820" s="61"/>
      <c r="C820" s="61"/>
      <c r="D820" s="61"/>
      <c r="E820" s="61"/>
      <c r="F820" s="20">
        <f t="array" ref="F820">_xlfn.XLOOKUP(A820,'WK 47'!A:A,'WK 47'!F:F,"")</f>
        <v>0</v>
      </c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  <c r="AH820" s="61"/>
      <c r="AI820" s="61"/>
      <c r="AJ820" s="61"/>
      <c r="AK820" s="61"/>
    </row>
    <row r="821" customHeight="1" spans="1:37">
      <c r="A821" s="61"/>
      <c r="B821" s="61"/>
      <c r="C821" s="61"/>
      <c r="D821" s="61"/>
      <c r="E821" s="61"/>
      <c r="F821" s="20">
        <f t="array" ref="F821">_xlfn.XLOOKUP(A821,'WK 47'!A:A,'WK 47'!F:F,"")</f>
        <v>0</v>
      </c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  <c r="AH821" s="61"/>
      <c r="AI821" s="61"/>
      <c r="AJ821" s="61"/>
      <c r="AK821" s="61"/>
    </row>
    <row r="822" customHeight="1" spans="1:37">
      <c r="A822" s="61"/>
      <c r="B822" s="61"/>
      <c r="C822" s="61"/>
      <c r="D822" s="61"/>
      <c r="E822" s="61"/>
      <c r="F822" s="20">
        <f t="array" ref="F822">_xlfn.XLOOKUP(A822,'WK 47'!A:A,'WK 47'!F:F,"")</f>
        <v>0</v>
      </c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  <c r="AH822" s="61"/>
      <c r="AI822" s="61"/>
      <c r="AJ822" s="61"/>
      <c r="AK822" s="61"/>
    </row>
    <row r="823" customHeight="1" spans="1:37">
      <c r="A823" s="61"/>
      <c r="B823" s="61"/>
      <c r="C823" s="61"/>
      <c r="D823" s="61"/>
      <c r="E823" s="61"/>
      <c r="F823" s="20">
        <f t="array" ref="F823">_xlfn.XLOOKUP(A823,'WK 47'!A:A,'WK 47'!F:F,"")</f>
        <v>0</v>
      </c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  <c r="AH823" s="61"/>
      <c r="AI823" s="61"/>
      <c r="AJ823" s="61"/>
      <c r="AK823" s="61"/>
    </row>
    <row r="824" customHeight="1" spans="1:37">
      <c r="A824" s="61"/>
      <c r="B824" s="61"/>
      <c r="C824" s="61"/>
      <c r="D824" s="61"/>
      <c r="E824" s="61"/>
      <c r="F824" s="20">
        <f t="array" ref="F824">_xlfn.XLOOKUP(A824,'WK 47'!A:A,'WK 47'!F:F,"")</f>
        <v>0</v>
      </c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  <c r="AH824" s="61"/>
      <c r="AI824" s="61"/>
      <c r="AJ824" s="61"/>
      <c r="AK824" s="61"/>
    </row>
    <row r="825" customHeight="1" spans="1:37">
      <c r="A825" s="61"/>
      <c r="B825" s="61"/>
      <c r="C825" s="61"/>
      <c r="D825" s="61"/>
      <c r="E825" s="61"/>
      <c r="F825" s="20">
        <f t="array" ref="F825">_xlfn.XLOOKUP(A825,'WK 47'!A:A,'WK 47'!F:F,"")</f>
        <v>0</v>
      </c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  <c r="AH825" s="61"/>
      <c r="AI825" s="61"/>
      <c r="AJ825" s="61"/>
      <c r="AK825" s="61"/>
    </row>
    <row r="826" customHeight="1" spans="1:37">
      <c r="A826" s="61"/>
      <c r="B826" s="61"/>
      <c r="C826" s="61"/>
      <c r="D826" s="61"/>
      <c r="E826" s="61"/>
      <c r="F826" s="20">
        <f t="array" ref="F826">_xlfn.XLOOKUP(A826,'WK 47'!A:A,'WK 47'!F:F,"")</f>
        <v>0</v>
      </c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  <c r="AH826" s="61"/>
      <c r="AI826" s="61"/>
      <c r="AJ826" s="61"/>
      <c r="AK826" s="61"/>
    </row>
    <row r="827" customHeight="1" spans="1:37">
      <c r="A827" s="61"/>
      <c r="B827" s="61"/>
      <c r="C827" s="61"/>
      <c r="D827" s="61"/>
      <c r="E827" s="61"/>
      <c r="F827" s="20">
        <f t="array" ref="F827">_xlfn.XLOOKUP(A827,'WK 47'!A:A,'WK 47'!F:F,"")</f>
        <v>0</v>
      </c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  <c r="AH827" s="61"/>
      <c r="AI827" s="61"/>
      <c r="AJ827" s="61"/>
      <c r="AK827" s="61"/>
    </row>
    <row r="828" customHeight="1" spans="1:37">
      <c r="A828" s="61"/>
      <c r="B828" s="61"/>
      <c r="C828" s="61"/>
      <c r="D828" s="61"/>
      <c r="E828" s="61"/>
      <c r="F828" s="20">
        <f t="array" ref="F828">_xlfn.XLOOKUP(A828,'WK 47'!A:A,'WK 47'!F:F,"")</f>
        <v>0</v>
      </c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  <c r="AH828" s="61"/>
      <c r="AI828" s="61"/>
      <c r="AJ828" s="61"/>
      <c r="AK828" s="61"/>
    </row>
    <row r="829" customHeight="1" spans="1:37">
      <c r="A829" s="61"/>
      <c r="B829" s="61"/>
      <c r="C829" s="61"/>
      <c r="D829" s="61"/>
      <c r="E829" s="61"/>
      <c r="F829" s="20">
        <f t="array" ref="F829">_xlfn.XLOOKUP(A829,'WK 47'!A:A,'WK 47'!F:F,"")</f>
        <v>0</v>
      </c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  <c r="AH829" s="61"/>
      <c r="AI829" s="61"/>
      <c r="AJ829" s="61"/>
      <c r="AK829" s="61"/>
    </row>
    <row r="830" customHeight="1" spans="1:37">
      <c r="A830" s="61"/>
      <c r="B830" s="61"/>
      <c r="C830" s="61"/>
      <c r="D830" s="61"/>
      <c r="E830" s="61"/>
      <c r="F830" s="20">
        <f t="array" ref="F830">_xlfn.XLOOKUP(A830,'WK 47'!A:A,'WK 47'!F:F,"")</f>
        <v>0</v>
      </c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  <c r="AH830" s="61"/>
      <c r="AI830" s="61"/>
      <c r="AJ830" s="61"/>
      <c r="AK830" s="61"/>
    </row>
    <row r="831" customHeight="1" spans="1:37">
      <c r="A831" s="61"/>
      <c r="B831" s="61"/>
      <c r="C831" s="61"/>
      <c r="D831" s="61"/>
      <c r="E831" s="61"/>
      <c r="F831" s="20">
        <f t="array" ref="F831">_xlfn.XLOOKUP(A831,'WK 47'!A:A,'WK 47'!F:F,"")</f>
        <v>0</v>
      </c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  <c r="AH831" s="61"/>
      <c r="AI831" s="61"/>
      <c r="AJ831" s="61"/>
      <c r="AK831" s="61"/>
    </row>
    <row r="832" customHeight="1" spans="1:37">
      <c r="A832" s="61"/>
      <c r="B832" s="61"/>
      <c r="C832" s="61"/>
      <c r="D832" s="61"/>
      <c r="E832" s="61"/>
      <c r="F832" s="20">
        <f t="array" ref="F832">_xlfn.XLOOKUP(A832,'WK 47'!A:A,'WK 47'!F:F,"")</f>
        <v>0</v>
      </c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  <c r="AH832" s="61"/>
      <c r="AI832" s="61"/>
      <c r="AJ832" s="61"/>
      <c r="AK832" s="61"/>
    </row>
    <row r="833" customHeight="1" spans="1:37">
      <c r="A833" s="61"/>
      <c r="B833" s="61"/>
      <c r="C833" s="61"/>
      <c r="D833" s="61"/>
      <c r="E833" s="61"/>
      <c r="F833" s="20">
        <f t="array" ref="F833">_xlfn.XLOOKUP(A833,'WK 47'!A:A,'WK 47'!F:F,"")</f>
        <v>0</v>
      </c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  <c r="AH833" s="61"/>
      <c r="AI833" s="61"/>
      <c r="AJ833" s="61"/>
      <c r="AK833" s="61"/>
    </row>
    <row r="834" customHeight="1" spans="1:37">
      <c r="A834" s="61"/>
      <c r="B834" s="61"/>
      <c r="C834" s="61"/>
      <c r="D834" s="61"/>
      <c r="E834" s="61"/>
      <c r="F834" s="20">
        <f t="array" ref="F834">_xlfn.XLOOKUP(A834,'WK 47'!A:A,'WK 47'!F:F,"")</f>
        <v>0</v>
      </c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  <c r="AH834" s="61"/>
      <c r="AI834" s="61"/>
      <c r="AJ834" s="61"/>
      <c r="AK834" s="61"/>
    </row>
    <row r="835" customHeight="1" spans="1:37">
      <c r="A835" s="61"/>
      <c r="B835" s="61"/>
      <c r="C835" s="61"/>
      <c r="D835" s="61"/>
      <c r="E835" s="61"/>
      <c r="F835" s="20">
        <f t="array" ref="F835">_xlfn.XLOOKUP(A835,'WK 47'!A:A,'WK 47'!F:F,"")</f>
        <v>0</v>
      </c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  <c r="AH835" s="61"/>
      <c r="AI835" s="61"/>
      <c r="AJ835" s="61"/>
      <c r="AK835" s="61"/>
    </row>
    <row r="836" customHeight="1" spans="1:37">
      <c r="A836" s="61"/>
      <c r="B836" s="61"/>
      <c r="C836" s="61"/>
      <c r="D836" s="61"/>
      <c r="E836" s="61"/>
      <c r="F836" s="20">
        <f t="array" ref="F836">_xlfn.XLOOKUP(A836,'WK 47'!A:A,'WK 47'!F:F,"")</f>
        <v>0</v>
      </c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  <c r="AH836" s="61"/>
      <c r="AI836" s="61"/>
      <c r="AJ836" s="61"/>
      <c r="AK836" s="61"/>
    </row>
    <row r="837" customHeight="1" spans="1:37">
      <c r="A837" s="61"/>
      <c r="B837" s="61"/>
      <c r="C837" s="61"/>
      <c r="D837" s="61"/>
      <c r="E837" s="61"/>
      <c r="F837" s="20">
        <f t="array" ref="F837">_xlfn.XLOOKUP(A837,'WK 47'!A:A,'WK 47'!F:F,"")</f>
        <v>0</v>
      </c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  <c r="AH837" s="61"/>
      <c r="AI837" s="61"/>
      <c r="AJ837" s="61"/>
      <c r="AK837" s="61"/>
    </row>
    <row r="838" customHeight="1" spans="1:37">
      <c r="A838" s="61"/>
      <c r="B838" s="61"/>
      <c r="C838" s="61"/>
      <c r="D838" s="61"/>
      <c r="E838" s="61"/>
      <c r="F838" s="20">
        <f t="array" ref="F838">_xlfn.XLOOKUP(A838,'WK 47'!A:A,'WK 47'!F:F,"")</f>
        <v>0</v>
      </c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  <c r="AH838" s="61"/>
      <c r="AI838" s="61"/>
      <c r="AJ838" s="61"/>
      <c r="AK838" s="61"/>
    </row>
    <row r="839" customHeight="1" spans="1:37">
      <c r="A839" s="61"/>
      <c r="B839" s="61"/>
      <c r="C839" s="61"/>
      <c r="D839" s="61"/>
      <c r="E839" s="61"/>
      <c r="F839" s="20">
        <f t="array" ref="F839">_xlfn.XLOOKUP(A839,'WK 47'!A:A,'WK 47'!F:F,"")</f>
        <v>0</v>
      </c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  <c r="AH839" s="61"/>
      <c r="AI839" s="61"/>
      <c r="AJ839" s="61"/>
      <c r="AK839" s="61"/>
    </row>
    <row r="840" customHeight="1" spans="1:37">
      <c r="A840" s="61"/>
      <c r="B840" s="61"/>
      <c r="C840" s="61"/>
      <c r="D840" s="61"/>
      <c r="E840" s="61"/>
      <c r="F840" s="20">
        <f t="array" ref="F840">_xlfn.XLOOKUP(A840,'WK 47'!A:A,'WK 47'!F:F,"")</f>
        <v>0</v>
      </c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  <c r="AH840" s="61"/>
      <c r="AI840" s="61"/>
      <c r="AJ840" s="61"/>
      <c r="AK840" s="61"/>
    </row>
    <row r="841" customHeight="1" spans="1:37">
      <c r="A841" s="61"/>
      <c r="B841" s="61"/>
      <c r="C841" s="61"/>
      <c r="D841" s="61"/>
      <c r="E841" s="61"/>
      <c r="F841" s="20">
        <f t="array" ref="F841">_xlfn.XLOOKUP(A841,'WK 47'!A:A,'WK 47'!F:F,"")</f>
        <v>0</v>
      </c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  <c r="AH841" s="61"/>
      <c r="AI841" s="61"/>
      <c r="AJ841" s="61"/>
      <c r="AK841" s="61"/>
    </row>
    <row r="842" customHeight="1" spans="1:37">
      <c r="A842" s="61"/>
      <c r="B842" s="61"/>
      <c r="C842" s="61"/>
      <c r="D842" s="61"/>
      <c r="E842" s="61"/>
      <c r="F842" s="20">
        <f t="array" ref="F842">_xlfn.XLOOKUP(A842,'WK 47'!A:A,'WK 47'!F:F,"")</f>
        <v>0</v>
      </c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  <c r="AH842" s="61"/>
      <c r="AI842" s="61"/>
      <c r="AJ842" s="61"/>
      <c r="AK842" s="61"/>
    </row>
    <row r="843" customHeight="1" spans="1:37">
      <c r="A843" s="61"/>
      <c r="B843" s="61"/>
      <c r="C843" s="61"/>
      <c r="D843" s="61"/>
      <c r="E843" s="61"/>
      <c r="F843" s="20">
        <f t="array" ref="F843">_xlfn.XLOOKUP(A843,'WK 47'!A:A,'WK 47'!F:F,"")</f>
        <v>0</v>
      </c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  <c r="AH843" s="61"/>
      <c r="AI843" s="61"/>
      <c r="AJ843" s="61"/>
      <c r="AK843" s="61"/>
    </row>
    <row r="844" customHeight="1" spans="1:37">
      <c r="A844" s="61"/>
      <c r="B844" s="61"/>
      <c r="C844" s="61"/>
      <c r="D844" s="61"/>
      <c r="E844" s="61"/>
      <c r="F844" s="20">
        <f t="array" ref="F844">_xlfn.XLOOKUP(A844,'WK 47'!A:A,'WK 47'!F:F,"")</f>
        <v>0</v>
      </c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  <c r="AH844" s="61"/>
      <c r="AI844" s="61"/>
      <c r="AJ844" s="61"/>
      <c r="AK844" s="61"/>
    </row>
    <row r="845" customHeight="1" spans="1:37">
      <c r="A845" s="61"/>
      <c r="B845" s="61"/>
      <c r="C845" s="61"/>
      <c r="D845" s="61"/>
      <c r="E845" s="61"/>
      <c r="F845" s="20">
        <f t="array" ref="F845">_xlfn.XLOOKUP(A845,'WK 47'!A:A,'WK 47'!F:F,"")</f>
        <v>0</v>
      </c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  <c r="AH845" s="61"/>
      <c r="AI845" s="61"/>
      <c r="AJ845" s="61"/>
      <c r="AK845" s="61"/>
    </row>
    <row r="846" customHeight="1" spans="1:37">
      <c r="A846" s="61"/>
      <c r="B846" s="61"/>
      <c r="C846" s="61"/>
      <c r="D846" s="61"/>
      <c r="E846" s="61"/>
      <c r="F846" s="20">
        <f t="array" ref="F846">_xlfn.XLOOKUP(A846,'WK 47'!A:A,'WK 47'!F:F,"")</f>
        <v>0</v>
      </c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  <c r="AH846" s="61"/>
      <c r="AI846" s="61"/>
      <c r="AJ846" s="61"/>
      <c r="AK846" s="61"/>
    </row>
    <row r="847" customHeight="1" spans="1:37">
      <c r="A847" s="61"/>
      <c r="B847" s="61"/>
      <c r="C847" s="61"/>
      <c r="D847" s="61"/>
      <c r="E847" s="61"/>
      <c r="F847" s="20">
        <f t="array" ref="F847">_xlfn.XLOOKUP(A847,'WK 47'!A:A,'WK 47'!F:F,"")</f>
        <v>0</v>
      </c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  <c r="AH847" s="61"/>
      <c r="AI847" s="61"/>
      <c r="AJ847" s="61"/>
      <c r="AK847" s="61"/>
    </row>
    <row r="848" customHeight="1" spans="1:37">
      <c r="A848" s="61"/>
      <c r="B848" s="61"/>
      <c r="C848" s="61"/>
      <c r="D848" s="61"/>
      <c r="E848" s="61"/>
      <c r="F848" s="20">
        <f t="array" ref="F848">_xlfn.XLOOKUP(A848,'WK 47'!A:A,'WK 47'!F:F,"")</f>
        <v>0</v>
      </c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  <c r="AH848" s="61"/>
      <c r="AI848" s="61"/>
      <c r="AJ848" s="61"/>
      <c r="AK848" s="61"/>
    </row>
    <row r="849" customHeight="1" spans="1:37">
      <c r="A849" s="61"/>
      <c r="B849" s="61"/>
      <c r="C849" s="61"/>
      <c r="D849" s="61"/>
      <c r="E849" s="61"/>
      <c r="F849" s="20">
        <f t="array" ref="F849">_xlfn.XLOOKUP(A849,'WK 47'!A:A,'WK 47'!F:F,"")</f>
        <v>0</v>
      </c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  <c r="AH849" s="61"/>
      <c r="AI849" s="61"/>
      <c r="AJ849" s="61"/>
      <c r="AK849" s="61"/>
    </row>
    <row r="850" customHeight="1" spans="1:37">
      <c r="A850" s="61"/>
      <c r="B850" s="61"/>
      <c r="C850" s="61"/>
      <c r="D850" s="61"/>
      <c r="E850" s="61"/>
      <c r="F850" s="20">
        <f t="array" ref="F850">_xlfn.XLOOKUP(A850,'WK 47'!A:A,'WK 47'!F:F,"")</f>
        <v>0</v>
      </c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  <c r="AH850" s="61"/>
      <c r="AI850" s="61"/>
      <c r="AJ850" s="61"/>
      <c r="AK850" s="61"/>
    </row>
    <row r="851" customHeight="1" spans="1:37">
      <c r="A851" s="61"/>
      <c r="B851" s="61"/>
      <c r="C851" s="61"/>
      <c r="D851" s="61"/>
      <c r="E851" s="61"/>
      <c r="F851" s="20">
        <f t="array" ref="F851">_xlfn.XLOOKUP(A851,'WK 47'!A:A,'WK 47'!F:F,"")</f>
        <v>0</v>
      </c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  <c r="AH851" s="61"/>
      <c r="AI851" s="61"/>
      <c r="AJ851" s="61"/>
      <c r="AK851" s="61"/>
    </row>
    <row r="852" customHeight="1" spans="1:37">
      <c r="A852" s="61"/>
      <c r="B852" s="61"/>
      <c r="C852" s="61"/>
      <c r="D852" s="61"/>
      <c r="E852" s="61"/>
      <c r="F852" s="20">
        <f t="array" ref="F852">_xlfn.XLOOKUP(A852,'WK 47'!A:A,'WK 47'!F:F,"")</f>
        <v>0</v>
      </c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  <c r="AH852" s="61"/>
      <c r="AI852" s="61"/>
      <c r="AJ852" s="61"/>
      <c r="AK852" s="61"/>
    </row>
    <row r="853" customHeight="1" spans="1:37">
      <c r="A853" s="61"/>
      <c r="B853" s="61"/>
      <c r="C853" s="61"/>
      <c r="D853" s="61"/>
      <c r="E853" s="61"/>
      <c r="F853" s="20">
        <f t="array" ref="F853">_xlfn.XLOOKUP(A853,'WK 47'!A:A,'WK 47'!F:F,"")</f>
        <v>0</v>
      </c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  <c r="AH853" s="61"/>
      <c r="AI853" s="61"/>
      <c r="AJ853" s="61"/>
      <c r="AK853" s="61"/>
    </row>
    <row r="854" customHeight="1" spans="1:37">
      <c r="A854" s="61"/>
      <c r="B854" s="61"/>
      <c r="C854" s="61"/>
      <c r="D854" s="61"/>
      <c r="E854" s="61"/>
      <c r="F854" s="20">
        <f t="array" ref="F854">_xlfn.XLOOKUP(A854,'WK 47'!A:A,'WK 47'!F:F,"")</f>
        <v>0</v>
      </c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  <c r="AH854" s="61"/>
      <c r="AI854" s="61"/>
      <c r="AJ854" s="61"/>
      <c r="AK854" s="61"/>
    </row>
    <row r="855" customHeight="1" spans="1:37">
      <c r="A855" s="61"/>
      <c r="B855" s="61"/>
      <c r="C855" s="61"/>
      <c r="D855" s="61"/>
      <c r="E855" s="61"/>
      <c r="F855" s="20">
        <f t="array" ref="F855">_xlfn.XLOOKUP(A855,'WK 47'!A:A,'WK 47'!F:F,"")</f>
        <v>0</v>
      </c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  <c r="AH855" s="61"/>
      <c r="AI855" s="61"/>
      <c r="AJ855" s="61"/>
      <c r="AK855" s="61"/>
    </row>
    <row r="856" customHeight="1" spans="1:37">
      <c r="A856" s="61"/>
      <c r="B856" s="61"/>
      <c r="C856" s="61"/>
      <c r="D856" s="61"/>
      <c r="E856" s="61"/>
      <c r="F856" s="20">
        <f t="array" ref="F856">_xlfn.XLOOKUP(A856,'WK 47'!A:A,'WK 47'!F:F,"")</f>
        <v>0</v>
      </c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  <c r="AH856" s="61"/>
      <c r="AI856" s="61"/>
      <c r="AJ856" s="61"/>
      <c r="AK856" s="61"/>
    </row>
    <row r="857" customHeight="1" spans="1:37">
      <c r="A857" s="61"/>
      <c r="B857" s="61"/>
      <c r="C857" s="61"/>
      <c r="D857" s="61"/>
      <c r="E857" s="61"/>
      <c r="F857" s="20">
        <f t="array" ref="F857">_xlfn.XLOOKUP(A857,'WK 47'!A:A,'WK 47'!F:F,"")</f>
        <v>0</v>
      </c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  <c r="AH857" s="61"/>
      <c r="AI857" s="61"/>
      <c r="AJ857" s="61"/>
      <c r="AK857" s="61"/>
    </row>
    <row r="858" customHeight="1" spans="1:37">
      <c r="A858" s="61"/>
      <c r="B858" s="61"/>
      <c r="C858" s="61"/>
      <c r="D858" s="61"/>
      <c r="E858" s="61"/>
      <c r="F858" s="20">
        <f t="array" ref="F858">_xlfn.XLOOKUP(A858,'WK 47'!A:A,'WK 47'!F:F,"")</f>
        <v>0</v>
      </c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  <c r="AH858" s="61"/>
      <c r="AI858" s="61"/>
      <c r="AJ858" s="61"/>
      <c r="AK858" s="61"/>
    </row>
    <row r="859" customHeight="1" spans="1:37">
      <c r="A859" s="61"/>
      <c r="B859" s="61"/>
      <c r="C859" s="61"/>
      <c r="D859" s="61"/>
      <c r="E859" s="61"/>
      <c r="F859" s="20">
        <f t="array" ref="F859">_xlfn.XLOOKUP(A859,'WK 47'!A:A,'WK 47'!F:F,"")</f>
        <v>0</v>
      </c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  <c r="AH859" s="61"/>
      <c r="AI859" s="61"/>
      <c r="AJ859" s="61"/>
      <c r="AK859" s="61"/>
    </row>
    <row r="860" customHeight="1" spans="1:37">
      <c r="A860" s="61"/>
      <c r="B860" s="61"/>
      <c r="C860" s="61"/>
      <c r="D860" s="61"/>
      <c r="E860" s="61"/>
      <c r="F860" s="20">
        <f t="array" ref="F860">_xlfn.XLOOKUP(A860,'WK 47'!A:A,'WK 47'!F:F,"")</f>
        <v>0</v>
      </c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  <c r="AH860" s="61"/>
      <c r="AI860" s="61"/>
      <c r="AJ860" s="61"/>
      <c r="AK860" s="61"/>
    </row>
    <row r="861" customHeight="1" spans="1:37">
      <c r="A861" s="61"/>
      <c r="B861" s="61"/>
      <c r="C861" s="61"/>
      <c r="D861" s="61"/>
      <c r="E861" s="61"/>
      <c r="F861" s="20">
        <f t="array" ref="F861">_xlfn.XLOOKUP(A861,'WK 47'!A:A,'WK 47'!F:F,"")</f>
        <v>0</v>
      </c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  <c r="AH861" s="61"/>
      <c r="AI861" s="61"/>
      <c r="AJ861" s="61"/>
      <c r="AK861" s="61"/>
    </row>
    <row r="862" customHeight="1" spans="1:37">
      <c r="A862" s="61"/>
      <c r="B862" s="61"/>
      <c r="C862" s="61"/>
      <c r="D862" s="61"/>
      <c r="E862" s="61"/>
      <c r="F862" s="20">
        <f t="array" ref="F862">_xlfn.XLOOKUP(A862,'WK 47'!A:A,'WK 47'!F:F,"")</f>
        <v>0</v>
      </c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  <c r="AH862" s="61"/>
      <c r="AI862" s="61"/>
      <c r="AJ862" s="61"/>
      <c r="AK862" s="61"/>
    </row>
    <row r="863" customHeight="1" spans="1:37">
      <c r="A863" s="61"/>
      <c r="B863" s="61"/>
      <c r="C863" s="61"/>
      <c r="D863" s="61"/>
      <c r="E863" s="61"/>
      <c r="F863" s="20">
        <f t="array" ref="F863">_xlfn.XLOOKUP(A863,'WK 47'!A:A,'WK 47'!F:F,"")</f>
        <v>0</v>
      </c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  <c r="AH863" s="61"/>
      <c r="AI863" s="61"/>
      <c r="AJ863" s="61"/>
      <c r="AK863" s="61"/>
    </row>
    <row r="864" customHeight="1" spans="1:37">
      <c r="A864" s="61"/>
      <c r="B864" s="61"/>
      <c r="C864" s="61"/>
      <c r="D864" s="61"/>
      <c r="E864" s="61"/>
      <c r="F864" s="20">
        <f t="array" ref="F864">_xlfn.XLOOKUP(A864,'WK 47'!A:A,'WK 47'!F:F,"")</f>
        <v>0</v>
      </c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  <c r="AH864" s="61"/>
      <c r="AI864" s="61"/>
      <c r="AJ864" s="61"/>
      <c r="AK864" s="61"/>
    </row>
    <row r="865" customHeight="1" spans="1:37">
      <c r="A865" s="61"/>
      <c r="B865" s="61"/>
      <c r="C865" s="61"/>
      <c r="D865" s="61"/>
      <c r="E865" s="61"/>
      <c r="F865" s="20">
        <f t="array" ref="F865">_xlfn.XLOOKUP(A865,'WK 47'!A:A,'WK 47'!F:F,"")</f>
        <v>0</v>
      </c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  <c r="AH865" s="61"/>
      <c r="AI865" s="61"/>
      <c r="AJ865" s="61"/>
      <c r="AK865" s="61"/>
    </row>
    <row r="866" customHeight="1" spans="1:37">
      <c r="A866" s="61"/>
      <c r="B866" s="61"/>
      <c r="C866" s="61"/>
      <c r="D866" s="61"/>
      <c r="E866" s="61"/>
      <c r="F866" s="20">
        <f t="array" ref="F866">_xlfn.XLOOKUP(A866,'WK 47'!A:A,'WK 47'!F:F,"")</f>
        <v>0</v>
      </c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  <c r="AH866" s="61"/>
      <c r="AI866" s="61"/>
      <c r="AJ866" s="61"/>
      <c r="AK866" s="61"/>
    </row>
    <row r="867" customHeight="1" spans="1:37">
      <c r="A867" s="61"/>
      <c r="B867" s="61"/>
      <c r="C867" s="61"/>
      <c r="D867" s="61"/>
      <c r="E867" s="61"/>
      <c r="F867" s="20">
        <f t="array" ref="F867">_xlfn.XLOOKUP(A867,'WK 47'!A:A,'WK 47'!F:F,"")</f>
        <v>0</v>
      </c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  <c r="AH867" s="61"/>
      <c r="AI867" s="61"/>
      <c r="AJ867" s="61"/>
      <c r="AK867" s="61"/>
    </row>
    <row r="868" customHeight="1" spans="1:37">
      <c r="A868" s="61"/>
      <c r="B868" s="61"/>
      <c r="C868" s="61"/>
      <c r="D868" s="61"/>
      <c r="E868" s="61"/>
      <c r="F868" s="20">
        <f t="array" ref="F868">_xlfn.XLOOKUP(A868,'WK 47'!A:A,'WK 47'!F:F,"")</f>
        <v>0</v>
      </c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  <c r="AH868" s="61"/>
      <c r="AI868" s="61"/>
      <c r="AJ868" s="61"/>
      <c r="AK868" s="61"/>
    </row>
    <row r="869" customHeight="1" spans="1:37">
      <c r="A869" s="61"/>
      <c r="B869" s="61"/>
      <c r="C869" s="61"/>
      <c r="D869" s="61"/>
      <c r="E869" s="61"/>
      <c r="F869" s="20">
        <f t="array" ref="F869">_xlfn.XLOOKUP(A869,'WK 47'!A:A,'WK 47'!F:F,"")</f>
        <v>0</v>
      </c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  <c r="AH869" s="61"/>
      <c r="AI869" s="61"/>
      <c r="AJ869" s="61"/>
      <c r="AK869" s="61"/>
    </row>
    <row r="870" customHeight="1" spans="1:37">
      <c r="A870" s="61"/>
      <c r="B870" s="61"/>
      <c r="C870" s="61"/>
      <c r="D870" s="61"/>
      <c r="E870" s="61"/>
      <c r="F870" s="20">
        <f t="array" ref="F870">_xlfn.XLOOKUP(A870,'WK 47'!A:A,'WK 47'!F:F,"")</f>
        <v>0</v>
      </c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  <c r="AH870" s="61"/>
      <c r="AI870" s="61"/>
      <c r="AJ870" s="61"/>
      <c r="AK870" s="61"/>
    </row>
    <row r="871" customHeight="1" spans="1:37">
      <c r="A871" s="61"/>
      <c r="B871" s="61"/>
      <c r="C871" s="61"/>
      <c r="D871" s="61"/>
      <c r="E871" s="61"/>
      <c r="F871" s="20">
        <f t="array" ref="F871">_xlfn.XLOOKUP(A871,'WK 47'!A:A,'WK 47'!F:F,"")</f>
        <v>0</v>
      </c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  <c r="AH871" s="61"/>
      <c r="AI871" s="61"/>
      <c r="AJ871" s="61"/>
      <c r="AK871" s="61"/>
    </row>
    <row r="872" customHeight="1" spans="1:37">
      <c r="A872" s="61"/>
      <c r="B872" s="61"/>
      <c r="C872" s="61"/>
      <c r="D872" s="61"/>
      <c r="E872" s="61"/>
      <c r="F872" s="20">
        <f t="array" ref="F872">_xlfn.XLOOKUP(A872,'WK 47'!A:A,'WK 47'!F:F,"")</f>
        <v>0</v>
      </c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  <c r="AH872" s="61"/>
      <c r="AI872" s="61"/>
      <c r="AJ872" s="61"/>
      <c r="AK872" s="61"/>
    </row>
    <row r="873" customHeight="1" spans="1:37">
      <c r="A873" s="61"/>
      <c r="B873" s="61"/>
      <c r="C873" s="61"/>
      <c r="D873" s="61"/>
      <c r="E873" s="61"/>
      <c r="F873" s="20">
        <f t="array" ref="F873">_xlfn.XLOOKUP(A873,'WK 47'!A:A,'WK 47'!F:F,"")</f>
        <v>0</v>
      </c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  <c r="AH873" s="61"/>
      <c r="AI873" s="61"/>
      <c r="AJ873" s="61"/>
      <c r="AK873" s="61"/>
    </row>
    <row r="874" customHeight="1" spans="1:37">
      <c r="A874" s="61"/>
      <c r="B874" s="61"/>
      <c r="C874" s="61"/>
      <c r="D874" s="61"/>
      <c r="E874" s="61"/>
      <c r="F874" s="20">
        <f t="array" ref="F874">_xlfn.XLOOKUP(A874,'WK 47'!A:A,'WK 47'!F:F,"")</f>
        <v>0</v>
      </c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  <c r="AH874" s="61"/>
      <c r="AI874" s="61"/>
      <c r="AJ874" s="61"/>
      <c r="AK874" s="61"/>
    </row>
    <row r="875" customHeight="1" spans="1:37">
      <c r="A875" s="61"/>
      <c r="B875" s="61"/>
      <c r="C875" s="61"/>
      <c r="D875" s="61"/>
      <c r="E875" s="61"/>
      <c r="F875" s="20">
        <f t="array" ref="F875">_xlfn.XLOOKUP(A875,'WK 47'!A:A,'WK 47'!F:F,"")</f>
        <v>0</v>
      </c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  <c r="AH875" s="61"/>
      <c r="AI875" s="61"/>
      <c r="AJ875" s="61"/>
      <c r="AK875" s="61"/>
    </row>
    <row r="876" customHeight="1" spans="1:37">
      <c r="A876" s="61"/>
      <c r="B876" s="61"/>
      <c r="C876" s="61"/>
      <c r="D876" s="61"/>
      <c r="E876" s="61"/>
      <c r="F876" s="20">
        <f t="array" ref="F876">_xlfn.XLOOKUP(A876,'WK 47'!A:A,'WK 47'!F:F,"")</f>
        <v>0</v>
      </c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  <c r="AH876" s="61"/>
      <c r="AI876" s="61"/>
      <c r="AJ876" s="61"/>
      <c r="AK876" s="61"/>
    </row>
    <row r="877" customHeight="1" spans="1:37">
      <c r="A877" s="61"/>
      <c r="B877" s="61"/>
      <c r="C877" s="61"/>
      <c r="D877" s="61"/>
      <c r="E877" s="61"/>
      <c r="F877" s="20">
        <f t="array" ref="F877">_xlfn.XLOOKUP(A877,'WK 47'!A:A,'WK 47'!F:F,"")</f>
        <v>0</v>
      </c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  <c r="AH877" s="61"/>
      <c r="AI877" s="61"/>
      <c r="AJ877" s="61"/>
      <c r="AK877" s="61"/>
    </row>
    <row r="878" customHeight="1" spans="1:37">
      <c r="A878" s="61"/>
      <c r="B878" s="61"/>
      <c r="C878" s="61"/>
      <c r="D878" s="61"/>
      <c r="E878" s="61"/>
      <c r="F878" s="20">
        <f t="array" ref="F878">_xlfn.XLOOKUP(A878,'WK 47'!A:A,'WK 47'!F:F,"")</f>
        <v>0</v>
      </c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  <c r="AH878" s="61"/>
      <c r="AI878" s="61"/>
      <c r="AJ878" s="61"/>
      <c r="AK878" s="61"/>
    </row>
    <row r="879" customHeight="1" spans="1:37">
      <c r="A879" s="61"/>
      <c r="B879" s="61"/>
      <c r="C879" s="61"/>
      <c r="D879" s="61"/>
      <c r="E879" s="61"/>
      <c r="F879" s="20">
        <f t="array" ref="F879">_xlfn.XLOOKUP(A879,'WK 47'!A:A,'WK 47'!F:F,"")</f>
        <v>0</v>
      </c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  <c r="AH879" s="61"/>
      <c r="AI879" s="61"/>
      <c r="AJ879" s="61"/>
      <c r="AK879" s="61"/>
    </row>
    <row r="880" customHeight="1" spans="1:37">
      <c r="A880" s="61"/>
      <c r="B880" s="61"/>
      <c r="C880" s="61"/>
      <c r="D880" s="61"/>
      <c r="E880" s="61"/>
      <c r="F880" s="20">
        <f t="array" ref="F880">_xlfn.XLOOKUP(A880,'WK 47'!A:A,'WK 47'!F:F,"")</f>
        <v>0</v>
      </c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  <c r="AH880" s="61"/>
      <c r="AI880" s="61"/>
      <c r="AJ880" s="61"/>
      <c r="AK880" s="61"/>
    </row>
    <row r="881" customHeight="1" spans="1:37">
      <c r="A881" s="61"/>
      <c r="B881" s="61"/>
      <c r="C881" s="61"/>
      <c r="D881" s="61"/>
      <c r="E881" s="61"/>
      <c r="F881" s="20">
        <f t="array" ref="F881">_xlfn.XLOOKUP(A881,'WK 47'!A:A,'WK 47'!F:F,"")</f>
        <v>0</v>
      </c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  <c r="AH881" s="61"/>
      <c r="AI881" s="61"/>
      <c r="AJ881" s="61"/>
      <c r="AK881" s="61"/>
    </row>
    <row r="882" customHeight="1" spans="1:37">
      <c r="A882" s="61"/>
      <c r="B882" s="61"/>
      <c r="C882" s="61"/>
      <c r="D882" s="61"/>
      <c r="E882" s="61"/>
      <c r="F882" s="20">
        <f t="array" ref="F882">_xlfn.XLOOKUP(A882,'WK 47'!A:A,'WK 47'!F:F,"")</f>
        <v>0</v>
      </c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  <c r="AH882" s="61"/>
      <c r="AI882" s="61"/>
      <c r="AJ882" s="61"/>
      <c r="AK882" s="61"/>
    </row>
    <row r="883" customHeight="1" spans="1:37">
      <c r="A883" s="61"/>
      <c r="B883" s="61"/>
      <c r="C883" s="61"/>
      <c r="D883" s="61"/>
      <c r="E883" s="61"/>
      <c r="F883" s="20">
        <f t="array" ref="F883">_xlfn.XLOOKUP(A883,'WK 47'!A:A,'WK 47'!F:F,"")</f>
        <v>0</v>
      </c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  <c r="AH883" s="61"/>
      <c r="AI883" s="61"/>
      <c r="AJ883" s="61"/>
      <c r="AK883" s="61"/>
    </row>
    <row r="884" customHeight="1" spans="1:37">
      <c r="A884" s="61"/>
      <c r="B884" s="61"/>
      <c r="C884" s="61"/>
      <c r="D884" s="61"/>
      <c r="E884" s="61"/>
      <c r="F884" s="20">
        <f t="array" ref="F884">_xlfn.XLOOKUP(A884,'WK 47'!A:A,'WK 47'!F:F,"")</f>
        <v>0</v>
      </c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  <c r="AH884" s="61"/>
      <c r="AI884" s="61"/>
      <c r="AJ884" s="61"/>
      <c r="AK884" s="61"/>
    </row>
    <row r="885" customHeight="1" spans="1:37">
      <c r="A885" s="61"/>
      <c r="B885" s="61"/>
      <c r="C885" s="61"/>
      <c r="D885" s="61"/>
      <c r="E885" s="61"/>
      <c r="F885" s="20">
        <f t="array" ref="F885">_xlfn.XLOOKUP(A885,'WK 47'!A:A,'WK 47'!F:F,"")</f>
        <v>0</v>
      </c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  <c r="AH885" s="61"/>
      <c r="AI885" s="61"/>
      <c r="AJ885" s="61"/>
      <c r="AK885" s="61"/>
    </row>
    <row r="886" customHeight="1" spans="1:37">
      <c r="A886" s="61"/>
      <c r="B886" s="61"/>
      <c r="C886" s="61"/>
      <c r="D886" s="61"/>
      <c r="E886" s="61"/>
      <c r="F886" s="20">
        <f t="array" ref="F886">_xlfn.XLOOKUP(A886,'WK 47'!A:A,'WK 47'!F:F,"")</f>
        <v>0</v>
      </c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  <c r="AH886" s="61"/>
      <c r="AI886" s="61"/>
      <c r="AJ886" s="61"/>
      <c r="AK886" s="61"/>
    </row>
    <row r="887" customHeight="1" spans="1:37">
      <c r="A887" s="61"/>
      <c r="B887" s="61"/>
      <c r="C887" s="61"/>
      <c r="D887" s="61"/>
      <c r="E887" s="61"/>
      <c r="F887" s="20">
        <f t="array" ref="F887">_xlfn.XLOOKUP(A887,'WK 47'!A:A,'WK 47'!F:F,"")</f>
        <v>0</v>
      </c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  <c r="AH887" s="61"/>
      <c r="AI887" s="61"/>
      <c r="AJ887" s="61"/>
      <c r="AK887" s="61"/>
    </row>
    <row r="888" customHeight="1" spans="1:37">
      <c r="A888" s="61"/>
      <c r="B888" s="61"/>
      <c r="C888" s="61"/>
      <c r="D888" s="61"/>
      <c r="E888" s="61"/>
      <c r="F888" s="20">
        <f t="array" ref="F888">_xlfn.XLOOKUP(A888,'WK 47'!A:A,'WK 47'!F:F,"")</f>
        <v>0</v>
      </c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  <c r="AH888" s="61"/>
      <c r="AI888" s="61"/>
      <c r="AJ888" s="61"/>
      <c r="AK888" s="61"/>
    </row>
    <row r="889" customHeight="1" spans="1:37">
      <c r="A889" s="61"/>
      <c r="B889" s="61"/>
      <c r="C889" s="61"/>
      <c r="D889" s="61"/>
      <c r="E889" s="61"/>
      <c r="F889" s="20">
        <f t="array" ref="F889">_xlfn.XLOOKUP(A889,'WK 47'!A:A,'WK 47'!F:F,"")</f>
        <v>0</v>
      </c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  <c r="AH889" s="61"/>
      <c r="AI889" s="61"/>
      <c r="AJ889" s="61"/>
      <c r="AK889" s="61"/>
    </row>
    <row r="890" customHeight="1" spans="1:37">
      <c r="A890" s="61"/>
      <c r="B890" s="61"/>
      <c r="C890" s="61"/>
      <c r="D890" s="61"/>
      <c r="E890" s="61"/>
      <c r="F890" s="20">
        <f t="array" ref="F890">_xlfn.XLOOKUP(A890,'WK 47'!A:A,'WK 47'!F:F,"")</f>
        <v>0</v>
      </c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  <c r="AH890" s="61"/>
      <c r="AI890" s="61"/>
      <c r="AJ890" s="61"/>
      <c r="AK890" s="61"/>
    </row>
    <row r="891" customHeight="1" spans="1:37">
      <c r="A891" s="61"/>
      <c r="B891" s="61"/>
      <c r="C891" s="61"/>
      <c r="D891" s="61"/>
      <c r="E891" s="61"/>
      <c r="F891" s="20">
        <f t="array" ref="F891">_xlfn.XLOOKUP(A891,'WK 47'!A:A,'WK 47'!F:F,"")</f>
        <v>0</v>
      </c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  <c r="AH891" s="61"/>
      <c r="AI891" s="61"/>
      <c r="AJ891" s="61"/>
      <c r="AK891" s="61"/>
    </row>
    <row r="892" customHeight="1" spans="1:37">
      <c r="A892" s="61"/>
      <c r="B892" s="61"/>
      <c r="C892" s="61"/>
      <c r="D892" s="61"/>
      <c r="E892" s="61"/>
      <c r="F892" s="20">
        <f t="array" ref="F892">_xlfn.XLOOKUP(A892,'WK 47'!A:A,'WK 47'!F:F,"")</f>
        <v>0</v>
      </c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  <c r="AH892" s="61"/>
      <c r="AI892" s="61"/>
      <c r="AJ892" s="61"/>
      <c r="AK892" s="61"/>
    </row>
    <row r="893" customHeight="1" spans="1:37">
      <c r="A893" s="61"/>
      <c r="B893" s="61"/>
      <c r="C893" s="61"/>
      <c r="D893" s="61"/>
      <c r="E893" s="61"/>
      <c r="F893" s="20">
        <f t="array" ref="F893">_xlfn.XLOOKUP(A893,'WK 47'!A:A,'WK 47'!F:F,"")</f>
        <v>0</v>
      </c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  <c r="AH893" s="61"/>
      <c r="AI893" s="61"/>
      <c r="AJ893" s="61"/>
      <c r="AK893" s="61"/>
    </row>
    <row r="894" customHeight="1" spans="1:37">
      <c r="A894" s="61"/>
      <c r="B894" s="61"/>
      <c r="C894" s="61"/>
      <c r="D894" s="61"/>
      <c r="E894" s="61"/>
      <c r="F894" s="20">
        <f t="array" ref="F894">_xlfn.XLOOKUP(A894,'WK 47'!A:A,'WK 47'!F:F,"")</f>
        <v>0</v>
      </c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  <c r="AH894" s="61"/>
      <c r="AI894" s="61"/>
      <c r="AJ894" s="61"/>
      <c r="AK894" s="61"/>
    </row>
    <row r="895" customHeight="1" spans="1:37">
      <c r="A895" s="61"/>
      <c r="B895" s="61"/>
      <c r="C895" s="61"/>
      <c r="D895" s="61"/>
      <c r="E895" s="61"/>
      <c r="F895" s="20">
        <f t="array" ref="F895">_xlfn.XLOOKUP(A895,'WK 47'!A:A,'WK 47'!F:F,"")</f>
        <v>0</v>
      </c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  <c r="AH895" s="61"/>
      <c r="AI895" s="61"/>
      <c r="AJ895" s="61"/>
      <c r="AK895" s="61"/>
    </row>
    <row r="896" customHeight="1" spans="1:37">
      <c r="A896" s="61"/>
      <c r="B896" s="61"/>
      <c r="C896" s="61"/>
      <c r="D896" s="61"/>
      <c r="E896" s="61"/>
      <c r="F896" s="20">
        <f t="array" ref="F896">_xlfn.XLOOKUP(A896,'WK 47'!A:A,'WK 47'!F:F,"")</f>
        <v>0</v>
      </c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  <c r="AH896" s="61"/>
      <c r="AI896" s="61"/>
      <c r="AJ896" s="61"/>
      <c r="AK896" s="61"/>
    </row>
    <row r="897" customHeight="1" spans="1:37">
      <c r="A897" s="61"/>
      <c r="B897" s="61"/>
      <c r="C897" s="61"/>
      <c r="D897" s="61"/>
      <c r="E897" s="61"/>
      <c r="F897" s="20">
        <f t="array" ref="F897">_xlfn.XLOOKUP(A897,'WK 47'!A:A,'WK 47'!F:F,"")</f>
        <v>0</v>
      </c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  <c r="AH897" s="61"/>
      <c r="AI897" s="61"/>
      <c r="AJ897" s="61"/>
      <c r="AK897" s="61"/>
    </row>
    <row r="898" customHeight="1" spans="1:37">
      <c r="A898" s="61"/>
      <c r="B898" s="61"/>
      <c r="C898" s="61"/>
      <c r="D898" s="61"/>
      <c r="E898" s="61"/>
      <c r="F898" s="20">
        <f t="array" ref="F898">_xlfn.XLOOKUP(A898,'WK 47'!A:A,'WK 47'!F:F,"")</f>
        <v>0</v>
      </c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  <c r="AH898" s="61"/>
      <c r="AI898" s="61"/>
      <c r="AJ898" s="61"/>
      <c r="AK898" s="61"/>
    </row>
    <row r="899" customHeight="1" spans="1:37">
      <c r="A899" s="61"/>
      <c r="B899" s="61"/>
      <c r="C899" s="61"/>
      <c r="D899" s="61"/>
      <c r="E899" s="61"/>
      <c r="F899" s="20">
        <f t="array" ref="F899">_xlfn.XLOOKUP(A899,'WK 47'!A:A,'WK 47'!F:F,"")</f>
        <v>0</v>
      </c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  <c r="AH899" s="61"/>
      <c r="AI899" s="61"/>
      <c r="AJ899" s="61"/>
      <c r="AK899" s="61"/>
    </row>
    <row r="900" customHeight="1" spans="1:37">
      <c r="A900" s="61"/>
      <c r="B900" s="61"/>
      <c r="C900" s="61"/>
      <c r="D900" s="61"/>
      <c r="E900" s="61"/>
      <c r="F900" s="20">
        <f t="array" ref="F900">_xlfn.XLOOKUP(A900,'WK 47'!A:A,'WK 47'!F:F,"")</f>
        <v>0</v>
      </c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  <c r="AH900" s="61"/>
      <c r="AI900" s="61"/>
      <c r="AJ900" s="61"/>
      <c r="AK900" s="61"/>
    </row>
    <row r="901" customHeight="1" spans="1:37">
      <c r="A901" s="61"/>
      <c r="B901" s="61"/>
      <c r="C901" s="61"/>
      <c r="D901" s="61"/>
      <c r="E901" s="61"/>
      <c r="F901" s="20">
        <f t="array" ref="F901">_xlfn.XLOOKUP(A901,'WK 47'!A:A,'WK 47'!F:F,"")</f>
        <v>0</v>
      </c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  <c r="AH901" s="61"/>
      <c r="AI901" s="61"/>
      <c r="AJ901" s="61"/>
      <c r="AK901" s="61"/>
    </row>
    <row r="902" customHeight="1" spans="1:37">
      <c r="A902" s="61"/>
      <c r="B902" s="61"/>
      <c r="C902" s="61"/>
      <c r="D902" s="61"/>
      <c r="E902" s="61"/>
      <c r="F902" s="20">
        <f t="array" ref="F902">_xlfn.XLOOKUP(A902,'WK 47'!A:A,'WK 47'!F:F,"")</f>
        <v>0</v>
      </c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  <c r="AH902" s="61"/>
      <c r="AI902" s="61"/>
      <c r="AJ902" s="61"/>
      <c r="AK902" s="61"/>
    </row>
    <row r="903" customHeight="1" spans="1:37">
      <c r="A903" s="61"/>
      <c r="B903" s="61"/>
      <c r="C903" s="61"/>
      <c r="D903" s="61"/>
      <c r="E903" s="61"/>
      <c r="F903" s="20">
        <f t="array" ref="F903">_xlfn.XLOOKUP(A903,'WK 47'!A:A,'WK 47'!F:F,"")</f>
        <v>0</v>
      </c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  <c r="AH903" s="61"/>
      <c r="AI903" s="61"/>
      <c r="AJ903" s="61"/>
      <c r="AK903" s="61"/>
    </row>
    <row r="904" customHeight="1" spans="1:37">
      <c r="A904" s="61"/>
      <c r="B904" s="61"/>
      <c r="C904" s="61"/>
      <c r="D904" s="61"/>
      <c r="E904" s="61"/>
      <c r="F904" s="20">
        <f t="array" ref="F904">_xlfn.XLOOKUP(A904,'WK 47'!A:A,'WK 47'!F:F,"")</f>
        <v>0</v>
      </c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  <c r="AH904" s="61"/>
      <c r="AI904" s="61"/>
      <c r="AJ904" s="61"/>
      <c r="AK904" s="61"/>
    </row>
    <row r="905" customHeight="1" spans="1:37">
      <c r="A905" s="61"/>
      <c r="B905" s="61"/>
      <c r="C905" s="61"/>
      <c r="D905" s="61"/>
      <c r="E905" s="61"/>
      <c r="F905" s="20">
        <f t="array" ref="F905">_xlfn.XLOOKUP(A905,'WK 47'!A:A,'WK 47'!F:F,"")</f>
        <v>0</v>
      </c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  <c r="AH905" s="61"/>
      <c r="AI905" s="61"/>
      <c r="AJ905" s="61"/>
      <c r="AK905" s="61"/>
    </row>
    <row r="906" customHeight="1" spans="1:37">
      <c r="A906" s="61"/>
      <c r="B906" s="61"/>
      <c r="C906" s="61"/>
      <c r="D906" s="61"/>
      <c r="E906" s="61"/>
      <c r="F906" s="20">
        <f t="array" ref="F906">_xlfn.XLOOKUP(A906,'WK 47'!A:A,'WK 47'!F:F,"")</f>
        <v>0</v>
      </c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  <c r="AH906" s="61"/>
      <c r="AI906" s="61"/>
      <c r="AJ906" s="61"/>
      <c r="AK906" s="61"/>
    </row>
    <row r="907" customHeight="1" spans="1:37">
      <c r="A907" s="61"/>
      <c r="B907" s="61"/>
      <c r="C907" s="61"/>
      <c r="D907" s="61"/>
      <c r="E907" s="61"/>
      <c r="F907" s="20">
        <f t="array" ref="F907">_xlfn.XLOOKUP(A907,'WK 47'!A:A,'WK 47'!F:F,"")</f>
        <v>0</v>
      </c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  <c r="AH907" s="61"/>
      <c r="AI907" s="61"/>
      <c r="AJ907" s="61"/>
      <c r="AK907" s="61"/>
    </row>
    <row r="908" customHeight="1" spans="1:37">
      <c r="A908" s="61"/>
      <c r="B908" s="61"/>
      <c r="C908" s="61"/>
      <c r="D908" s="61"/>
      <c r="E908" s="61"/>
      <c r="F908" s="20">
        <f t="array" ref="F908">_xlfn.XLOOKUP(A908,'WK 47'!A:A,'WK 47'!F:F,"")</f>
        <v>0</v>
      </c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  <c r="AH908" s="61"/>
      <c r="AI908" s="61"/>
      <c r="AJ908" s="61"/>
      <c r="AK908" s="61"/>
    </row>
    <row r="909" customHeight="1" spans="1:37">
      <c r="A909" s="61"/>
      <c r="B909" s="61"/>
      <c r="C909" s="61"/>
      <c r="D909" s="61"/>
      <c r="E909" s="61"/>
      <c r="F909" s="20">
        <f t="array" ref="F909">_xlfn.XLOOKUP(A909,'WK 47'!A:A,'WK 47'!F:F,"")</f>
        <v>0</v>
      </c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  <c r="AH909" s="61"/>
      <c r="AI909" s="61"/>
      <c r="AJ909" s="61"/>
      <c r="AK909" s="61"/>
    </row>
    <row r="910" customHeight="1" spans="1:37">
      <c r="A910" s="61"/>
      <c r="B910" s="61"/>
      <c r="C910" s="61"/>
      <c r="D910" s="61"/>
      <c r="E910" s="61"/>
      <c r="F910" s="20">
        <f t="array" ref="F910">_xlfn.XLOOKUP(A910,'WK 47'!A:A,'WK 47'!F:F,"")</f>
        <v>0</v>
      </c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  <c r="AH910" s="61"/>
      <c r="AI910" s="61"/>
      <c r="AJ910" s="61"/>
      <c r="AK910" s="61"/>
    </row>
    <row r="911" customHeight="1" spans="1:37">
      <c r="A911" s="61"/>
      <c r="B911" s="61"/>
      <c r="C911" s="61"/>
      <c r="D911" s="61"/>
      <c r="E911" s="61"/>
      <c r="F911" s="20">
        <f t="array" ref="F911">_xlfn.XLOOKUP(A911,'WK 47'!A:A,'WK 47'!F:F,"")</f>
        <v>0</v>
      </c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  <c r="AH911" s="61"/>
      <c r="AI911" s="61"/>
      <c r="AJ911" s="61"/>
      <c r="AK911" s="61"/>
    </row>
    <row r="912" customHeight="1" spans="1:37">
      <c r="A912" s="61"/>
      <c r="B912" s="61"/>
      <c r="C912" s="61"/>
      <c r="D912" s="61"/>
      <c r="E912" s="61"/>
      <c r="F912" s="20">
        <f t="array" ref="F912">_xlfn.XLOOKUP(A912,'WK 47'!A:A,'WK 47'!F:F,"")</f>
        <v>0</v>
      </c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  <c r="AH912" s="61"/>
      <c r="AI912" s="61"/>
      <c r="AJ912" s="61"/>
      <c r="AK912" s="61"/>
    </row>
    <row r="913" customHeight="1" spans="1:37">
      <c r="A913" s="61"/>
      <c r="B913" s="61"/>
      <c r="C913" s="61"/>
      <c r="D913" s="61"/>
      <c r="E913" s="61"/>
      <c r="F913" s="20">
        <f t="array" ref="F913">_xlfn.XLOOKUP(A913,'WK 47'!A:A,'WK 47'!F:F,"")</f>
        <v>0</v>
      </c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  <c r="AH913" s="61"/>
      <c r="AI913" s="61"/>
      <c r="AJ913" s="61"/>
      <c r="AK913" s="61"/>
    </row>
    <row r="914" customHeight="1" spans="1:37">
      <c r="A914" s="61"/>
      <c r="B914" s="61"/>
      <c r="C914" s="61"/>
      <c r="D914" s="61"/>
      <c r="E914" s="61"/>
      <c r="F914" s="20">
        <f t="array" ref="F914">_xlfn.XLOOKUP(A914,'WK 47'!A:A,'WK 47'!F:F,"")</f>
        <v>0</v>
      </c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  <c r="AH914" s="61"/>
      <c r="AI914" s="61"/>
      <c r="AJ914" s="61"/>
      <c r="AK914" s="61"/>
    </row>
    <row r="915" customHeight="1" spans="1:37">
      <c r="A915" s="61"/>
      <c r="B915" s="61"/>
      <c r="C915" s="61"/>
      <c r="D915" s="61"/>
      <c r="E915" s="61"/>
      <c r="F915" s="20">
        <f t="array" ref="F915">_xlfn.XLOOKUP(A915,'WK 47'!A:A,'WK 47'!F:F,"")</f>
        <v>0</v>
      </c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  <c r="AH915" s="61"/>
      <c r="AI915" s="61"/>
      <c r="AJ915" s="61"/>
      <c r="AK915" s="61"/>
    </row>
    <row r="916" customHeight="1" spans="1:37">
      <c r="A916" s="61"/>
      <c r="B916" s="61"/>
      <c r="C916" s="61"/>
      <c r="D916" s="61"/>
      <c r="E916" s="61"/>
      <c r="F916" s="20">
        <f t="array" ref="F916">_xlfn.XLOOKUP(A916,'WK 47'!A:A,'WK 47'!F:F,"")</f>
        <v>0</v>
      </c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  <c r="AH916" s="61"/>
      <c r="AI916" s="61"/>
      <c r="AJ916" s="61"/>
      <c r="AK916" s="61"/>
    </row>
    <row r="917" customHeight="1" spans="1:37">
      <c r="A917" s="61"/>
      <c r="B917" s="61"/>
      <c r="C917" s="61"/>
      <c r="D917" s="61"/>
      <c r="E917" s="61"/>
      <c r="F917" s="20">
        <f t="array" ref="F917">_xlfn.XLOOKUP(A917,'WK 47'!A:A,'WK 47'!F:F,"")</f>
        <v>0</v>
      </c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  <c r="AH917" s="61"/>
      <c r="AI917" s="61"/>
      <c r="AJ917" s="61"/>
      <c r="AK917" s="61"/>
    </row>
    <row r="918" customHeight="1" spans="1:37">
      <c r="A918" s="61"/>
      <c r="B918" s="61"/>
      <c r="C918" s="61"/>
      <c r="D918" s="61"/>
      <c r="E918" s="61"/>
      <c r="F918" s="20">
        <f t="array" ref="F918">_xlfn.XLOOKUP(A918,'WK 47'!A:A,'WK 47'!F:F,"")</f>
        <v>0</v>
      </c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  <c r="AH918" s="61"/>
      <c r="AI918" s="61"/>
      <c r="AJ918" s="61"/>
      <c r="AK918" s="61"/>
    </row>
    <row r="919" customHeight="1" spans="1:37">
      <c r="A919" s="61"/>
      <c r="B919" s="61"/>
      <c r="C919" s="61"/>
      <c r="D919" s="61"/>
      <c r="E919" s="61"/>
      <c r="F919" s="20">
        <f t="array" ref="F919">_xlfn.XLOOKUP(A919,'WK 47'!A:A,'WK 47'!F:F,"")</f>
        <v>0</v>
      </c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  <c r="AH919" s="61"/>
      <c r="AI919" s="61"/>
      <c r="AJ919" s="61"/>
      <c r="AK919" s="61"/>
    </row>
    <row r="920" customHeight="1" spans="1:37">
      <c r="A920" s="61"/>
      <c r="B920" s="61"/>
      <c r="C920" s="61"/>
      <c r="D920" s="61"/>
      <c r="E920" s="61"/>
      <c r="F920" s="20">
        <f t="array" ref="F920">_xlfn.XLOOKUP(A920,'WK 47'!A:A,'WK 47'!F:F,"")</f>
        <v>0</v>
      </c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  <c r="AH920" s="61"/>
      <c r="AI920" s="61"/>
      <c r="AJ920" s="61"/>
      <c r="AK920" s="61"/>
    </row>
    <row r="921" customHeight="1" spans="1:37">
      <c r="A921" s="61"/>
      <c r="B921" s="61"/>
      <c r="C921" s="61"/>
      <c r="D921" s="61"/>
      <c r="E921" s="61"/>
      <c r="F921" s="20">
        <f t="array" ref="F921">_xlfn.XLOOKUP(A921,'WK 47'!A:A,'WK 47'!F:F,"")</f>
        <v>0</v>
      </c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  <c r="AH921" s="61"/>
      <c r="AI921" s="61"/>
      <c r="AJ921" s="61"/>
      <c r="AK921" s="61"/>
    </row>
    <row r="922" customHeight="1" spans="1:37">
      <c r="A922" s="61"/>
      <c r="B922" s="61"/>
      <c r="C922" s="61"/>
      <c r="D922" s="61"/>
      <c r="E922" s="61"/>
      <c r="F922" s="20">
        <f t="array" ref="F922">_xlfn.XLOOKUP(A922,'WK 47'!A:A,'WK 47'!F:F,"")</f>
        <v>0</v>
      </c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  <c r="AH922" s="61"/>
      <c r="AI922" s="61"/>
      <c r="AJ922" s="61"/>
      <c r="AK922" s="61"/>
    </row>
    <row r="923" customHeight="1" spans="1:37">
      <c r="A923" s="61"/>
      <c r="B923" s="61"/>
      <c r="C923" s="61"/>
      <c r="D923" s="61"/>
      <c r="E923" s="61"/>
      <c r="F923" s="20">
        <f t="array" ref="F923">_xlfn.XLOOKUP(A923,'WK 47'!A:A,'WK 47'!F:F,"")</f>
        <v>0</v>
      </c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  <c r="AH923" s="61"/>
      <c r="AI923" s="61"/>
      <c r="AJ923" s="61"/>
      <c r="AK923" s="61"/>
    </row>
    <row r="924" customHeight="1" spans="1:37">
      <c r="A924" s="61"/>
      <c r="B924" s="61"/>
      <c r="C924" s="61"/>
      <c r="D924" s="61"/>
      <c r="E924" s="61"/>
      <c r="F924" s="20">
        <f t="array" ref="F924">_xlfn.XLOOKUP(A924,'WK 47'!A:A,'WK 47'!F:F,"")</f>
        <v>0</v>
      </c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  <c r="AH924" s="61"/>
      <c r="AI924" s="61"/>
      <c r="AJ924" s="61"/>
      <c r="AK924" s="61"/>
    </row>
    <row r="925" customHeight="1" spans="1:37">
      <c r="A925" s="61"/>
      <c r="B925" s="61"/>
      <c r="C925" s="61"/>
      <c r="D925" s="61"/>
      <c r="E925" s="61"/>
      <c r="F925" s="20">
        <f t="array" ref="F925">_xlfn.XLOOKUP(A925,'WK 47'!A:A,'WK 47'!F:F,"")</f>
        <v>0</v>
      </c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  <c r="AH925" s="61"/>
      <c r="AI925" s="61"/>
      <c r="AJ925" s="61"/>
      <c r="AK925" s="61"/>
    </row>
    <row r="926" customHeight="1" spans="1:37">
      <c r="A926" s="61"/>
      <c r="B926" s="61"/>
      <c r="C926" s="61"/>
      <c r="D926" s="61"/>
      <c r="E926" s="61"/>
      <c r="F926" s="20">
        <f t="array" ref="F926">_xlfn.XLOOKUP(A926,'WK 47'!A:A,'WK 47'!F:F,"")</f>
        <v>0</v>
      </c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  <c r="AH926" s="61"/>
      <c r="AI926" s="61"/>
      <c r="AJ926" s="61"/>
      <c r="AK926" s="61"/>
    </row>
    <row r="927" customHeight="1" spans="1:37">
      <c r="A927" s="61"/>
      <c r="B927" s="61"/>
      <c r="C927" s="61"/>
      <c r="D927" s="61"/>
      <c r="E927" s="61"/>
      <c r="F927" s="20">
        <f t="array" ref="F927">_xlfn.XLOOKUP(A927,'WK 47'!A:A,'WK 47'!F:F,"")</f>
        <v>0</v>
      </c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  <c r="AH927" s="61"/>
      <c r="AI927" s="61"/>
      <c r="AJ927" s="61"/>
      <c r="AK927" s="61"/>
    </row>
    <row r="928" customHeight="1" spans="1:37">
      <c r="A928" s="61"/>
      <c r="B928" s="61"/>
      <c r="C928" s="61"/>
      <c r="D928" s="61"/>
      <c r="E928" s="61"/>
      <c r="F928" s="20">
        <f t="array" ref="F928">_xlfn.XLOOKUP(A928,'WK 47'!A:A,'WK 47'!F:F,"")</f>
        <v>0</v>
      </c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  <c r="AH928" s="61"/>
      <c r="AI928" s="61"/>
      <c r="AJ928" s="61"/>
      <c r="AK928" s="61"/>
    </row>
    <row r="929" customHeight="1" spans="1:37">
      <c r="A929" s="61"/>
      <c r="B929" s="61"/>
      <c r="C929" s="61"/>
      <c r="D929" s="61"/>
      <c r="E929" s="61"/>
      <c r="F929" s="20">
        <f t="array" ref="F929">_xlfn.XLOOKUP(A929,'WK 47'!A:A,'WK 47'!F:F,"")</f>
        <v>0</v>
      </c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  <c r="AH929" s="61"/>
      <c r="AI929" s="61"/>
      <c r="AJ929" s="61"/>
      <c r="AK929" s="61"/>
    </row>
    <row r="930" customHeight="1" spans="1:37">
      <c r="A930" s="61"/>
      <c r="B930" s="61"/>
      <c r="C930" s="61"/>
      <c r="D930" s="61"/>
      <c r="E930" s="61"/>
      <c r="F930" s="20">
        <f t="array" ref="F930">_xlfn.XLOOKUP(A930,'WK 47'!A:A,'WK 47'!F:F,"")</f>
        <v>0</v>
      </c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  <c r="AH930" s="61"/>
      <c r="AI930" s="61"/>
      <c r="AJ930" s="61"/>
      <c r="AK930" s="61"/>
    </row>
    <row r="931" customHeight="1" spans="1:37">
      <c r="A931" s="61"/>
      <c r="B931" s="61"/>
      <c r="C931" s="61"/>
      <c r="D931" s="61"/>
      <c r="E931" s="61"/>
      <c r="F931" s="20">
        <f t="array" ref="F931">_xlfn.XLOOKUP(A931,'WK 47'!A:A,'WK 47'!F:F,"")</f>
        <v>0</v>
      </c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  <c r="AH931" s="61"/>
      <c r="AI931" s="61"/>
      <c r="AJ931" s="61"/>
      <c r="AK931" s="61"/>
    </row>
    <row r="932" customHeight="1" spans="1:37">
      <c r="A932" s="61"/>
      <c r="B932" s="61"/>
      <c r="C932" s="61"/>
      <c r="D932" s="61"/>
      <c r="E932" s="61"/>
      <c r="F932" s="20">
        <f t="array" ref="F932">_xlfn.XLOOKUP(A932,'WK 47'!A:A,'WK 47'!F:F,"")</f>
        <v>0</v>
      </c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  <c r="AH932" s="61"/>
      <c r="AI932" s="61"/>
      <c r="AJ932" s="61"/>
      <c r="AK932" s="61"/>
    </row>
    <row r="933" customHeight="1" spans="1:37">
      <c r="A933" s="61"/>
      <c r="B933" s="61"/>
      <c r="C933" s="61"/>
      <c r="D933" s="61"/>
      <c r="E933" s="61"/>
      <c r="F933" s="20">
        <f t="array" ref="F933">_xlfn.XLOOKUP(A933,'WK 47'!A:A,'WK 47'!F:F,"")</f>
        <v>0</v>
      </c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  <c r="AH933" s="61"/>
      <c r="AI933" s="61"/>
      <c r="AJ933" s="61"/>
      <c r="AK933" s="61"/>
    </row>
    <row r="934" customHeight="1" spans="1:37">
      <c r="A934" s="61"/>
      <c r="B934" s="61"/>
      <c r="C934" s="61"/>
      <c r="D934" s="61"/>
      <c r="E934" s="61"/>
      <c r="F934" s="20">
        <f t="array" ref="F934">_xlfn.XLOOKUP(A934,'WK 47'!A:A,'WK 47'!F:F,"")</f>
        <v>0</v>
      </c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  <c r="AH934" s="61"/>
      <c r="AI934" s="61"/>
      <c r="AJ934" s="61"/>
      <c r="AK934" s="61"/>
    </row>
    <row r="935" customHeight="1" spans="1:37">
      <c r="A935" s="61"/>
      <c r="B935" s="61"/>
      <c r="C935" s="61"/>
      <c r="D935" s="61"/>
      <c r="E935" s="61"/>
      <c r="F935" s="20">
        <f t="array" ref="F935">_xlfn.XLOOKUP(A935,'WK 47'!A:A,'WK 47'!F:F,"")</f>
        <v>0</v>
      </c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  <c r="AH935" s="61"/>
      <c r="AI935" s="61"/>
      <c r="AJ935" s="61"/>
      <c r="AK935" s="61"/>
    </row>
    <row r="936" customHeight="1" spans="1:37">
      <c r="A936" s="61"/>
      <c r="B936" s="61"/>
      <c r="C936" s="61"/>
      <c r="D936" s="61"/>
      <c r="E936" s="61"/>
      <c r="F936" s="20">
        <f t="array" ref="F936">_xlfn.XLOOKUP(A936,'WK 47'!A:A,'WK 47'!F:F,"")</f>
        <v>0</v>
      </c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  <c r="AH936" s="61"/>
      <c r="AI936" s="61"/>
      <c r="AJ936" s="61"/>
      <c r="AK936" s="61"/>
    </row>
    <row r="937" customHeight="1" spans="1:37">
      <c r="A937" s="61"/>
      <c r="B937" s="61"/>
      <c r="C937" s="61"/>
      <c r="D937" s="61"/>
      <c r="E937" s="61"/>
      <c r="F937" s="20">
        <f t="array" ref="F937">_xlfn.XLOOKUP(A937,'WK 47'!A:A,'WK 47'!F:F,"")</f>
        <v>0</v>
      </c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  <c r="AH937" s="61"/>
      <c r="AI937" s="61"/>
      <c r="AJ937" s="61"/>
      <c r="AK937" s="61"/>
    </row>
    <row r="938" customHeight="1" spans="1:37">
      <c r="A938" s="61"/>
      <c r="B938" s="61"/>
      <c r="C938" s="61"/>
      <c r="D938" s="61"/>
      <c r="E938" s="61"/>
      <c r="F938" s="20">
        <f t="array" ref="F938">_xlfn.XLOOKUP(A938,'WK 47'!A:A,'WK 47'!F:F,"")</f>
        <v>0</v>
      </c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  <c r="AH938" s="61"/>
      <c r="AI938" s="61"/>
      <c r="AJ938" s="61"/>
      <c r="AK938" s="61"/>
    </row>
    <row r="939" customHeight="1" spans="1:37">
      <c r="A939" s="61"/>
      <c r="B939" s="61"/>
      <c r="C939" s="61"/>
      <c r="D939" s="61"/>
      <c r="E939" s="61"/>
      <c r="F939" s="20">
        <f t="array" ref="F939">_xlfn.XLOOKUP(A939,'WK 47'!A:A,'WK 47'!F:F,"")</f>
        <v>0</v>
      </c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  <c r="AH939" s="61"/>
      <c r="AI939" s="61"/>
      <c r="AJ939" s="61"/>
      <c r="AK939" s="61"/>
    </row>
    <row r="940" customHeight="1" spans="1:37">
      <c r="A940" s="61"/>
      <c r="B940" s="61"/>
      <c r="C940" s="61"/>
      <c r="D940" s="61"/>
      <c r="E940" s="61"/>
      <c r="F940" s="20">
        <f t="array" ref="F940">_xlfn.XLOOKUP(A940,'WK 47'!A:A,'WK 47'!F:F,"")</f>
        <v>0</v>
      </c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  <c r="AH940" s="61"/>
      <c r="AI940" s="61"/>
      <c r="AJ940" s="61"/>
      <c r="AK940" s="61"/>
    </row>
    <row r="941" customHeight="1" spans="1:37">
      <c r="A941" s="61"/>
      <c r="B941" s="61"/>
      <c r="C941" s="61"/>
      <c r="D941" s="61"/>
      <c r="E941" s="61"/>
      <c r="F941" s="20">
        <f t="array" ref="F941">_xlfn.XLOOKUP(A941,'WK 47'!A:A,'WK 47'!F:F,"")</f>
        <v>0</v>
      </c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  <c r="AH941" s="61"/>
      <c r="AI941" s="61"/>
      <c r="AJ941" s="61"/>
      <c r="AK941" s="61"/>
    </row>
    <row r="942" customHeight="1" spans="1:37">
      <c r="A942" s="61"/>
      <c r="B942" s="61"/>
      <c r="C942" s="61"/>
      <c r="D942" s="61"/>
      <c r="E942" s="61"/>
      <c r="F942" s="20">
        <f t="array" ref="F942">_xlfn.XLOOKUP(A942,'WK 47'!A:A,'WK 47'!F:F,"")</f>
        <v>0</v>
      </c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  <c r="AH942" s="61"/>
      <c r="AI942" s="61"/>
      <c r="AJ942" s="61"/>
      <c r="AK942" s="61"/>
    </row>
    <row r="943" customHeight="1" spans="1:37">
      <c r="A943" s="61"/>
      <c r="B943" s="61"/>
      <c r="C943" s="61"/>
      <c r="D943" s="61"/>
      <c r="E943" s="61"/>
      <c r="F943" s="20">
        <f t="array" ref="F943">_xlfn.XLOOKUP(A943,'WK 47'!A:A,'WK 47'!F:F,"")</f>
        <v>0</v>
      </c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  <c r="AH943" s="61"/>
      <c r="AI943" s="61"/>
      <c r="AJ943" s="61"/>
      <c r="AK943" s="61"/>
    </row>
    <row r="944" customHeight="1" spans="1:37">
      <c r="A944" s="61"/>
      <c r="B944" s="61"/>
      <c r="C944" s="61"/>
      <c r="D944" s="61"/>
      <c r="E944" s="61"/>
      <c r="F944" s="20">
        <f t="array" ref="F944">_xlfn.XLOOKUP(A944,'WK 47'!A:A,'WK 47'!F:F,"")</f>
        <v>0</v>
      </c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  <c r="AH944" s="61"/>
      <c r="AI944" s="61"/>
      <c r="AJ944" s="61"/>
      <c r="AK944" s="61"/>
    </row>
    <row r="945" customHeight="1" spans="1:37">
      <c r="A945" s="61"/>
      <c r="B945" s="61"/>
      <c r="C945" s="61"/>
      <c r="D945" s="61"/>
      <c r="E945" s="61"/>
      <c r="F945" s="20">
        <f t="array" ref="F945">_xlfn.XLOOKUP(A945,'WK 47'!A:A,'WK 47'!F:F,"")</f>
        <v>0</v>
      </c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  <c r="AH945" s="61"/>
      <c r="AI945" s="61"/>
      <c r="AJ945" s="61"/>
      <c r="AK945" s="61"/>
    </row>
    <row r="946" customHeight="1" spans="1:37">
      <c r="A946" s="61"/>
      <c r="B946" s="61"/>
      <c r="C946" s="61"/>
      <c r="D946" s="61"/>
      <c r="E946" s="61"/>
      <c r="F946" s="20">
        <f t="array" ref="F946">_xlfn.XLOOKUP(A946,'WK 47'!A:A,'WK 47'!F:F,"")</f>
        <v>0</v>
      </c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  <c r="AH946" s="61"/>
      <c r="AI946" s="61"/>
      <c r="AJ946" s="61"/>
      <c r="AK946" s="61"/>
    </row>
    <row r="947" customHeight="1" spans="1:37">
      <c r="A947" s="61"/>
      <c r="B947" s="61"/>
      <c r="C947" s="61"/>
      <c r="D947" s="61"/>
      <c r="E947" s="61"/>
      <c r="F947" s="20">
        <f t="array" ref="F947">_xlfn.XLOOKUP(A947,'WK 47'!A:A,'WK 47'!F:F,"")</f>
        <v>0</v>
      </c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  <c r="AH947" s="61"/>
      <c r="AI947" s="61"/>
      <c r="AJ947" s="61"/>
      <c r="AK947" s="61"/>
    </row>
    <row r="948" customHeight="1" spans="1:37">
      <c r="A948" s="61"/>
      <c r="B948" s="61"/>
      <c r="C948" s="61"/>
      <c r="D948" s="61"/>
      <c r="E948" s="61"/>
      <c r="F948" s="20">
        <f t="array" ref="F948">_xlfn.XLOOKUP(A948,'WK 47'!A:A,'WK 47'!F:F,"")</f>
        <v>0</v>
      </c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  <c r="AH948" s="61"/>
      <c r="AI948" s="61"/>
      <c r="AJ948" s="61"/>
      <c r="AK948" s="61"/>
    </row>
    <row r="949" customHeight="1" spans="1:37">
      <c r="A949" s="61"/>
      <c r="B949" s="61"/>
      <c r="C949" s="61"/>
      <c r="D949" s="61"/>
      <c r="E949" s="61"/>
      <c r="F949" s="20">
        <f t="array" ref="F949">_xlfn.XLOOKUP(A949,'WK 47'!A:A,'WK 47'!F:F,"")</f>
        <v>0</v>
      </c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  <c r="AH949" s="61"/>
      <c r="AI949" s="61"/>
      <c r="AJ949" s="61"/>
      <c r="AK949" s="61"/>
    </row>
    <row r="950" customHeight="1" spans="1:37">
      <c r="A950" s="61"/>
      <c r="B950" s="61"/>
      <c r="C950" s="61"/>
      <c r="D950" s="61"/>
      <c r="E950" s="61"/>
      <c r="F950" s="20">
        <f t="array" ref="F950">_xlfn.XLOOKUP(A950,'WK 47'!A:A,'WK 47'!F:F,"")</f>
        <v>0</v>
      </c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  <c r="AH950" s="61"/>
      <c r="AI950" s="61"/>
      <c r="AJ950" s="61"/>
      <c r="AK950" s="61"/>
    </row>
    <row r="951" customHeight="1" spans="1:37">
      <c r="A951" s="61"/>
      <c r="B951" s="61"/>
      <c r="C951" s="61"/>
      <c r="D951" s="61"/>
      <c r="E951" s="61"/>
      <c r="F951" s="20">
        <f t="array" ref="F951">_xlfn.XLOOKUP(A951,'WK 47'!A:A,'WK 47'!F:F,"")</f>
        <v>0</v>
      </c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  <c r="AH951" s="61"/>
      <c r="AI951" s="61"/>
      <c r="AJ951" s="61"/>
      <c r="AK951" s="61"/>
    </row>
    <row r="952" customHeight="1" spans="1:37">
      <c r="A952" s="61"/>
      <c r="B952" s="61"/>
      <c r="C952" s="61"/>
      <c r="D952" s="61"/>
      <c r="E952" s="61"/>
      <c r="F952" s="20">
        <f t="array" ref="F952">_xlfn.XLOOKUP(A952,'WK 47'!A:A,'WK 47'!F:F,"")</f>
        <v>0</v>
      </c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  <c r="AH952" s="61"/>
      <c r="AI952" s="61"/>
      <c r="AJ952" s="61"/>
      <c r="AK952" s="61"/>
    </row>
    <row r="953" customHeight="1" spans="1:37">
      <c r="A953" s="61"/>
      <c r="B953" s="61"/>
      <c r="C953" s="61"/>
      <c r="D953" s="61"/>
      <c r="E953" s="61"/>
      <c r="F953" s="20">
        <f t="array" ref="F953">_xlfn.XLOOKUP(A953,'WK 47'!A:A,'WK 47'!F:F,"")</f>
        <v>0</v>
      </c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  <c r="AH953" s="61"/>
      <c r="AI953" s="61"/>
      <c r="AJ953" s="61"/>
      <c r="AK953" s="61"/>
    </row>
    <row r="954" customHeight="1" spans="1:37">
      <c r="A954" s="61"/>
      <c r="B954" s="61"/>
      <c r="C954" s="61"/>
      <c r="D954" s="61"/>
      <c r="E954" s="61"/>
      <c r="F954" s="20">
        <f t="array" ref="F954">_xlfn.XLOOKUP(A954,'WK 47'!A:A,'WK 47'!F:F,"")</f>
        <v>0</v>
      </c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  <c r="AH954" s="61"/>
      <c r="AI954" s="61"/>
      <c r="AJ954" s="61"/>
      <c r="AK954" s="61"/>
    </row>
    <row r="955" customHeight="1" spans="1:37">
      <c r="A955" s="61"/>
      <c r="B955" s="61"/>
      <c r="C955" s="61"/>
      <c r="D955" s="61"/>
      <c r="E955" s="61"/>
      <c r="F955" s="20">
        <f t="array" ref="F955">_xlfn.XLOOKUP(A955,'WK 47'!A:A,'WK 47'!F:F,"")</f>
        <v>0</v>
      </c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  <c r="AH955" s="61"/>
      <c r="AI955" s="61"/>
      <c r="AJ955" s="61"/>
      <c r="AK955" s="61"/>
    </row>
    <row r="956" customHeight="1" spans="1:37">
      <c r="A956" s="61"/>
      <c r="B956" s="61"/>
      <c r="C956" s="61"/>
      <c r="D956" s="61"/>
      <c r="E956" s="61"/>
      <c r="F956" s="20">
        <f t="array" ref="F956">_xlfn.XLOOKUP(A956,'WK 47'!A:A,'WK 47'!F:F,"")</f>
        <v>0</v>
      </c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  <c r="AH956" s="61"/>
      <c r="AI956" s="61"/>
      <c r="AJ956" s="61"/>
      <c r="AK956" s="61"/>
    </row>
    <row r="957" customHeight="1" spans="1:37">
      <c r="A957" s="61"/>
      <c r="B957" s="61"/>
      <c r="C957" s="61"/>
      <c r="D957" s="61"/>
      <c r="E957" s="61"/>
      <c r="F957" s="20">
        <f t="array" ref="F957">_xlfn.XLOOKUP(A957,'WK 47'!A:A,'WK 47'!F:F,"")</f>
        <v>0</v>
      </c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  <c r="AH957" s="61"/>
      <c r="AI957" s="61"/>
      <c r="AJ957" s="61"/>
      <c r="AK957" s="61"/>
    </row>
    <row r="958" customHeight="1" spans="1:37">
      <c r="A958" s="61"/>
      <c r="B958" s="61"/>
      <c r="C958" s="61"/>
      <c r="D958" s="61"/>
      <c r="E958" s="61"/>
      <c r="F958" s="20">
        <f t="array" ref="F958">_xlfn.XLOOKUP(A958,'WK 47'!A:A,'WK 47'!F:F,"")</f>
        <v>0</v>
      </c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  <c r="AH958" s="61"/>
      <c r="AI958" s="61"/>
      <c r="AJ958" s="61"/>
      <c r="AK958" s="61"/>
    </row>
    <row r="959" customHeight="1" spans="1:37">
      <c r="A959" s="61"/>
      <c r="B959" s="61"/>
      <c r="C959" s="61"/>
      <c r="D959" s="61"/>
      <c r="E959" s="61"/>
      <c r="F959" s="20">
        <f t="array" ref="F959">_xlfn.XLOOKUP(A959,'WK 47'!A:A,'WK 47'!F:F,"")</f>
        <v>0</v>
      </c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  <c r="AH959" s="61"/>
      <c r="AI959" s="61"/>
      <c r="AJ959" s="61"/>
      <c r="AK959" s="61"/>
    </row>
    <row r="960" customHeight="1" spans="1:37">
      <c r="A960" s="61"/>
      <c r="B960" s="61"/>
      <c r="C960" s="61"/>
      <c r="D960" s="61"/>
      <c r="E960" s="61"/>
      <c r="F960" s="20">
        <f t="array" ref="F960">_xlfn.XLOOKUP(A960,'WK 47'!A:A,'WK 47'!F:F,"")</f>
        <v>0</v>
      </c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  <c r="AH960" s="61"/>
      <c r="AI960" s="61"/>
      <c r="AJ960" s="61"/>
      <c r="AK960" s="61"/>
    </row>
    <row r="961" customHeight="1" spans="1:37">
      <c r="A961" s="61"/>
      <c r="B961" s="61"/>
      <c r="C961" s="61"/>
      <c r="D961" s="61"/>
      <c r="E961" s="61"/>
      <c r="F961" s="20">
        <f t="array" ref="F961">_xlfn.XLOOKUP(A961,'WK 47'!A:A,'WK 47'!F:F,"")</f>
        <v>0</v>
      </c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  <c r="AH961" s="61"/>
      <c r="AI961" s="61"/>
      <c r="AJ961" s="61"/>
      <c r="AK961" s="61"/>
    </row>
    <row r="962" customHeight="1" spans="1:37">
      <c r="A962" s="61"/>
      <c r="B962" s="61"/>
      <c r="C962" s="61"/>
      <c r="D962" s="61"/>
      <c r="E962" s="61"/>
      <c r="F962" s="20">
        <f t="array" ref="F962">_xlfn.XLOOKUP(A962,'WK 47'!A:A,'WK 47'!F:F,"")</f>
        <v>0</v>
      </c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  <c r="AH962" s="61"/>
      <c r="AI962" s="61"/>
      <c r="AJ962" s="61"/>
      <c r="AK962" s="61"/>
    </row>
    <row r="963" customHeight="1" spans="1:37">
      <c r="A963" s="61"/>
      <c r="B963" s="61"/>
      <c r="C963" s="61"/>
      <c r="D963" s="61"/>
      <c r="E963" s="61"/>
      <c r="F963" s="20">
        <f t="array" ref="F963">_xlfn.XLOOKUP(A963,'WK 47'!A:A,'WK 47'!F:F,"")</f>
        <v>0</v>
      </c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  <c r="AH963" s="61"/>
      <c r="AI963" s="61"/>
      <c r="AJ963" s="61"/>
      <c r="AK963" s="61"/>
    </row>
    <row r="964" customHeight="1" spans="1:37">
      <c r="A964" s="61"/>
      <c r="B964" s="61"/>
      <c r="C964" s="61"/>
      <c r="D964" s="61"/>
      <c r="E964" s="61"/>
      <c r="F964" s="20">
        <f t="array" ref="F964">_xlfn.XLOOKUP(A964,'WK 47'!A:A,'WK 47'!F:F,"")</f>
        <v>0</v>
      </c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  <c r="AH964" s="61"/>
      <c r="AI964" s="61"/>
      <c r="AJ964" s="61"/>
      <c r="AK964" s="61"/>
    </row>
    <row r="965" customHeight="1" spans="1:37">
      <c r="A965" s="61"/>
      <c r="B965" s="61"/>
      <c r="C965" s="61"/>
      <c r="D965" s="61"/>
      <c r="E965" s="61"/>
      <c r="F965" s="20">
        <f t="array" ref="F965">_xlfn.XLOOKUP(A965,'WK 47'!A:A,'WK 47'!F:F,"")</f>
        <v>0</v>
      </c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  <c r="AH965" s="61"/>
      <c r="AI965" s="61"/>
      <c r="AJ965" s="61"/>
      <c r="AK965" s="61"/>
    </row>
    <row r="966" customHeight="1" spans="1:37">
      <c r="A966" s="61"/>
      <c r="B966" s="61"/>
      <c r="C966" s="61"/>
      <c r="D966" s="61"/>
      <c r="E966" s="61"/>
      <c r="F966" s="20">
        <f t="array" ref="F966">_xlfn.XLOOKUP(A966,'WK 47'!A:A,'WK 47'!F:F,"")</f>
        <v>0</v>
      </c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  <c r="AH966" s="61"/>
      <c r="AI966" s="61"/>
      <c r="AJ966" s="61"/>
      <c r="AK966" s="61"/>
    </row>
    <row r="967" customHeight="1" spans="1:37">
      <c r="A967" s="61"/>
      <c r="B967" s="61"/>
      <c r="C967" s="61"/>
      <c r="D967" s="61"/>
      <c r="E967" s="61"/>
      <c r="F967" s="20">
        <f t="array" ref="F967">_xlfn.XLOOKUP(A967,'WK 47'!A:A,'WK 47'!F:F,"")</f>
        <v>0</v>
      </c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  <c r="AH967" s="61"/>
      <c r="AI967" s="61"/>
      <c r="AJ967" s="61"/>
      <c r="AK967" s="61"/>
    </row>
    <row r="968" customHeight="1" spans="1:37">
      <c r="A968" s="61"/>
      <c r="B968" s="61"/>
      <c r="C968" s="61"/>
      <c r="D968" s="61"/>
      <c r="E968" s="61"/>
      <c r="F968" s="20">
        <f t="array" ref="F968">_xlfn.XLOOKUP(A968,'WK 47'!A:A,'WK 47'!F:F,"")</f>
        <v>0</v>
      </c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  <c r="AH968" s="61"/>
      <c r="AI968" s="61"/>
      <c r="AJ968" s="61"/>
      <c r="AK968" s="61"/>
    </row>
    <row r="969" customHeight="1" spans="1:37">
      <c r="A969" s="61"/>
      <c r="B969" s="61"/>
      <c r="C969" s="61"/>
      <c r="D969" s="61"/>
      <c r="E969" s="61"/>
      <c r="F969" s="20">
        <f t="array" ref="F969">_xlfn.XLOOKUP(A969,'WK 47'!A:A,'WK 47'!F:F,"")</f>
        <v>0</v>
      </c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  <c r="AH969" s="61"/>
      <c r="AI969" s="61"/>
      <c r="AJ969" s="61"/>
      <c r="AK969" s="61"/>
    </row>
    <row r="970" customHeight="1" spans="1:37">
      <c r="A970" s="61"/>
      <c r="B970" s="61"/>
      <c r="C970" s="61"/>
      <c r="D970" s="61"/>
      <c r="E970" s="61"/>
      <c r="F970" s="20">
        <f t="array" ref="F970">_xlfn.XLOOKUP(A970,'WK 47'!A:A,'WK 47'!F:F,"")</f>
        <v>0</v>
      </c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  <c r="AH970" s="61"/>
      <c r="AI970" s="61"/>
      <c r="AJ970" s="61"/>
      <c r="AK970" s="61"/>
    </row>
    <row r="971" customHeight="1" spans="1:37">
      <c r="A971" s="61"/>
      <c r="B971" s="61"/>
      <c r="C971" s="61"/>
      <c r="D971" s="61"/>
      <c r="E971" s="61"/>
      <c r="F971" s="20">
        <f t="array" ref="F971">_xlfn.XLOOKUP(A971,'WK 47'!A:A,'WK 47'!F:F,"")</f>
        <v>0</v>
      </c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  <c r="AH971" s="61"/>
      <c r="AI971" s="61"/>
      <c r="AJ971" s="61"/>
      <c r="AK971" s="61"/>
    </row>
    <row r="972" customHeight="1" spans="1:37">
      <c r="A972" s="61"/>
      <c r="B972" s="61"/>
      <c r="C972" s="61"/>
      <c r="D972" s="61"/>
      <c r="E972" s="61"/>
      <c r="F972" s="20">
        <f t="array" ref="F972">_xlfn.XLOOKUP(A972,'WK 47'!A:A,'WK 47'!F:F,"")</f>
        <v>0</v>
      </c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  <c r="AH972" s="61"/>
      <c r="AI972" s="61"/>
      <c r="AJ972" s="61"/>
      <c r="AK972" s="61"/>
    </row>
    <row r="973" customHeight="1" spans="1:37">
      <c r="A973" s="61"/>
      <c r="B973" s="61"/>
      <c r="C973" s="61"/>
      <c r="D973" s="61"/>
      <c r="E973" s="61"/>
      <c r="F973" s="20">
        <f t="array" ref="F973">_xlfn.XLOOKUP(A973,'WK 47'!A:A,'WK 47'!F:F,"")</f>
        <v>0</v>
      </c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  <c r="AH973" s="61"/>
      <c r="AI973" s="61"/>
      <c r="AJ973" s="61"/>
      <c r="AK973" s="61"/>
    </row>
    <row r="974" customHeight="1" spans="1:37">
      <c r="A974" s="61"/>
      <c r="B974" s="61"/>
      <c r="C974" s="61"/>
      <c r="D974" s="61"/>
      <c r="E974" s="61"/>
      <c r="F974" s="20">
        <f t="array" ref="F974">_xlfn.XLOOKUP(A974,'WK 47'!A:A,'WK 47'!F:F,"")</f>
        <v>0</v>
      </c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  <c r="AH974" s="61"/>
      <c r="AI974" s="61"/>
      <c r="AJ974" s="61"/>
      <c r="AK974" s="61"/>
    </row>
    <row r="975" customHeight="1" spans="1:37">
      <c r="A975" s="61"/>
      <c r="B975" s="61"/>
      <c r="C975" s="61"/>
      <c r="D975" s="61"/>
      <c r="E975" s="61"/>
      <c r="F975" s="20">
        <f t="array" ref="F975">_xlfn.XLOOKUP(A975,'WK 47'!A:A,'WK 47'!F:F,"")</f>
        <v>0</v>
      </c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  <c r="AH975" s="61"/>
      <c r="AI975" s="61"/>
      <c r="AJ975" s="61"/>
      <c r="AK975" s="61"/>
    </row>
    <row r="976" customHeight="1" spans="1:37">
      <c r="A976" s="61"/>
      <c r="B976" s="61"/>
      <c r="C976" s="61"/>
      <c r="D976" s="61"/>
      <c r="E976" s="61"/>
      <c r="F976" s="20">
        <f t="array" ref="F976">_xlfn.XLOOKUP(A976,'WK 47'!A:A,'WK 47'!F:F,"")</f>
        <v>0</v>
      </c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  <c r="AH976" s="61"/>
      <c r="AI976" s="61"/>
      <c r="AJ976" s="61"/>
      <c r="AK976" s="61"/>
    </row>
    <row r="977" customHeight="1" spans="1:37">
      <c r="A977" s="61"/>
      <c r="B977" s="61"/>
      <c r="C977" s="61"/>
      <c r="D977" s="61"/>
      <c r="E977" s="61"/>
      <c r="F977" s="20">
        <f t="array" ref="F977">_xlfn.XLOOKUP(A977,'WK 47'!A:A,'WK 47'!F:F,"")</f>
        <v>0</v>
      </c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  <c r="AH977" s="61"/>
      <c r="AI977" s="61"/>
      <c r="AJ977" s="61"/>
      <c r="AK977" s="61"/>
    </row>
    <row r="978" customHeight="1" spans="1:37">
      <c r="A978" s="61"/>
      <c r="B978" s="61"/>
      <c r="C978" s="61"/>
      <c r="D978" s="61"/>
      <c r="E978" s="61"/>
      <c r="F978" s="20">
        <f t="array" ref="F978">_xlfn.XLOOKUP(A978,'WK 47'!A:A,'WK 47'!F:F,"")</f>
        <v>0</v>
      </c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  <c r="AH978" s="61"/>
      <c r="AI978" s="61"/>
      <c r="AJ978" s="61"/>
      <c r="AK978" s="61"/>
    </row>
    <row r="979" customHeight="1" spans="1:37">
      <c r="A979" s="61"/>
      <c r="B979" s="61"/>
      <c r="C979" s="61"/>
      <c r="D979" s="61"/>
      <c r="E979" s="61"/>
      <c r="F979" s="20">
        <f t="array" ref="F979">_xlfn.XLOOKUP(A979,'WK 47'!A:A,'WK 47'!F:F,"")</f>
        <v>0</v>
      </c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  <c r="AH979" s="61"/>
      <c r="AI979" s="61"/>
      <c r="AJ979" s="61"/>
      <c r="AK979" s="61"/>
    </row>
    <row r="980" customHeight="1" spans="1:37">
      <c r="A980" s="61"/>
      <c r="B980" s="61"/>
      <c r="C980" s="61"/>
      <c r="D980" s="61"/>
      <c r="E980" s="61"/>
      <c r="F980" s="20">
        <f t="array" ref="F980">_xlfn.XLOOKUP(A980,'WK 47'!A:A,'WK 47'!F:F,"")</f>
        <v>0</v>
      </c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  <c r="AH980" s="61"/>
      <c r="AI980" s="61"/>
      <c r="AJ980" s="61"/>
      <c r="AK980" s="61"/>
    </row>
    <row r="981" customHeight="1" spans="1:37">
      <c r="A981" s="61"/>
      <c r="B981" s="61"/>
      <c r="C981" s="61"/>
      <c r="D981" s="61"/>
      <c r="E981" s="61"/>
      <c r="F981" s="20">
        <f t="array" ref="F981">_xlfn.XLOOKUP(A981,'WK 47'!A:A,'WK 47'!F:F,"")</f>
        <v>0</v>
      </c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  <c r="AH981" s="61"/>
      <c r="AI981" s="61"/>
      <c r="AJ981" s="61"/>
      <c r="AK981" s="61"/>
    </row>
    <row r="982" customHeight="1" spans="1:37">
      <c r="A982" s="61"/>
      <c r="B982" s="61"/>
      <c r="C982" s="61"/>
      <c r="D982" s="61"/>
      <c r="E982" s="61"/>
      <c r="F982" s="20">
        <f t="array" ref="F982">_xlfn.XLOOKUP(A982,'WK 47'!A:A,'WK 47'!F:F,"")</f>
        <v>0</v>
      </c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  <c r="AH982" s="61"/>
      <c r="AI982" s="61"/>
      <c r="AJ982" s="61"/>
      <c r="AK982" s="61"/>
    </row>
    <row r="983" customHeight="1" spans="1:37">
      <c r="A983" s="61"/>
      <c r="B983" s="61"/>
      <c r="C983" s="61"/>
      <c r="D983" s="61"/>
      <c r="E983" s="61"/>
      <c r="F983" s="20">
        <f t="array" ref="F983">_xlfn.XLOOKUP(A983,'WK 47'!A:A,'WK 47'!F:F,"")</f>
        <v>0</v>
      </c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  <c r="AH983" s="61"/>
      <c r="AI983" s="61"/>
      <c r="AJ983" s="61"/>
      <c r="AK983" s="61"/>
    </row>
    <row r="984" customHeight="1" spans="1:37">
      <c r="A984" s="61"/>
      <c r="B984" s="61"/>
      <c r="C984" s="61"/>
      <c r="D984" s="61"/>
      <c r="E984" s="61"/>
      <c r="F984" s="20">
        <f t="array" ref="F984">_xlfn.XLOOKUP(A984,'WK 47'!A:A,'WK 47'!F:F,"")</f>
        <v>0</v>
      </c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  <c r="AH984" s="61"/>
      <c r="AI984" s="61"/>
      <c r="AJ984" s="61"/>
      <c r="AK984" s="61"/>
    </row>
    <row r="985" customHeight="1" spans="1:37">
      <c r="A985" s="61"/>
      <c r="B985" s="61"/>
      <c r="C985" s="61"/>
      <c r="D985" s="61"/>
      <c r="E985" s="61"/>
      <c r="F985" s="20">
        <f t="array" ref="F985">_xlfn.XLOOKUP(A985,'WK 47'!A:A,'WK 47'!F:F,"")</f>
        <v>0</v>
      </c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  <c r="AD985" s="61"/>
      <c r="AE985" s="61"/>
      <c r="AF985" s="61"/>
      <c r="AG985" s="61"/>
      <c r="AH985" s="61"/>
      <c r="AI985" s="61"/>
      <c r="AJ985" s="61"/>
      <c r="AK985" s="61"/>
    </row>
    <row r="986" customHeight="1" spans="1:37">
      <c r="A986" s="61"/>
      <c r="B986" s="61"/>
      <c r="C986" s="61"/>
      <c r="D986" s="61"/>
      <c r="E986" s="61"/>
      <c r="F986" s="20">
        <f t="array" ref="F986">_xlfn.XLOOKUP(A986,'WK 47'!A:A,'WK 47'!F:F,"")</f>
        <v>0</v>
      </c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  <c r="AH986" s="61"/>
      <c r="AI986" s="61"/>
      <c r="AJ986" s="61"/>
      <c r="AK986" s="61"/>
    </row>
    <row r="987" customHeight="1" spans="1:37">
      <c r="A987" s="61"/>
      <c r="B987" s="61"/>
      <c r="C987" s="61"/>
      <c r="D987" s="61"/>
      <c r="E987" s="61"/>
      <c r="F987" s="20">
        <f t="array" ref="F987">_xlfn.XLOOKUP(A987,'WK 47'!A:A,'WK 47'!F:F,"")</f>
        <v>0</v>
      </c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  <c r="AD987" s="61"/>
      <c r="AE987" s="61"/>
      <c r="AF987" s="61"/>
      <c r="AG987" s="61"/>
      <c r="AH987" s="61"/>
      <c r="AI987" s="61"/>
      <c r="AJ987" s="61"/>
      <c r="AK987" s="61"/>
    </row>
    <row r="988" customHeight="1" spans="1:37">
      <c r="A988" s="61"/>
      <c r="B988" s="61"/>
      <c r="C988" s="61"/>
      <c r="D988" s="61"/>
      <c r="E988" s="61"/>
      <c r="F988" s="20">
        <f t="array" ref="F988">_xlfn.XLOOKUP(A988,'WK 47'!A:A,'WK 47'!F:F,"")</f>
        <v>0</v>
      </c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  <c r="AH988" s="61"/>
      <c r="AI988" s="61"/>
      <c r="AJ988" s="61"/>
      <c r="AK988" s="61"/>
    </row>
    <row r="989" customHeight="1" spans="1:37">
      <c r="A989" s="61"/>
      <c r="B989" s="61"/>
      <c r="C989" s="61"/>
      <c r="D989" s="61"/>
      <c r="E989" s="61"/>
      <c r="F989" s="20">
        <f t="array" ref="F989">_xlfn.XLOOKUP(A989,'WK 47'!A:A,'WK 47'!F:F,"")</f>
        <v>0</v>
      </c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  <c r="AD989" s="61"/>
      <c r="AE989" s="61"/>
      <c r="AF989" s="61"/>
      <c r="AG989" s="61"/>
      <c r="AH989" s="61"/>
      <c r="AI989" s="61"/>
      <c r="AJ989" s="61"/>
      <c r="AK989" s="61"/>
    </row>
    <row r="990" customHeight="1" spans="1:37">
      <c r="A990" s="61"/>
      <c r="B990" s="61"/>
      <c r="C990" s="61"/>
      <c r="D990" s="61"/>
      <c r="E990" s="61"/>
      <c r="F990" s="20">
        <f t="array" ref="F990">_xlfn.XLOOKUP(A990,'WK 47'!A:A,'WK 47'!F:F,"")</f>
        <v>0</v>
      </c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  <c r="AH990" s="61"/>
      <c r="AI990" s="61"/>
      <c r="AJ990" s="61"/>
      <c r="AK990" s="61"/>
    </row>
    <row r="991" customHeight="1" spans="1:37">
      <c r="A991" s="61"/>
      <c r="B991" s="61"/>
      <c r="C991" s="61"/>
      <c r="D991" s="61"/>
      <c r="E991" s="61"/>
      <c r="F991" s="20">
        <f t="array" ref="F991">_xlfn.XLOOKUP(A991,'WK 47'!A:A,'WK 47'!F:F,"")</f>
        <v>0</v>
      </c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1"/>
      <c r="AH991" s="61"/>
      <c r="AI991" s="61"/>
      <c r="AJ991" s="61"/>
      <c r="AK991" s="61"/>
    </row>
    <row r="992" customHeight="1" spans="1:37">
      <c r="A992" s="61"/>
      <c r="B992" s="61"/>
      <c r="C992" s="61"/>
      <c r="D992" s="61"/>
      <c r="E992" s="61"/>
      <c r="F992" s="20">
        <f t="array" ref="F992">_xlfn.XLOOKUP(A992,'WK 47'!A:A,'WK 47'!F:F,"")</f>
        <v>0</v>
      </c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  <c r="AH992" s="61"/>
      <c r="AI992" s="61"/>
      <c r="AJ992" s="61"/>
      <c r="AK992" s="61"/>
    </row>
    <row r="993" customHeight="1" spans="1:37">
      <c r="A993" s="61"/>
      <c r="B993" s="61"/>
      <c r="C993" s="61"/>
      <c r="D993" s="61"/>
      <c r="E993" s="61"/>
      <c r="F993" s="20">
        <f t="array" ref="F993">_xlfn.XLOOKUP(A993,'WK 47'!A:A,'WK 47'!F:F,"")</f>
        <v>0</v>
      </c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  <c r="AD993" s="61"/>
      <c r="AE993" s="61"/>
      <c r="AF993" s="61"/>
      <c r="AG993" s="61"/>
      <c r="AH993" s="61"/>
      <c r="AI993" s="61"/>
      <c r="AJ993" s="61"/>
      <c r="AK993" s="61"/>
    </row>
    <row r="994" customHeight="1" spans="1:37">
      <c r="A994" s="61"/>
      <c r="B994" s="61"/>
      <c r="C994" s="61"/>
      <c r="D994" s="61"/>
      <c r="E994" s="61"/>
      <c r="F994" s="20">
        <f t="array" ref="F994">_xlfn.XLOOKUP(A994,'WK 47'!A:A,'WK 47'!F:F,"")</f>
        <v>0</v>
      </c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  <c r="AH994" s="61"/>
      <c r="AI994" s="61"/>
      <c r="AJ994" s="61"/>
      <c r="AK994" s="61"/>
    </row>
    <row r="995" customHeight="1" spans="1:37">
      <c r="A995" s="61"/>
      <c r="B995" s="61"/>
      <c r="C995" s="61"/>
      <c r="D995" s="61"/>
      <c r="E995" s="61"/>
      <c r="F995" s="20">
        <f t="array" ref="F995">_xlfn.XLOOKUP(A995,'WK 47'!A:A,'WK 47'!F:F,"")</f>
        <v>0</v>
      </c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  <c r="AG995" s="61"/>
      <c r="AH995" s="61"/>
      <c r="AI995" s="61"/>
      <c r="AJ995" s="61"/>
      <c r="AK995" s="61"/>
    </row>
    <row r="996" customHeight="1" spans="1:37">
      <c r="A996" s="61"/>
      <c r="B996" s="61"/>
      <c r="C996" s="61"/>
      <c r="D996" s="61"/>
      <c r="E996" s="61"/>
      <c r="F996" s="20">
        <f t="array" ref="F996">_xlfn.XLOOKUP(A996,'WK 47'!A:A,'WK 47'!F:F,"")</f>
        <v>0</v>
      </c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  <c r="AH996" s="61"/>
      <c r="AI996" s="61"/>
      <c r="AJ996" s="61"/>
      <c r="AK996" s="61"/>
    </row>
    <row r="997" customHeight="1" spans="1:37">
      <c r="A997" s="61"/>
      <c r="B997" s="61"/>
      <c r="C997" s="61"/>
      <c r="D997" s="61"/>
      <c r="E997" s="61"/>
      <c r="F997" s="20">
        <f t="array" ref="F997">_xlfn.XLOOKUP(A997,'WK 47'!A:A,'WK 47'!F:F,"")</f>
        <v>0</v>
      </c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  <c r="AD997" s="61"/>
      <c r="AE997" s="61"/>
      <c r="AF997" s="61"/>
      <c r="AG997" s="61"/>
      <c r="AH997" s="61"/>
      <c r="AI997" s="61"/>
      <c r="AJ997" s="61"/>
      <c r="AK997" s="61"/>
    </row>
    <row r="998" customHeight="1" spans="1:37">
      <c r="A998" s="61"/>
      <c r="B998" s="61"/>
      <c r="C998" s="61"/>
      <c r="D998" s="61"/>
      <c r="E998" s="61"/>
      <c r="F998" s="20">
        <f t="array" ref="F998">_xlfn.XLOOKUP(A998,'WK 47'!A:A,'WK 47'!F:F,"")</f>
        <v>0</v>
      </c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  <c r="AD998" s="61"/>
      <c r="AE998" s="61"/>
      <c r="AF998" s="61"/>
      <c r="AG998" s="61"/>
      <c r="AH998" s="61"/>
      <c r="AI998" s="61"/>
      <c r="AJ998" s="61"/>
      <c r="AK998" s="61"/>
    </row>
    <row r="999" customHeight="1" spans="1:37">
      <c r="A999" s="61"/>
      <c r="B999" s="61"/>
      <c r="C999" s="61"/>
      <c r="D999" s="61"/>
      <c r="E999" s="61"/>
      <c r="F999" s="20">
        <f t="array" ref="F999">_xlfn.XLOOKUP(A999,'WK 47'!A:A,'WK 47'!F:F,"")</f>
        <v>0</v>
      </c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  <c r="AD999" s="61"/>
      <c r="AE999" s="61"/>
      <c r="AF999" s="61"/>
      <c r="AG999" s="61"/>
      <c r="AH999" s="61"/>
      <c r="AI999" s="61"/>
      <c r="AJ999" s="61"/>
      <c r="AK999" s="61"/>
    </row>
    <row r="1000" customHeight="1" spans="1:37">
      <c r="A1000" s="61"/>
      <c r="B1000" s="61"/>
      <c r="C1000" s="61"/>
      <c r="D1000" s="106">
        <f t="array" ref="D1000">_xlfn.XLOOKUP(A1000,'WK 47'!A:A,'WK 47'!E:E,"")</f>
        <v>0</v>
      </c>
      <c r="E1000" s="61"/>
      <c r="F1000" s="20">
        <f t="array" ref="F1000">_xlfn.XLOOKUP(A1000,'WK 47'!A:A,'WK 47'!F:F,"")</f>
        <v>0</v>
      </c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  <c r="AD1000" s="61"/>
      <c r="AE1000" s="61"/>
      <c r="AF1000" s="61"/>
      <c r="AG1000" s="61"/>
      <c r="AH1000" s="61"/>
      <c r="AI1000" s="61"/>
      <c r="AJ1000" s="61"/>
      <c r="AK1000" s="61"/>
    </row>
  </sheetData>
  <mergeCells count="37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D71:E71"/>
    <mergeCell ref="F71:G71"/>
    <mergeCell ref="H71:I71"/>
    <mergeCell ref="J71:K71"/>
    <mergeCell ref="L71:M71"/>
    <mergeCell ref="N71:O71"/>
    <mergeCell ref="P71:Q71"/>
    <mergeCell ref="D72:E72"/>
    <mergeCell ref="F72:G72"/>
    <mergeCell ref="H72:I72"/>
    <mergeCell ref="J72:K72"/>
    <mergeCell ref="L72:M72"/>
    <mergeCell ref="N72:O72"/>
    <mergeCell ref="P72:Q72"/>
    <mergeCell ref="A1:A3"/>
    <mergeCell ref="A71:A73"/>
    <mergeCell ref="B1:B3"/>
    <mergeCell ref="B71:B73"/>
    <mergeCell ref="C1:C3"/>
    <mergeCell ref="C71:C73"/>
    <mergeCell ref="D1:D3"/>
    <mergeCell ref="E1:E3"/>
    <mergeCell ref="F1:F3"/>
  </mergeCells>
  <conditionalFormatting sqref="G57:M57">
    <cfRule type="cellIs" dxfId="0" priority="4" operator="lessThan">
      <formula>0</formula>
    </cfRule>
  </conditionalFormatting>
  <conditionalFormatting sqref="A49:A66">
    <cfRule type="expression" dxfId="1" priority="1">
      <formula>COUNTIF(A:A,A49)&gt;1</formula>
    </cfRule>
  </conditionalFormatting>
  <conditionalFormatting sqref="C4:E51 G4:T51 D1000">
    <cfRule type="colorScale" priority="5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W4:W41 W43:W51">
    <cfRule type="cellIs" dxfId="0" priority="2" operator="greaterThanOrEqual">
      <formula>1</formula>
    </cfRule>
    <cfRule type="cellIs" dxfId="0" priority="3" operator="lessThanOrEqual">
      <formula>-1</formula>
    </cfRule>
  </conditionalFormatting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9"/>
  <sheetViews>
    <sheetView workbookViewId="0">
      <selection activeCell="A1" sqref="A1"/>
    </sheetView>
  </sheetViews>
  <sheetFormatPr defaultColWidth="12.6272727272727" defaultRowHeight="15.75" customHeight="1"/>
  <sheetData>
    <row r="1" customHeight="1" spans="1:6">
      <c r="A1" s="91">
        <v>10320436</v>
      </c>
      <c r="B1" s="92" t="s">
        <v>168</v>
      </c>
      <c r="C1" s="185" t="s">
        <v>169</v>
      </c>
      <c r="D1" s="92" t="s">
        <v>170</v>
      </c>
      <c r="E1" s="92" t="s">
        <v>171</v>
      </c>
      <c r="F1" s="93" t="s">
        <v>172</v>
      </c>
    </row>
    <row r="2" customHeight="1" spans="1:6">
      <c r="A2" s="94">
        <v>10320435</v>
      </c>
      <c r="B2" s="95" t="s">
        <v>173</v>
      </c>
      <c r="C2" s="186" t="s">
        <v>169</v>
      </c>
      <c r="D2" s="95" t="s">
        <v>174</v>
      </c>
      <c r="E2" s="95" t="s">
        <v>175</v>
      </c>
      <c r="F2" s="96" t="s">
        <v>176</v>
      </c>
    </row>
    <row r="3" customHeight="1" spans="1:6">
      <c r="A3" s="91">
        <v>10250966</v>
      </c>
      <c r="B3" s="92" t="s">
        <v>61</v>
      </c>
      <c r="C3" s="185" t="s">
        <v>169</v>
      </c>
      <c r="D3" s="92" t="s">
        <v>170</v>
      </c>
      <c r="E3" s="92" t="s">
        <v>171</v>
      </c>
      <c r="F3" s="93" t="s">
        <v>177</v>
      </c>
    </row>
    <row r="4" customHeight="1" spans="1:6">
      <c r="A4" s="94">
        <v>10320416</v>
      </c>
      <c r="B4" s="95" t="s">
        <v>178</v>
      </c>
      <c r="C4" s="186" t="s">
        <v>169</v>
      </c>
      <c r="D4" s="95" t="s">
        <v>179</v>
      </c>
      <c r="E4" s="95" t="s">
        <v>171</v>
      </c>
      <c r="F4" s="96" t="s">
        <v>180</v>
      </c>
    </row>
    <row r="5" customHeight="1" spans="1:6">
      <c r="A5" s="91">
        <v>10320419</v>
      </c>
      <c r="B5" s="92" t="s">
        <v>69</v>
      </c>
      <c r="C5" s="185" t="s">
        <v>169</v>
      </c>
      <c r="D5" s="92" t="s">
        <v>174</v>
      </c>
      <c r="E5" s="92" t="s">
        <v>171</v>
      </c>
      <c r="F5" s="93" t="s">
        <v>181</v>
      </c>
    </row>
    <row r="6" customHeight="1" spans="1:6">
      <c r="A6" s="94">
        <v>10320407</v>
      </c>
      <c r="B6" s="95" t="s">
        <v>55</v>
      </c>
      <c r="C6" s="186" t="s">
        <v>169</v>
      </c>
      <c r="D6" s="95" t="s">
        <v>174</v>
      </c>
      <c r="E6" s="95" t="s">
        <v>171</v>
      </c>
      <c r="F6" s="96" t="s">
        <v>182</v>
      </c>
    </row>
    <row r="7" customHeight="1" spans="1:6">
      <c r="A7" s="91">
        <v>10320413</v>
      </c>
      <c r="B7" s="92" t="s">
        <v>183</v>
      </c>
      <c r="C7" s="185" t="s">
        <v>169</v>
      </c>
      <c r="D7" s="92" t="s">
        <v>170</v>
      </c>
      <c r="E7" s="92" t="s">
        <v>171</v>
      </c>
      <c r="F7" s="93" t="s">
        <v>184</v>
      </c>
    </row>
    <row r="8" customHeight="1" spans="1:6">
      <c r="A8" s="94">
        <v>10320410</v>
      </c>
      <c r="B8" s="95" t="s">
        <v>58</v>
      </c>
      <c r="C8" s="186" t="s">
        <v>169</v>
      </c>
      <c r="D8" s="95" t="s">
        <v>185</v>
      </c>
      <c r="E8" s="95" t="s">
        <v>171</v>
      </c>
      <c r="F8" s="96" t="s">
        <v>186</v>
      </c>
    </row>
    <row r="9" customHeight="1" spans="1:9">
      <c r="A9" s="97">
        <v>10293607</v>
      </c>
      <c r="B9" s="92" t="s">
        <v>187</v>
      </c>
      <c r="C9" s="185" t="s">
        <v>169</v>
      </c>
      <c r="D9" s="92" t="s">
        <v>170</v>
      </c>
      <c r="E9" s="92" t="s">
        <v>171</v>
      </c>
      <c r="F9" s="93" t="s">
        <v>188</v>
      </c>
      <c r="H9" s="21">
        <v>10317147</v>
      </c>
      <c r="I9" s="86" t="s">
        <v>24</v>
      </c>
    </row>
    <row r="10" customHeight="1" spans="1:9">
      <c r="A10" s="94">
        <v>10293627</v>
      </c>
      <c r="B10" s="95" t="s">
        <v>189</v>
      </c>
      <c r="C10" s="186" t="s">
        <v>169</v>
      </c>
      <c r="D10" s="95" t="s">
        <v>170</v>
      </c>
      <c r="E10" s="95" t="s">
        <v>171</v>
      </c>
      <c r="F10" s="96" t="s">
        <v>190</v>
      </c>
      <c r="H10" s="21">
        <v>10250963</v>
      </c>
      <c r="I10" s="86" t="s">
        <v>25</v>
      </c>
    </row>
    <row r="11" customHeight="1" spans="1:9">
      <c r="A11" s="91">
        <v>10320418</v>
      </c>
      <c r="B11" s="92" t="s">
        <v>68</v>
      </c>
      <c r="C11" s="185" t="s">
        <v>169</v>
      </c>
      <c r="D11" s="92" t="s">
        <v>170</v>
      </c>
      <c r="E11" s="92" t="s">
        <v>191</v>
      </c>
      <c r="F11" s="93" t="s">
        <v>192</v>
      </c>
      <c r="H11" s="21">
        <v>10316530</v>
      </c>
      <c r="I11" s="86" t="s">
        <v>26</v>
      </c>
    </row>
    <row r="12" customHeight="1" spans="1:9">
      <c r="A12" s="94">
        <v>10320412</v>
      </c>
      <c r="B12" s="95" t="s">
        <v>59</v>
      </c>
      <c r="C12" s="186" t="s">
        <v>169</v>
      </c>
      <c r="D12" s="95" t="s">
        <v>185</v>
      </c>
      <c r="E12" s="95" t="s">
        <v>175</v>
      </c>
      <c r="F12" s="96" t="s">
        <v>193</v>
      </c>
      <c r="H12" s="21">
        <v>10317517</v>
      </c>
      <c r="I12" s="86" t="s">
        <v>29</v>
      </c>
    </row>
    <row r="13" customHeight="1" spans="1:9">
      <c r="A13" s="86">
        <v>10317154</v>
      </c>
      <c r="B13" s="98" t="s">
        <v>194</v>
      </c>
      <c r="C13" s="185" t="s">
        <v>169</v>
      </c>
      <c r="D13" s="92" t="s">
        <v>170</v>
      </c>
      <c r="E13" s="92" t="s">
        <v>171</v>
      </c>
      <c r="F13" s="93" t="s">
        <v>195</v>
      </c>
      <c r="H13" s="21">
        <v>10316540</v>
      </c>
      <c r="I13" s="86" t="s">
        <v>30</v>
      </c>
    </row>
    <row r="14" customHeight="1" spans="1:9">
      <c r="A14" s="94">
        <v>10320415</v>
      </c>
      <c r="B14" s="95" t="s">
        <v>63</v>
      </c>
      <c r="C14" s="186" t="s">
        <v>169</v>
      </c>
      <c r="D14" s="95" t="s">
        <v>170</v>
      </c>
      <c r="E14" s="95" t="s">
        <v>171</v>
      </c>
      <c r="F14" s="96" t="s">
        <v>196</v>
      </c>
      <c r="H14" s="21">
        <v>10316680</v>
      </c>
      <c r="I14" s="21" t="s">
        <v>40</v>
      </c>
    </row>
    <row r="15" customHeight="1" spans="1:9">
      <c r="A15" s="98">
        <v>10320408</v>
      </c>
      <c r="B15" s="92" t="s">
        <v>197</v>
      </c>
      <c r="C15" s="185" t="s">
        <v>169</v>
      </c>
      <c r="D15" s="92" t="s">
        <v>179</v>
      </c>
      <c r="E15" s="92" t="s">
        <v>198</v>
      </c>
      <c r="F15" s="93" t="s">
        <v>199</v>
      </c>
      <c r="H15" s="21">
        <v>10317153</v>
      </c>
      <c r="I15" s="21" t="s">
        <v>42</v>
      </c>
    </row>
    <row r="16" customHeight="1" spans="1:9">
      <c r="A16" s="94">
        <v>10320409</v>
      </c>
      <c r="B16" s="95" t="s">
        <v>200</v>
      </c>
      <c r="C16" s="186" t="s">
        <v>169</v>
      </c>
      <c r="D16" s="95" t="s">
        <v>185</v>
      </c>
      <c r="E16" s="95" t="s">
        <v>201</v>
      </c>
      <c r="F16" s="96" t="s">
        <v>202</v>
      </c>
      <c r="H16" s="21">
        <v>10252106</v>
      </c>
      <c r="I16" s="21" t="s">
        <v>43</v>
      </c>
    </row>
    <row r="17" customHeight="1" spans="1:9">
      <c r="A17" s="99">
        <v>10320414</v>
      </c>
      <c r="B17" s="100" t="s">
        <v>203</v>
      </c>
      <c r="C17" s="187" t="s">
        <v>169</v>
      </c>
      <c r="D17" s="100" t="s">
        <v>174</v>
      </c>
      <c r="E17" s="100" t="s">
        <v>171</v>
      </c>
      <c r="F17" s="101" t="s">
        <v>204</v>
      </c>
      <c r="H17" s="21">
        <v>10316545</v>
      </c>
      <c r="I17" s="21" t="s">
        <v>45</v>
      </c>
    </row>
    <row r="18" customHeight="1" spans="8:9">
      <c r="H18" s="21">
        <v>10316685</v>
      </c>
      <c r="I18" s="21" t="s">
        <v>47</v>
      </c>
    </row>
    <row r="19" customHeight="1" spans="8:9">
      <c r="H19" s="21">
        <v>10316683</v>
      </c>
      <c r="I19" s="86" t="s">
        <v>51</v>
      </c>
    </row>
  </sheetData>
  <conditionalFormatting sqref="H14">
    <cfRule type="expression" dxfId="1" priority="5">
      <formula>COUNTIF(H:H,H14)&gt;1</formula>
    </cfRule>
  </conditionalFormatting>
  <conditionalFormatting sqref="H17">
    <cfRule type="expression" dxfId="1" priority="3">
      <formula>COUNTIF(H:H,H17)&gt;1</formula>
    </cfRule>
  </conditionalFormatting>
  <conditionalFormatting sqref="H18">
    <cfRule type="expression" dxfId="1" priority="2">
      <formula>COUNTIF(H:H,H18)&gt;1</formula>
    </cfRule>
  </conditionalFormatting>
  <conditionalFormatting sqref="H9:H11">
    <cfRule type="expression" dxfId="1" priority="7">
      <formula>COUNTIF(H:H,H9)&gt;1</formula>
    </cfRule>
  </conditionalFormatting>
  <conditionalFormatting sqref="H12:H13">
    <cfRule type="expression" dxfId="1" priority="6">
      <formula>COUNTIF(H:H,H12)&gt;1</formula>
    </cfRule>
  </conditionalFormatting>
  <conditionalFormatting sqref="H15:H16">
    <cfRule type="expression" dxfId="1" priority="4">
      <formula>COUNTIF(H:H,H15)&gt;1</formula>
    </cfRule>
  </conditionalFormatting>
  <conditionalFormatting sqref="A13 H19">
    <cfRule type="expression" dxfId="1" priority="1">
      <formula>COUNTIF(A:A,A13)&gt;1</formula>
    </cfRule>
  </conditionalFormatting>
  <pageMargins left="0.75" right="0.75" top="1" bottom="1" header="0.5" footer="0.5"/>
  <headerFooter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997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2.6272727272727" defaultRowHeight="15.75" customHeight="1"/>
  <cols>
    <col min="1" max="1" width="9.38181818181818" customWidth="1"/>
    <col min="2" max="2" width="18.7545454545455" customWidth="1"/>
    <col min="3" max="4" width="9" customWidth="1"/>
    <col min="5" max="5" width="7.25454545454545" customWidth="1"/>
    <col min="6" max="6" width="13.3818181818182" customWidth="1"/>
    <col min="7" max="7" width="7.12727272727273" customWidth="1"/>
    <col min="8" max="8" width="6.38181818181818" customWidth="1"/>
    <col min="9" max="9" width="8.88181818181818" customWidth="1"/>
    <col min="10" max="10" width="7.12727272727273" customWidth="1"/>
    <col min="11" max="11" width="8.88181818181818" customWidth="1"/>
    <col min="12" max="12" width="7.88181818181818" customWidth="1"/>
    <col min="13" max="13" width="7.12727272727273" customWidth="1"/>
    <col min="14" max="14" width="7.88181818181818" customWidth="1"/>
    <col min="15" max="15" width="7.12727272727273" customWidth="1"/>
    <col min="16" max="16" width="7.25454545454545" customWidth="1"/>
    <col min="17" max="17" width="8.25454545454545" customWidth="1"/>
    <col min="18" max="18" width="8" customWidth="1"/>
    <col min="19" max="19" width="8.25454545454545" customWidth="1"/>
    <col min="20" max="20" width="7" customWidth="1"/>
    <col min="21" max="21" width="13.3818181818182" customWidth="1"/>
    <col min="22" max="22" width="12.1272727272727" customWidth="1"/>
    <col min="23" max="23" width="11.6272727272727" customWidth="1"/>
    <col min="24" max="24" width="9.25454545454545" customWidth="1"/>
    <col min="25" max="25" width="6.38181818181818" customWidth="1"/>
  </cols>
  <sheetData>
    <row r="1" customHeight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6">
        <v>45607</v>
      </c>
      <c r="H1" s="14"/>
      <c r="I1" s="46">
        <v>45608</v>
      </c>
      <c r="J1" s="14"/>
      <c r="K1" s="46">
        <v>45609</v>
      </c>
      <c r="L1" s="14"/>
      <c r="M1" s="46">
        <v>45610</v>
      </c>
      <c r="N1" s="14"/>
      <c r="O1" s="46">
        <v>45611</v>
      </c>
      <c r="P1" s="14"/>
      <c r="Q1" s="46">
        <v>45612</v>
      </c>
      <c r="R1" s="14"/>
      <c r="S1" s="46">
        <v>45613</v>
      </c>
      <c r="T1" s="14"/>
      <c r="U1" s="21"/>
      <c r="V1" s="21"/>
      <c r="W1" s="21"/>
      <c r="X1" s="7"/>
      <c r="Y1" s="17"/>
    </row>
    <row r="2" customHeight="1" spans="1:25">
      <c r="A2" s="15"/>
      <c r="B2" s="15"/>
      <c r="C2" s="15"/>
      <c r="D2" s="15"/>
      <c r="E2" s="15"/>
      <c r="F2" s="15"/>
      <c r="G2" s="48" t="s">
        <v>6</v>
      </c>
      <c r="H2" s="14"/>
      <c r="I2" s="48" t="s">
        <v>7</v>
      </c>
      <c r="J2" s="14"/>
      <c r="K2" s="48" t="s">
        <v>8</v>
      </c>
      <c r="L2" s="14"/>
      <c r="M2" s="48" t="s">
        <v>9</v>
      </c>
      <c r="N2" s="14"/>
      <c r="O2" s="48" t="s">
        <v>10</v>
      </c>
      <c r="P2" s="14"/>
      <c r="Q2" s="48" t="s">
        <v>11</v>
      </c>
      <c r="R2" s="14"/>
      <c r="S2" s="48" t="s">
        <v>12</v>
      </c>
      <c r="T2" s="14"/>
      <c r="U2" s="21"/>
      <c r="V2" s="21"/>
      <c r="W2" s="21"/>
      <c r="X2" s="7"/>
      <c r="Y2" s="17"/>
    </row>
    <row r="3" customHeight="1" spans="1:25">
      <c r="A3" s="5"/>
      <c r="B3" s="5"/>
      <c r="C3" s="5"/>
      <c r="D3" s="5"/>
      <c r="E3" s="15"/>
      <c r="F3" s="5"/>
      <c r="G3" s="50" t="s">
        <v>13</v>
      </c>
      <c r="H3" s="50" t="s">
        <v>14</v>
      </c>
      <c r="I3" s="50" t="s">
        <v>13</v>
      </c>
      <c r="J3" s="50" t="s">
        <v>14</v>
      </c>
      <c r="K3" s="50" t="s">
        <v>13</v>
      </c>
      <c r="L3" s="50" t="s">
        <v>14</v>
      </c>
      <c r="M3" s="50" t="s">
        <v>13</v>
      </c>
      <c r="N3" s="50" t="s">
        <v>14</v>
      </c>
      <c r="O3" s="50" t="s">
        <v>13</v>
      </c>
      <c r="P3" s="50" t="s">
        <v>14</v>
      </c>
      <c r="Q3" s="50" t="s">
        <v>13</v>
      </c>
      <c r="R3" s="50" t="s">
        <v>14</v>
      </c>
      <c r="S3" s="50" t="s">
        <v>13</v>
      </c>
      <c r="T3" s="50" t="s">
        <v>14</v>
      </c>
      <c r="U3" s="59" t="s">
        <v>15</v>
      </c>
      <c r="V3" s="84" t="s">
        <v>16</v>
      </c>
      <c r="W3" s="59" t="s">
        <v>17</v>
      </c>
      <c r="X3" s="7" t="s">
        <v>18</v>
      </c>
      <c r="Y3" s="17"/>
    </row>
    <row r="4" customHeight="1" spans="1:25">
      <c r="A4" s="21">
        <v>10316549</v>
      </c>
      <c r="B4" s="86" t="s">
        <v>19</v>
      </c>
      <c r="C4" s="21" t="s">
        <v>20</v>
      </c>
      <c r="D4" s="21" t="s">
        <v>21</v>
      </c>
      <c r="E4" s="21" t="s">
        <v>22</v>
      </c>
      <c r="F4" s="21">
        <v>1</v>
      </c>
      <c r="G4" s="54">
        <v>0.458333333333333</v>
      </c>
      <c r="H4" s="54">
        <v>0.875</v>
      </c>
      <c r="I4" s="54">
        <v>0.458333333333333</v>
      </c>
      <c r="J4" s="54">
        <v>0.875</v>
      </c>
      <c r="K4" s="54">
        <v>0.458333333333333</v>
      </c>
      <c r="L4" s="54">
        <v>0.875</v>
      </c>
      <c r="M4" s="54">
        <v>0.458333333333333</v>
      </c>
      <c r="N4" s="54">
        <v>0.875</v>
      </c>
      <c r="O4" s="21" t="s">
        <v>23</v>
      </c>
      <c r="P4" s="21" t="s">
        <v>23</v>
      </c>
      <c r="Q4" s="21" t="s">
        <v>23</v>
      </c>
      <c r="R4" s="21" t="s">
        <v>23</v>
      </c>
      <c r="S4" s="54">
        <v>0.458333333333333</v>
      </c>
      <c r="T4" s="54">
        <v>0.666666666666667</v>
      </c>
      <c r="U4" s="21">
        <v>45</v>
      </c>
      <c r="V4" s="7">
        <v>45</v>
      </c>
      <c r="W4" s="7">
        <v>-1.4210854715202e-14</v>
      </c>
      <c r="X4" s="8">
        <v>0.416666666666667</v>
      </c>
      <c r="Y4" s="17"/>
    </row>
    <row r="5" customHeight="1" spans="1:25">
      <c r="A5" s="21">
        <v>10317147</v>
      </c>
      <c r="B5" s="86" t="s">
        <v>24</v>
      </c>
      <c r="C5" s="21" t="s">
        <v>20</v>
      </c>
      <c r="D5" s="21" t="s">
        <v>21</v>
      </c>
      <c r="E5" s="21" t="s">
        <v>22</v>
      </c>
      <c r="F5" s="21">
        <v>1</v>
      </c>
      <c r="G5" s="21" t="s">
        <v>23</v>
      </c>
      <c r="H5" s="54" t="s">
        <v>23</v>
      </c>
      <c r="I5" s="54">
        <v>0.375</v>
      </c>
      <c r="J5" s="54">
        <v>0.791666666666667</v>
      </c>
      <c r="K5" s="54">
        <v>0.375</v>
      </c>
      <c r="L5" s="54">
        <v>0.791666666666667</v>
      </c>
      <c r="M5" s="54">
        <v>0.375</v>
      </c>
      <c r="N5" s="54">
        <v>0.791666666666667</v>
      </c>
      <c r="O5" s="54">
        <v>0.375</v>
      </c>
      <c r="P5" s="54">
        <v>0.791666666666667</v>
      </c>
      <c r="Q5" s="54">
        <v>0.458333333333333</v>
      </c>
      <c r="R5" s="54">
        <v>0.666666666666667</v>
      </c>
      <c r="S5" s="21" t="s">
        <v>23</v>
      </c>
      <c r="T5" s="21" t="s">
        <v>23</v>
      </c>
      <c r="U5" s="21">
        <v>45</v>
      </c>
      <c r="V5" s="7">
        <v>45</v>
      </c>
      <c r="W5" s="7">
        <v>-7.105427357601e-15</v>
      </c>
      <c r="X5" s="8">
        <v>0.416666666666667</v>
      </c>
      <c r="Y5" s="17"/>
    </row>
    <row r="6" customHeight="1" spans="1:25">
      <c r="A6" s="21">
        <v>10250963</v>
      </c>
      <c r="B6" s="86" t="s">
        <v>25</v>
      </c>
      <c r="C6" s="21" t="s">
        <v>20</v>
      </c>
      <c r="D6" s="21" t="s">
        <v>21</v>
      </c>
      <c r="E6" s="21" t="s">
        <v>22</v>
      </c>
      <c r="F6" s="21">
        <v>1</v>
      </c>
      <c r="G6" s="21" t="s">
        <v>23</v>
      </c>
      <c r="H6" s="54" t="s">
        <v>23</v>
      </c>
      <c r="I6" s="54">
        <v>0.458333333333333</v>
      </c>
      <c r="J6" s="54">
        <v>0.875</v>
      </c>
      <c r="K6" s="54">
        <v>0.458333333333333</v>
      </c>
      <c r="L6" s="54">
        <v>0.875</v>
      </c>
      <c r="M6" s="54">
        <v>0.458333333333333</v>
      </c>
      <c r="N6" s="54">
        <v>0.875</v>
      </c>
      <c r="O6" s="54">
        <v>0.458333333333333</v>
      </c>
      <c r="P6" s="54">
        <v>0.875</v>
      </c>
      <c r="Q6" s="54">
        <v>0.458333333333333</v>
      </c>
      <c r="R6" s="54">
        <v>0.666666666666667</v>
      </c>
      <c r="S6" s="21" t="s">
        <v>23</v>
      </c>
      <c r="T6" s="21" t="s">
        <v>23</v>
      </c>
      <c r="U6" s="21">
        <v>45</v>
      </c>
      <c r="V6" s="7">
        <v>45</v>
      </c>
      <c r="W6" s="7">
        <v>-1.4210854715202e-14</v>
      </c>
      <c r="X6" s="8">
        <v>0.416666666666667</v>
      </c>
      <c r="Y6" s="17"/>
    </row>
    <row r="7" customHeight="1" spans="1:25">
      <c r="A7" s="21">
        <v>10316530</v>
      </c>
      <c r="B7" s="86" t="s">
        <v>26</v>
      </c>
      <c r="C7" s="21" t="s">
        <v>20</v>
      </c>
      <c r="D7" s="21" t="s">
        <v>21</v>
      </c>
      <c r="E7" s="21" t="s">
        <v>22</v>
      </c>
      <c r="F7" s="21">
        <v>1</v>
      </c>
      <c r="G7" s="21" t="s">
        <v>23</v>
      </c>
      <c r="H7" s="54" t="s">
        <v>23</v>
      </c>
      <c r="I7" s="54">
        <v>0.458333333333333</v>
      </c>
      <c r="J7" s="54">
        <v>0.875</v>
      </c>
      <c r="K7" s="54">
        <v>0.458333333333333</v>
      </c>
      <c r="L7" s="54">
        <v>0.875</v>
      </c>
      <c r="M7" s="54">
        <v>0.458333333333333</v>
      </c>
      <c r="N7" s="54">
        <v>0.875</v>
      </c>
      <c r="O7" s="54">
        <v>0.458333333333333</v>
      </c>
      <c r="P7" s="54">
        <v>0.875</v>
      </c>
      <c r="Q7" s="54">
        <v>0.458333333333333</v>
      </c>
      <c r="R7" s="54">
        <v>0.666666666666667</v>
      </c>
      <c r="S7" s="21" t="s">
        <v>23</v>
      </c>
      <c r="T7" s="21" t="s">
        <v>23</v>
      </c>
      <c r="U7" s="21">
        <v>45</v>
      </c>
      <c r="V7" s="7">
        <v>45</v>
      </c>
      <c r="W7" s="7">
        <v>-1.4210854715202e-14</v>
      </c>
      <c r="X7" s="8">
        <v>0.416666666666667</v>
      </c>
      <c r="Y7" s="17"/>
    </row>
    <row r="8" customHeight="1" spans="1:25">
      <c r="A8" s="21">
        <v>10317943</v>
      </c>
      <c r="B8" s="86" t="s">
        <v>27</v>
      </c>
      <c r="C8" s="21" t="s">
        <v>20</v>
      </c>
      <c r="D8" s="21" t="s">
        <v>21</v>
      </c>
      <c r="E8" s="21" t="s">
        <v>22</v>
      </c>
      <c r="F8" s="21">
        <v>2</v>
      </c>
      <c r="G8" s="54">
        <v>0.375</v>
      </c>
      <c r="H8" s="54">
        <v>0.791666666666667</v>
      </c>
      <c r="I8" s="54">
        <v>0.375</v>
      </c>
      <c r="J8" s="54">
        <v>0.791666666666667</v>
      </c>
      <c r="K8" s="54">
        <v>0.375</v>
      </c>
      <c r="L8" s="54">
        <v>0.791666666666667</v>
      </c>
      <c r="M8" s="54">
        <v>0.375</v>
      </c>
      <c r="N8" s="54">
        <v>0.791666666666667</v>
      </c>
      <c r="O8" s="21" t="s">
        <v>23</v>
      </c>
      <c r="P8" s="54" t="s">
        <v>23</v>
      </c>
      <c r="Q8" s="21" t="s">
        <v>23</v>
      </c>
      <c r="R8" s="21" t="s">
        <v>23</v>
      </c>
      <c r="S8" s="54">
        <v>0.458333333333333</v>
      </c>
      <c r="T8" s="54">
        <v>0.666666666666667</v>
      </c>
      <c r="U8" s="21">
        <v>45</v>
      </c>
      <c r="V8" s="7">
        <v>45</v>
      </c>
      <c r="W8" s="7">
        <v>7.105427357601e-15</v>
      </c>
      <c r="X8" s="8">
        <v>0.416666666666667</v>
      </c>
      <c r="Y8" s="17"/>
    </row>
    <row r="9" customHeight="1" spans="1:25">
      <c r="A9" s="21">
        <v>10317521</v>
      </c>
      <c r="B9" s="86" t="s">
        <v>28</v>
      </c>
      <c r="C9" s="21" t="s">
        <v>20</v>
      </c>
      <c r="D9" s="21" t="s">
        <v>21</v>
      </c>
      <c r="E9" s="21" t="s">
        <v>22</v>
      </c>
      <c r="F9" s="21">
        <v>2</v>
      </c>
      <c r="G9" s="54">
        <v>0.375</v>
      </c>
      <c r="H9" s="54">
        <v>0.791666666666667</v>
      </c>
      <c r="I9" s="54">
        <v>0.375</v>
      </c>
      <c r="J9" s="54">
        <v>0.791666666666667</v>
      </c>
      <c r="K9" s="54">
        <v>0.375</v>
      </c>
      <c r="L9" s="54">
        <v>0.791666666666667</v>
      </c>
      <c r="M9" s="54">
        <v>0.375</v>
      </c>
      <c r="N9" s="54">
        <v>0.791666666666667</v>
      </c>
      <c r="O9" s="21" t="s">
        <v>23</v>
      </c>
      <c r="P9" s="54" t="s">
        <v>23</v>
      </c>
      <c r="Q9" s="21" t="s">
        <v>23</v>
      </c>
      <c r="R9" s="21" t="s">
        <v>23</v>
      </c>
      <c r="S9" s="54">
        <v>0.458333333333333</v>
      </c>
      <c r="T9" s="54">
        <v>0.666666666666667</v>
      </c>
      <c r="U9" s="21">
        <v>45</v>
      </c>
      <c r="V9" s="7">
        <v>45</v>
      </c>
      <c r="W9" s="7">
        <v>7.105427357601e-15</v>
      </c>
      <c r="X9" s="8">
        <v>0.416666666666667</v>
      </c>
      <c r="Y9" s="17"/>
    </row>
    <row r="10" customHeight="1" spans="1:25">
      <c r="A10" s="21">
        <v>10317517</v>
      </c>
      <c r="B10" s="86" t="s">
        <v>29</v>
      </c>
      <c r="C10" s="21" t="s">
        <v>20</v>
      </c>
      <c r="D10" s="21" t="s">
        <v>21</v>
      </c>
      <c r="E10" s="21" t="s">
        <v>22</v>
      </c>
      <c r="F10" s="21">
        <v>2</v>
      </c>
      <c r="G10" s="21" t="s">
        <v>23</v>
      </c>
      <c r="H10" s="54" t="s">
        <v>23</v>
      </c>
      <c r="I10" s="54">
        <v>0.375</v>
      </c>
      <c r="J10" s="54">
        <v>0.791666666666667</v>
      </c>
      <c r="K10" s="54">
        <v>0.375</v>
      </c>
      <c r="L10" s="54">
        <v>0.791666666666667</v>
      </c>
      <c r="M10" s="54">
        <v>0.375</v>
      </c>
      <c r="N10" s="54">
        <v>0.791666666666667</v>
      </c>
      <c r="O10" s="54">
        <v>0.375</v>
      </c>
      <c r="P10" s="54">
        <v>0.791666666666667</v>
      </c>
      <c r="Q10" s="54">
        <v>0.458333333333333</v>
      </c>
      <c r="R10" s="54">
        <v>0.666666666666667</v>
      </c>
      <c r="S10" s="21" t="s">
        <v>23</v>
      </c>
      <c r="T10" s="21" t="s">
        <v>23</v>
      </c>
      <c r="U10" s="21">
        <v>45</v>
      </c>
      <c r="V10" s="7">
        <v>45</v>
      </c>
      <c r="W10" s="7">
        <v>7.105427357601e-15</v>
      </c>
      <c r="X10" s="8">
        <v>0.416666666666667</v>
      </c>
      <c r="Y10" s="17"/>
    </row>
    <row r="11" customHeight="1" spans="1:25">
      <c r="A11" s="21">
        <v>10316531</v>
      </c>
      <c r="B11" s="86" t="s">
        <v>205</v>
      </c>
      <c r="C11" s="21" t="s">
        <v>20</v>
      </c>
      <c r="D11" s="21" t="s">
        <v>21</v>
      </c>
      <c r="E11" s="21" t="s">
        <v>22</v>
      </c>
      <c r="F11" s="21">
        <v>2</v>
      </c>
      <c r="G11" s="54">
        <v>0.458333333333333</v>
      </c>
      <c r="H11" s="54">
        <v>0.875</v>
      </c>
      <c r="I11" s="54">
        <v>0.458333333333333</v>
      </c>
      <c r="J11" s="54">
        <v>0.875</v>
      </c>
      <c r="K11" s="54">
        <v>0.458333333333333</v>
      </c>
      <c r="L11" s="54">
        <v>0.875</v>
      </c>
      <c r="M11" s="54">
        <v>0.458333333333333</v>
      </c>
      <c r="N11" s="54">
        <v>0.875</v>
      </c>
      <c r="O11" s="21" t="s">
        <v>23</v>
      </c>
      <c r="P11" s="54" t="s">
        <v>23</v>
      </c>
      <c r="Q11" s="21" t="s">
        <v>23</v>
      </c>
      <c r="R11" s="21" t="s">
        <v>23</v>
      </c>
      <c r="S11" s="54">
        <v>0.458333333333333</v>
      </c>
      <c r="T11" s="54">
        <v>0.666666666666667</v>
      </c>
      <c r="U11" s="21">
        <v>45</v>
      </c>
      <c r="V11" s="7">
        <v>45</v>
      </c>
      <c r="W11" s="7">
        <v>-1.4210854715202e-14</v>
      </c>
      <c r="X11" s="8">
        <v>0.416666666666667</v>
      </c>
      <c r="Y11" s="17"/>
    </row>
    <row r="12" customHeight="1" spans="1:25">
      <c r="A12" s="21">
        <v>10212379</v>
      </c>
      <c r="B12" s="86" t="s">
        <v>206</v>
      </c>
      <c r="C12" s="21" t="s">
        <v>20</v>
      </c>
      <c r="D12" s="21" t="s">
        <v>21</v>
      </c>
      <c r="E12" s="21" t="s">
        <v>22</v>
      </c>
      <c r="F12" s="21">
        <v>2</v>
      </c>
      <c r="G12" s="21" t="s">
        <v>23</v>
      </c>
      <c r="H12" s="54" t="s">
        <v>23</v>
      </c>
      <c r="I12" s="54">
        <v>0.458333333333333</v>
      </c>
      <c r="J12" s="54">
        <v>0.875</v>
      </c>
      <c r="K12" s="54">
        <v>0.458333333333333</v>
      </c>
      <c r="L12" s="54">
        <v>0.875</v>
      </c>
      <c r="M12" s="54">
        <v>0.458333333333333</v>
      </c>
      <c r="N12" s="54">
        <v>0.875</v>
      </c>
      <c r="O12" s="54">
        <v>0.458333333333333</v>
      </c>
      <c r="P12" s="54">
        <v>0.875</v>
      </c>
      <c r="Q12" s="54">
        <v>0.458333333333333</v>
      </c>
      <c r="R12" s="54">
        <v>0.666666666666667</v>
      </c>
      <c r="S12" s="21" t="s">
        <v>23</v>
      </c>
      <c r="T12" s="21" t="s">
        <v>23</v>
      </c>
      <c r="U12" s="21">
        <v>45</v>
      </c>
      <c r="V12" s="7">
        <v>45</v>
      </c>
      <c r="W12" s="7">
        <v>-1.4210854715202e-14</v>
      </c>
      <c r="X12" s="8">
        <v>0.416666666666667</v>
      </c>
      <c r="Y12" s="17"/>
    </row>
    <row r="13" customHeight="1" spans="1:25">
      <c r="A13" s="21">
        <v>10252500</v>
      </c>
      <c r="B13" s="86" t="s">
        <v>207</v>
      </c>
      <c r="C13" s="21" t="s">
        <v>20</v>
      </c>
      <c r="D13" s="21" t="s">
        <v>21</v>
      </c>
      <c r="E13" s="21" t="s">
        <v>22</v>
      </c>
      <c r="F13" s="21">
        <v>2</v>
      </c>
      <c r="G13" s="21" t="s">
        <v>23</v>
      </c>
      <c r="H13" s="54" t="s">
        <v>23</v>
      </c>
      <c r="I13" s="54">
        <v>0.458333333333333</v>
      </c>
      <c r="J13" s="54">
        <v>0.875</v>
      </c>
      <c r="K13" s="54">
        <v>0.458333333333333</v>
      </c>
      <c r="L13" s="54">
        <v>0.875</v>
      </c>
      <c r="M13" s="54">
        <v>0.458333333333333</v>
      </c>
      <c r="N13" s="54">
        <v>0.875</v>
      </c>
      <c r="O13" s="54">
        <v>0.458333333333333</v>
      </c>
      <c r="P13" s="54">
        <v>0.875</v>
      </c>
      <c r="Q13" s="54">
        <v>0.458333333333333</v>
      </c>
      <c r="R13" s="54">
        <v>0.666666666666667</v>
      </c>
      <c r="S13" s="21" t="s">
        <v>23</v>
      </c>
      <c r="T13" s="21" t="s">
        <v>23</v>
      </c>
      <c r="U13" s="21">
        <v>45</v>
      </c>
      <c r="V13" s="7">
        <v>45</v>
      </c>
      <c r="W13" s="7">
        <v>-1.4210854715202e-14</v>
      </c>
      <c r="X13" s="8">
        <v>0.416666666666667</v>
      </c>
      <c r="Y13" s="17"/>
    </row>
    <row r="14" customHeight="1" spans="1:25">
      <c r="A14" s="21">
        <v>10316540</v>
      </c>
      <c r="B14" s="86" t="s">
        <v>30</v>
      </c>
      <c r="C14" s="21" t="s">
        <v>20</v>
      </c>
      <c r="D14" s="21" t="s">
        <v>21</v>
      </c>
      <c r="E14" s="21" t="s">
        <v>22</v>
      </c>
      <c r="F14" s="21">
        <v>1</v>
      </c>
      <c r="G14" s="21" t="s">
        <v>23</v>
      </c>
      <c r="H14" s="21" t="s">
        <v>23</v>
      </c>
      <c r="I14" s="54">
        <v>0.458333333333333</v>
      </c>
      <c r="J14" s="54">
        <v>0.875</v>
      </c>
      <c r="K14" s="54">
        <v>0.458333333333333</v>
      </c>
      <c r="L14" s="54">
        <v>0.875</v>
      </c>
      <c r="M14" s="54">
        <v>0.458333333333333</v>
      </c>
      <c r="N14" s="54">
        <v>0.875</v>
      </c>
      <c r="O14" s="54">
        <v>0.458333333333333</v>
      </c>
      <c r="P14" s="54">
        <v>0.875</v>
      </c>
      <c r="Q14" s="54">
        <v>0.458333333333333</v>
      </c>
      <c r="R14" s="54">
        <v>0.666666666666667</v>
      </c>
      <c r="S14" s="21" t="s">
        <v>23</v>
      </c>
      <c r="T14" s="21" t="s">
        <v>23</v>
      </c>
      <c r="U14" s="21">
        <v>45</v>
      </c>
      <c r="V14" s="7">
        <v>45</v>
      </c>
      <c r="W14" s="7">
        <v>-1.4210854715202e-14</v>
      </c>
      <c r="X14" s="8">
        <v>0.416666666666667</v>
      </c>
      <c r="Y14" s="17"/>
    </row>
    <row r="15" customHeight="1" spans="1:25">
      <c r="A15" s="21">
        <v>10275375</v>
      </c>
      <c r="B15" s="86" t="s">
        <v>208</v>
      </c>
      <c r="C15" s="21" t="s">
        <v>20</v>
      </c>
      <c r="D15" s="21" t="s">
        <v>21</v>
      </c>
      <c r="E15" s="21" t="s">
        <v>22</v>
      </c>
      <c r="F15" s="21">
        <v>2</v>
      </c>
      <c r="G15" s="21" t="s">
        <v>23</v>
      </c>
      <c r="H15" s="54" t="s">
        <v>23</v>
      </c>
      <c r="I15" s="54">
        <v>0.375</v>
      </c>
      <c r="J15" s="54">
        <v>0.791666666666667</v>
      </c>
      <c r="K15" s="54">
        <v>0.375</v>
      </c>
      <c r="L15" s="54">
        <v>0.791666666666667</v>
      </c>
      <c r="M15" s="54">
        <v>0.375</v>
      </c>
      <c r="N15" s="54">
        <v>0.791666666666667</v>
      </c>
      <c r="O15" s="54">
        <v>0.375</v>
      </c>
      <c r="P15" s="54">
        <v>0.791666666666667</v>
      </c>
      <c r="Q15" s="54">
        <v>0.458333333333333</v>
      </c>
      <c r="R15" s="54">
        <v>0.666666666666667</v>
      </c>
      <c r="S15" s="21" t="s">
        <v>23</v>
      </c>
      <c r="T15" s="21" t="s">
        <v>23</v>
      </c>
      <c r="U15" s="21">
        <v>45</v>
      </c>
      <c r="V15" s="7">
        <v>45</v>
      </c>
      <c r="W15" s="7">
        <v>7.105427357601e-15</v>
      </c>
      <c r="X15" s="8">
        <v>0.416666666666667</v>
      </c>
      <c r="Y15" s="17"/>
    </row>
    <row r="16" customHeight="1" spans="1:25">
      <c r="A16" s="21">
        <v>10317522</v>
      </c>
      <c r="B16" s="21" t="s">
        <v>31</v>
      </c>
      <c r="C16" s="21" t="s">
        <v>20</v>
      </c>
      <c r="D16" s="21" t="s">
        <v>21</v>
      </c>
      <c r="E16" s="21" t="s">
        <v>22</v>
      </c>
      <c r="F16" s="21">
        <v>2</v>
      </c>
      <c r="G16" s="54">
        <v>0.458333333333333</v>
      </c>
      <c r="H16" s="54">
        <v>0.875</v>
      </c>
      <c r="I16" s="54">
        <v>0.458333333333333</v>
      </c>
      <c r="J16" s="54">
        <v>0.875</v>
      </c>
      <c r="K16" s="54">
        <v>0.458333333333333</v>
      </c>
      <c r="L16" s="54">
        <v>0.875</v>
      </c>
      <c r="M16" s="54">
        <v>0.458333333333333</v>
      </c>
      <c r="N16" s="54">
        <v>0.875</v>
      </c>
      <c r="O16" s="21" t="s">
        <v>23</v>
      </c>
      <c r="P16" s="54" t="s">
        <v>23</v>
      </c>
      <c r="Q16" s="21" t="s">
        <v>23</v>
      </c>
      <c r="R16" s="21" t="s">
        <v>23</v>
      </c>
      <c r="S16" s="54">
        <v>0.458333333333333</v>
      </c>
      <c r="T16" s="54">
        <v>0.666666666666667</v>
      </c>
      <c r="U16" s="21">
        <v>45</v>
      </c>
      <c r="V16" s="7">
        <v>45</v>
      </c>
      <c r="W16" s="7">
        <v>-1.4210854715202e-14</v>
      </c>
      <c r="X16" s="8">
        <v>0.416666666666667</v>
      </c>
      <c r="Y16" s="17"/>
    </row>
    <row r="17" customHeight="1" spans="1:25">
      <c r="A17" s="21">
        <v>10272259</v>
      </c>
      <c r="B17" s="21" t="s">
        <v>32</v>
      </c>
      <c r="C17" s="21" t="s">
        <v>20</v>
      </c>
      <c r="D17" s="21" t="s">
        <v>21</v>
      </c>
      <c r="E17" s="21" t="s">
        <v>22</v>
      </c>
      <c r="F17" s="21">
        <v>2</v>
      </c>
      <c r="G17" s="54">
        <v>0.5</v>
      </c>
      <c r="H17" s="54">
        <v>0.875</v>
      </c>
      <c r="I17" s="21" t="s">
        <v>23</v>
      </c>
      <c r="J17" s="54" t="s">
        <v>23</v>
      </c>
      <c r="K17" s="21" t="s">
        <v>23</v>
      </c>
      <c r="L17" s="54" t="s">
        <v>23</v>
      </c>
      <c r="M17" s="54">
        <v>0.5</v>
      </c>
      <c r="N17" s="54">
        <v>0.875</v>
      </c>
      <c r="O17" s="54">
        <v>0.5</v>
      </c>
      <c r="P17" s="54">
        <v>0.875</v>
      </c>
      <c r="Q17" s="54">
        <v>0.458333333333333</v>
      </c>
      <c r="R17" s="54">
        <v>0.666666666666667</v>
      </c>
      <c r="S17" s="54">
        <v>0.458333333333333</v>
      </c>
      <c r="T17" s="54">
        <v>0.666666666666667</v>
      </c>
      <c r="U17" s="21">
        <v>37</v>
      </c>
      <c r="V17" s="7">
        <v>37</v>
      </c>
      <c r="W17" s="7">
        <v>0</v>
      </c>
      <c r="X17" s="8">
        <v>0.375</v>
      </c>
      <c r="Y17" s="17"/>
    </row>
    <row r="18" customHeight="1" spans="1:25">
      <c r="A18" s="21">
        <v>10316618</v>
      </c>
      <c r="B18" s="21" t="s">
        <v>33</v>
      </c>
      <c r="C18" s="21" t="s">
        <v>20</v>
      </c>
      <c r="D18" s="21" t="s">
        <v>21</v>
      </c>
      <c r="E18" s="21" t="s">
        <v>22</v>
      </c>
      <c r="F18" s="21">
        <v>1</v>
      </c>
      <c r="G18" s="54">
        <v>0.458333333333333</v>
      </c>
      <c r="H18" s="54">
        <v>0.875</v>
      </c>
      <c r="I18" s="54">
        <v>0.458333333333333</v>
      </c>
      <c r="J18" s="54">
        <v>0.875</v>
      </c>
      <c r="K18" s="54">
        <v>0.458333333333333</v>
      </c>
      <c r="L18" s="54">
        <v>0.875</v>
      </c>
      <c r="M18" s="54">
        <v>0.458333333333333</v>
      </c>
      <c r="N18" s="54">
        <v>0.875</v>
      </c>
      <c r="O18" s="21" t="s">
        <v>23</v>
      </c>
      <c r="P18" s="54" t="s">
        <v>23</v>
      </c>
      <c r="Q18" s="21" t="s">
        <v>23</v>
      </c>
      <c r="R18" s="21" t="s">
        <v>23</v>
      </c>
      <c r="S18" s="54">
        <v>0.458333333333333</v>
      </c>
      <c r="T18" s="54">
        <v>0.666666666666667</v>
      </c>
      <c r="U18" s="21">
        <v>45</v>
      </c>
      <c r="V18" s="7">
        <v>45</v>
      </c>
      <c r="W18" s="7">
        <v>-1.4210854715202e-14</v>
      </c>
      <c r="X18" s="8">
        <v>0.416666666666667</v>
      </c>
      <c r="Y18" s="17"/>
    </row>
    <row r="19" customHeight="1" spans="1:25">
      <c r="A19" s="21">
        <v>10295555</v>
      </c>
      <c r="B19" s="21" t="s">
        <v>34</v>
      </c>
      <c r="C19" s="21" t="s">
        <v>20</v>
      </c>
      <c r="D19" s="21" t="s">
        <v>21</v>
      </c>
      <c r="E19" s="21" t="s">
        <v>35</v>
      </c>
      <c r="F19" s="21">
        <v>2</v>
      </c>
      <c r="G19" s="54">
        <v>0.666666666666667</v>
      </c>
      <c r="H19" s="54">
        <v>0.875</v>
      </c>
      <c r="I19" s="54">
        <v>0.666666666666667</v>
      </c>
      <c r="J19" s="54">
        <v>0.875</v>
      </c>
      <c r="K19" s="54">
        <v>0.666666666666667</v>
      </c>
      <c r="L19" s="54">
        <v>0.875</v>
      </c>
      <c r="M19" s="21" t="s">
        <v>23</v>
      </c>
      <c r="N19" s="54" t="s">
        <v>23</v>
      </c>
      <c r="O19" s="21" t="s">
        <v>23</v>
      </c>
      <c r="P19" s="54" t="s">
        <v>23</v>
      </c>
      <c r="Q19" s="89" t="s">
        <v>36</v>
      </c>
      <c r="R19" s="89" t="s">
        <v>36</v>
      </c>
      <c r="S19" s="89" t="s">
        <v>36</v>
      </c>
      <c r="T19" s="89" t="s">
        <v>36</v>
      </c>
      <c r="U19" s="21">
        <v>15</v>
      </c>
      <c r="V19" s="7">
        <v>25</v>
      </c>
      <c r="W19" s="7">
        <v>10</v>
      </c>
      <c r="X19" s="8">
        <v>0.208333333333333</v>
      </c>
      <c r="Y19" s="17"/>
    </row>
    <row r="20" customHeight="1" spans="1:25">
      <c r="A20" s="21">
        <v>10317520</v>
      </c>
      <c r="B20" s="21" t="s">
        <v>37</v>
      </c>
      <c r="C20" s="21" t="s">
        <v>20</v>
      </c>
      <c r="D20" s="21" t="s">
        <v>21</v>
      </c>
      <c r="E20" s="21" t="s">
        <v>22</v>
      </c>
      <c r="F20" s="21">
        <v>2</v>
      </c>
      <c r="G20" s="54">
        <v>0.375</v>
      </c>
      <c r="H20" s="54">
        <v>0.791666666666667</v>
      </c>
      <c r="I20" s="54">
        <v>0.375</v>
      </c>
      <c r="J20" s="54">
        <v>0.791666666666667</v>
      </c>
      <c r="K20" s="54">
        <v>0.375</v>
      </c>
      <c r="L20" s="54">
        <v>0.791666666666667</v>
      </c>
      <c r="M20" s="54">
        <v>0.375</v>
      </c>
      <c r="N20" s="54">
        <v>0.791666666666667</v>
      </c>
      <c r="O20" s="21" t="s">
        <v>23</v>
      </c>
      <c r="P20" s="54" t="s">
        <v>23</v>
      </c>
      <c r="Q20" s="21" t="s">
        <v>23</v>
      </c>
      <c r="R20" s="21" t="s">
        <v>23</v>
      </c>
      <c r="S20" s="54">
        <v>0.458333333333333</v>
      </c>
      <c r="T20" s="54">
        <v>0.666666666666667</v>
      </c>
      <c r="U20" s="21">
        <v>45</v>
      </c>
      <c r="V20" s="7">
        <v>45</v>
      </c>
      <c r="W20" s="7">
        <v>7.105427357601e-15</v>
      </c>
      <c r="X20" s="8">
        <v>0.416666666666667</v>
      </c>
      <c r="Y20" s="17"/>
    </row>
    <row r="21" customHeight="1" spans="1:25">
      <c r="A21" s="21">
        <v>10316681</v>
      </c>
      <c r="B21" s="21" t="s">
        <v>38</v>
      </c>
      <c r="C21" s="21" t="s">
        <v>20</v>
      </c>
      <c r="D21" s="21" t="s">
        <v>21</v>
      </c>
      <c r="E21" s="21" t="s">
        <v>22</v>
      </c>
      <c r="F21" s="21">
        <v>1</v>
      </c>
      <c r="G21" s="54">
        <v>0.375</v>
      </c>
      <c r="H21" s="54">
        <v>0.791666666666667</v>
      </c>
      <c r="I21" s="54">
        <v>0.375</v>
      </c>
      <c r="J21" s="54">
        <v>0.791666666666667</v>
      </c>
      <c r="K21" s="54">
        <v>0.375</v>
      </c>
      <c r="L21" s="54">
        <v>0.791666666666667</v>
      </c>
      <c r="M21" s="54">
        <v>0.375</v>
      </c>
      <c r="N21" s="54">
        <v>0.791666666666667</v>
      </c>
      <c r="O21" s="21" t="s">
        <v>23</v>
      </c>
      <c r="P21" s="54" t="s">
        <v>23</v>
      </c>
      <c r="Q21" s="21" t="s">
        <v>23</v>
      </c>
      <c r="R21" s="21" t="s">
        <v>23</v>
      </c>
      <c r="S21" s="54">
        <v>0.458333333333333</v>
      </c>
      <c r="T21" s="54">
        <v>0.666666666666667</v>
      </c>
      <c r="U21" s="21">
        <v>45</v>
      </c>
      <c r="V21" s="7">
        <v>45</v>
      </c>
      <c r="W21" s="7">
        <v>7.105427357601e-15</v>
      </c>
      <c r="X21" s="8">
        <v>0.416666666666667</v>
      </c>
      <c r="Y21" s="17"/>
    </row>
    <row r="22" customHeight="1" spans="1:25">
      <c r="A22" s="21">
        <v>10316650</v>
      </c>
      <c r="B22" s="21" t="s">
        <v>39</v>
      </c>
      <c r="C22" s="21" t="s">
        <v>20</v>
      </c>
      <c r="D22" s="21" t="s">
        <v>21</v>
      </c>
      <c r="E22" s="21" t="s">
        <v>22</v>
      </c>
      <c r="F22" s="21">
        <v>2</v>
      </c>
      <c r="G22" s="54">
        <v>0.375</v>
      </c>
      <c r="H22" s="54">
        <v>0.791666666666667</v>
      </c>
      <c r="I22" s="54">
        <v>0.375</v>
      </c>
      <c r="J22" s="54">
        <v>0.791666666666667</v>
      </c>
      <c r="K22" s="54">
        <v>0.375</v>
      </c>
      <c r="L22" s="54">
        <v>0.791666666666667</v>
      </c>
      <c r="M22" s="54">
        <v>0.375</v>
      </c>
      <c r="N22" s="54">
        <v>0.791666666666667</v>
      </c>
      <c r="O22" s="21" t="s">
        <v>23</v>
      </c>
      <c r="P22" s="54" t="s">
        <v>23</v>
      </c>
      <c r="Q22" s="21" t="s">
        <v>23</v>
      </c>
      <c r="R22" s="21" t="s">
        <v>23</v>
      </c>
      <c r="S22" s="54">
        <v>0.458333333333333</v>
      </c>
      <c r="T22" s="54">
        <v>0.666666666666667</v>
      </c>
      <c r="U22" s="21">
        <v>45</v>
      </c>
      <c r="V22" s="7">
        <v>45</v>
      </c>
      <c r="W22" s="7">
        <v>7.105427357601e-15</v>
      </c>
      <c r="X22" s="8">
        <v>0.416666666666667</v>
      </c>
      <c r="Y22" s="17"/>
    </row>
    <row r="23" customHeight="1" spans="1:25">
      <c r="A23" s="21">
        <v>10316680</v>
      </c>
      <c r="B23" s="21" t="s">
        <v>40</v>
      </c>
      <c r="C23" s="21" t="s">
        <v>20</v>
      </c>
      <c r="D23" s="21" t="s">
        <v>21</v>
      </c>
      <c r="E23" s="21" t="s">
        <v>22</v>
      </c>
      <c r="F23" s="21">
        <v>1</v>
      </c>
      <c r="G23" s="21" t="s">
        <v>23</v>
      </c>
      <c r="H23" s="54" t="s">
        <v>23</v>
      </c>
      <c r="I23" s="54">
        <v>0.458333333333333</v>
      </c>
      <c r="J23" s="54">
        <v>0.875</v>
      </c>
      <c r="K23" s="54">
        <v>0.458333333333333</v>
      </c>
      <c r="L23" s="54">
        <v>0.875</v>
      </c>
      <c r="M23" s="54">
        <v>0.458333333333333</v>
      </c>
      <c r="N23" s="54">
        <v>0.875</v>
      </c>
      <c r="O23" s="54">
        <v>0.458333333333333</v>
      </c>
      <c r="P23" s="54">
        <v>0.875</v>
      </c>
      <c r="Q23" s="54">
        <v>0.458333333333333</v>
      </c>
      <c r="R23" s="54">
        <v>0.666666666666667</v>
      </c>
      <c r="S23" s="21" t="s">
        <v>23</v>
      </c>
      <c r="T23" s="21" t="s">
        <v>23</v>
      </c>
      <c r="U23" s="21">
        <v>45</v>
      </c>
      <c r="V23" s="7">
        <v>45</v>
      </c>
      <c r="W23" s="7">
        <v>-1.4210854715202e-14</v>
      </c>
      <c r="X23" s="8">
        <v>0.416666666666667</v>
      </c>
      <c r="Y23" s="17"/>
    </row>
    <row r="24" customHeight="1" spans="1:25">
      <c r="A24" s="21">
        <v>10316543</v>
      </c>
      <c r="B24" s="21" t="s">
        <v>41</v>
      </c>
      <c r="C24" s="21" t="s">
        <v>20</v>
      </c>
      <c r="D24" s="21" t="s">
        <v>21</v>
      </c>
      <c r="E24" s="21" t="s">
        <v>22</v>
      </c>
      <c r="F24" s="21">
        <v>1</v>
      </c>
      <c r="G24" s="54">
        <v>0.458333333333333</v>
      </c>
      <c r="H24" s="54">
        <v>0.875</v>
      </c>
      <c r="I24" s="54">
        <v>0.458333333333333</v>
      </c>
      <c r="J24" s="54">
        <v>0.875</v>
      </c>
      <c r="K24" s="54">
        <v>0.458333333333333</v>
      </c>
      <c r="L24" s="54">
        <v>0.875</v>
      </c>
      <c r="M24" s="54">
        <v>0.458333333333333</v>
      </c>
      <c r="N24" s="54">
        <v>0.875</v>
      </c>
      <c r="O24" s="21" t="s">
        <v>23</v>
      </c>
      <c r="P24" s="54" t="s">
        <v>23</v>
      </c>
      <c r="Q24" s="21" t="s">
        <v>23</v>
      </c>
      <c r="R24" s="21" t="s">
        <v>23</v>
      </c>
      <c r="S24" s="54">
        <v>0.458333333333333</v>
      </c>
      <c r="T24" s="54">
        <v>0.666666666666667</v>
      </c>
      <c r="U24" s="21">
        <v>45</v>
      </c>
      <c r="V24" s="7">
        <v>45</v>
      </c>
      <c r="W24" s="7">
        <v>-1.4210854715202e-14</v>
      </c>
      <c r="X24" s="8">
        <v>0.416666666666667</v>
      </c>
      <c r="Y24" s="17"/>
    </row>
    <row r="25" customHeight="1" spans="1:25">
      <c r="A25" s="21">
        <v>10317153</v>
      </c>
      <c r="B25" s="21" t="s">
        <v>42</v>
      </c>
      <c r="C25" s="21" t="s">
        <v>20</v>
      </c>
      <c r="D25" s="21" t="s">
        <v>21</v>
      </c>
      <c r="E25" s="21" t="s">
        <v>22</v>
      </c>
      <c r="F25" s="21">
        <v>1</v>
      </c>
      <c r="G25" s="21" t="s">
        <v>23</v>
      </c>
      <c r="H25" s="54" t="s">
        <v>23</v>
      </c>
      <c r="I25" s="54">
        <v>0.375</v>
      </c>
      <c r="J25" s="54">
        <v>0.791666666666667</v>
      </c>
      <c r="K25" s="54">
        <v>0.375</v>
      </c>
      <c r="L25" s="54">
        <v>0.791666666666667</v>
      </c>
      <c r="M25" s="54">
        <v>0.375</v>
      </c>
      <c r="N25" s="54">
        <v>0.791666666666667</v>
      </c>
      <c r="O25" s="54">
        <v>0.375</v>
      </c>
      <c r="P25" s="54">
        <v>0.791666666666667</v>
      </c>
      <c r="Q25" s="54">
        <v>0.458333333333333</v>
      </c>
      <c r="R25" s="54">
        <v>0.666666666666667</v>
      </c>
      <c r="S25" s="21" t="s">
        <v>23</v>
      </c>
      <c r="T25" s="21" t="s">
        <v>23</v>
      </c>
      <c r="U25" s="21">
        <v>45</v>
      </c>
      <c r="V25" s="7">
        <v>45</v>
      </c>
      <c r="W25" s="7">
        <v>-7.105427357601e-15</v>
      </c>
      <c r="X25" s="8">
        <v>0.416666666666667</v>
      </c>
      <c r="Y25" s="17"/>
    </row>
    <row r="26" customHeight="1" spans="1:25">
      <c r="A26" s="21">
        <v>10252106</v>
      </c>
      <c r="B26" s="21" t="s">
        <v>43</v>
      </c>
      <c r="C26" s="21" t="s">
        <v>20</v>
      </c>
      <c r="D26" s="21" t="s">
        <v>21</v>
      </c>
      <c r="E26" s="21" t="s">
        <v>22</v>
      </c>
      <c r="F26" s="21">
        <v>2</v>
      </c>
      <c r="G26" s="21" t="s">
        <v>23</v>
      </c>
      <c r="H26" s="54" t="s">
        <v>23</v>
      </c>
      <c r="I26" s="54">
        <v>0.375</v>
      </c>
      <c r="J26" s="54">
        <v>0.75</v>
      </c>
      <c r="K26" s="21" t="s">
        <v>23</v>
      </c>
      <c r="L26" s="54" t="s">
        <v>23</v>
      </c>
      <c r="M26" s="54">
        <v>0.375</v>
      </c>
      <c r="N26" s="54">
        <v>0.75</v>
      </c>
      <c r="O26" s="54">
        <v>0.375</v>
      </c>
      <c r="P26" s="54">
        <v>0.75</v>
      </c>
      <c r="Q26" s="54">
        <v>0.458333333333333</v>
      </c>
      <c r="R26" s="54">
        <v>0.666666666666667</v>
      </c>
      <c r="S26" s="54">
        <v>0.458333333333333</v>
      </c>
      <c r="T26" s="54">
        <v>0.666666666666667</v>
      </c>
      <c r="U26" s="21">
        <v>37</v>
      </c>
      <c r="V26" s="7">
        <v>37</v>
      </c>
      <c r="W26" s="7">
        <v>0</v>
      </c>
      <c r="X26" s="8">
        <v>0.375</v>
      </c>
      <c r="Y26" s="17"/>
    </row>
    <row r="27" customHeight="1" spans="1:25">
      <c r="A27" s="21">
        <v>10316538</v>
      </c>
      <c r="B27" s="21" t="s">
        <v>44</v>
      </c>
      <c r="C27" s="21" t="s">
        <v>20</v>
      </c>
      <c r="D27" s="21" t="s">
        <v>21</v>
      </c>
      <c r="E27" s="21" t="s">
        <v>22</v>
      </c>
      <c r="F27" s="21">
        <v>1</v>
      </c>
      <c r="G27" s="54">
        <v>0.5</v>
      </c>
      <c r="H27" s="54">
        <v>0.875</v>
      </c>
      <c r="I27" s="54">
        <v>0.5</v>
      </c>
      <c r="J27" s="54">
        <v>0.875</v>
      </c>
      <c r="K27" s="21" t="s">
        <v>23</v>
      </c>
      <c r="L27" s="54" t="s">
        <v>23</v>
      </c>
      <c r="M27" s="21" t="s">
        <v>23</v>
      </c>
      <c r="N27" s="54" t="s">
        <v>23</v>
      </c>
      <c r="O27" s="54">
        <v>0.5</v>
      </c>
      <c r="P27" s="54">
        <v>0.875</v>
      </c>
      <c r="Q27" s="54">
        <v>0.458333333333333</v>
      </c>
      <c r="R27" s="54">
        <v>0.666666666666667</v>
      </c>
      <c r="S27" s="54">
        <v>0.458333333333333</v>
      </c>
      <c r="T27" s="54">
        <v>0.666666666666667</v>
      </c>
      <c r="U27" s="21">
        <v>37</v>
      </c>
      <c r="V27" s="7">
        <v>37</v>
      </c>
      <c r="W27" s="7">
        <v>0</v>
      </c>
      <c r="X27" s="8">
        <v>0.375</v>
      </c>
      <c r="Y27" s="17"/>
    </row>
    <row r="28" customHeight="1" spans="1:25">
      <c r="A28" s="21">
        <v>10316545</v>
      </c>
      <c r="B28" s="21" t="s">
        <v>45</v>
      </c>
      <c r="C28" s="21" t="s">
        <v>20</v>
      </c>
      <c r="D28" s="21" t="s">
        <v>21</v>
      </c>
      <c r="E28" s="21" t="s">
        <v>22</v>
      </c>
      <c r="F28" s="21">
        <v>1</v>
      </c>
      <c r="G28" s="21" t="s">
        <v>23</v>
      </c>
      <c r="H28" s="54" t="s">
        <v>23</v>
      </c>
      <c r="I28" s="54">
        <v>0.375</v>
      </c>
      <c r="J28" s="54">
        <v>0.791666666666667</v>
      </c>
      <c r="K28" s="54">
        <v>0.375</v>
      </c>
      <c r="L28" s="54">
        <v>0.791666666666667</v>
      </c>
      <c r="M28" s="54">
        <v>0.375</v>
      </c>
      <c r="N28" s="54">
        <v>0.791666666666667</v>
      </c>
      <c r="O28" s="54">
        <v>0.375</v>
      </c>
      <c r="P28" s="54">
        <v>0.791666666666667</v>
      </c>
      <c r="Q28" s="54">
        <v>0.458333333333333</v>
      </c>
      <c r="R28" s="54">
        <v>0.666666666666667</v>
      </c>
      <c r="S28" s="21" t="s">
        <v>23</v>
      </c>
      <c r="T28" s="21" t="s">
        <v>23</v>
      </c>
      <c r="U28" s="21">
        <v>45</v>
      </c>
      <c r="V28" s="7">
        <v>45</v>
      </c>
      <c r="W28" s="7">
        <v>-7.105427357601e-15</v>
      </c>
      <c r="X28" s="8">
        <v>0.416666666666667</v>
      </c>
      <c r="Y28" s="17"/>
    </row>
    <row r="29" customHeight="1" spans="1:25">
      <c r="A29" s="21">
        <v>10316572</v>
      </c>
      <c r="B29" s="21" t="s">
        <v>46</v>
      </c>
      <c r="C29" s="21" t="s">
        <v>20</v>
      </c>
      <c r="D29" s="21" t="s">
        <v>21</v>
      </c>
      <c r="E29" s="21" t="s">
        <v>22</v>
      </c>
      <c r="F29" s="21">
        <v>2</v>
      </c>
      <c r="G29" s="54">
        <v>0.458333333333333</v>
      </c>
      <c r="H29" s="54">
        <v>0.875</v>
      </c>
      <c r="I29" s="54">
        <v>0.458333333333333</v>
      </c>
      <c r="J29" s="54">
        <v>0.875</v>
      </c>
      <c r="K29" s="54">
        <v>0.458333333333333</v>
      </c>
      <c r="L29" s="54">
        <v>0.875</v>
      </c>
      <c r="M29" s="54">
        <v>0.458333333333333</v>
      </c>
      <c r="N29" s="54">
        <v>0.875</v>
      </c>
      <c r="O29" s="21" t="s">
        <v>23</v>
      </c>
      <c r="P29" s="54" t="s">
        <v>23</v>
      </c>
      <c r="Q29" s="21" t="s">
        <v>23</v>
      </c>
      <c r="R29" s="21" t="s">
        <v>23</v>
      </c>
      <c r="S29" s="54">
        <v>0.458333333333333</v>
      </c>
      <c r="T29" s="54">
        <v>0.666666666666667</v>
      </c>
      <c r="U29" s="21">
        <v>45</v>
      </c>
      <c r="V29" s="7">
        <v>45</v>
      </c>
      <c r="W29" s="7">
        <v>-1.4210854715202e-14</v>
      </c>
      <c r="X29" s="8">
        <v>0.416666666666667</v>
      </c>
      <c r="Y29" s="17"/>
    </row>
    <row r="30" customHeight="1" spans="1:25">
      <c r="A30" s="21">
        <v>10316685</v>
      </c>
      <c r="B30" s="21" t="s">
        <v>47</v>
      </c>
      <c r="C30" s="21" t="s">
        <v>20</v>
      </c>
      <c r="D30" s="21" t="s">
        <v>21</v>
      </c>
      <c r="E30" s="21" t="s">
        <v>22</v>
      </c>
      <c r="F30" s="21">
        <v>1</v>
      </c>
      <c r="G30" s="21" t="s">
        <v>23</v>
      </c>
      <c r="H30" s="54" t="s">
        <v>23</v>
      </c>
      <c r="I30" s="54">
        <v>0.458333333333333</v>
      </c>
      <c r="J30" s="54">
        <v>0.875</v>
      </c>
      <c r="K30" s="54">
        <v>0.458333333333333</v>
      </c>
      <c r="L30" s="54">
        <v>0.875</v>
      </c>
      <c r="M30" s="54">
        <v>0.458333333333333</v>
      </c>
      <c r="N30" s="54">
        <v>0.875</v>
      </c>
      <c r="O30" s="54">
        <v>0.458333333333333</v>
      </c>
      <c r="P30" s="54">
        <v>0.875</v>
      </c>
      <c r="Q30" s="54">
        <v>0.458333333333333</v>
      </c>
      <c r="R30" s="54">
        <v>0.666666666666667</v>
      </c>
      <c r="S30" s="21" t="s">
        <v>23</v>
      </c>
      <c r="T30" s="21" t="s">
        <v>23</v>
      </c>
      <c r="U30" s="21">
        <v>45</v>
      </c>
      <c r="V30" s="7">
        <v>45</v>
      </c>
      <c r="W30" s="7">
        <v>-1.4210854715202e-14</v>
      </c>
      <c r="X30" s="8">
        <v>0.416666666666667</v>
      </c>
      <c r="Y30" s="17"/>
    </row>
    <row r="31" customHeight="1" spans="1:25">
      <c r="A31" s="21">
        <v>10274446</v>
      </c>
      <c r="B31" s="21" t="s">
        <v>48</v>
      </c>
      <c r="C31" s="21" t="s">
        <v>20</v>
      </c>
      <c r="D31" s="21" t="s">
        <v>21</v>
      </c>
      <c r="E31" s="21" t="s">
        <v>22</v>
      </c>
      <c r="F31" s="21">
        <v>2</v>
      </c>
      <c r="G31" s="54">
        <v>0.5</v>
      </c>
      <c r="H31" s="54">
        <v>0.875</v>
      </c>
      <c r="I31" s="54">
        <v>0.5</v>
      </c>
      <c r="J31" s="54">
        <v>0.875</v>
      </c>
      <c r="K31" s="21" t="s">
        <v>23</v>
      </c>
      <c r="L31" s="54" t="s">
        <v>23</v>
      </c>
      <c r="M31" s="21" t="s">
        <v>23</v>
      </c>
      <c r="N31" s="54" t="s">
        <v>23</v>
      </c>
      <c r="O31" s="54">
        <v>0.5</v>
      </c>
      <c r="P31" s="54">
        <v>0.875</v>
      </c>
      <c r="Q31" s="54">
        <v>0.458333333333333</v>
      </c>
      <c r="R31" s="54">
        <v>0.666666666666667</v>
      </c>
      <c r="S31" s="54">
        <v>0.458333333333333</v>
      </c>
      <c r="T31" s="54">
        <v>0.666666666666667</v>
      </c>
      <c r="U31" s="21">
        <v>37</v>
      </c>
      <c r="V31" s="7">
        <v>37</v>
      </c>
      <c r="W31" s="7">
        <v>0</v>
      </c>
      <c r="X31" s="8">
        <v>0.375</v>
      </c>
      <c r="Y31" s="17"/>
    </row>
    <row r="32" customHeight="1" spans="1:25">
      <c r="A32" s="21">
        <v>10316546</v>
      </c>
      <c r="B32" s="86" t="s">
        <v>49</v>
      </c>
      <c r="C32" s="21" t="s">
        <v>20</v>
      </c>
      <c r="D32" s="21" t="s">
        <v>21</v>
      </c>
      <c r="E32" s="21" t="s">
        <v>22</v>
      </c>
      <c r="F32" s="21">
        <v>1</v>
      </c>
      <c r="G32" s="54">
        <v>0.375</v>
      </c>
      <c r="H32" s="54">
        <v>0.791666666666667</v>
      </c>
      <c r="I32" s="54">
        <v>0.375</v>
      </c>
      <c r="J32" s="54">
        <v>0.791666666666667</v>
      </c>
      <c r="K32" s="54">
        <v>0.375</v>
      </c>
      <c r="L32" s="54">
        <v>0.791666666666667</v>
      </c>
      <c r="M32" s="54">
        <v>0.375</v>
      </c>
      <c r="N32" s="54">
        <v>0.791666666666667</v>
      </c>
      <c r="O32" s="21" t="s">
        <v>23</v>
      </c>
      <c r="P32" s="54" t="s">
        <v>23</v>
      </c>
      <c r="Q32" s="21" t="s">
        <v>23</v>
      </c>
      <c r="R32" s="54" t="s">
        <v>23</v>
      </c>
      <c r="S32" s="54">
        <v>0.458333333333333</v>
      </c>
      <c r="T32" s="54">
        <v>0.666666666666667</v>
      </c>
      <c r="U32" s="21">
        <v>45</v>
      </c>
      <c r="V32" s="7">
        <v>45</v>
      </c>
      <c r="W32" s="7">
        <v>7.105427357601e-15</v>
      </c>
      <c r="X32" s="8">
        <v>0.416666666666667</v>
      </c>
      <c r="Y32" s="17"/>
    </row>
    <row r="33" customHeight="1" spans="1:25">
      <c r="A33" s="21">
        <v>10316551</v>
      </c>
      <c r="B33" s="86" t="s">
        <v>50</v>
      </c>
      <c r="C33" s="21" t="s">
        <v>20</v>
      </c>
      <c r="D33" s="21" t="s">
        <v>21</v>
      </c>
      <c r="E33" s="21" t="s">
        <v>22</v>
      </c>
      <c r="F33" s="21">
        <v>1</v>
      </c>
      <c r="G33" s="54">
        <v>0.375</v>
      </c>
      <c r="H33" s="54">
        <v>0.791666666666667</v>
      </c>
      <c r="I33" s="54">
        <v>0.375</v>
      </c>
      <c r="J33" s="54">
        <v>0.791666666666667</v>
      </c>
      <c r="K33" s="54">
        <v>0.375</v>
      </c>
      <c r="L33" s="54">
        <v>0.791666666666667</v>
      </c>
      <c r="M33" s="54">
        <v>0.375</v>
      </c>
      <c r="N33" s="54">
        <v>0.791666666666667</v>
      </c>
      <c r="O33" s="21" t="s">
        <v>23</v>
      </c>
      <c r="P33" s="54" t="s">
        <v>23</v>
      </c>
      <c r="Q33" s="21" t="s">
        <v>23</v>
      </c>
      <c r="R33" s="54" t="s">
        <v>23</v>
      </c>
      <c r="S33" s="54">
        <v>0.458333333333333</v>
      </c>
      <c r="T33" s="54">
        <v>0.666666666666667</v>
      </c>
      <c r="U33" s="21">
        <v>45</v>
      </c>
      <c r="V33" s="7">
        <v>45</v>
      </c>
      <c r="W33" s="7">
        <v>7.105427357601e-15</v>
      </c>
      <c r="X33" s="8">
        <v>0.416666666666667</v>
      </c>
      <c r="Y33" s="17"/>
    </row>
    <row r="34" customHeight="1" spans="1:25">
      <c r="A34" s="21">
        <v>10316683</v>
      </c>
      <c r="B34" s="86" t="s">
        <v>51</v>
      </c>
      <c r="C34" s="21" t="s">
        <v>20</v>
      </c>
      <c r="D34" s="21" t="s">
        <v>21</v>
      </c>
      <c r="E34" s="21" t="s">
        <v>22</v>
      </c>
      <c r="F34" s="21">
        <v>1</v>
      </c>
      <c r="G34" s="21" t="s">
        <v>23</v>
      </c>
      <c r="H34" s="54" t="s">
        <v>23</v>
      </c>
      <c r="I34" s="54">
        <v>0.375</v>
      </c>
      <c r="J34" s="54">
        <v>0.791666666666667</v>
      </c>
      <c r="K34" s="54">
        <v>0.375</v>
      </c>
      <c r="L34" s="54">
        <v>0.791666666666667</v>
      </c>
      <c r="M34" s="54">
        <v>0.375</v>
      </c>
      <c r="N34" s="54">
        <v>0.791666666666667</v>
      </c>
      <c r="O34" s="54">
        <v>0.375</v>
      </c>
      <c r="P34" s="54">
        <v>0.791666666666667</v>
      </c>
      <c r="Q34" s="54">
        <v>0.458333333333333</v>
      </c>
      <c r="R34" s="54">
        <v>0.666666666666667</v>
      </c>
      <c r="S34" s="21" t="s">
        <v>23</v>
      </c>
      <c r="T34" s="21" t="s">
        <v>23</v>
      </c>
      <c r="U34" s="21">
        <v>45</v>
      </c>
      <c r="V34" s="7">
        <v>45</v>
      </c>
      <c r="W34" s="7">
        <v>1.4210854715202e-14</v>
      </c>
      <c r="X34" s="8">
        <v>0.416666666666667</v>
      </c>
      <c r="Y34" s="17"/>
    </row>
    <row r="35" customHeight="1" spans="1:25">
      <c r="A35" s="21">
        <v>10317151</v>
      </c>
      <c r="B35" s="86" t="s">
        <v>52</v>
      </c>
      <c r="C35" s="21" t="s">
        <v>20</v>
      </c>
      <c r="D35" s="21" t="s">
        <v>21</v>
      </c>
      <c r="E35" s="21" t="s">
        <v>22</v>
      </c>
      <c r="F35" s="21">
        <v>1</v>
      </c>
      <c r="G35" s="54">
        <v>0.375</v>
      </c>
      <c r="H35" s="54">
        <v>0.75</v>
      </c>
      <c r="I35" s="54">
        <v>0.375</v>
      </c>
      <c r="J35" s="54">
        <v>0.75</v>
      </c>
      <c r="K35" s="54">
        <v>0.375</v>
      </c>
      <c r="L35" s="54">
        <v>0.75</v>
      </c>
      <c r="M35" s="54">
        <v>0.375</v>
      </c>
      <c r="N35" s="54">
        <v>0.75</v>
      </c>
      <c r="O35" s="54">
        <v>0.375</v>
      </c>
      <c r="P35" s="54">
        <v>0.75</v>
      </c>
      <c r="Q35" s="21" t="s">
        <v>23</v>
      </c>
      <c r="R35" s="21" t="s">
        <v>23</v>
      </c>
      <c r="S35" s="21" t="s">
        <v>23</v>
      </c>
      <c r="T35" s="21" t="s">
        <v>23</v>
      </c>
      <c r="U35" s="21">
        <v>45</v>
      </c>
      <c r="V35" s="7">
        <v>45</v>
      </c>
      <c r="W35" s="7">
        <v>0</v>
      </c>
      <c r="X35" s="8">
        <v>0.416666666666667</v>
      </c>
      <c r="Y35" s="17"/>
    </row>
    <row r="36" customHeight="1" spans="1:25">
      <c r="A36" s="21">
        <v>10317524</v>
      </c>
      <c r="B36" s="86" t="s">
        <v>53</v>
      </c>
      <c r="C36" s="21" t="s">
        <v>20</v>
      </c>
      <c r="D36" s="21" t="s">
        <v>21</v>
      </c>
      <c r="E36" s="21" t="s">
        <v>22</v>
      </c>
      <c r="F36" s="21">
        <v>2</v>
      </c>
      <c r="G36" s="54">
        <v>0.375</v>
      </c>
      <c r="H36" s="54">
        <v>0.75</v>
      </c>
      <c r="I36" s="54">
        <v>0.375</v>
      </c>
      <c r="J36" s="54">
        <v>0.75</v>
      </c>
      <c r="K36" s="54">
        <v>0.375</v>
      </c>
      <c r="L36" s="54">
        <v>0.75</v>
      </c>
      <c r="M36" s="54">
        <v>0.375</v>
      </c>
      <c r="N36" s="54">
        <v>0.75</v>
      </c>
      <c r="O36" s="54">
        <v>0.375</v>
      </c>
      <c r="P36" s="54">
        <v>0.75</v>
      </c>
      <c r="Q36" s="21" t="s">
        <v>23</v>
      </c>
      <c r="R36" s="54" t="s">
        <v>23</v>
      </c>
      <c r="S36" s="21" t="s">
        <v>23</v>
      </c>
      <c r="T36" s="21" t="s">
        <v>23</v>
      </c>
      <c r="U36" s="21">
        <v>45</v>
      </c>
      <c r="V36" s="7">
        <v>45</v>
      </c>
      <c r="W36" s="7">
        <v>0</v>
      </c>
      <c r="X36" s="8">
        <v>0.375</v>
      </c>
      <c r="Y36" s="17"/>
    </row>
    <row r="37" customHeight="1" spans="1:25">
      <c r="A37" s="86">
        <v>10276839</v>
      </c>
      <c r="B37" s="51" t="s">
        <v>54</v>
      </c>
      <c r="C37" s="21" t="s">
        <v>20</v>
      </c>
      <c r="D37" s="21" t="s">
        <v>21</v>
      </c>
      <c r="E37" s="21" t="s">
        <v>22</v>
      </c>
      <c r="F37" s="21">
        <v>2</v>
      </c>
      <c r="G37" s="54">
        <v>0.375</v>
      </c>
      <c r="H37" s="54">
        <v>0.75</v>
      </c>
      <c r="I37" s="54">
        <v>0.375</v>
      </c>
      <c r="J37" s="54">
        <v>0.75</v>
      </c>
      <c r="K37" s="54">
        <v>0.375</v>
      </c>
      <c r="L37" s="54">
        <v>0.75</v>
      </c>
      <c r="M37" s="54">
        <v>0.375</v>
      </c>
      <c r="N37" s="54">
        <v>0.75</v>
      </c>
      <c r="O37" s="54">
        <v>0.375</v>
      </c>
      <c r="P37" s="54">
        <v>0.75</v>
      </c>
      <c r="Q37" s="21" t="s">
        <v>23</v>
      </c>
      <c r="R37" s="21" t="s">
        <v>23</v>
      </c>
      <c r="S37" s="21" t="s">
        <v>23</v>
      </c>
      <c r="T37" s="21" t="s">
        <v>23</v>
      </c>
      <c r="U37" s="21">
        <v>45</v>
      </c>
      <c r="V37" s="7">
        <v>45</v>
      </c>
      <c r="W37" s="7">
        <v>0</v>
      </c>
      <c r="X37" s="8">
        <v>0.375</v>
      </c>
      <c r="Y37" s="17"/>
    </row>
    <row r="38" customHeight="1" spans="1:25">
      <c r="A38" s="86">
        <v>10320407</v>
      </c>
      <c r="B38" s="51" t="s">
        <v>55</v>
      </c>
      <c r="C38" s="21" t="s">
        <v>20</v>
      </c>
      <c r="D38" s="21" t="s">
        <v>209</v>
      </c>
      <c r="E38" s="21" t="s">
        <v>22</v>
      </c>
      <c r="F38" s="87">
        <v>3</v>
      </c>
      <c r="G38" s="54">
        <v>0.375</v>
      </c>
      <c r="H38" s="54">
        <v>0.75</v>
      </c>
      <c r="I38" s="54">
        <v>0.375</v>
      </c>
      <c r="J38" s="54">
        <v>0.75</v>
      </c>
      <c r="K38" s="54">
        <v>0.375</v>
      </c>
      <c r="L38" s="54">
        <v>0.75</v>
      </c>
      <c r="M38" s="54">
        <v>0.375</v>
      </c>
      <c r="N38" s="54">
        <v>0.75</v>
      </c>
      <c r="O38" s="54">
        <v>0.375</v>
      </c>
      <c r="P38" s="54">
        <v>0.75</v>
      </c>
      <c r="Q38" s="21" t="s">
        <v>23</v>
      </c>
      <c r="R38" s="21" t="s">
        <v>23</v>
      </c>
      <c r="S38" s="21" t="s">
        <v>23</v>
      </c>
      <c r="T38" s="21" t="s">
        <v>23</v>
      </c>
      <c r="U38" s="21">
        <v>45</v>
      </c>
      <c r="V38" s="7">
        <v>45</v>
      </c>
      <c r="W38" s="7"/>
      <c r="X38" s="7"/>
      <c r="Y38" s="17"/>
    </row>
    <row r="39" customHeight="1" spans="1:25">
      <c r="A39" s="86">
        <v>10320408</v>
      </c>
      <c r="B39" s="51" t="s">
        <v>56</v>
      </c>
      <c r="C39" s="21" t="s">
        <v>20</v>
      </c>
      <c r="D39" s="21" t="s">
        <v>209</v>
      </c>
      <c r="E39" s="21" t="s">
        <v>22</v>
      </c>
      <c r="F39" s="87">
        <v>3</v>
      </c>
      <c r="G39" s="54">
        <v>0.375</v>
      </c>
      <c r="H39" s="54">
        <v>0.75</v>
      </c>
      <c r="I39" s="54">
        <v>0.375</v>
      </c>
      <c r="J39" s="54">
        <v>0.75</v>
      </c>
      <c r="K39" s="54">
        <v>0.375</v>
      </c>
      <c r="L39" s="54">
        <v>0.75</v>
      </c>
      <c r="M39" s="54">
        <v>0.375</v>
      </c>
      <c r="N39" s="54">
        <v>0.75</v>
      </c>
      <c r="O39" s="54">
        <v>0.375</v>
      </c>
      <c r="P39" s="54">
        <v>0.75</v>
      </c>
      <c r="Q39" s="21" t="s">
        <v>23</v>
      </c>
      <c r="R39" s="21" t="s">
        <v>23</v>
      </c>
      <c r="S39" s="21" t="s">
        <v>23</v>
      </c>
      <c r="T39" s="21" t="s">
        <v>23</v>
      </c>
      <c r="U39" s="21">
        <v>45</v>
      </c>
      <c r="V39" s="7">
        <v>45</v>
      </c>
      <c r="W39" s="7"/>
      <c r="X39" s="7"/>
      <c r="Y39" s="17"/>
    </row>
    <row r="40" customHeight="1" spans="1:24">
      <c r="A40" s="86">
        <v>10320409</v>
      </c>
      <c r="B40" s="51" t="s">
        <v>57</v>
      </c>
      <c r="C40" s="21" t="s">
        <v>20</v>
      </c>
      <c r="D40" s="21" t="s">
        <v>209</v>
      </c>
      <c r="E40" s="21" t="s">
        <v>22</v>
      </c>
      <c r="F40" s="87">
        <v>3</v>
      </c>
      <c r="G40" s="54">
        <v>0.375</v>
      </c>
      <c r="H40" s="54">
        <v>0.75</v>
      </c>
      <c r="I40" s="54">
        <v>0.375</v>
      </c>
      <c r="J40" s="54">
        <v>0.75</v>
      </c>
      <c r="K40" s="54">
        <v>0.375</v>
      </c>
      <c r="L40" s="54">
        <v>0.75</v>
      </c>
      <c r="M40" s="54">
        <v>0.375</v>
      </c>
      <c r="N40" s="54">
        <v>0.75</v>
      </c>
      <c r="O40" s="54">
        <v>0.375</v>
      </c>
      <c r="P40" s="54">
        <v>0.75</v>
      </c>
      <c r="Q40" s="21" t="s">
        <v>23</v>
      </c>
      <c r="R40" s="21" t="s">
        <v>23</v>
      </c>
      <c r="S40" s="21" t="s">
        <v>23</v>
      </c>
      <c r="T40" s="21" t="s">
        <v>23</v>
      </c>
      <c r="U40" s="21">
        <v>45</v>
      </c>
      <c r="V40" s="7">
        <v>45</v>
      </c>
      <c r="W40" s="90"/>
      <c r="X40" s="90"/>
    </row>
    <row r="41" customHeight="1" spans="1:24">
      <c r="A41" s="86">
        <v>10320410</v>
      </c>
      <c r="B41" s="51" t="s">
        <v>58</v>
      </c>
      <c r="C41" s="21" t="s">
        <v>20</v>
      </c>
      <c r="D41" s="21" t="s">
        <v>209</v>
      </c>
      <c r="E41" s="21" t="s">
        <v>22</v>
      </c>
      <c r="F41" s="87">
        <v>3</v>
      </c>
      <c r="G41" s="54">
        <v>0.375</v>
      </c>
      <c r="H41" s="54">
        <v>0.75</v>
      </c>
      <c r="I41" s="54">
        <v>0.375</v>
      </c>
      <c r="J41" s="54">
        <v>0.75</v>
      </c>
      <c r="K41" s="54">
        <v>0.375</v>
      </c>
      <c r="L41" s="54">
        <v>0.75</v>
      </c>
      <c r="M41" s="54">
        <v>0.375</v>
      </c>
      <c r="N41" s="54">
        <v>0.75</v>
      </c>
      <c r="O41" s="54">
        <v>0.375</v>
      </c>
      <c r="P41" s="54">
        <v>0.75</v>
      </c>
      <c r="Q41" s="21" t="s">
        <v>23</v>
      </c>
      <c r="R41" s="21" t="s">
        <v>23</v>
      </c>
      <c r="S41" s="21" t="s">
        <v>23</v>
      </c>
      <c r="T41" s="21" t="s">
        <v>23</v>
      </c>
      <c r="U41" s="21">
        <v>45</v>
      </c>
      <c r="V41" s="7">
        <v>45</v>
      </c>
      <c r="W41" s="90"/>
      <c r="X41" s="90"/>
    </row>
    <row r="42" customHeight="1" spans="1:24">
      <c r="A42" s="86">
        <v>10320412</v>
      </c>
      <c r="B42" s="51" t="s">
        <v>59</v>
      </c>
      <c r="C42" s="21" t="s">
        <v>20</v>
      </c>
      <c r="D42" s="21" t="s">
        <v>209</v>
      </c>
      <c r="E42" s="21" t="s">
        <v>22</v>
      </c>
      <c r="F42" s="87">
        <v>3</v>
      </c>
      <c r="G42" s="54">
        <v>0.375</v>
      </c>
      <c r="H42" s="54">
        <v>0.75</v>
      </c>
      <c r="I42" s="54">
        <v>0.375</v>
      </c>
      <c r="J42" s="54">
        <v>0.75</v>
      </c>
      <c r="K42" s="54">
        <v>0.375</v>
      </c>
      <c r="L42" s="54">
        <v>0.75</v>
      </c>
      <c r="M42" s="54">
        <v>0.375</v>
      </c>
      <c r="N42" s="54">
        <v>0.75</v>
      </c>
      <c r="O42" s="54">
        <v>0.375</v>
      </c>
      <c r="P42" s="54">
        <v>0.75</v>
      </c>
      <c r="Q42" s="21" t="s">
        <v>23</v>
      </c>
      <c r="R42" s="21" t="s">
        <v>23</v>
      </c>
      <c r="S42" s="21" t="s">
        <v>23</v>
      </c>
      <c r="T42" s="21" t="s">
        <v>23</v>
      </c>
      <c r="U42" s="21">
        <v>45</v>
      </c>
      <c r="V42" s="7">
        <v>45</v>
      </c>
      <c r="W42" s="90"/>
      <c r="X42" s="90"/>
    </row>
    <row r="43" customHeight="1" spans="1:24">
      <c r="A43" s="86">
        <v>10320413</v>
      </c>
      <c r="B43" s="51" t="s">
        <v>60</v>
      </c>
      <c r="C43" s="21" t="s">
        <v>20</v>
      </c>
      <c r="D43" s="21" t="s">
        <v>209</v>
      </c>
      <c r="E43" s="21" t="s">
        <v>22</v>
      </c>
      <c r="F43" s="87">
        <v>3</v>
      </c>
      <c r="G43" s="54">
        <v>0.375</v>
      </c>
      <c r="H43" s="54">
        <v>0.75</v>
      </c>
      <c r="I43" s="54">
        <v>0.375</v>
      </c>
      <c r="J43" s="54">
        <v>0.75</v>
      </c>
      <c r="K43" s="54">
        <v>0.375</v>
      </c>
      <c r="L43" s="54">
        <v>0.75</v>
      </c>
      <c r="M43" s="54">
        <v>0.375</v>
      </c>
      <c r="N43" s="54">
        <v>0.75</v>
      </c>
      <c r="O43" s="54">
        <v>0.375</v>
      </c>
      <c r="P43" s="54">
        <v>0.75</v>
      </c>
      <c r="Q43" s="21" t="s">
        <v>23</v>
      </c>
      <c r="R43" s="21" t="s">
        <v>23</v>
      </c>
      <c r="S43" s="21" t="s">
        <v>23</v>
      </c>
      <c r="T43" s="21" t="s">
        <v>23</v>
      </c>
      <c r="U43" s="21">
        <v>45</v>
      </c>
      <c r="V43" s="7">
        <v>45</v>
      </c>
      <c r="W43" s="90"/>
      <c r="X43" s="90"/>
    </row>
    <row r="44" customHeight="1" spans="1:24">
      <c r="A44" s="86">
        <v>10250966</v>
      </c>
      <c r="B44" s="51" t="s">
        <v>61</v>
      </c>
      <c r="C44" s="21" t="s">
        <v>20</v>
      </c>
      <c r="D44" s="21" t="s">
        <v>209</v>
      </c>
      <c r="E44" s="21" t="s">
        <v>22</v>
      </c>
      <c r="F44" s="87">
        <v>3</v>
      </c>
      <c r="G44" s="54">
        <v>0.375</v>
      </c>
      <c r="H44" s="54">
        <v>0.75</v>
      </c>
      <c r="I44" s="54">
        <v>0.375</v>
      </c>
      <c r="J44" s="54">
        <v>0.75</v>
      </c>
      <c r="K44" s="54">
        <v>0.375</v>
      </c>
      <c r="L44" s="54">
        <v>0.75</v>
      </c>
      <c r="M44" s="54">
        <v>0.375</v>
      </c>
      <c r="N44" s="54">
        <v>0.75</v>
      </c>
      <c r="O44" s="54">
        <v>0.375</v>
      </c>
      <c r="P44" s="54">
        <v>0.75</v>
      </c>
      <c r="Q44" s="21" t="s">
        <v>23</v>
      </c>
      <c r="R44" s="21" t="s">
        <v>23</v>
      </c>
      <c r="S44" s="21" t="s">
        <v>23</v>
      </c>
      <c r="T44" s="21" t="s">
        <v>23</v>
      </c>
      <c r="U44" s="21">
        <v>45</v>
      </c>
      <c r="V44" s="7">
        <v>45</v>
      </c>
      <c r="W44" s="90"/>
      <c r="X44" s="90"/>
    </row>
    <row r="45" customHeight="1" spans="1:25">
      <c r="A45" s="86">
        <v>10320414</v>
      </c>
      <c r="B45" s="51" t="s">
        <v>62</v>
      </c>
      <c r="C45" s="21" t="s">
        <v>20</v>
      </c>
      <c r="D45" s="21" t="s">
        <v>209</v>
      </c>
      <c r="E45" s="21" t="s">
        <v>22</v>
      </c>
      <c r="F45" s="87">
        <v>3</v>
      </c>
      <c r="G45" s="54">
        <v>0.375</v>
      </c>
      <c r="H45" s="54">
        <v>0.75</v>
      </c>
      <c r="I45" s="54">
        <v>0.375</v>
      </c>
      <c r="J45" s="54">
        <v>0.75</v>
      </c>
      <c r="K45" s="54">
        <v>0.375</v>
      </c>
      <c r="L45" s="54">
        <v>0.75</v>
      </c>
      <c r="M45" s="54">
        <v>0.375</v>
      </c>
      <c r="N45" s="54">
        <v>0.75</v>
      </c>
      <c r="O45" s="54">
        <v>0.375</v>
      </c>
      <c r="P45" s="54">
        <v>0.75</v>
      </c>
      <c r="Q45" s="21" t="s">
        <v>23</v>
      </c>
      <c r="R45" s="21" t="s">
        <v>23</v>
      </c>
      <c r="S45" s="21" t="s">
        <v>23</v>
      </c>
      <c r="T45" s="21" t="s">
        <v>23</v>
      </c>
      <c r="U45" s="21">
        <v>45</v>
      </c>
      <c r="V45" s="7">
        <v>45</v>
      </c>
      <c r="W45" s="7"/>
      <c r="X45" s="7"/>
      <c r="Y45" s="17"/>
    </row>
    <row r="46" customHeight="1" spans="1:25">
      <c r="A46" s="86">
        <v>10320415</v>
      </c>
      <c r="B46" s="51" t="s">
        <v>63</v>
      </c>
      <c r="C46" s="21" t="s">
        <v>20</v>
      </c>
      <c r="D46" s="21" t="s">
        <v>209</v>
      </c>
      <c r="E46" s="21" t="s">
        <v>22</v>
      </c>
      <c r="F46" s="87">
        <v>3</v>
      </c>
      <c r="G46" s="54">
        <v>0.375</v>
      </c>
      <c r="H46" s="54">
        <v>0.75</v>
      </c>
      <c r="I46" s="54">
        <v>0.375</v>
      </c>
      <c r="J46" s="54">
        <v>0.75</v>
      </c>
      <c r="K46" s="54">
        <v>0.375</v>
      </c>
      <c r="L46" s="54">
        <v>0.75</v>
      </c>
      <c r="M46" s="54">
        <v>0.375</v>
      </c>
      <c r="N46" s="54">
        <v>0.75</v>
      </c>
      <c r="O46" s="54">
        <v>0.375</v>
      </c>
      <c r="P46" s="54">
        <v>0.75</v>
      </c>
      <c r="Q46" s="21" t="s">
        <v>23</v>
      </c>
      <c r="R46" s="21" t="s">
        <v>23</v>
      </c>
      <c r="S46" s="21" t="s">
        <v>23</v>
      </c>
      <c r="T46" s="21" t="s">
        <v>23</v>
      </c>
      <c r="U46" s="21">
        <v>45</v>
      </c>
      <c r="V46" s="7">
        <v>45</v>
      </c>
      <c r="W46" s="7"/>
      <c r="X46" s="7"/>
      <c r="Y46" s="17"/>
    </row>
    <row r="47" customHeight="1" spans="1:25">
      <c r="A47" s="86">
        <v>10293627</v>
      </c>
      <c r="B47" s="51" t="s">
        <v>64</v>
      </c>
      <c r="C47" s="21" t="s">
        <v>20</v>
      </c>
      <c r="D47" s="21" t="s">
        <v>209</v>
      </c>
      <c r="E47" s="21" t="s">
        <v>22</v>
      </c>
      <c r="F47" s="87">
        <v>3</v>
      </c>
      <c r="G47" s="54">
        <v>0.375</v>
      </c>
      <c r="H47" s="54">
        <v>0.75</v>
      </c>
      <c r="I47" s="54">
        <v>0.375</v>
      </c>
      <c r="J47" s="54">
        <v>0.75</v>
      </c>
      <c r="K47" s="54">
        <v>0.375</v>
      </c>
      <c r="L47" s="54">
        <v>0.75</v>
      </c>
      <c r="M47" s="54">
        <v>0.375</v>
      </c>
      <c r="N47" s="54">
        <v>0.75</v>
      </c>
      <c r="O47" s="54">
        <v>0.375</v>
      </c>
      <c r="P47" s="54">
        <v>0.75</v>
      </c>
      <c r="Q47" s="21" t="s">
        <v>23</v>
      </c>
      <c r="R47" s="21" t="s">
        <v>23</v>
      </c>
      <c r="S47" s="21" t="s">
        <v>23</v>
      </c>
      <c r="T47" s="21" t="s">
        <v>23</v>
      </c>
      <c r="U47" s="21">
        <v>45</v>
      </c>
      <c r="V47" s="7">
        <v>45</v>
      </c>
      <c r="W47" s="7"/>
      <c r="X47" s="7"/>
      <c r="Y47" s="17"/>
    </row>
    <row r="48" customHeight="1" spans="1:25">
      <c r="A48" s="86">
        <v>10293607</v>
      </c>
      <c r="B48" s="51" t="s">
        <v>65</v>
      </c>
      <c r="C48" s="21" t="s">
        <v>20</v>
      </c>
      <c r="D48" s="21" t="s">
        <v>209</v>
      </c>
      <c r="E48" s="21" t="s">
        <v>22</v>
      </c>
      <c r="F48" s="87">
        <v>3</v>
      </c>
      <c r="G48" s="54">
        <v>0.375</v>
      </c>
      <c r="H48" s="54">
        <v>0.75</v>
      </c>
      <c r="I48" s="54">
        <v>0.375</v>
      </c>
      <c r="J48" s="54">
        <v>0.75</v>
      </c>
      <c r="K48" s="54">
        <v>0.375</v>
      </c>
      <c r="L48" s="54">
        <v>0.75</v>
      </c>
      <c r="M48" s="54">
        <v>0.375</v>
      </c>
      <c r="N48" s="54">
        <v>0.75</v>
      </c>
      <c r="O48" s="54">
        <v>0.375</v>
      </c>
      <c r="P48" s="54">
        <v>0.75</v>
      </c>
      <c r="Q48" s="21" t="s">
        <v>23</v>
      </c>
      <c r="R48" s="21" t="s">
        <v>23</v>
      </c>
      <c r="S48" s="21" t="s">
        <v>23</v>
      </c>
      <c r="T48" s="21" t="s">
        <v>23</v>
      </c>
      <c r="U48" s="21">
        <v>45</v>
      </c>
      <c r="V48" s="7">
        <v>45</v>
      </c>
      <c r="W48" s="7"/>
      <c r="X48" s="7"/>
      <c r="Y48" s="17"/>
    </row>
    <row r="49" customHeight="1" spans="1:25">
      <c r="A49" s="86">
        <v>10320416</v>
      </c>
      <c r="B49" s="51" t="s">
        <v>66</v>
      </c>
      <c r="C49" s="21" t="s">
        <v>20</v>
      </c>
      <c r="D49" s="21" t="s">
        <v>209</v>
      </c>
      <c r="E49" s="21" t="s">
        <v>22</v>
      </c>
      <c r="F49" s="87">
        <v>3</v>
      </c>
      <c r="G49" s="54">
        <v>0.375</v>
      </c>
      <c r="H49" s="54">
        <v>0.75</v>
      </c>
      <c r="I49" s="54">
        <v>0.375</v>
      </c>
      <c r="J49" s="54">
        <v>0.75</v>
      </c>
      <c r="K49" s="54">
        <v>0.375</v>
      </c>
      <c r="L49" s="54">
        <v>0.75</v>
      </c>
      <c r="M49" s="54">
        <v>0.375</v>
      </c>
      <c r="N49" s="54">
        <v>0.75</v>
      </c>
      <c r="O49" s="54">
        <v>0.375</v>
      </c>
      <c r="P49" s="54">
        <v>0.75</v>
      </c>
      <c r="Q49" s="21" t="s">
        <v>23</v>
      </c>
      <c r="R49" s="21" t="s">
        <v>23</v>
      </c>
      <c r="S49" s="21" t="s">
        <v>23</v>
      </c>
      <c r="T49" s="21" t="s">
        <v>23</v>
      </c>
      <c r="U49" s="21">
        <v>45</v>
      </c>
      <c r="V49" s="7">
        <v>45</v>
      </c>
      <c r="W49" s="7"/>
      <c r="X49" s="7"/>
      <c r="Y49" s="17"/>
    </row>
    <row r="50" customHeight="1" spans="1:25">
      <c r="A50" s="86">
        <v>10320417</v>
      </c>
      <c r="B50" s="51" t="s">
        <v>67</v>
      </c>
      <c r="C50" s="21" t="s">
        <v>20</v>
      </c>
      <c r="D50" s="21" t="s">
        <v>209</v>
      </c>
      <c r="E50" s="21" t="s">
        <v>22</v>
      </c>
      <c r="F50" s="87">
        <v>3</v>
      </c>
      <c r="G50" s="54">
        <v>0.375</v>
      </c>
      <c r="H50" s="54">
        <v>0.75</v>
      </c>
      <c r="I50" s="54">
        <v>0.375</v>
      </c>
      <c r="J50" s="54">
        <v>0.75</v>
      </c>
      <c r="K50" s="54">
        <v>0.375</v>
      </c>
      <c r="L50" s="54">
        <v>0.75</v>
      </c>
      <c r="M50" s="54">
        <v>0.375</v>
      </c>
      <c r="N50" s="54">
        <v>0.75</v>
      </c>
      <c r="O50" s="54">
        <v>0.375</v>
      </c>
      <c r="P50" s="54">
        <v>0.75</v>
      </c>
      <c r="Q50" s="21" t="s">
        <v>23</v>
      </c>
      <c r="R50" s="21" t="s">
        <v>23</v>
      </c>
      <c r="S50" s="21" t="s">
        <v>23</v>
      </c>
      <c r="T50" s="21" t="s">
        <v>23</v>
      </c>
      <c r="U50" s="21">
        <v>45</v>
      </c>
      <c r="V50" s="7">
        <v>45</v>
      </c>
      <c r="W50" s="7"/>
      <c r="X50" s="7"/>
      <c r="Y50" s="17"/>
    </row>
    <row r="51" customHeight="1" spans="1:25">
      <c r="A51" s="86">
        <v>10320418</v>
      </c>
      <c r="B51" s="51" t="s">
        <v>68</v>
      </c>
      <c r="C51" s="21" t="s">
        <v>20</v>
      </c>
      <c r="D51" s="21" t="s">
        <v>209</v>
      </c>
      <c r="E51" s="21" t="s">
        <v>22</v>
      </c>
      <c r="F51" s="87">
        <v>3</v>
      </c>
      <c r="G51" s="54">
        <v>0.375</v>
      </c>
      <c r="H51" s="54">
        <v>0.75</v>
      </c>
      <c r="I51" s="54">
        <v>0.375</v>
      </c>
      <c r="J51" s="54">
        <v>0.75</v>
      </c>
      <c r="K51" s="54">
        <v>0.375</v>
      </c>
      <c r="L51" s="54">
        <v>0.75</v>
      </c>
      <c r="M51" s="54">
        <v>0.375</v>
      </c>
      <c r="N51" s="54">
        <v>0.75</v>
      </c>
      <c r="O51" s="54">
        <v>0.375</v>
      </c>
      <c r="P51" s="54">
        <v>0.75</v>
      </c>
      <c r="Q51" s="21" t="s">
        <v>23</v>
      </c>
      <c r="R51" s="21" t="s">
        <v>23</v>
      </c>
      <c r="S51" s="21" t="s">
        <v>23</v>
      </c>
      <c r="T51" s="21" t="s">
        <v>23</v>
      </c>
      <c r="U51" s="21">
        <v>45</v>
      </c>
      <c r="V51" s="7">
        <v>45</v>
      </c>
      <c r="W51" s="7"/>
      <c r="X51" s="7"/>
      <c r="Y51" s="17"/>
    </row>
    <row r="52" customHeight="1" spans="1:25">
      <c r="A52" s="86">
        <v>10320419</v>
      </c>
      <c r="B52" s="51" t="s">
        <v>69</v>
      </c>
      <c r="C52" s="21" t="s">
        <v>20</v>
      </c>
      <c r="D52" s="21" t="s">
        <v>209</v>
      </c>
      <c r="E52" s="21" t="s">
        <v>22</v>
      </c>
      <c r="F52" s="87">
        <v>3</v>
      </c>
      <c r="G52" s="54">
        <v>0.375</v>
      </c>
      <c r="H52" s="54">
        <v>0.75</v>
      </c>
      <c r="I52" s="54">
        <v>0.375</v>
      </c>
      <c r="J52" s="54">
        <v>0.75</v>
      </c>
      <c r="K52" s="54">
        <v>0.375</v>
      </c>
      <c r="L52" s="54">
        <v>0.75</v>
      </c>
      <c r="M52" s="54">
        <v>0.375</v>
      </c>
      <c r="N52" s="54">
        <v>0.75</v>
      </c>
      <c r="O52" s="54">
        <v>0.375</v>
      </c>
      <c r="P52" s="54">
        <v>0.75</v>
      </c>
      <c r="Q52" s="21" t="s">
        <v>23</v>
      </c>
      <c r="R52" s="21" t="s">
        <v>23</v>
      </c>
      <c r="S52" s="21" t="s">
        <v>23</v>
      </c>
      <c r="T52" s="21" t="s">
        <v>23</v>
      </c>
      <c r="U52" s="21">
        <v>45</v>
      </c>
      <c r="V52" s="7">
        <v>45</v>
      </c>
      <c r="W52" s="7"/>
      <c r="X52" s="7"/>
      <c r="Y52" s="17"/>
    </row>
    <row r="53" customHeight="1" spans="1:25">
      <c r="A53" s="86">
        <v>10317154</v>
      </c>
      <c r="B53" s="51" t="s">
        <v>70</v>
      </c>
      <c r="C53" s="21" t="s">
        <v>20</v>
      </c>
      <c r="D53" s="21" t="s">
        <v>209</v>
      </c>
      <c r="E53" s="21" t="s">
        <v>22</v>
      </c>
      <c r="F53" s="87">
        <v>3</v>
      </c>
      <c r="G53" s="54">
        <v>0.375</v>
      </c>
      <c r="H53" s="54">
        <v>0.75</v>
      </c>
      <c r="I53" s="54">
        <v>0.375</v>
      </c>
      <c r="J53" s="54">
        <v>0.75</v>
      </c>
      <c r="K53" s="54">
        <v>0.375</v>
      </c>
      <c r="L53" s="54">
        <v>0.75</v>
      </c>
      <c r="M53" s="54">
        <v>0.375</v>
      </c>
      <c r="N53" s="54">
        <v>0.75</v>
      </c>
      <c r="O53" s="54">
        <v>0.375</v>
      </c>
      <c r="P53" s="54">
        <v>0.75</v>
      </c>
      <c r="Q53" s="21" t="s">
        <v>23</v>
      </c>
      <c r="R53" s="21" t="s">
        <v>23</v>
      </c>
      <c r="S53" s="21" t="s">
        <v>23</v>
      </c>
      <c r="T53" s="21" t="s">
        <v>23</v>
      </c>
      <c r="U53" s="21">
        <v>45</v>
      </c>
      <c r="V53" s="7">
        <v>45</v>
      </c>
      <c r="W53" s="7"/>
      <c r="X53" s="7"/>
      <c r="Y53" s="17"/>
    </row>
    <row r="54" customHeight="1" spans="1:25">
      <c r="A54" s="86">
        <v>10320435</v>
      </c>
      <c r="B54" s="51" t="s">
        <v>71</v>
      </c>
      <c r="C54" s="21" t="s">
        <v>20</v>
      </c>
      <c r="D54" s="21" t="s">
        <v>209</v>
      </c>
      <c r="E54" s="21" t="s">
        <v>22</v>
      </c>
      <c r="F54" s="87">
        <v>3</v>
      </c>
      <c r="G54" s="54">
        <v>0.375</v>
      </c>
      <c r="H54" s="54">
        <v>0.75</v>
      </c>
      <c r="I54" s="54">
        <v>0.375</v>
      </c>
      <c r="J54" s="54">
        <v>0.75</v>
      </c>
      <c r="K54" s="54">
        <v>0.375</v>
      </c>
      <c r="L54" s="54">
        <v>0.75</v>
      </c>
      <c r="M54" s="54">
        <v>0.375</v>
      </c>
      <c r="N54" s="54">
        <v>0.75</v>
      </c>
      <c r="O54" s="54">
        <v>0.375</v>
      </c>
      <c r="P54" s="54">
        <v>0.75</v>
      </c>
      <c r="Q54" s="21" t="s">
        <v>23</v>
      </c>
      <c r="R54" s="21" t="s">
        <v>23</v>
      </c>
      <c r="S54" s="21" t="s">
        <v>23</v>
      </c>
      <c r="T54" s="21" t="s">
        <v>23</v>
      </c>
      <c r="U54" s="21">
        <v>45</v>
      </c>
      <c r="V54" s="7">
        <v>45</v>
      </c>
      <c r="W54" s="7"/>
      <c r="X54" s="7"/>
      <c r="Y54" s="17"/>
    </row>
    <row r="55" customHeight="1" spans="1:25">
      <c r="A55" s="86">
        <v>10320436</v>
      </c>
      <c r="B55" s="51" t="s">
        <v>72</v>
      </c>
      <c r="C55" s="21" t="s">
        <v>20</v>
      </c>
      <c r="D55" s="21" t="s">
        <v>209</v>
      </c>
      <c r="E55" s="21" t="s">
        <v>22</v>
      </c>
      <c r="F55" s="87">
        <v>3</v>
      </c>
      <c r="G55" s="54">
        <v>0.375</v>
      </c>
      <c r="H55" s="54">
        <v>0.75</v>
      </c>
      <c r="I55" s="54">
        <v>0.375</v>
      </c>
      <c r="J55" s="54">
        <v>0.75</v>
      </c>
      <c r="K55" s="54">
        <v>0.375</v>
      </c>
      <c r="L55" s="54">
        <v>0.75</v>
      </c>
      <c r="M55" s="54">
        <v>0.375</v>
      </c>
      <c r="N55" s="54">
        <v>0.75</v>
      </c>
      <c r="O55" s="54">
        <v>0.375</v>
      </c>
      <c r="P55" s="54">
        <v>0.75</v>
      </c>
      <c r="Q55" s="21" t="s">
        <v>23</v>
      </c>
      <c r="R55" s="21" t="s">
        <v>23</v>
      </c>
      <c r="S55" s="21" t="s">
        <v>23</v>
      </c>
      <c r="T55" s="21" t="s">
        <v>23</v>
      </c>
      <c r="U55" s="21">
        <v>45</v>
      </c>
      <c r="V55" s="7">
        <v>45</v>
      </c>
      <c r="W55" s="7"/>
      <c r="X55" s="7"/>
      <c r="Y55" s="17"/>
    </row>
    <row r="56" customHeight="1" spans="1: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customHeight="1" spans="1: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customHeight="1" spans="1: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customHeight="1" spans="1:25">
      <c r="A59" s="17"/>
      <c r="B59" s="17"/>
      <c r="C59" s="17"/>
      <c r="D59" s="17"/>
      <c r="E59" s="17"/>
      <c r="F59" s="7"/>
      <c r="G59" s="50" t="s">
        <v>6</v>
      </c>
      <c r="H59" s="50" t="s">
        <v>7</v>
      </c>
      <c r="I59" s="50" t="s">
        <v>8</v>
      </c>
      <c r="J59" s="50" t="s">
        <v>9</v>
      </c>
      <c r="K59" s="50" t="s">
        <v>10</v>
      </c>
      <c r="L59" s="50" t="s">
        <v>11</v>
      </c>
      <c r="M59" s="50" t="s">
        <v>12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customHeight="1" spans="1:25">
      <c r="A60" s="17"/>
      <c r="B60" s="17"/>
      <c r="C60" s="17"/>
      <c r="D60" s="17"/>
      <c r="E60" s="17"/>
      <c r="F60" s="7" t="s">
        <v>76</v>
      </c>
      <c r="G60" s="7">
        <f>IFERROR(__xludf.DUMMYFUNCTION("COUNTA(FILTER($C$4:$C$55, $C$4:$C$55=""CSR"", H4:H55&lt;&gt;"""", NOT(ISTEXT(H4:H55))))"),38)</f>
        <v>38</v>
      </c>
      <c r="H60" s="7">
        <f>IFERROR(__xludf.DUMMYFUNCTION("COUNTA(FILTER($C$4:$C$55, $C$4:$C$55=""CSR"", J4:J55&lt;&gt;"""", NOT(ISTEXT(J4:J55))))"),51)</f>
        <v>51</v>
      </c>
      <c r="I60" s="7">
        <f>IFERROR(__xludf.DUMMYFUNCTION("COUNTA(FILTER($C$4:$C$55, $C$4:$C$55=""CSR"", L4:L55&lt;&gt;"""", NOT(ISTEXT(L4:L55))))"),48)</f>
        <v>48</v>
      </c>
      <c r="J60" s="7">
        <f>IFERROR(__xludf.DUMMYFUNCTION("COUNTA(FILTER($C$4:$C$55, $C$4:$C$55=""CSR"", N4:N55&lt;&gt;"""", NOT(ISTEXT(N4:N55))))"),49)</f>
        <v>49</v>
      </c>
      <c r="K60" s="7">
        <f>IFERROR(__xludf.DUMMYFUNCTION("COUNTA(FILTER($C$4:$C$55, $C$4:$C$55=""CSR"", P4:P55&lt;&gt;"""", NOT(ISTEXT(P4:P55))))"),38)</f>
        <v>38</v>
      </c>
      <c r="L60" s="7">
        <f>IFERROR(__xludf.DUMMYFUNCTION("COUNTA(FILTER($C$4:$C$55, $C$4:$C$55=""CSR"", R4:R55&lt;&gt;"""", NOT(ISTEXT(R4:R55))))"),17)</f>
        <v>17</v>
      </c>
      <c r="M60" s="7">
        <f>IFERROR(__xludf.DUMMYFUNCTION("COUNTA(FILTER($C$4:$C$55, $C$4:$C$55=""CSR"", T4:T55&lt;&gt;"""", NOT(ISTEXT(T4:T55))))"),17)</f>
        <v>17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customHeight="1" spans="1:25">
      <c r="A61" s="17"/>
      <c r="B61" s="17"/>
      <c r="C61" s="17"/>
      <c r="D61" s="17"/>
      <c r="E61" s="17"/>
      <c r="F61" s="7" t="s">
        <v>77</v>
      </c>
      <c r="G61" s="56">
        <f t="shared" ref="G61:M61" si="0">G63/8</f>
        <v>32.6125</v>
      </c>
      <c r="H61" s="56">
        <f t="shared" si="0"/>
        <v>27.6625</v>
      </c>
      <c r="I61" s="56">
        <f t="shared" si="0"/>
        <v>26.8625</v>
      </c>
      <c r="J61" s="56">
        <f t="shared" si="0"/>
        <v>24.2875</v>
      </c>
      <c r="K61" s="56">
        <f t="shared" si="0"/>
        <v>26.6375</v>
      </c>
      <c r="L61" s="56">
        <f t="shared" si="0"/>
        <v>14.9125</v>
      </c>
      <c r="M61" s="56">
        <f t="shared" si="0"/>
        <v>10.8375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customHeight="1" spans="1:25">
      <c r="A62" s="17"/>
      <c r="B62" s="17"/>
      <c r="C62" s="17"/>
      <c r="D62" s="17"/>
      <c r="E62" s="17"/>
      <c r="F62" s="7" t="s">
        <v>75</v>
      </c>
      <c r="G62" s="57">
        <f t="shared" ref="G62:M62" si="1">G60-G61</f>
        <v>5.3875</v>
      </c>
      <c r="H62" s="57">
        <f t="shared" si="1"/>
        <v>23.3375</v>
      </c>
      <c r="I62" s="57">
        <f t="shared" si="1"/>
        <v>21.1375</v>
      </c>
      <c r="J62" s="57">
        <f t="shared" si="1"/>
        <v>24.7125</v>
      </c>
      <c r="K62" s="57">
        <f t="shared" si="1"/>
        <v>11.3625</v>
      </c>
      <c r="L62" s="57">
        <f t="shared" si="1"/>
        <v>2.0875</v>
      </c>
      <c r="M62" s="57">
        <f t="shared" si="1"/>
        <v>6.1625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customHeight="1" spans="1:25">
      <c r="A63" s="17"/>
      <c r="B63" s="17"/>
      <c r="C63" s="17"/>
      <c r="D63" s="17"/>
      <c r="E63" s="17"/>
      <c r="F63" s="7" t="s">
        <v>73</v>
      </c>
      <c r="G63" s="88">
        <v>260.9</v>
      </c>
      <c r="H63" s="88">
        <v>221.3</v>
      </c>
      <c r="I63" s="88">
        <v>214.9</v>
      </c>
      <c r="J63" s="88">
        <v>194.3</v>
      </c>
      <c r="K63" s="88">
        <v>213.1</v>
      </c>
      <c r="L63" s="88">
        <v>119.3</v>
      </c>
      <c r="M63" s="88">
        <v>86.7</v>
      </c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customHeight="1" spans="1:25">
      <c r="A64" s="17"/>
      <c r="B64" s="17"/>
      <c r="C64" s="17"/>
      <c r="D64" s="17"/>
      <c r="E64" s="17"/>
      <c r="F64" s="7" t="s">
        <v>74</v>
      </c>
      <c r="G64" s="7">
        <f>G60*8</f>
        <v>304</v>
      </c>
      <c r="H64" s="7">
        <f t="shared" ref="H64:M64" si="2">H60*7</f>
        <v>357</v>
      </c>
      <c r="I64" s="7">
        <f t="shared" si="2"/>
        <v>336</v>
      </c>
      <c r="J64" s="7">
        <f t="shared" si="2"/>
        <v>343</v>
      </c>
      <c r="K64" s="7">
        <f t="shared" si="2"/>
        <v>266</v>
      </c>
      <c r="L64" s="7">
        <f t="shared" si="2"/>
        <v>119</v>
      </c>
      <c r="M64" s="7">
        <f t="shared" si="2"/>
        <v>119</v>
      </c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customHeight="1" spans="1:25">
      <c r="A65" s="17"/>
      <c r="B65" s="17"/>
      <c r="C65" s="17"/>
      <c r="D65" s="17"/>
      <c r="E65" s="17"/>
      <c r="F65" s="7" t="s">
        <v>75</v>
      </c>
      <c r="G65" s="57">
        <f t="shared" ref="G65:M65" si="3">G64-G63</f>
        <v>43.1</v>
      </c>
      <c r="H65" s="57">
        <f t="shared" si="3"/>
        <v>135.7</v>
      </c>
      <c r="I65" s="57">
        <f t="shared" si="3"/>
        <v>121.1</v>
      </c>
      <c r="J65" s="57">
        <f t="shared" si="3"/>
        <v>148.7</v>
      </c>
      <c r="K65" s="57">
        <f t="shared" si="3"/>
        <v>52.9</v>
      </c>
      <c r="L65" s="57">
        <f t="shared" si="3"/>
        <v>-0.299999999999997</v>
      </c>
      <c r="M65" s="57">
        <f t="shared" si="3"/>
        <v>32.3</v>
      </c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customHeight="1" spans="1: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customHeight="1" spans="1: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customHeight="1" spans="1: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customHeight="1" spans="2:25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customHeight="1" spans="1:25">
      <c r="A70" s="22" t="s">
        <v>0</v>
      </c>
      <c r="B70" s="67" t="s">
        <v>98</v>
      </c>
      <c r="C70" s="67" t="s">
        <v>2</v>
      </c>
      <c r="D70" s="68">
        <v>45607</v>
      </c>
      <c r="E70" s="14"/>
      <c r="F70" s="68">
        <v>45608</v>
      </c>
      <c r="G70" s="14"/>
      <c r="H70" s="68">
        <v>45609</v>
      </c>
      <c r="I70" s="14"/>
      <c r="J70" s="68">
        <v>45610</v>
      </c>
      <c r="K70" s="14"/>
      <c r="L70" s="68">
        <v>45611</v>
      </c>
      <c r="M70" s="14"/>
      <c r="N70" s="68">
        <v>45612</v>
      </c>
      <c r="O70" s="14"/>
      <c r="P70" s="68">
        <v>45613</v>
      </c>
      <c r="Q70" s="14"/>
      <c r="R70" s="17"/>
      <c r="S70" s="17"/>
      <c r="T70" s="17"/>
      <c r="U70" s="17"/>
      <c r="V70" s="17"/>
      <c r="W70" s="17"/>
      <c r="X70" s="17"/>
      <c r="Y70" s="17"/>
    </row>
    <row r="71" customHeight="1" spans="1:25">
      <c r="A71" s="15"/>
      <c r="B71" s="69"/>
      <c r="C71" s="69"/>
      <c r="D71" s="70" t="s">
        <v>6</v>
      </c>
      <c r="E71" s="71"/>
      <c r="F71" s="70" t="s">
        <v>7</v>
      </c>
      <c r="G71" s="71"/>
      <c r="H71" s="70" t="s">
        <v>8</v>
      </c>
      <c r="I71" s="71"/>
      <c r="J71" s="70" t="s">
        <v>9</v>
      </c>
      <c r="K71" s="71"/>
      <c r="L71" s="70" t="s">
        <v>10</v>
      </c>
      <c r="M71" s="71"/>
      <c r="N71" s="70" t="s">
        <v>11</v>
      </c>
      <c r="O71" s="71"/>
      <c r="P71" s="70" t="s">
        <v>12</v>
      </c>
      <c r="Q71" s="71"/>
      <c r="R71" s="17"/>
      <c r="S71" s="17"/>
      <c r="T71" s="17"/>
      <c r="U71" s="17"/>
      <c r="V71" s="17"/>
      <c r="W71" s="17"/>
      <c r="X71" s="17"/>
      <c r="Y71" s="17"/>
    </row>
    <row r="72" customHeight="1" spans="1:25">
      <c r="A72" s="5"/>
      <c r="B72" s="71"/>
      <c r="C72" s="71"/>
      <c r="D72" s="73" t="s">
        <v>13</v>
      </c>
      <c r="E72" s="73" t="s">
        <v>14</v>
      </c>
      <c r="F72" s="73" t="s">
        <v>13</v>
      </c>
      <c r="G72" s="73" t="s">
        <v>14</v>
      </c>
      <c r="H72" s="73" t="s">
        <v>13</v>
      </c>
      <c r="I72" s="73" t="s">
        <v>14</v>
      </c>
      <c r="J72" s="73" t="s">
        <v>13</v>
      </c>
      <c r="K72" s="73" t="s">
        <v>14</v>
      </c>
      <c r="L72" s="73" t="s">
        <v>13</v>
      </c>
      <c r="M72" s="73" t="s">
        <v>14</v>
      </c>
      <c r="N72" s="73" t="s">
        <v>13</v>
      </c>
      <c r="O72" s="73" t="s">
        <v>14</v>
      </c>
      <c r="P72" s="73" t="s">
        <v>13</v>
      </c>
      <c r="Q72" s="73" t="s">
        <v>14</v>
      </c>
      <c r="R72" s="17"/>
      <c r="S72" s="17"/>
      <c r="T72" s="17"/>
      <c r="U72" s="17"/>
      <c r="V72" s="17"/>
      <c r="W72" s="17"/>
      <c r="X72" s="17"/>
      <c r="Y72" s="17"/>
    </row>
    <row r="73" customHeight="1" spans="1:25">
      <c r="A73" s="75">
        <v>10316835</v>
      </c>
      <c r="B73" s="76" t="s">
        <v>161</v>
      </c>
      <c r="C73" s="76" t="s">
        <v>162</v>
      </c>
      <c r="D73" s="77">
        <v>0.458333333333333</v>
      </c>
      <c r="E73" s="78">
        <v>0.875</v>
      </c>
      <c r="F73" s="77">
        <v>0.458333333333333</v>
      </c>
      <c r="G73" s="78">
        <v>0.875</v>
      </c>
      <c r="H73" s="77">
        <v>0.458333333333333</v>
      </c>
      <c r="I73" s="78">
        <v>0.875</v>
      </c>
      <c r="J73" s="77">
        <v>0.458333333333333</v>
      </c>
      <c r="K73" s="78">
        <v>0.875</v>
      </c>
      <c r="L73" s="79" t="s">
        <v>23</v>
      </c>
      <c r="M73" s="79" t="s">
        <v>23</v>
      </c>
      <c r="N73" s="81" t="s">
        <v>23</v>
      </c>
      <c r="O73" s="81" t="s">
        <v>23</v>
      </c>
      <c r="P73" s="82">
        <v>0.458333333333333</v>
      </c>
      <c r="Q73" s="83">
        <v>0.666666666666667</v>
      </c>
      <c r="R73" s="17"/>
      <c r="S73" s="17"/>
      <c r="T73" s="17"/>
      <c r="U73" s="17"/>
      <c r="V73" s="17"/>
      <c r="W73" s="17"/>
      <c r="X73" s="17"/>
      <c r="Y73" s="17"/>
    </row>
    <row r="74" customHeight="1" spans="1:25">
      <c r="A74" s="75">
        <v>10225640</v>
      </c>
      <c r="B74" s="76" t="s">
        <v>100</v>
      </c>
      <c r="C74" s="76" t="s">
        <v>162</v>
      </c>
      <c r="D74" s="79" t="s">
        <v>23</v>
      </c>
      <c r="E74" s="79" t="s">
        <v>23</v>
      </c>
      <c r="F74" s="77">
        <v>0.375</v>
      </c>
      <c r="G74" s="78">
        <v>0.791666666666667</v>
      </c>
      <c r="H74" s="77">
        <v>0.375</v>
      </c>
      <c r="I74" s="78">
        <v>0.791666666666667</v>
      </c>
      <c r="J74" s="77">
        <v>0.375</v>
      </c>
      <c r="K74" s="78">
        <v>0.791666666666667</v>
      </c>
      <c r="L74" s="77">
        <v>0.375</v>
      </c>
      <c r="M74" s="78">
        <v>0.791666666666667</v>
      </c>
      <c r="N74" s="82">
        <v>0.458333333333333</v>
      </c>
      <c r="O74" s="83">
        <v>0.666666666666667</v>
      </c>
      <c r="P74" s="81" t="s">
        <v>23</v>
      </c>
      <c r="Q74" s="81" t="s">
        <v>23</v>
      </c>
      <c r="R74" s="17"/>
      <c r="S74" s="17"/>
      <c r="T74" s="17"/>
      <c r="U74" s="17"/>
      <c r="V74" s="17"/>
      <c r="W74" s="17"/>
      <c r="X74" s="17"/>
      <c r="Y74" s="17"/>
    </row>
    <row r="75" customHeight="1" spans="1:25">
      <c r="A75" s="75">
        <v>10303312</v>
      </c>
      <c r="B75" s="76" t="s">
        <v>163</v>
      </c>
      <c r="C75" s="76" t="s">
        <v>164</v>
      </c>
      <c r="D75" s="78">
        <v>0.875</v>
      </c>
      <c r="E75" s="77">
        <v>0.75</v>
      </c>
      <c r="F75" s="78">
        <v>0.875</v>
      </c>
      <c r="G75" s="77">
        <v>0.75</v>
      </c>
      <c r="H75" s="78">
        <v>0.875</v>
      </c>
      <c r="I75" s="77">
        <v>0.75</v>
      </c>
      <c r="J75" s="78">
        <v>0.875</v>
      </c>
      <c r="K75" s="77">
        <v>0.75</v>
      </c>
      <c r="L75" s="78">
        <v>0.875</v>
      </c>
      <c r="M75" s="77">
        <v>0.75</v>
      </c>
      <c r="N75" s="79" t="s">
        <v>23</v>
      </c>
      <c r="O75" s="79" t="s">
        <v>23</v>
      </c>
      <c r="P75" s="79" t="s">
        <v>23</v>
      </c>
      <c r="Q75" s="79" t="s">
        <v>23</v>
      </c>
      <c r="R75" s="17"/>
      <c r="S75" s="17"/>
      <c r="T75" s="17"/>
      <c r="U75" s="17"/>
      <c r="V75" s="17"/>
      <c r="W75" s="17"/>
      <c r="X75" s="17"/>
      <c r="Y75" s="17"/>
    </row>
    <row r="76" customHeight="1" spans="1:25">
      <c r="A76" s="75">
        <v>10306591</v>
      </c>
      <c r="B76" s="76" t="s">
        <v>108</v>
      </c>
      <c r="C76" s="76" t="s">
        <v>164</v>
      </c>
      <c r="D76" s="78">
        <v>0.875</v>
      </c>
      <c r="E76" s="77">
        <v>0.75</v>
      </c>
      <c r="F76" s="78">
        <v>0.875</v>
      </c>
      <c r="G76" s="77">
        <v>0.75</v>
      </c>
      <c r="H76" s="78">
        <v>0.875</v>
      </c>
      <c r="I76" s="77">
        <v>0.75</v>
      </c>
      <c r="J76" s="78">
        <v>0.875</v>
      </c>
      <c r="K76" s="77">
        <v>0.75</v>
      </c>
      <c r="L76" s="78">
        <v>0.875</v>
      </c>
      <c r="M76" s="77">
        <v>0.75</v>
      </c>
      <c r="N76" s="79" t="s">
        <v>23</v>
      </c>
      <c r="O76" s="79" t="s">
        <v>23</v>
      </c>
      <c r="P76" s="79" t="s">
        <v>23</v>
      </c>
      <c r="Q76" s="79" t="s">
        <v>23</v>
      </c>
      <c r="R76" s="17"/>
      <c r="S76" s="17"/>
      <c r="T76" s="17"/>
      <c r="U76" s="17"/>
      <c r="V76" s="17"/>
      <c r="W76" s="17"/>
      <c r="X76" s="17"/>
      <c r="Y76" s="17"/>
    </row>
    <row r="77" customHeight="1" spans="1:25">
      <c r="A77" s="75">
        <v>10271545</v>
      </c>
      <c r="B77" s="76" t="s">
        <v>165</v>
      </c>
      <c r="C77" s="76" t="s">
        <v>166</v>
      </c>
      <c r="D77" s="78">
        <v>0.875</v>
      </c>
      <c r="E77" s="77">
        <v>0.75</v>
      </c>
      <c r="F77" s="78">
        <v>0.875</v>
      </c>
      <c r="G77" s="77">
        <v>0.75</v>
      </c>
      <c r="H77" s="78">
        <v>0.875</v>
      </c>
      <c r="I77" s="77">
        <v>0.75</v>
      </c>
      <c r="J77" s="78">
        <v>0.875</v>
      </c>
      <c r="K77" s="77">
        <v>0.75</v>
      </c>
      <c r="L77" s="78">
        <v>0.875</v>
      </c>
      <c r="M77" s="77">
        <v>0.75</v>
      </c>
      <c r="N77" s="79" t="s">
        <v>23</v>
      </c>
      <c r="O77" s="79" t="s">
        <v>23</v>
      </c>
      <c r="P77" s="79" t="s">
        <v>23</v>
      </c>
      <c r="Q77" s="79" t="s">
        <v>23</v>
      </c>
      <c r="R77" s="17"/>
      <c r="S77" s="17"/>
      <c r="T77" s="17"/>
      <c r="U77" s="17"/>
      <c r="V77" s="17"/>
      <c r="W77" s="17"/>
      <c r="X77" s="17"/>
      <c r="Y77" s="17"/>
    </row>
    <row r="78" customHeight="1" spans="1: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customHeight="1" spans="1: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customHeight="1" spans="1: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customHeight="1" spans="1: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customHeight="1" spans="1: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customHeight="1" spans="1: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customHeight="1" spans="1: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customHeight="1" spans="1: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customHeight="1" spans="1: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customHeight="1" spans="1: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customHeight="1" spans="1: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customHeight="1" spans="1: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customHeight="1" spans="1: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customHeight="1" spans="1: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customHeight="1" spans="1: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customHeight="1" spans="1: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customHeight="1" spans="1: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customHeight="1" spans="1: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customHeight="1" spans="1: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customHeight="1" spans="1: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customHeight="1" spans="1: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customHeight="1" spans="1: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customHeight="1" spans="1: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customHeight="1" spans="1: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customHeight="1" spans="1: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customHeight="1" spans="1: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customHeight="1" spans="1: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customHeight="1" spans="1: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customHeight="1" spans="1: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customHeight="1" spans="1: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customHeight="1" spans="1: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customHeight="1" spans="1: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customHeight="1" spans="1: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customHeight="1" spans="1: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customHeight="1" spans="1: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customHeight="1" spans="1: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customHeight="1" spans="1: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customHeight="1" spans="1: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customHeight="1" spans="1: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customHeight="1" spans="1: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customHeight="1" spans="1: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customHeight="1" spans="1: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customHeight="1" spans="1: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customHeight="1" spans="1: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customHeight="1" spans="1: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customHeight="1" spans="1: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customHeight="1" spans="1: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customHeight="1" spans="1: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customHeight="1" spans="1: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customHeight="1" spans="1: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customHeight="1" spans="1: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customHeight="1" spans="1: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customHeight="1" spans="1: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customHeight="1" spans="1: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customHeight="1" spans="1: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customHeight="1" spans="1: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customHeight="1" spans="1: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customHeight="1" spans="1: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customHeight="1" spans="1: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customHeight="1" spans="1: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customHeight="1" spans="1: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customHeight="1" spans="1: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customHeight="1" spans="1: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customHeight="1" spans="1: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customHeight="1" spans="1: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customHeight="1" spans="1: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customHeight="1" spans="1: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customHeight="1" spans="1: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customHeight="1" spans="1: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customHeight="1" spans="1: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customHeight="1" spans="1: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customHeight="1" spans="1: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customHeight="1" spans="1: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customHeight="1" spans="1: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customHeight="1" spans="1: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customHeight="1" spans="1: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customHeight="1" spans="1: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customHeight="1" spans="1: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customHeight="1" spans="1: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customHeight="1" spans="1: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customHeight="1" spans="1: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customHeight="1" spans="1: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customHeight="1" spans="1: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customHeight="1" spans="1: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customHeight="1" spans="1: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customHeight="1" spans="1: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customHeight="1" spans="1: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customHeight="1" spans="1: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customHeight="1" spans="1: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customHeight="1" spans="1: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customHeight="1" spans="1: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customHeight="1" spans="1: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customHeight="1" spans="1: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customHeight="1" spans="1: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customHeight="1" spans="1: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customHeight="1" spans="1: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customHeight="1" spans="1: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customHeight="1" spans="1: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customHeight="1" spans="1: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customHeight="1" spans="1: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customHeight="1" spans="1: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customHeight="1" spans="1: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customHeight="1" spans="1: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customHeight="1" spans="1: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customHeight="1" spans="1: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customHeight="1" spans="1: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customHeight="1" spans="1: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customHeight="1" spans="1: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customHeight="1" spans="1: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customHeight="1" spans="1: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 customHeight="1" spans="1: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customHeight="1" spans="1: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customHeight="1" spans="1: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 customHeight="1" spans="1: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customHeight="1" spans="1: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customHeight="1" spans="1: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customHeight="1" spans="1: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customHeight="1" spans="1: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 customHeight="1" spans="1: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customHeight="1" spans="1: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 customHeight="1" spans="1: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customHeight="1" spans="1: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customHeight="1" spans="1: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 customHeight="1" spans="1: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 customHeight="1" spans="1: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 customHeight="1" spans="1: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 customHeight="1" spans="1: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 customHeight="1" spans="1: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 customHeight="1" spans="1: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 customHeight="1" spans="1: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 customHeight="1" spans="1: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 customHeight="1" spans="1: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 customHeight="1" spans="1: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 customHeight="1" spans="1: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 customHeight="1" spans="1: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 customHeight="1" spans="1: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 customHeight="1" spans="1: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 customHeight="1" spans="1: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 customHeight="1" spans="1: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 customHeight="1" spans="1: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 customHeight="1" spans="1: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 customHeight="1" spans="1: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 customHeight="1" spans="1: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 customHeight="1" spans="1: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 customHeight="1" spans="1: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 customHeight="1" spans="1: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 customHeight="1" spans="1: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 customHeight="1" spans="1: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 customHeight="1" spans="1: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 customHeight="1" spans="1: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 customHeight="1" spans="1: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 customHeight="1" spans="1: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 customHeight="1" spans="1: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 customHeight="1" spans="1: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 customHeight="1" spans="1: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 customHeight="1" spans="1: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customHeight="1" spans="1: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customHeight="1" spans="1: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 customHeight="1" spans="1: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customHeight="1" spans="1: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 customHeight="1" spans="1: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customHeight="1" spans="1: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 customHeight="1" spans="1: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 customHeight="1" spans="1: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 customHeight="1" spans="1: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 customHeight="1" spans="1: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 customHeight="1" spans="1: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 customHeight="1" spans="1: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 customHeight="1" spans="1: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 customHeight="1" spans="1: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 customHeight="1" spans="1: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 customHeight="1" spans="1: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 customHeight="1" spans="1: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 customHeight="1" spans="1: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 customHeight="1" spans="1: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 customHeight="1" spans="1: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 customHeight="1" spans="1: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 customHeight="1" spans="1: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 customHeight="1" spans="1: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 customHeight="1" spans="1: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 customHeight="1" spans="1: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 customHeight="1" spans="1: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 customHeight="1" spans="1: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 customHeight="1" spans="1: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 customHeight="1" spans="1: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 customHeight="1" spans="1: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 customHeight="1" spans="1: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 customHeight="1" spans="1: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 customHeight="1" spans="1: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 customHeight="1" spans="1: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 customHeight="1" spans="1: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 customHeight="1" spans="1: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 customHeight="1" spans="1: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 customHeight="1" spans="1: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 customHeight="1" spans="1: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 customHeight="1" spans="1: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 customHeight="1" spans="1: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 customHeight="1" spans="1: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 customHeight="1" spans="1: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 customHeight="1" spans="1: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 customHeight="1" spans="1: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 customHeight="1" spans="1: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 customHeight="1" spans="1: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 customHeight="1" spans="1: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 customHeight="1" spans="1: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 customHeight="1" spans="1: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 customHeight="1" spans="1: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 customHeight="1" spans="1: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 customHeight="1" spans="1: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 customHeight="1" spans="1: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 customHeight="1" spans="1: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 customHeight="1" spans="1: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 customHeight="1" spans="1: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 customHeight="1" spans="1: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 customHeight="1" spans="1: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 customHeight="1" spans="1: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 customHeight="1" spans="1: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 customHeight="1" spans="1: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 customHeight="1" spans="1: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 customHeight="1" spans="1: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 customHeight="1" spans="1: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 customHeight="1" spans="1: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 customHeight="1" spans="1: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 customHeight="1" spans="1: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 customHeight="1" spans="1: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 customHeight="1" spans="1: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 customHeight="1" spans="1: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 customHeight="1" spans="1: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 customHeight="1" spans="1: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 customHeight="1" spans="1: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 customHeight="1" spans="1: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 customHeight="1" spans="1: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 customHeight="1" spans="1: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 customHeight="1" spans="1: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 customHeight="1" spans="1: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 customHeight="1" spans="1: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 customHeight="1" spans="1: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 customHeight="1" spans="1: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 customHeight="1" spans="1: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 customHeight="1" spans="1: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 customHeight="1" spans="1: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 customHeight="1" spans="1: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 customHeight="1" spans="1: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 customHeight="1" spans="1: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 customHeight="1" spans="1: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 customHeight="1" spans="1: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 customHeight="1" spans="1: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 customHeight="1" spans="1: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 customHeight="1" spans="1: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 customHeight="1" spans="1: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 customHeight="1" spans="1: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 customHeight="1" spans="1: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 customHeight="1" spans="1: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 customHeight="1" spans="1: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 customHeight="1" spans="1: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 customHeight="1" spans="1: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 customHeight="1" spans="1: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 customHeight="1" spans="1: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 customHeight="1" spans="1: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 customHeight="1" spans="1: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 customHeight="1" spans="1: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 customHeight="1" spans="1: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 customHeight="1" spans="1: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 customHeight="1" spans="1: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 customHeight="1" spans="1: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 customHeight="1" spans="1: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 customHeight="1" spans="1: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 customHeight="1" spans="1: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 customHeight="1" spans="1: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 customHeight="1" spans="1: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 customHeight="1" spans="1: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 customHeight="1" spans="1: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 customHeight="1" spans="1: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 customHeight="1" spans="1: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 customHeight="1" spans="1: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 customHeight="1" spans="1: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 customHeight="1" spans="1: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 customHeight="1" spans="1: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 customHeight="1" spans="1: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 customHeight="1" spans="1: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 customHeight="1" spans="1: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 customHeight="1" spans="1: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 customHeight="1" spans="1: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 customHeight="1" spans="1: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 customHeight="1" spans="1: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 customHeight="1" spans="1: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 customHeight="1" spans="1: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 customHeight="1" spans="1: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 customHeight="1" spans="1: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 customHeight="1" spans="1: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 customHeight="1" spans="1: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 customHeight="1" spans="1: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 customHeight="1" spans="1: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 customHeight="1" spans="1: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 customHeight="1" spans="1: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 customHeight="1" spans="1: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 customHeight="1" spans="1: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 customHeight="1" spans="1: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 customHeight="1" spans="1: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 customHeight="1" spans="1: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 customHeight="1" spans="1: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 customHeight="1" spans="1: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 customHeight="1" spans="1: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 customHeight="1" spans="1: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 customHeight="1" spans="1: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 customHeight="1" spans="1: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 customHeight="1" spans="1: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 customHeight="1" spans="1: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 customHeight="1" spans="1: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 customHeight="1" spans="1: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 customHeight="1" spans="1: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 customHeight="1" spans="1: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 customHeight="1" spans="1: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 customHeight="1" spans="1: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 customHeight="1" spans="1: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 customHeight="1" spans="1: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 customHeight="1" spans="1: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 customHeight="1" spans="1: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 customHeight="1" spans="1: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 customHeight="1" spans="1: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 customHeight="1" spans="1: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 customHeight="1" spans="1: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 customHeight="1" spans="1: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 customHeight="1" spans="1: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 customHeight="1" spans="1: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 customHeight="1" spans="1: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 customHeight="1" spans="1: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 customHeight="1" spans="1: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 customHeight="1" spans="1: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 customHeight="1" spans="1: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 customHeight="1" spans="1: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 customHeight="1" spans="1: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 customHeight="1" spans="1: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 customHeight="1" spans="1: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 customHeight="1" spans="1: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 customHeight="1" spans="1: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 customHeight="1" spans="1: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 customHeight="1" spans="1: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 customHeight="1" spans="1: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 customHeight="1" spans="1: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 customHeight="1" spans="1: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 customHeight="1" spans="1: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 customHeight="1" spans="1: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 customHeight="1" spans="1: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 customHeight="1" spans="1: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 customHeight="1" spans="1: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 customHeight="1" spans="1: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 customHeight="1" spans="1: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 customHeight="1" spans="1: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 customHeight="1" spans="1: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 customHeight="1" spans="1: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 customHeight="1" spans="1: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 customHeight="1" spans="1: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 customHeight="1" spans="1: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 customHeight="1" spans="1: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 customHeight="1" spans="1: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 customHeight="1" spans="1: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 customHeight="1" spans="1: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 customHeight="1" spans="1: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 customHeight="1" spans="1: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 customHeight="1" spans="1: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 customHeight="1" spans="1: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 customHeight="1" spans="1: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 customHeight="1" spans="1: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 customHeight="1" spans="1: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 customHeight="1" spans="1: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 customHeight="1" spans="1: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 customHeight="1" spans="1: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 customHeight="1" spans="1: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 customHeight="1" spans="1: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 customHeight="1" spans="1: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 customHeight="1" spans="1: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 customHeight="1" spans="1: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 customHeight="1" spans="1: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 customHeight="1" spans="1: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 customHeight="1" spans="1: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 customHeight="1" spans="1: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 customHeight="1" spans="1: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 customHeight="1" spans="1: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 customHeight="1" spans="1: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 customHeight="1" spans="1: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 customHeight="1" spans="1: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 customHeight="1" spans="1: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 customHeight="1" spans="1: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 customHeight="1" spans="1: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 customHeight="1" spans="1: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 customHeight="1" spans="1: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 customHeight="1" spans="1: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 customHeight="1" spans="1: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 customHeight="1" spans="1: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 customHeight="1" spans="1: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 customHeight="1" spans="1: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 customHeight="1" spans="1: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 customHeight="1" spans="1: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 customHeight="1" spans="1: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 customHeight="1" spans="1: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 customHeight="1" spans="1: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 customHeight="1" spans="1: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 customHeight="1" spans="1: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 customHeight="1" spans="1: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 customHeight="1" spans="1: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 customHeight="1" spans="1: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 customHeight="1" spans="1: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 customHeight="1" spans="1: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 customHeight="1" spans="1: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 customHeight="1" spans="1: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 customHeight="1" spans="1: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 customHeight="1" spans="1: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 customHeight="1" spans="1: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 customHeight="1" spans="1: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 customHeight="1" spans="1: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 customHeight="1" spans="1: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 customHeight="1" spans="1: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 customHeight="1" spans="1: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 customHeight="1" spans="1: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 customHeight="1" spans="1: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 customHeight="1" spans="1: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 customHeight="1" spans="1: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 customHeight="1" spans="1: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 customHeight="1" spans="1: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 customHeight="1" spans="1: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 customHeight="1" spans="1: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 customHeight="1" spans="1: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 customHeight="1" spans="1: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 customHeight="1" spans="1: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 customHeight="1" spans="1: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 customHeight="1" spans="1: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 customHeight="1" spans="1: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 customHeight="1" spans="1: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 customHeight="1" spans="1: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 customHeight="1" spans="1: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 customHeight="1" spans="1: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 customHeight="1" spans="1: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 customHeight="1" spans="1: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 customHeight="1" spans="1: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 customHeight="1" spans="1: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 customHeight="1" spans="1: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 customHeight="1" spans="1: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 customHeight="1" spans="1: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 customHeight="1" spans="1: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 customHeight="1" spans="1: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 customHeight="1" spans="1: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 customHeight="1" spans="1: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 customHeight="1" spans="1: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 customHeight="1" spans="1: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 customHeight="1" spans="1: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 customHeight="1" spans="1: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 customHeight="1" spans="1: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 customHeight="1" spans="1: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 customHeight="1" spans="1: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 customHeight="1" spans="1: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 customHeight="1" spans="1: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 customHeight="1" spans="1: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 customHeight="1" spans="1: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 customHeight="1" spans="1: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 customHeight="1" spans="1: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 customHeight="1" spans="1: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 customHeight="1" spans="1: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 customHeight="1" spans="1: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 customHeight="1" spans="1: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 customHeight="1" spans="1: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 customHeight="1" spans="1: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 customHeight="1" spans="1: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 customHeight="1" spans="1: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 customHeight="1" spans="1: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 customHeight="1" spans="1: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 customHeight="1" spans="1: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 customHeight="1" spans="1: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 customHeight="1" spans="1: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 customHeight="1" spans="1: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 customHeight="1" spans="1: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 customHeight="1" spans="1: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 customHeight="1" spans="1: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 customHeight="1" spans="1: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 customHeight="1" spans="1: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 customHeight="1" spans="1: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 customHeight="1" spans="1: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 customHeight="1" spans="1: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 customHeight="1" spans="1: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 customHeight="1" spans="1: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 customHeight="1" spans="1: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 customHeight="1" spans="1: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 customHeight="1" spans="1: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 customHeight="1" spans="1: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 customHeight="1" spans="1: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 customHeight="1" spans="1: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 customHeight="1" spans="1: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 customHeight="1" spans="1: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 customHeight="1" spans="1: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 customHeight="1" spans="1: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 customHeight="1" spans="1: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 customHeight="1" spans="1: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 customHeight="1" spans="1: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 customHeight="1" spans="1: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 customHeight="1" spans="1: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 customHeight="1" spans="1: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 customHeight="1" spans="1: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 customHeight="1" spans="1: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 customHeight="1" spans="1: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 customHeight="1" spans="1: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 customHeight="1" spans="1: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 customHeight="1" spans="1: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 customHeight="1" spans="1: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 customHeight="1" spans="1: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 customHeight="1" spans="1: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 customHeight="1" spans="1: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 customHeight="1" spans="1: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 customHeight="1" spans="1: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 customHeight="1" spans="1: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 customHeight="1" spans="1: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 customHeight="1" spans="1: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 customHeight="1" spans="1: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 customHeight="1" spans="1: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 customHeight="1" spans="1: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 customHeight="1" spans="1: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 customHeight="1" spans="1: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 customHeight="1" spans="1: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 customHeight="1" spans="1: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 customHeight="1" spans="1: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 customHeight="1" spans="1: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 customHeight="1" spans="1: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 customHeight="1" spans="1: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 customHeight="1" spans="1: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 customHeight="1" spans="1: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 customHeight="1" spans="1: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 customHeight="1" spans="1: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 customHeight="1" spans="1: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 customHeight="1" spans="1: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 customHeight="1" spans="1: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 customHeight="1" spans="1: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 customHeight="1" spans="1: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 customHeight="1" spans="1: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 customHeight="1" spans="1: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 customHeight="1" spans="1: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 customHeight="1" spans="1: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 customHeight="1" spans="1: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 customHeight="1" spans="1: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 customHeight="1" spans="1: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 customHeight="1" spans="1: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 customHeight="1" spans="1: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 customHeight="1" spans="1: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 customHeight="1" spans="1: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 customHeight="1" spans="1: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 customHeight="1" spans="1: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 customHeight="1" spans="1: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 customHeight="1" spans="1: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 customHeight="1" spans="1: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 customHeight="1" spans="1: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 customHeight="1" spans="1: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 customHeight="1" spans="1: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 customHeight="1" spans="1: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 customHeight="1" spans="1: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 customHeight="1" spans="1: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 customHeight="1" spans="1: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 customHeight="1" spans="1: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 customHeight="1" spans="1: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 customHeight="1" spans="1: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 customHeight="1" spans="1: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 customHeight="1" spans="1: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 customHeight="1" spans="1: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 customHeight="1" spans="1: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 customHeight="1" spans="1: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 customHeight="1" spans="1: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 customHeight="1" spans="1: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 customHeight="1" spans="1: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 customHeight="1" spans="1: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 customHeight="1" spans="1: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 customHeight="1" spans="1: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 customHeight="1" spans="1: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 customHeight="1" spans="1: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 customHeight="1" spans="1: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 customHeight="1" spans="1: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 customHeight="1" spans="1: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 customHeight="1" spans="1: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 customHeight="1" spans="1: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 customHeight="1" spans="1: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 customHeight="1" spans="1: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 customHeight="1" spans="1: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 customHeight="1" spans="1: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 customHeight="1" spans="1: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 customHeight="1" spans="1: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 customHeight="1" spans="1: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 customHeight="1" spans="1: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 customHeight="1" spans="1: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 customHeight="1" spans="1: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 customHeight="1" spans="1: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 customHeight="1" spans="1: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 customHeight="1" spans="1: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 customHeight="1" spans="1: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 customHeight="1" spans="1: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 customHeight="1" spans="1: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 customHeight="1" spans="1: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 customHeight="1" spans="1: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 customHeight="1" spans="1: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 customHeight="1" spans="1: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 customHeight="1" spans="1: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 customHeight="1" spans="1: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 customHeight="1" spans="1: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 customHeight="1" spans="1: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 customHeight="1" spans="1: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 customHeight="1" spans="1: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 customHeight="1" spans="1: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 customHeight="1" spans="1: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 customHeight="1" spans="1: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 customHeight="1" spans="1: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 customHeight="1" spans="1: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 customHeight="1" spans="1: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 customHeight="1" spans="1: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 customHeight="1" spans="1: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 customHeight="1" spans="1: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 customHeight="1" spans="1: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 customHeight="1" spans="1: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 customHeight="1" spans="1: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 customHeight="1" spans="1: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 customHeight="1" spans="1: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 customHeight="1" spans="1: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 customHeight="1" spans="1: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 customHeight="1" spans="1: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 customHeight="1" spans="1: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 customHeight="1" spans="1: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 customHeight="1" spans="1: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 customHeight="1" spans="1: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 customHeight="1" spans="1: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 customHeight="1" spans="1: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 customHeight="1" spans="1: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 customHeight="1" spans="1: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 customHeight="1" spans="1: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 customHeight="1" spans="1: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 customHeight="1" spans="1: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 customHeight="1" spans="1: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 customHeight="1" spans="1: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 customHeight="1" spans="1: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 customHeight="1" spans="1: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 customHeight="1" spans="1: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 customHeight="1" spans="1: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 customHeight="1" spans="1: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 customHeight="1" spans="1: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 customHeight="1" spans="1: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 customHeight="1" spans="1: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 customHeight="1" spans="1: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 customHeight="1" spans="1: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 customHeight="1" spans="1: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 customHeight="1" spans="1: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 customHeight="1" spans="1: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 customHeight="1" spans="1: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 customHeight="1" spans="1: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 customHeight="1" spans="1: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 customHeight="1" spans="1: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 customHeight="1" spans="1: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 customHeight="1" spans="1: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 customHeight="1" spans="1: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 customHeight="1" spans="1: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 customHeight="1" spans="1: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 customHeight="1" spans="1: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 customHeight="1" spans="1: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 customHeight="1" spans="1: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 customHeight="1" spans="1: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 customHeight="1" spans="1: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 customHeight="1" spans="1: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 customHeight="1" spans="1: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 customHeight="1" spans="1: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 customHeight="1" spans="1: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 customHeight="1" spans="1: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 customHeight="1" spans="1: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 customHeight="1" spans="1: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 customHeight="1" spans="1: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 customHeight="1" spans="1: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 customHeight="1" spans="1: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 customHeight="1" spans="1: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 customHeight="1" spans="1: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 customHeight="1" spans="1: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 customHeight="1" spans="1: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 customHeight="1" spans="1: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 customHeight="1" spans="1: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 customHeight="1" spans="1: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 customHeight="1" spans="1: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 customHeight="1" spans="1: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 customHeight="1" spans="1: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 customHeight="1" spans="1: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 customHeight="1" spans="1: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 customHeight="1" spans="1: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 customHeight="1" spans="1: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 customHeight="1" spans="1: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 customHeight="1" spans="1: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 customHeight="1" spans="1: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 customHeight="1" spans="1: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 customHeight="1" spans="1: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 customHeight="1" spans="1: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 customHeight="1" spans="1: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 customHeight="1" spans="1: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 customHeight="1" spans="1: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 customHeight="1" spans="1: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 customHeight="1" spans="1: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 customHeight="1" spans="1: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 customHeight="1" spans="1: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 customHeight="1" spans="1: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 customHeight="1" spans="1: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 customHeight="1" spans="1: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 customHeight="1" spans="1: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 customHeight="1" spans="1: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 customHeight="1" spans="1: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 customHeight="1" spans="1: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 customHeight="1" spans="1: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 customHeight="1" spans="1: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 customHeight="1" spans="1: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 customHeight="1" spans="1: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 customHeight="1" spans="1: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 customHeight="1" spans="1: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 customHeight="1" spans="1: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 customHeight="1" spans="1: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 customHeight="1" spans="1: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 customHeight="1" spans="1: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 customHeight="1" spans="1: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 customHeight="1" spans="1: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 customHeight="1" spans="1: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 customHeight="1" spans="1: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 customHeight="1" spans="1: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 customHeight="1" spans="1: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 customHeight="1" spans="1: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 customHeight="1" spans="1: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 customHeight="1" spans="1: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 customHeight="1" spans="1: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 customHeight="1" spans="1: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 customHeight="1" spans="1: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 customHeight="1" spans="1: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 customHeight="1" spans="1: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 customHeight="1" spans="1: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 customHeight="1" spans="1: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 customHeight="1" spans="1: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 customHeight="1" spans="1: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 customHeight="1" spans="1: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 customHeight="1" spans="1: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 customHeight="1" spans="1: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 customHeight="1" spans="1: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 customHeight="1" spans="1: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 customHeight="1" spans="1: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 customHeight="1" spans="1: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 customHeight="1" spans="1: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 customHeight="1" spans="1: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 customHeight="1" spans="1: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 customHeight="1" spans="1: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 customHeight="1" spans="1: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 customHeight="1" spans="1: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 customHeight="1" spans="1: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 customHeight="1" spans="1: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 customHeight="1" spans="1: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 customHeight="1" spans="1: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 customHeight="1" spans="1: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 customHeight="1" spans="1: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 customHeight="1" spans="1: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 customHeight="1" spans="1: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 customHeight="1" spans="1: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 customHeight="1" spans="1: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 customHeight="1" spans="1: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 customHeight="1" spans="1: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 customHeight="1" spans="1: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 customHeight="1" spans="1: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 customHeight="1" spans="1: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 customHeight="1" spans="1: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 customHeight="1" spans="1: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 customHeight="1" spans="1: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 customHeight="1" spans="1: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 customHeight="1" spans="1: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 customHeight="1" spans="1: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 customHeight="1" spans="1: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 customHeight="1" spans="1: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 customHeight="1" spans="1: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 customHeight="1" spans="1: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 customHeight="1" spans="1: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 customHeight="1" spans="1: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 customHeight="1" spans="1: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 customHeight="1" spans="1: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 customHeight="1" spans="1: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 customHeight="1" spans="1: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 customHeight="1" spans="1: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 customHeight="1" spans="1: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 customHeight="1" spans="1: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 customHeight="1" spans="1: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 customHeight="1" spans="1: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 customHeight="1" spans="1: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 customHeight="1" spans="1: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 customHeight="1" spans="1: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 customHeight="1" spans="1: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 customHeight="1" spans="1: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 customHeight="1" spans="1: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 customHeight="1" spans="1: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 customHeight="1" spans="1: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 customHeight="1" spans="1: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 customHeight="1" spans="1: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 customHeight="1" spans="1: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 customHeight="1" spans="1: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 customHeight="1" spans="1: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 customHeight="1" spans="1: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 customHeight="1" spans="1: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 customHeight="1" spans="1: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 customHeight="1" spans="1: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 customHeight="1" spans="1: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 customHeight="1" spans="1: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 customHeight="1" spans="1: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 customHeight="1" spans="1: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 customHeight="1" spans="1: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 customHeight="1" spans="1: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 customHeight="1" spans="1: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 customHeight="1" spans="1: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 customHeight="1" spans="1: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 customHeight="1" spans="1: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 customHeight="1" spans="1: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 customHeight="1" spans="1: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 customHeight="1" spans="1: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 customHeight="1" spans="1: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 customHeight="1" spans="1: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 customHeight="1" spans="1: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 customHeight="1" spans="1: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 customHeight="1" spans="1: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 customHeight="1" spans="1: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 customHeight="1" spans="1: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 customHeight="1" spans="1: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 customHeight="1" spans="1: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 customHeight="1" spans="1: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 customHeight="1" spans="1: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 customHeight="1" spans="1: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 customHeight="1" spans="1: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 customHeight="1" spans="1: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 customHeight="1" spans="1: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 customHeight="1" spans="1: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 customHeight="1" spans="1: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 customHeight="1" spans="1: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 customHeight="1" spans="1: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 customHeight="1" spans="1: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 customHeight="1" spans="1: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 customHeight="1" spans="1: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 customHeight="1" spans="1: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 customHeight="1" spans="1: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 customHeight="1" spans="1: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 customHeight="1" spans="1: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 customHeight="1" spans="1: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 customHeight="1" spans="1: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 customHeight="1" spans="1: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 customHeight="1" spans="1: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 customHeight="1" spans="1: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 customHeight="1" spans="1: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 customHeight="1" spans="1: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 customHeight="1" spans="1: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 customHeight="1" spans="1: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 customHeight="1" spans="1: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 customHeight="1" spans="1: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 customHeight="1" spans="1: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 customHeight="1" spans="1: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 customHeight="1" spans="1: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 customHeight="1" spans="1: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 customHeight="1" spans="1: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 customHeight="1" spans="1: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 customHeight="1" spans="1: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 customHeight="1" spans="1: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 customHeight="1" spans="1: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 customHeight="1" spans="1: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 customHeight="1" spans="1: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 customHeight="1" spans="1: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 customHeight="1" spans="1: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 customHeight="1" spans="1: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 customHeight="1" spans="1: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 customHeight="1" spans="1: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 customHeight="1" spans="1: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 customHeight="1" spans="1: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 customHeight="1" spans="1: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 customHeight="1" spans="1: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 customHeight="1" spans="1: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 customHeight="1" spans="1: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 customHeight="1" spans="1: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 customHeight="1" spans="1: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 customHeight="1" spans="1: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 customHeight="1" spans="1: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 customHeight="1" spans="1: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 customHeight="1" spans="1: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 customHeight="1" spans="1: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 customHeight="1" spans="1: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 customHeight="1" spans="1: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 customHeight="1" spans="1: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 customHeight="1" spans="1: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 customHeight="1" spans="1: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 customHeight="1" spans="1: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 customHeight="1" spans="1: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 customHeight="1" spans="1: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 customHeight="1" spans="1: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 customHeight="1" spans="1: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 customHeight="1" spans="1: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 customHeight="1" spans="1: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 customHeight="1" spans="1: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 customHeight="1" spans="1: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 customHeight="1" spans="1: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 customHeight="1" spans="1: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 customHeight="1" spans="1: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 customHeight="1" spans="1: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 customHeight="1" spans="1: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 customHeight="1" spans="1: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 customHeight="1" spans="1: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 customHeight="1" spans="1: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 customHeight="1" spans="1: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 customHeight="1" spans="1: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 customHeight="1" spans="1: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 customHeight="1" spans="1: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 customHeight="1" spans="1: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 customHeight="1" spans="1: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 customHeight="1" spans="1: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 customHeight="1" spans="1: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 customHeight="1" spans="1: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 customHeight="1" spans="1: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 customHeight="1" spans="1: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 customHeight="1" spans="1: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 customHeight="1" spans="1: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 customHeight="1" spans="1: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 customHeight="1" spans="1: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 customHeight="1" spans="1: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 customHeight="1" spans="1: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 customHeight="1" spans="1: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 customHeight="1" spans="1: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 customHeight="1" spans="1: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 customHeight="1" spans="1: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 customHeight="1" spans="1: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 customHeight="1" spans="1: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</sheetData>
  <mergeCells count="37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D70:E70"/>
    <mergeCell ref="F70:G70"/>
    <mergeCell ref="H70:I70"/>
    <mergeCell ref="J70:K70"/>
    <mergeCell ref="L70:M70"/>
    <mergeCell ref="N70:O70"/>
    <mergeCell ref="P70:Q70"/>
    <mergeCell ref="D71:E71"/>
    <mergeCell ref="F71:G71"/>
    <mergeCell ref="H71:I71"/>
    <mergeCell ref="J71:K71"/>
    <mergeCell ref="L71:M71"/>
    <mergeCell ref="N71:O71"/>
    <mergeCell ref="P71:Q71"/>
    <mergeCell ref="A1:A3"/>
    <mergeCell ref="A70:A72"/>
    <mergeCell ref="B1:B3"/>
    <mergeCell ref="B70:B72"/>
    <mergeCell ref="C1:C3"/>
    <mergeCell ref="C70:C72"/>
    <mergeCell ref="D1:D3"/>
    <mergeCell ref="E1:E3"/>
    <mergeCell ref="F1:F3"/>
  </mergeCells>
  <conditionalFormatting sqref="G65:M65">
    <cfRule type="cellIs" dxfId="0" priority="4" operator="lessThan">
      <formula>0</formula>
    </cfRule>
  </conditionalFormatting>
  <conditionalFormatting sqref="W4:W37">
    <cfRule type="cellIs" dxfId="0" priority="2" operator="greaterThanOrEqual">
      <formula>1</formula>
    </cfRule>
    <cfRule type="cellIs" dxfId="0" priority="3" operator="lessThanOrEqual">
      <formula>-1</formula>
    </cfRule>
  </conditionalFormatting>
  <conditionalFormatting sqref="A4:A55 A78:A997">
    <cfRule type="expression" dxfId="1" priority="1">
      <formula>COUNTIF(A:A,A4)&gt;1</formula>
    </cfRule>
  </conditionalFormatting>
  <conditionalFormatting sqref="G4:T55">
    <cfRule type="colorScale" priority="5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37"/>
  <sheetViews>
    <sheetView workbookViewId="0">
      <selection activeCell="A1" sqref="A1"/>
    </sheetView>
  </sheetViews>
  <sheetFormatPr defaultColWidth="12.6272727272727" defaultRowHeight="15.75" customHeight="1"/>
  <cols>
    <col min="1" max="1" width="8.38181818181818" customWidth="1"/>
    <col min="2" max="2" width="17.5" customWidth="1"/>
    <col min="3" max="3" width="6.5" customWidth="1"/>
    <col min="4" max="4" width="8.5" customWidth="1"/>
    <col min="5" max="6" width="4.75454545454545" customWidth="1"/>
    <col min="7" max="7" width="6.5" customWidth="1"/>
    <col min="8" max="8" width="5.12727272727273" customWidth="1"/>
    <col min="9" max="9" width="6.38181818181818" customWidth="1"/>
    <col min="10" max="10" width="5.12727272727273" customWidth="1"/>
    <col min="11" max="11" width="8.88181818181818" customWidth="1"/>
    <col min="12" max="12" width="5.12727272727273" customWidth="1"/>
    <col min="13" max="13" width="7.12727272727273" customWidth="1"/>
    <col min="14" max="16" width="5.12727272727273" customWidth="1"/>
    <col min="17" max="17" width="6.88181818181818" customWidth="1"/>
    <col min="18" max="18" width="5.12727272727273" customWidth="1"/>
    <col min="19" max="19" width="5.88181818181818" customWidth="1"/>
    <col min="20" max="20" width="5.12727272727273" customWidth="1"/>
    <col min="21" max="21" width="10.1272727272727" customWidth="1"/>
    <col min="22" max="22" width="12.6272727272727" customWidth="1"/>
    <col min="23" max="23" width="8.62727272727273" customWidth="1"/>
    <col min="24" max="24" width="6.38181818181818" customWidth="1"/>
  </cols>
  <sheetData>
    <row r="1" customHeigh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6">
        <v>45600</v>
      </c>
      <c r="H1" s="14"/>
      <c r="I1" s="46">
        <f>G1+1</f>
        <v>45601</v>
      </c>
      <c r="J1" s="14"/>
      <c r="K1" s="46">
        <f>I1+1</f>
        <v>45602</v>
      </c>
      <c r="L1" s="14"/>
      <c r="M1" s="46">
        <f>K1+1</f>
        <v>45603</v>
      </c>
      <c r="N1" s="14"/>
      <c r="O1" s="46">
        <f>M1+1</f>
        <v>45604</v>
      </c>
      <c r="P1" s="14"/>
      <c r="Q1" s="46">
        <f>O1+1</f>
        <v>45605</v>
      </c>
      <c r="R1" s="14"/>
      <c r="S1" s="46">
        <f>Q1+1</f>
        <v>45606</v>
      </c>
      <c r="T1" s="14"/>
      <c r="U1" s="21"/>
      <c r="V1" s="21"/>
      <c r="W1" s="21"/>
    </row>
    <row r="2" customHeight="1" spans="1:23">
      <c r="A2" s="47"/>
      <c r="B2" s="47"/>
      <c r="C2" s="47"/>
      <c r="D2" s="47"/>
      <c r="E2" s="47"/>
      <c r="F2" s="47"/>
      <c r="G2" s="48" t="s">
        <v>6</v>
      </c>
      <c r="H2" s="14"/>
      <c r="I2" s="48" t="s">
        <v>7</v>
      </c>
      <c r="J2" s="14"/>
      <c r="K2" s="48" t="s">
        <v>8</v>
      </c>
      <c r="L2" s="14"/>
      <c r="M2" s="48" t="s">
        <v>9</v>
      </c>
      <c r="N2" s="14"/>
      <c r="O2" s="48" t="s">
        <v>10</v>
      </c>
      <c r="P2" s="14"/>
      <c r="Q2" s="48" t="s">
        <v>11</v>
      </c>
      <c r="R2" s="14"/>
      <c r="S2" s="48" t="s">
        <v>12</v>
      </c>
      <c r="T2" s="14"/>
      <c r="U2" s="21"/>
      <c r="V2" s="21"/>
      <c r="W2" s="21"/>
    </row>
    <row r="3" customHeight="1" spans="1:24">
      <c r="A3" s="49"/>
      <c r="B3" s="49"/>
      <c r="C3" s="49"/>
      <c r="D3" s="49"/>
      <c r="E3" s="49"/>
      <c r="F3" s="49"/>
      <c r="G3" s="50" t="s">
        <v>13</v>
      </c>
      <c r="H3" s="50" t="s">
        <v>14</v>
      </c>
      <c r="I3" s="50" t="s">
        <v>13</v>
      </c>
      <c r="J3" s="50" t="s">
        <v>14</v>
      </c>
      <c r="K3" s="50" t="s">
        <v>13</v>
      </c>
      <c r="L3" s="50" t="s">
        <v>14</v>
      </c>
      <c r="M3" s="50" t="s">
        <v>13</v>
      </c>
      <c r="N3" s="50" t="s">
        <v>14</v>
      </c>
      <c r="O3" s="50" t="s">
        <v>13</v>
      </c>
      <c r="P3" s="50" t="s">
        <v>14</v>
      </c>
      <c r="Q3" s="50" t="s">
        <v>13</v>
      </c>
      <c r="R3" s="50" t="s">
        <v>14</v>
      </c>
      <c r="S3" s="50" t="s">
        <v>13</v>
      </c>
      <c r="T3" s="50" t="s">
        <v>14</v>
      </c>
      <c r="U3" s="59" t="s">
        <v>15</v>
      </c>
      <c r="V3" s="84" t="s">
        <v>16</v>
      </c>
      <c r="W3" s="59" t="s">
        <v>17</v>
      </c>
      <c r="X3" s="11" t="s">
        <v>18</v>
      </c>
    </row>
    <row r="4" customHeight="1" spans="1:24">
      <c r="A4" s="7">
        <v>10316549</v>
      </c>
      <c r="B4" s="51" t="s">
        <v>19</v>
      </c>
      <c r="C4" s="52" t="s">
        <v>20</v>
      </c>
      <c r="D4" s="52" t="s">
        <v>21</v>
      </c>
      <c r="E4" s="52" t="s">
        <v>22</v>
      </c>
      <c r="F4" s="53">
        <v>1</v>
      </c>
      <c r="G4" s="54">
        <v>0.458333333333333</v>
      </c>
      <c r="H4" s="54">
        <f t="shared" ref="H4:H28" si="0">IFERROR(G4+$X4,"OFF")</f>
        <v>0.875</v>
      </c>
      <c r="I4" s="54">
        <v>0.458333333333333</v>
      </c>
      <c r="J4" s="54">
        <f t="shared" ref="J4:J37" si="1">IFERROR(I4+$X4,"OFF")</f>
        <v>0.875</v>
      </c>
      <c r="K4" s="54">
        <v>0.458333333333333</v>
      </c>
      <c r="L4" s="54">
        <f t="shared" ref="L4:L37" si="2">IFERROR(K4+$X4,"OFF")</f>
        <v>0.875</v>
      </c>
      <c r="M4" s="54">
        <v>0.458333333333333</v>
      </c>
      <c r="N4" s="54">
        <f t="shared" ref="N4:N37" si="3">IFERROR(M4+$X4,"OFF")</f>
        <v>0.875</v>
      </c>
      <c r="O4" s="21" t="s">
        <v>23</v>
      </c>
      <c r="P4" s="54" t="str">
        <f t="shared" ref="P4:P30" si="4">IFERROR(O4+$X4,"OFF")</f>
        <v>OFF</v>
      </c>
      <c r="Q4" s="21" t="s">
        <v>23</v>
      </c>
      <c r="R4" s="21" t="s">
        <v>23</v>
      </c>
      <c r="S4" s="54">
        <v>0.458333333333333</v>
      </c>
      <c r="T4" s="54">
        <v>0.666666666666667</v>
      </c>
      <c r="U4" s="21">
        <f>IFERROR(__xludf.DUMMYFUNCTION("TO_PURE_NUMBER(SUM(FILTER(G4:T4, ISEVEN(COLUMN(G4:T4))))-SUM(FILTER(G4:T4, ISODD(COLUMN(G4:T4)))))*24"),45)</f>
        <v>45</v>
      </c>
      <c r="V4" s="21">
        <v>45</v>
      </c>
      <c r="W4" s="21">
        <f t="shared" ref="W4:W37" si="5">V4-U4</f>
        <v>0</v>
      </c>
      <c r="X4" s="58">
        <v>0.416666666666667</v>
      </c>
    </row>
    <row r="5" customHeight="1" spans="1:24">
      <c r="A5" s="7">
        <v>10250963</v>
      </c>
      <c r="B5" s="51" t="s">
        <v>25</v>
      </c>
      <c r="C5" s="52" t="s">
        <v>20</v>
      </c>
      <c r="D5" s="52" t="s">
        <v>21</v>
      </c>
      <c r="E5" s="52" t="s">
        <v>22</v>
      </c>
      <c r="F5" s="53">
        <v>1</v>
      </c>
      <c r="G5" s="54">
        <v>0.458333333333333</v>
      </c>
      <c r="H5" s="54">
        <f t="shared" si="0"/>
        <v>0.875</v>
      </c>
      <c r="I5" s="54">
        <v>0.458333333333333</v>
      </c>
      <c r="J5" s="54">
        <f t="shared" si="1"/>
        <v>0.875</v>
      </c>
      <c r="K5" s="54">
        <v>0.458333333333333</v>
      </c>
      <c r="L5" s="54">
        <f t="shared" si="2"/>
        <v>0.875</v>
      </c>
      <c r="M5" s="54">
        <v>0.458333333333333</v>
      </c>
      <c r="N5" s="54">
        <f t="shared" si="3"/>
        <v>0.875</v>
      </c>
      <c r="O5" s="21" t="s">
        <v>23</v>
      </c>
      <c r="P5" s="54" t="str">
        <f t="shared" si="4"/>
        <v>OFF</v>
      </c>
      <c r="Q5" s="21" t="s">
        <v>23</v>
      </c>
      <c r="R5" s="21" t="s">
        <v>23</v>
      </c>
      <c r="S5" s="54">
        <v>0.458333333333333</v>
      </c>
      <c r="T5" s="54">
        <v>0.666666666666667</v>
      </c>
      <c r="U5" s="21">
        <f>IFERROR(__xludf.DUMMYFUNCTION("TO_PURE_NUMBER(SUM(FILTER(G5:T5, ISEVEN(COLUMN(G5:T5))))-SUM(FILTER(G5:T5, ISODD(COLUMN(G5:T5)))))*24"),45)</f>
        <v>45</v>
      </c>
      <c r="V5" s="21">
        <v>45</v>
      </c>
      <c r="W5" s="21">
        <f t="shared" si="5"/>
        <v>0</v>
      </c>
      <c r="X5" s="58">
        <v>0.416666666666667</v>
      </c>
    </row>
    <row r="6" customHeight="1" spans="1:24">
      <c r="A6" s="7">
        <v>10317153</v>
      </c>
      <c r="B6" s="51" t="s">
        <v>42</v>
      </c>
      <c r="C6" s="52" t="s">
        <v>20</v>
      </c>
      <c r="D6" s="52" t="s">
        <v>21</v>
      </c>
      <c r="E6" s="52" t="s">
        <v>22</v>
      </c>
      <c r="F6" s="53">
        <v>1</v>
      </c>
      <c r="G6" s="54">
        <v>0.458333333333333</v>
      </c>
      <c r="H6" s="54">
        <f t="shared" si="0"/>
        <v>0.875</v>
      </c>
      <c r="I6" s="54">
        <v>0.458333333333333</v>
      </c>
      <c r="J6" s="54">
        <f t="shared" si="1"/>
        <v>0.875</v>
      </c>
      <c r="K6" s="54">
        <v>0.458333333333333</v>
      </c>
      <c r="L6" s="54">
        <f t="shared" si="2"/>
        <v>0.875</v>
      </c>
      <c r="M6" s="54">
        <v>0.458333333333333</v>
      </c>
      <c r="N6" s="54">
        <f t="shared" si="3"/>
        <v>0.875</v>
      </c>
      <c r="O6" s="21" t="s">
        <v>23</v>
      </c>
      <c r="P6" s="54" t="str">
        <f t="shared" si="4"/>
        <v>OFF</v>
      </c>
      <c r="Q6" s="21" t="s">
        <v>23</v>
      </c>
      <c r="R6" s="21" t="s">
        <v>23</v>
      </c>
      <c r="S6" s="54">
        <v>0.458333333333333</v>
      </c>
      <c r="T6" s="54">
        <v>0.666666666666667</v>
      </c>
      <c r="U6" s="21">
        <f>IFERROR(__xludf.DUMMYFUNCTION("TO_PURE_NUMBER(SUM(FILTER(G6:T6, ISEVEN(COLUMN(G6:T6))))-SUM(FILTER(G6:T6, ISODD(COLUMN(G6:T6)))))*24"),45)</f>
        <v>45</v>
      </c>
      <c r="V6" s="21">
        <v>45</v>
      </c>
      <c r="W6" s="21">
        <f t="shared" si="5"/>
        <v>0</v>
      </c>
      <c r="X6" s="58">
        <v>0.416666666666667</v>
      </c>
    </row>
    <row r="7" customHeight="1" spans="1:24">
      <c r="A7" s="7">
        <v>10317520</v>
      </c>
      <c r="B7" s="51" t="s">
        <v>37</v>
      </c>
      <c r="C7" s="52" t="s">
        <v>20</v>
      </c>
      <c r="D7" s="52" t="s">
        <v>21</v>
      </c>
      <c r="E7" s="52" t="s">
        <v>22</v>
      </c>
      <c r="F7" s="53">
        <v>2</v>
      </c>
      <c r="G7" s="54">
        <v>0.5</v>
      </c>
      <c r="H7" s="54">
        <f t="shared" si="0"/>
        <v>0.875</v>
      </c>
      <c r="I7" s="54">
        <v>0.5</v>
      </c>
      <c r="J7" s="54">
        <f t="shared" si="1"/>
        <v>0.875</v>
      </c>
      <c r="K7" s="54">
        <v>0.5</v>
      </c>
      <c r="L7" s="54">
        <f t="shared" si="2"/>
        <v>0.875</v>
      </c>
      <c r="M7" s="54">
        <v>0.5</v>
      </c>
      <c r="N7" s="54">
        <f t="shared" si="3"/>
        <v>0.875</v>
      </c>
      <c r="O7" s="54">
        <v>0.5</v>
      </c>
      <c r="P7" s="54">
        <f t="shared" si="4"/>
        <v>0.875</v>
      </c>
      <c r="Q7" s="21" t="s">
        <v>23</v>
      </c>
      <c r="R7" s="21" t="s">
        <v>23</v>
      </c>
      <c r="S7" s="21" t="s">
        <v>23</v>
      </c>
      <c r="T7" s="21" t="s">
        <v>23</v>
      </c>
      <c r="U7" s="21">
        <f>IFERROR(__xludf.DUMMYFUNCTION("TO_PURE_NUMBER(SUM(FILTER(G7:T7, ISEVEN(COLUMN(G7:T7))))-SUM(FILTER(G7:T7, ISODD(COLUMN(G7:T7)))))*24"),45)</f>
        <v>45</v>
      </c>
      <c r="V7" s="21">
        <v>45</v>
      </c>
      <c r="W7" s="21">
        <f t="shared" si="5"/>
        <v>0</v>
      </c>
      <c r="X7" s="58">
        <v>0.375</v>
      </c>
    </row>
    <row r="8" customHeight="1" spans="1:24">
      <c r="A8" s="7">
        <v>10316650</v>
      </c>
      <c r="B8" s="51" t="s">
        <v>39</v>
      </c>
      <c r="C8" s="52" t="s">
        <v>20</v>
      </c>
      <c r="D8" s="52" t="s">
        <v>21</v>
      </c>
      <c r="E8" s="52" t="s">
        <v>22</v>
      </c>
      <c r="F8" s="53">
        <v>2</v>
      </c>
      <c r="G8" s="54">
        <v>0.5</v>
      </c>
      <c r="H8" s="54">
        <f t="shared" si="0"/>
        <v>0.875</v>
      </c>
      <c r="I8" s="54">
        <v>0.5</v>
      </c>
      <c r="J8" s="54">
        <f t="shared" si="1"/>
        <v>0.875</v>
      </c>
      <c r="K8" s="54">
        <v>0.5</v>
      </c>
      <c r="L8" s="54">
        <f t="shared" si="2"/>
        <v>0.875</v>
      </c>
      <c r="M8" s="54">
        <v>0.5</v>
      </c>
      <c r="N8" s="54">
        <f t="shared" si="3"/>
        <v>0.875</v>
      </c>
      <c r="O8" s="54">
        <v>0.5</v>
      </c>
      <c r="P8" s="54">
        <f t="shared" si="4"/>
        <v>0.875</v>
      </c>
      <c r="Q8" s="21" t="s">
        <v>23</v>
      </c>
      <c r="R8" s="21" t="s">
        <v>23</v>
      </c>
      <c r="S8" s="21" t="s">
        <v>23</v>
      </c>
      <c r="T8" s="21" t="s">
        <v>23</v>
      </c>
      <c r="U8" s="21">
        <f>IFERROR(__xludf.DUMMYFUNCTION("TO_PURE_NUMBER(SUM(FILTER(G8:T8, ISEVEN(COLUMN(G8:T8))))-SUM(FILTER(G8:T8, ISODD(COLUMN(G8:T8)))))*24"),45)</f>
        <v>45</v>
      </c>
      <c r="V8" s="21">
        <v>45</v>
      </c>
      <c r="W8" s="21">
        <f t="shared" si="5"/>
        <v>0</v>
      </c>
      <c r="X8" s="58">
        <v>0.375</v>
      </c>
    </row>
    <row r="9" customHeight="1" spans="1:24">
      <c r="A9" s="7">
        <v>10317521</v>
      </c>
      <c r="B9" s="51" t="s">
        <v>28</v>
      </c>
      <c r="C9" s="52" t="s">
        <v>20</v>
      </c>
      <c r="D9" s="52" t="s">
        <v>21</v>
      </c>
      <c r="E9" s="52" t="s">
        <v>22</v>
      </c>
      <c r="F9" s="53">
        <v>2</v>
      </c>
      <c r="G9" s="54">
        <v>0.5</v>
      </c>
      <c r="H9" s="54">
        <f t="shared" si="0"/>
        <v>0.875</v>
      </c>
      <c r="I9" s="54">
        <v>0.5</v>
      </c>
      <c r="J9" s="54">
        <f t="shared" si="1"/>
        <v>0.875</v>
      </c>
      <c r="K9" s="54">
        <v>0.5</v>
      </c>
      <c r="L9" s="54">
        <f t="shared" si="2"/>
        <v>0.875</v>
      </c>
      <c r="M9" s="54">
        <v>0.5</v>
      </c>
      <c r="N9" s="54">
        <f t="shared" si="3"/>
        <v>0.875</v>
      </c>
      <c r="O9" s="54">
        <v>0.5</v>
      </c>
      <c r="P9" s="54">
        <f t="shared" si="4"/>
        <v>0.875</v>
      </c>
      <c r="Q9" s="21" t="s">
        <v>23</v>
      </c>
      <c r="R9" s="21" t="s">
        <v>23</v>
      </c>
      <c r="S9" s="21" t="s">
        <v>23</v>
      </c>
      <c r="T9" s="21" t="s">
        <v>23</v>
      </c>
      <c r="U9" s="21">
        <f>IFERROR(__xludf.DUMMYFUNCTION("TO_PURE_NUMBER(SUM(FILTER(G9:T9, ISEVEN(COLUMN(G9:T9))))-SUM(FILTER(G9:T9, ISODD(COLUMN(G9:T9)))))*24"),45)</f>
        <v>45</v>
      </c>
      <c r="V9" s="21">
        <v>45</v>
      </c>
      <c r="W9" s="21">
        <f t="shared" si="5"/>
        <v>0</v>
      </c>
      <c r="X9" s="58">
        <v>0.375</v>
      </c>
    </row>
    <row r="10" customHeight="1" spans="1:24">
      <c r="A10" s="7">
        <v>10317517</v>
      </c>
      <c r="B10" s="51" t="s">
        <v>29</v>
      </c>
      <c r="C10" s="52" t="s">
        <v>20</v>
      </c>
      <c r="D10" s="52" t="s">
        <v>21</v>
      </c>
      <c r="E10" s="52" t="s">
        <v>22</v>
      </c>
      <c r="F10" s="53">
        <v>2</v>
      </c>
      <c r="G10" s="54">
        <v>0.375</v>
      </c>
      <c r="H10" s="54">
        <f t="shared" si="0"/>
        <v>0.75</v>
      </c>
      <c r="I10" s="54">
        <v>0.375</v>
      </c>
      <c r="J10" s="54">
        <f t="shared" si="1"/>
        <v>0.75</v>
      </c>
      <c r="K10" s="54">
        <v>0.375</v>
      </c>
      <c r="L10" s="54">
        <f t="shared" si="2"/>
        <v>0.75</v>
      </c>
      <c r="M10" s="54">
        <v>0.5</v>
      </c>
      <c r="N10" s="54">
        <f t="shared" si="3"/>
        <v>0.875</v>
      </c>
      <c r="O10" s="54">
        <v>0.5</v>
      </c>
      <c r="P10" s="54">
        <f t="shared" si="4"/>
        <v>0.875</v>
      </c>
      <c r="Q10" s="21" t="s">
        <v>23</v>
      </c>
      <c r="R10" s="21" t="s">
        <v>23</v>
      </c>
      <c r="S10" s="21" t="s">
        <v>23</v>
      </c>
      <c r="T10" s="21" t="s">
        <v>23</v>
      </c>
      <c r="U10" s="21">
        <f>IFERROR(__xludf.DUMMYFUNCTION("TO_PURE_NUMBER(SUM(FILTER(G10:T10, ISEVEN(COLUMN(G10:T10))))-SUM(FILTER(G10:T10, ISODD(COLUMN(G10:T10)))))*24"),45)</f>
        <v>45</v>
      </c>
      <c r="V10" s="21">
        <v>45</v>
      </c>
      <c r="W10" s="21">
        <f t="shared" si="5"/>
        <v>0</v>
      </c>
      <c r="X10" s="58">
        <v>0.375</v>
      </c>
    </row>
    <row r="11" customHeight="1" spans="1:24">
      <c r="A11" s="7">
        <v>10316531</v>
      </c>
      <c r="B11" s="51" t="s">
        <v>205</v>
      </c>
      <c r="C11" s="52" t="s">
        <v>20</v>
      </c>
      <c r="D11" s="52" t="s">
        <v>21</v>
      </c>
      <c r="E11" s="52" t="s">
        <v>22</v>
      </c>
      <c r="F11" s="53">
        <v>2</v>
      </c>
      <c r="G11" s="54">
        <v>0.5</v>
      </c>
      <c r="H11" s="54">
        <f t="shared" si="0"/>
        <v>0.875</v>
      </c>
      <c r="I11" s="54">
        <v>0.5</v>
      </c>
      <c r="J11" s="54">
        <f t="shared" si="1"/>
        <v>0.875</v>
      </c>
      <c r="K11" s="54">
        <v>0.5</v>
      </c>
      <c r="L11" s="54">
        <f t="shared" si="2"/>
        <v>0.875</v>
      </c>
      <c r="M11" s="54">
        <v>0.5</v>
      </c>
      <c r="N11" s="54">
        <f t="shared" si="3"/>
        <v>0.875</v>
      </c>
      <c r="O11" s="54">
        <v>0.5</v>
      </c>
      <c r="P11" s="54">
        <f t="shared" si="4"/>
        <v>0.875</v>
      </c>
      <c r="Q11" s="21" t="s">
        <v>23</v>
      </c>
      <c r="R11" s="21" t="s">
        <v>23</v>
      </c>
      <c r="S11" s="21" t="s">
        <v>23</v>
      </c>
      <c r="T11" s="21" t="s">
        <v>23</v>
      </c>
      <c r="U11" s="21">
        <f>IFERROR(__xludf.DUMMYFUNCTION("TO_PURE_NUMBER(SUM(FILTER(G11:T11, ISEVEN(COLUMN(G11:T11))))-SUM(FILTER(G11:T11, ISODD(COLUMN(G11:T11)))))*24"),45)</f>
        <v>45</v>
      </c>
      <c r="V11" s="21">
        <v>45</v>
      </c>
      <c r="W11" s="21">
        <f t="shared" si="5"/>
        <v>0</v>
      </c>
      <c r="X11" s="58">
        <v>0.375</v>
      </c>
    </row>
    <row r="12" customHeight="1" spans="1:24">
      <c r="A12" s="7">
        <v>10316572</v>
      </c>
      <c r="B12" s="51" t="s">
        <v>46</v>
      </c>
      <c r="C12" s="52" t="s">
        <v>20</v>
      </c>
      <c r="D12" s="52" t="s">
        <v>21</v>
      </c>
      <c r="E12" s="52" t="s">
        <v>22</v>
      </c>
      <c r="F12" s="53">
        <v>2</v>
      </c>
      <c r="G12" s="54">
        <v>0.5</v>
      </c>
      <c r="H12" s="54">
        <f t="shared" si="0"/>
        <v>0.875</v>
      </c>
      <c r="I12" s="54">
        <v>0.5</v>
      </c>
      <c r="J12" s="54">
        <f t="shared" si="1"/>
        <v>0.875</v>
      </c>
      <c r="K12" s="54">
        <v>0.5</v>
      </c>
      <c r="L12" s="54">
        <f t="shared" si="2"/>
        <v>0.875</v>
      </c>
      <c r="M12" s="54">
        <v>0.5</v>
      </c>
      <c r="N12" s="54">
        <f t="shared" si="3"/>
        <v>0.875</v>
      </c>
      <c r="O12" s="54">
        <v>0.5</v>
      </c>
      <c r="P12" s="54">
        <f t="shared" si="4"/>
        <v>0.875</v>
      </c>
      <c r="Q12" s="21" t="s">
        <v>23</v>
      </c>
      <c r="R12" s="21" t="s">
        <v>23</v>
      </c>
      <c r="S12" s="21" t="s">
        <v>23</v>
      </c>
      <c r="T12" s="21" t="s">
        <v>23</v>
      </c>
      <c r="U12" s="21">
        <f>IFERROR(__xludf.DUMMYFUNCTION("TO_PURE_NUMBER(SUM(FILTER(G12:T12, ISEVEN(COLUMN(G12:T12))))-SUM(FILTER(G12:T12, ISODD(COLUMN(G12:T12)))))*24"),45)</f>
        <v>45</v>
      </c>
      <c r="V12" s="21">
        <v>45</v>
      </c>
      <c r="W12" s="21">
        <f t="shared" si="5"/>
        <v>0</v>
      </c>
      <c r="X12" s="58">
        <v>0.375</v>
      </c>
    </row>
    <row r="13" customHeight="1" spans="1:24">
      <c r="A13" s="7">
        <v>10252500</v>
      </c>
      <c r="B13" s="51" t="s">
        <v>207</v>
      </c>
      <c r="C13" s="52" t="s">
        <v>20</v>
      </c>
      <c r="D13" s="52" t="s">
        <v>21</v>
      </c>
      <c r="E13" s="52" t="s">
        <v>22</v>
      </c>
      <c r="F13" s="53">
        <v>2</v>
      </c>
      <c r="G13" s="54">
        <v>0.5</v>
      </c>
      <c r="H13" s="54">
        <f t="shared" si="0"/>
        <v>0.875</v>
      </c>
      <c r="I13" s="54">
        <v>0.5</v>
      </c>
      <c r="J13" s="54">
        <f t="shared" si="1"/>
        <v>0.875</v>
      </c>
      <c r="K13" s="54">
        <v>0.5</v>
      </c>
      <c r="L13" s="54">
        <f t="shared" si="2"/>
        <v>0.875</v>
      </c>
      <c r="M13" s="54">
        <v>0.5</v>
      </c>
      <c r="N13" s="54">
        <f t="shared" si="3"/>
        <v>0.875</v>
      </c>
      <c r="O13" s="54">
        <v>0.5</v>
      </c>
      <c r="P13" s="54">
        <f t="shared" si="4"/>
        <v>0.875</v>
      </c>
      <c r="Q13" s="21" t="s">
        <v>23</v>
      </c>
      <c r="R13" s="21" t="s">
        <v>23</v>
      </c>
      <c r="S13" s="21" t="s">
        <v>23</v>
      </c>
      <c r="T13" s="21" t="s">
        <v>23</v>
      </c>
      <c r="U13" s="21">
        <f>IFERROR(__xludf.DUMMYFUNCTION("TO_PURE_NUMBER(SUM(FILTER(G13:T13, ISEVEN(COLUMN(G13:T13))))-SUM(FILTER(G13:T13, ISODD(COLUMN(G13:T13)))))*24"),45)</f>
        <v>45</v>
      </c>
      <c r="V13" s="21">
        <v>45</v>
      </c>
      <c r="W13" s="21">
        <f t="shared" si="5"/>
        <v>0</v>
      </c>
      <c r="X13" s="58">
        <v>0.375</v>
      </c>
    </row>
    <row r="14" customHeight="1" spans="1:24">
      <c r="A14" s="7">
        <v>10275375</v>
      </c>
      <c r="B14" s="51" t="s">
        <v>208</v>
      </c>
      <c r="C14" s="52" t="s">
        <v>20</v>
      </c>
      <c r="D14" s="52" t="s">
        <v>21</v>
      </c>
      <c r="E14" s="52" t="s">
        <v>22</v>
      </c>
      <c r="F14" s="53">
        <v>2</v>
      </c>
      <c r="G14" s="54">
        <v>0.5</v>
      </c>
      <c r="H14" s="54">
        <f t="shared" si="0"/>
        <v>0.875</v>
      </c>
      <c r="I14" s="54">
        <v>0.5</v>
      </c>
      <c r="J14" s="54">
        <f t="shared" si="1"/>
        <v>0.875</v>
      </c>
      <c r="K14" s="54">
        <v>0.5</v>
      </c>
      <c r="L14" s="54">
        <f t="shared" si="2"/>
        <v>0.875</v>
      </c>
      <c r="M14" s="54">
        <v>0.5</v>
      </c>
      <c r="N14" s="54">
        <f t="shared" si="3"/>
        <v>0.875</v>
      </c>
      <c r="O14" s="54">
        <v>0.5</v>
      </c>
      <c r="P14" s="54">
        <f t="shared" si="4"/>
        <v>0.875</v>
      </c>
      <c r="Q14" s="21" t="s">
        <v>23</v>
      </c>
      <c r="R14" s="21" t="s">
        <v>23</v>
      </c>
      <c r="S14" s="21" t="s">
        <v>23</v>
      </c>
      <c r="T14" s="21" t="s">
        <v>23</v>
      </c>
      <c r="U14" s="21">
        <f>IFERROR(__xludf.DUMMYFUNCTION("TO_PURE_NUMBER(SUM(FILTER(G14:T14, ISEVEN(COLUMN(G14:T14))))-SUM(FILTER(G14:T14, ISODD(COLUMN(G14:T14)))))*24"),45)</f>
        <v>45</v>
      </c>
      <c r="V14" s="21">
        <v>45</v>
      </c>
      <c r="W14" s="21">
        <f t="shared" si="5"/>
        <v>0</v>
      </c>
      <c r="X14" s="58">
        <v>0.375</v>
      </c>
    </row>
    <row r="15" customHeight="1" spans="1:24">
      <c r="A15" s="62">
        <v>10272259</v>
      </c>
      <c r="B15" s="51" t="s">
        <v>103</v>
      </c>
      <c r="C15" s="52" t="s">
        <v>20</v>
      </c>
      <c r="D15" s="52" t="s">
        <v>21</v>
      </c>
      <c r="E15" s="52" t="s">
        <v>22</v>
      </c>
      <c r="F15" s="53">
        <v>2</v>
      </c>
      <c r="G15" s="54">
        <v>0.5</v>
      </c>
      <c r="H15" s="54">
        <f t="shared" si="0"/>
        <v>0.875</v>
      </c>
      <c r="I15" s="54">
        <v>0.5</v>
      </c>
      <c r="J15" s="54">
        <f t="shared" si="1"/>
        <v>0.875</v>
      </c>
      <c r="K15" s="54">
        <v>0.5</v>
      </c>
      <c r="L15" s="54">
        <f t="shared" si="2"/>
        <v>0.875</v>
      </c>
      <c r="M15" s="21" t="s">
        <v>23</v>
      </c>
      <c r="N15" s="54" t="str">
        <f t="shared" si="3"/>
        <v>OFF</v>
      </c>
      <c r="O15" s="21" t="s">
        <v>23</v>
      </c>
      <c r="P15" s="54" t="str">
        <f t="shared" si="4"/>
        <v>OFF</v>
      </c>
      <c r="Q15" s="54">
        <v>0.458333333333333</v>
      </c>
      <c r="R15" s="54">
        <v>0.666666666666667</v>
      </c>
      <c r="S15" s="54">
        <v>0.458333333333333</v>
      </c>
      <c r="T15" s="54">
        <v>0.666666666666667</v>
      </c>
      <c r="U15" s="21">
        <f>IFERROR(__xludf.DUMMYFUNCTION("TO_PURE_NUMBER(SUM(FILTER(G15:T15, ISEVEN(COLUMN(G15:T15))))-SUM(FILTER(G15:T15, ISODD(COLUMN(G15:T15)))))*24"),37)</f>
        <v>37</v>
      </c>
      <c r="V15" s="21">
        <v>37</v>
      </c>
      <c r="W15" s="21">
        <f t="shared" si="5"/>
        <v>0</v>
      </c>
      <c r="X15" s="58">
        <v>0.375</v>
      </c>
    </row>
    <row r="16" customHeight="1" spans="1:24">
      <c r="A16" s="62">
        <v>10276839</v>
      </c>
      <c r="B16" s="51" t="s">
        <v>54</v>
      </c>
      <c r="C16" s="52" t="s">
        <v>20</v>
      </c>
      <c r="D16" s="52" t="s">
        <v>21</v>
      </c>
      <c r="E16" s="52" t="s">
        <v>22</v>
      </c>
      <c r="F16" s="52">
        <v>2</v>
      </c>
      <c r="G16" s="54">
        <v>0.5</v>
      </c>
      <c r="H16" s="54">
        <f t="shared" si="0"/>
        <v>0.875</v>
      </c>
      <c r="I16" s="54">
        <v>0.5</v>
      </c>
      <c r="J16" s="54">
        <f t="shared" si="1"/>
        <v>0.875</v>
      </c>
      <c r="K16" s="54">
        <v>0.5</v>
      </c>
      <c r="L16" s="54">
        <f t="shared" si="2"/>
        <v>0.875</v>
      </c>
      <c r="M16" s="54">
        <v>0.5</v>
      </c>
      <c r="N16" s="54">
        <f t="shared" si="3"/>
        <v>0.875</v>
      </c>
      <c r="O16" s="54">
        <v>0.5</v>
      </c>
      <c r="P16" s="54">
        <f t="shared" si="4"/>
        <v>0.875</v>
      </c>
      <c r="Q16" s="21" t="s">
        <v>23</v>
      </c>
      <c r="R16" s="54" t="s">
        <v>23</v>
      </c>
      <c r="S16" s="54" t="s">
        <v>23</v>
      </c>
      <c r="T16" s="54" t="s">
        <v>23</v>
      </c>
      <c r="U16" s="21">
        <f>IFERROR(__xludf.DUMMYFUNCTION("TO_PURE_NUMBER(SUM(FILTER(G16:T16, ISEVEN(COLUMN(G16:T16))))-SUM(FILTER(G16:T16, ISODD(COLUMN(G16:T16)))))*24"),45)</f>
        <v>45</v>
      </c>
      <c r="V16" s="21">
        <v>45</v>
      </c>
      <c r="W16" s="21">
        <f t="shared" si="5"/>
        <v>0</v>
      </c>
      <c r="X16" s="58">
        <v>0.375</v>
      </c>
    </row>
    <row r="17" customHeight="1" spans="1:24">
      <c r="A17" s="62">
        <v>10317943</v>
      </c>
      <c r="B17" s="51" t="s">
        <v>27</v>
      </c>
      <c r="C17" s="52" t="s">
        <v>20</v>
      </c>
      <c r="D17" s="52" t="s">
        <v>21</v>
      </c>
      <c r="E17" s="52" t="s">
        <v>22</v>
      </c>
      <c r="F17" s="53">
        <v>2</v>
      </c>
      <c r="G17" s="54">
        <v>0.375</v>
      </c>
      <c r="H17" s="54">
        <f t="shared" si="0"/>
        <v>0.75</v>
      </c>
      <c r="I17" s="54">
        <v>0.375</v>
      </c>
      <c r="J17" s="54">
        <f t="shared" si="1"/>
        <v>0.75</v>
      </c>
      <c r="K17" s="54">
        <v>0.375</v>
      </c>
      <c r="L17" s="54">
        <f t="shared" si="2"/>
        <v>0.75</v>
      </c>
      <c r="M17" s="54">
        <v>0.375</v>
      </c>
      <c r="N17" s="54">
        <f t="shared" si="3"/>
        <v>0.75</v>
      </c>
      <c r="O17" s="54">
        <v>0.375</v>
      </c>
      <c r="P17" s="54">
        <f t="shared" si="4"/>
        <v>0.75</v>
      </c>
      <c r="Q17" s="21" t="s">
        <v>23</v>
      </c>
      <c r="R17" s="21" t="s">
        <v>23</v>
      </c>
      <c r="S17" s="21" t="s">
        <v>23</v>
      </c>
      <c r="T17" s="21" t="s">
        <v>23</v>
      </c>
      <c r="U17" s="21">
        <f>IFERROR(__xludf.DUMMYFUNCTION("TO_PURE_NUMBER(SUM(FILTER(G17:T17, ISEVEN(COLUMN(G17:T17))))-SUM(FILTER(G17:T17, ISODD(COLUMN(G17:T17)))))*24"),45)</f>
        <v>45</v>
      </c>
      <c r="V17" s="21">
        <v>45</v>
      </c>
      <c r="W17" s="21">
        <f t="shared" si="5"/>
        <v>0</v>
      </c>
      <c r="X17" s="85">
        <v>0.375</v>
      </c>
    </row>
    <row r="18" customHeight="1" spans="1:24">
      <c r="A18" s="62">
        <v>10295555</v>
      </c>
      <c r="B18" s="51" t="s">
        <v>210</v>
      </c>
      <c r="C18" s="52" t="s">
        <v>20</v>
      </c>
      <c r="D18" s="52" t="s">
        <v>21</v>
      </c>
      <c r="E18" s="52" t="s">
        <v>35</v>
      </c>
      <c r="F18" s="53">
        <v>2</v>
      </c>
      <c r="G18" s="54">
        <v>0.375</v>
      </c>
      <c r="H18" s="54">
        <f t="shared" si="0"/>
        <v>0.583333333333333</v>
      </c>
      <c r="I18" s="54">
        <v>0.375</v>
      </c>
      <c r="J18" s="54">
        <f t="shared" si="1"/>
        <v>0.583333333333333</v>
      </c>
      <c r="K18" s="54">
        <v>0.375</v>
      </c>
      <c r="L18" s="54">
        <f t="shared" si="2"/>
        <v>0.583333333333333</v>
      </c>
      <c r="M18" s="21" t="s">
        <v>23</v>
      </c>
      <c r="N18" s="54" t="str">
        <f t="shared" si="3"/>
        <v>OFF</v>
      </c>
      <c r="O18" s="21" t="s">
        <v>23</v>
      </c>
      <c r="P18" s="54" t="str">
        <f t="shared" si="4"/>
        <v>OFF</v>
      </c>
      <c r="Q18" s="54">
        <v>0.458333333333333</v>
      </c>
      <c r="R18" s="54">
        <v>0.666666666666667</v>
      </c>
      <c r="S18" s="54">
        <v>0.458333333333333</v>
      </c>
      <c r="T18" s="54">
        <v>0.666666666666667</v>
      </c>
      <c r="U18" s="21">
        <f>IFERROR(__xludf.DUMMYFUNCTION("TO_PURE_NUMBER(SUM(FILTER(G18:T18, ISEVEN(COLUMN(G18:T18))))-SUM(FILTER(G18:T18, ISODD(COLUMN(G18:T18)))))*24"),24.9999999999999)</f>
        <v>24.9999999999999</v>
      </c>
      <c r="V18" s="21">
        <v>25</v>
      </c>
      <c r="W18" s="21">
        <f t="shared" si="5"/>
        <v>9.9475983006414e-14</v>
      </c>
      <c r="X18" s="58">
        <v>0.208333333333333</v>
      </c>
    </row>
    <row r="19" customHeight="1" spans="1:24">
      <c r="A19" s="62">
        <v>10316618</v>
      </c>
      <c r="B19" s="51" t="s">
        <v>33</v>
      </c>
      <c r="C19" s="52" t="s">
        <v>20</v>
      </c>
      <c r="D19" s="52" t="s">
        <v>21</v>
      </c>
      <c r="E19" s="52" t="s">
        <v>22</v>
      </c>
      <c r="F19" s="53">
        <v>1</v>
      </c>
      <c r="G19" s="54">
        <v>0.375</v>
      </c>
      <c r="H19" s="54">
        <f t="shared" si="0"/>
        <v>0.791666666666667</v>
      </c>
      <c r="I19" s="54">
        <v>0.375</v>
      </c>
      <c r="J19" s="54">
        <f t="shared" si="1"/>
        <v>0.791666666666667</v>
      </c>
      <c r="K19" s="54">
        <v>0.375</v>
      </c>
      <c r="L19" s="54">
        <f t="shared" si="2"/>
        <v>0.791666666666667</v>
      </c>
      <c r="M19" s="54">
        <v>0.375</v>
      </c>
      <c r="N19" s="54">
        <f t="shared" si="3"/>
        <v>0.791666666666667</v>
      </c>
      <c r="O19" s="21" t="s">
        <v>23</v>
      </c>
      <c r="P19" s="54" t="str">
        <f t="shared" si="4"/>
        <v>OFF</v>
      </c>
      <c r="Q19" s="21" t="s">
        <v>23</v>
      </c>
      <c r="R19" s="21" t="s">
        <v>23</v>
      </c>
      <c r="S19" s="54">
        <v>0.458333333333333</v>
      </c>
      <c r="T19" s="54">
        <v>0.666666666666667</v>
      </c>
      <c r="U19" s="21">
        <f>IFERROR(__xludf.DUMMYFUNCTION("TO_PURE_NUMBER(SUM(FILTER(G19:T19, ISEVEN(COLUMN(G19:T19))))-SUM(FILTER(G19:T19, ISODD(COLUMN(G19:T19)))))*24"),44.9999999999999)</f>
        <v>44.9999999999999</v>
      </c>
      <c r="V19" s="21">
        <v>45</v>
      </c>
      <c r="W19" s="21">
        <f t="shared" si="5"/>
        <v>9.9475983006414e-14</v>
      </c>
      <c r="X19" s="58">
        <v>0.416666666666667</v>
      </c>
    </row>
    <row r="20" customHeight="1" spans="1:24">
      <c r="A20" s="62">
        <v>10316680</v>
      </c>
      <c r="B20" s="51" t="s">
        <v>40</v>
      </c>
      <c r="C20" s="52" t="s">
        <v>20</v>
      </c>
      <c r="D20" s="52" t="s">
        <v>21</v>
      </c>
      <c r="E20" s="52" t="s">
        <v>22</v>
      </c>
      <c r="F20" s="53">
        <v>1</v>
      </c>
      <c r="G20" s="54">
        <v>0.375</v>
      </c>
      <c r="H20" s="54">
        <f t="shared" si="0"/>
        <v>0.791666666666667</v>
      </c>
      <c r="I20" s="54">
        <v>0.375</v>
      </c>
      <c r="J20" s="54">
        <f t="shared" si="1"/>
        <v>0.791666666666667</v>
      </c>
      <c r="K20" s="54">
        <v>0.375</v>
      </c>
      <c r="L20" s="54">
        <f t="shared" si="2"/>
        <v>0.791666666666667</v>
      </c>
      <c r="M20" s="54">
        <v>0.375</v>
      </c>
      <c r="N20" s="54">
        <f t="shared" si="3"/>
        <v>0.791666666666667</v>
      </c>
      <c r="O20" s="21" t="s">
        <v>23</v>
      </c>
      <c r="P20" s="54" t="str">
        <f t="shared" si="4"/>
        <v>OFF</v>
      </c>
      <c r="Q20" s="21" t="s">
        <v>23</v>
      </c>
      <c r="R20" s="54" t="str">
        <f>IFERROR(Q20+$X20,"OFF")</f>
        <v>OFF</v>
      </c>
      <c r="S20" s="54">
        <v>0.458333333333333</v>
      </c>
      <c r="T20" s="54">
        <v>0.666666666666667</v>
      </c>
      <c r="U20" s="21">
        <f>IFERROR(__xludf.DUMMYFUNCTION("TO_PURE_NUMBER(SUM(FILTER(G20:T20, ISEVEN(COLUMN(G20:T20))))-SUM(FILTER(G20:T20, ISODD(COLUMN(G20:T20)))))*24"),44.9999999999999)</f>
        <v>44.9999999999999</v>
      </c>
      <c r="V20" s="21">
        <v>45</v>
      </c>
      <c r="W20" s="21">
        <f t="shared" si="5"/>
        <v>9.9475983006414e-14</v>
      </c>
      <c r="X20" s="58">
        <v>0.416666666666667</v>
      </c>
    </row>
    <row r="21" customHeight="1" spans="1:24">
      <c r="A21" s="62">
        <v>10316543</v>
      </c>
      <c r="B21" s="63" t="s">
        <v>41</v>
      </c>
      <c r="C21" s="52" t="s">
        <v>20</v>
      </c>
      <c r="D21" s="52" t="s">
        <v>21</v>
      </c>
      <c r="E21" s="52" t="s">
        <v>22</v>
      </c>
      <c r="F21" s="53">
        <v>1</v>
      </c>
      <c r="G21" s="54">
        <v>0.375</v>
      </c>
      <c r="H21" s="54">
        <f t="shared" si="0"/>
        <v>0.791666666666667</v>
      </c>
      <c r="I21" s="54">
        <v>0.375</v>
      </c>
      <c r="J21" s="54">
        <f t="shared" si="1"/>
        <v>0.791666666666667</v>
      </c>
      <c r="K21" s="54">
        <v>0.375</v>
      </c>
      <c r="L21" s="54">
        <f t="shared" si="2"/>
        <v>0.791666666666667</v>
      </c>
      <c r="M21" s="54">
        <v>0.375</v>
      </c>
      <c r="N21" s="54">
        <f t="shared" si="3"/>
        <v>0.791666666666667</v>
      </c>
      <c r="O21" s="21" t="s">
        <v>23</v>
      </c>
      <c r="P21" s="54" t="str">
        <f t="shared" si="4"/>
        <v>OFF</v>
      </c>
      <c r="Q21" s="21" t="s">
        <v>23</v>
      </c>
      <c r="R21" s="21" t="s">
        <v>23</v>
      </c>
      <c r="S21" s="54">
        <v>0.458333333333333</v>
      </c>
      <c r="T21" s="54">
        <v>0.666666666666667</v>
      </c>
      <c r="U21" s="21">
        <f>IFERROR(__xludf.DUMMYFUNCTION("TO_PURE_NUMBER(SUM(FILTER(G21:T21, ISEVEN(COLUMN(G21:T21))))-SUM(FILTER(G21:T21, ISODD(COLUMN(G21:T21)))))*24"),44.9999999999999)</f>
        <v>44.9999999999999</v>
      </c>
      <c r="V21" s="21">
        <v>45</v>
      </c>
      <c r="W21" s="21">
        <f t="shared" si="5"/>
        <v>9.9475983006414e-14</v>
      </c>
      <c r="X21" s="58">
        <v>0.416666666666667</v>
      </c>
    </row>
    <row r="22" customHeight="1" spans="1:24">
      <c r="A22" s="62">
        <v>10316546</v>
      </c>
      <c r="B22" s="51" t="s">
        <v>49</v>
      </c>
      <c r="C22" s="52" t="s">
        <v>20</v>
      </c>
      <c r="D22" s="52" t="s">
        <v>21</v>
      </c>
      <c r="E22" s="52" t="s">
        <v>22</v>
      </c>
      <c r="F22" s="53">
        <v>1</v>
      </c>
      <c r="G22" s="54">
        <v>0.375</v>
      </c>
      <c r="H22" s="54">
        <f t="shared" si="0"/>
        <v>0.791666666666667</v>
      </c>
      <c r="I22" s="54">
        <v>0.375</v>
      </c>
      <c r="J22" s="54">
        <f t="shared" si="1"/>
        <v>0.791666666666667</v>
      </c>
      <c r="K22" s="54">
        <v>0.375</v>
      </c>
      <c r="L22" s="54">
        <f t="shared" si="2"/>
        <v>0.791666666666667</v>
      </c>
      <c r="M22" s="54">
        <v>0.375</v>
      </c>
      <c r="N22" s="54">
        <f t="shared" si="3"/>
        <v>0.791666666666667</v>
      </c>
      <c r="O22" s="21" t="s">
        <v>23</v>
      </c>
      <c r="P22" s="54" t="str">
        <f t="shared" si="4"/>
        <v>OFF</v>
      </c>
      <c r="Q22" s="21" t="s">
        <v>23</v>
      </c>
      <c r="R22" s="21" t="s">
        <v>23</v>
      </c>
      <c r="S22" s="54">
        <v>0.458333333333333</v>
      </c>
      <c r="T22" s="54">
        <v>0.666666666666667</v>
      </c>
      <c r="U22" s="21">
        <f>IFERROR(__xludf.DUMMYFUNCTION("TO_PURE_NUMBER(SUM(FILTER(G22:T22, ISEVEN(COLUMN(G22:T22))))-SUM(FILTER(G22:T22, ISODD(COLUMN(G22:T22)))))*24"),44.9999999999999)</f>
        <v>44.9999999999999</v>
      </c>
      <c r="V22" s="21">
        <v>45</v>
      </c>
      <c r="W22" s="21">
        <f t="shared" si="5"/>
        <v>9.9475983006414e-14</v>
      </c>
      <c r="X22" s="58">
        <v>0.416666666666667</v>
      </c>
    </row>
    <row r="23" customHeight="1" spans="1:24">
      <c r="A23" s="62">
        <v>10317151</v>
      </c>
      <c r="B23" s="51" t="s">
        <v>52</v>
      </c>
      <c r="C23" s="52" t="s">
        <v>20</v>
      </c>
      <c r="D23" s="52" t="s">
        <v>21</v>
      </c>
      <c r="E23" s="52" t="s">
        <v>22</v>
      </c>
      <c r="F23" s="53">
        <v>1</v>
      </c>
      <c r="G23" s="54">
        <v>0.375</v>
      </c>
      <c r="H23" s="54">
        <f t="shared" si="0"/>
        <v>0.791666666666667</v>
      </c>
      <c r="I23" s="54">
        <v>0.375</v>
      </c>
      <c r="J23" s="54">
        <f t="shared" si="1"/>
        <v>0.791666666666667</v>
      </c>
      <c r="K23" s="54">
        <v>0.375</v>
      </c>
      <c r="L23" s="54">
        <f t="shared" si="2"/>
        <v>0.791666666666667</v>
      </c>
      <c r="M23" s="54">
        <v>0.375</v>
      </c>
      <c r="N23" s="54">
        <f t="shared" si="3"/>
        <v>0.791666666666667</v>
      </c>
      <c r="O23" s="21" t="s">
        <v>23</v>
      </c>
      <c r="P23" s="54" t="str">
        <f t="shared" si="4"/>
        <v>OFF</v>
      </c>
      <c r="Q23" s="21" t="s">
        <v>23</v>
      </c>
      <c r="R23" s="21" t="s">
        <v>23</v>
      </c>
      <c r="S23" s="54">
        <v>0.458333333333333</v>
      </c>
      <c r="T23" s="54">
        <v>0.666666666666667</v>
      </c>
      <c r="U23" s="21">
        <f>IFERROR(__xludf.DUMMYFUNCTION("TO_PURE_NUMBER(SUM(FILTER(G23:T23, ISEVEN(COLUMN(G23:T23))))-SUM(FILTER(G23:T23, ISODD(COLUMN(G23:T23)))))*24"),44.9999999999999)</f>
        <v>44.9999999999999</v>
      </c>
      <c r="V23" s="21">
        <v>45</v>
      </c>
      <c r="W23" s="21">
        <f t="shared" si="5"/>
        <v>9.9475983006414e-14</v>
      </c>
      <c r="X23" s="58">
        <v>0.416666666666667</v>
      </c>
    </row>
    <row r="24" customHeight="1" spans="1:24">
      <c r="A24" s="62">
        <v>10317522</v>
      </c>
      <c r="B24" s="63" t="s">
        <v>31</v>
      </c>
      <c r="C24" s="52" t="s">
        <v>20</v>
      </c>
      <c r="D24" s="52" t="s">
        <v>21</v>
      </c>
      <c r="E24" s="52" t="s">
        <v>22</v>
      </c>
      <c r="F24" s="53">
        <v>2</v>
      </c>
      <c r="G24" s="54">
        <v>0.375</v>
      </c>
      <c r="H24" s="54">
        <f t="shared" si="0"/>
        <v>0.75</v>
      </c>
      <c r="I24" s="54">
        <v>0.375</v>
      </c>
      <c r="J24" s="54">
        <f t="shared" si="1"/>
        <v>0.75</v>
      </c>
      <c r="K24" s="54">
        <v>0.375</v>
      </c>
      <c r="L24" s="54">
        <f t="shared" si="2"/>
        <v>0.75</v>
      </c>
      <c r="M24" s="54">
        <v>0.375</v>
      </c>
      <c r="N24" s="54">
        <f t="shared" si="3"/>
        <v>0.75</v>
      </c>
      <c r="O24" s="54">
        <v>0.375</v>
      </c>
      <c r="P24" s="54">
        <f t="shared" si="4"/>
        <v>0.75</v>
      </c>
      <c r="Q24" s="21" t="s">
        <v>23</v>
      </c>
      <c r="R24" s="21" t="s">
        <v>23</v>
      </c>
      <c r="S24" s="21" t="s">
        <v>23</v>
      </c>
      <c r="T24" s="21" t="s">
        <v>23</v>
      </c>
      <c r="U24" s="21">
        <f>IFERROR(__xludf.DUMMYFUNCTION("TO_PURE_NUMBER(SUM(FILTER(G24:T24, ISEVEN(COLUMN(G24:T24))))-SUM(FILTER(G24:T24, ISODD(COLUMN(G24:T24)))))*24"),45)</f>
        <v>45</v>
      </c>
      <c r="V24" s="21">
        <v>45</v>
      </c>
      <c r="W24" s="21">
        <f t="shared" si="5"/>
        <v>0</v>
      </c>
      <c r="X24" s="58">
        <v>0.375</v>
      </c>
    </row>
    <row r="25" customHeight="1" spans="1:24">
      <c r="A25" s="62">
        <v>10212379</v>
      </c>
      <c r="B25" s="51" t="s">
        <v>206</v>
      </c>
      <c r="C25" s="52" t="s">
        <v>20</v>
      </c>
      <c r="D25" s="52" t="s">
        <v>21</v>
      </c>
      <c r="E25" s="52" t="s">
        <v>22</v>
      </c>
      <c r="F25" s="53">
        <v>2</v>
      </c>
      <c r="G25" s="54">
        <v>0.375</v>
      </c>
      <c r="H25" s="54">
        <f t="shared" si="0"/>
        <v>0.75</v>
      </c>
      <c r="I25" s="54">
        <v>0.375</v>
      </c>
      <c r="J25" s="54">
        <f t="shared" si="1"/>
        <v>0.75</v>
      </c>
      <c r="K25" s="54">
        <v>0.375</v>
      </c>
      <c r="L25" s="54">
        <f t="shared" si="2"/>
        <v>0.75</v>
      </c>
      <c r="M25" s="54">
        <v>0.375</v>
      </c>
      <c r="N25" s="54">
        <f t="shared" si="3"/>
        <v>0.75</v>
      </c>
      <c r="O25" s="54">
        <v>0.375</v>
      </c>
      <c r="P25" s="54">
        <f t="shared" si="4"/>
        <v>0.75</v>
      </c>
      <c r="Q25" s="21" t="s">
        <v>23</v>
      </c>
      <c r="R25" s="21" t="s">
        <v>23</v>
      </c>
      <c r="S25" s="21" t="s">
        <v>23</v>
      </c>
      <c r="T25" s="21" t="s">
        <v>23</v>
      </c>
      <c r="U25" s="21">
        <f>IFERROR(__xludf.DUMMYFUNCTION("TO_PURE_NUMBER(SUM(FILTER(G25:T25, ISEVEN(COLUMN(G25:T25))))-SUM(FILTER(G25:T25, ISODD(COLUMN(G25:T25)))))*24"),45)</f>
        <v>45</v>
      </c>
      <c r="V25" s="21">
        <v>45</v>
      </c>
      <c r="W25" s="21">
        <f t="shared" si="5"/>
        <v>0</v>
      </c>
      <c r="X25" s="58">
        <v>0.375</v>
      </c>
    </row>
    <row r="26" customHeight="1" spans="1:24">
      <c r="A26" s="62">
        <v>10274446</v>
      </c>
      <c r="B26" s="51" t="s">
        <v>88</v>
      </c>
      <c r="C26" s="52" t="s">
        <v>20</v>
      </c>
      <c r="D26" s="52" t="s">
        <v>21</v>
      </c>
      <c r="E26" s="52" t="s">
        <v>22</v>
      </c>
      <c r="F26" s="53">
        <v>2</v>
      </c>
      <c r="G26" s="54">
        <v>0.5</v>
      </c>
      <c r="H26" s="54">
        <f t="shared" si="0"/>
        <v>0.875</v>
      </c>
      <c r="I26" s="54">
        <v>0.5</v>
      </c>
      <c r="J26" s="54">
        <f t="shared" si="1"/>
        <v>0.875</v>
      </c>
      <c r="K26" s="54">
        <v>0.5</v>
      </c>
      <c r="L26" s="54">
        <f t="shared" si="2"/>
        <v>0.875</v>
      </c>
      <c r="M26" s="54">
        <v>0.375</v>
      </c>
      <c r="N26" s="54">
        <f t="shared" si="3"/>
        <v>0.75</v>
      </c>
      <c r="O26" s="21" t="s">
        <v>23</v>
      </c>
      <c r="P26" s="54" t="str">
        <f t="shared" si="4"/>
        <v>OFF</v>
      </c>
      <c r="Q26" s="21" t="s">
        <v>23</v>
      </c>
      <c r="R26" s="21" t="s">
        <v>23</v>
      </c>
      <c r="S26" s="54">
        <v>0.458333333333333</v>
      </c>
      <c r="T26" s="54">
        <v>0.666666666666667</v>
      </c>
      <c r="U26" s="21">
        <f>IFERROR(__xludf.DUMMYFUNCTION("TO_PURE_NUMBER(SUM(FILTER(G26:T26, ISEVEN(COLUMN(G26:T26))))-SUM(FILTER(G26:T26, ISODD(COLUMN(G26:T26)))))*24"),41)</f>
        <v>41</v>
      </c>
      <c r="V26" s="21">
        <v>37</v>
      </c>
      <c r="W26" s="21">
        <f t="shared" si="5"/>
        <v>-4</v>
      </c>
      <c r="X26" s="58">
        <v>0.375</v>
      </c>
    </row>
    <row r="27" customHeight="1" spans="1:24">
      <c r="A27" s="62">
        <v>10316551</v>
      </c>
      <c r="B27" s="51" t="s">
        <v>87</v>
      </c>
      <c r="C27" s="52" t="s">
        <v>20</v>
      </c>
      <c r="D27" s="52" t="s">
        <v>21</v>
      </c>
      <c r="E27" s="52" t="s">
        <v>22</v>
      </c>
      <c r="F27" s="53">
        <v>1</v>
      </c>
      <c r="G27" s="54">
        <v>0.375</v>
      </c>
      <c r="H27" s="54">
        <f t="shared" si="0"/>
        <v>0.75</v>
      </c>
      <c r="I27" s="54">
        <v>0.375</v>
      </c>
      <c r="J27" s="54">
        <f t="shared" si="1"/>
        <v>0.75</v>
      </c>
      <c r="K27" s="54">
        <v>0.375</v>
      </c>
      <c r="L27" s="54">
        <f t="shared" si="2"/>
        <v>0.75</v>
      </c>
      <c r="M27" s="54">
        <v>0.375</v>
      </c>
      <c r="N27" s="54">
        <f t="shared" si="3"/>
        <v>0.75</v>
      </c>
      <c r="O27" s="21" t="s">
        <v>23</v>
      </c>
      <c r="P27" s="54" t="str">
        <f t="shared" si="4"/>
        <v>OFF</v>
      </c>
      <c r="Q27" s="21" t="s">
        <v>23</v>
      </c>
      <c r="R27" s="54" t="str">
        <f>IFERROR(Q27+$X27,"OFF")</f>
        <v>OFF</v>
      </c>
      <c r="S27" s="54">
        <v>0.458333333333333</v>
      </c>
      <c r="T27" s="54">
        <v>0.666666666666667</v>
      </c>
      <c r="U27" s="21">
        <f>IFERROR(__xludf.DUMMYFUNCTION("TO_PURE_NUMBER(SUM(FILTER(G27:T27, ISEVEN(COLUMN(G27:T27))))-SUM(FILTER(G27:T27, ISODD(COLUMN(G27:T27)))))*24"),41)</f>
        <v>41</v>
      </c>
      <c r="V27" s="21">
        <v>37</v>
      </c>
      <c r="W27" s="21">
        <f t="shared" si="5"/>
        <v>-4</v>
      </c>
      <c r="X27" s="58">
        <v>0.375</v>
      </c>
    </row>
    <row r="28" customHeight="1" spans="1:24">
      <c r="A28" s="62">
        <v>10317524</v>
      </c>
      <c r="B28" s="51" t="s">
        <v>53</v>
      </c>
      <c r="C28" s="52" t="s">
        <v>20</v>
      </c>
      <c r="D28" s="52" t="s">
        <v>21</v>
      </c>
      <c r="E28" s="52" t="s">
        <v>22</v>
      </c>
      <c r="F28" s="53">
        <v>2</v>
      </c>
      <c r="G28" s="54">
        <v>0.375</v>
      </c>
      <c r="H28" s="54">
        <f t="shared" si="0"/>
        <v>0.75</v>
      </c>
      <c r="I28" s="54">
        <v>0.375</v>
      </c>
      <c r="J28" s="54">
        <f t="shared" si="1"/>
        <v>0.75</v>
      </c>
      <c r="K28" s="54">
        <v>0.375</v>
      </c>
      <c r="L28" s="54">
        <f t="shared" si="2"/>
        <v>0.75</v>
      </c>
      <c r="M28" s="54">
        <v>0.375</v>
      </c>
      <c r="N28" s="54">
        <f t="shared" si="3"/>
        <v>0.75</v>
      </c>
      <c r="O28" s="54">
        <v>0.375</v>
      </c>
      <c r="P28" s="54">
        <f t="shared" si="4"/>
        <v>0.75</v>
      </c>
      <c r="Q28" s="21" t="s">
        <v>23</v>
      </c>
      <c r="R28" s="21" t="s">
        <v>23</v>
      </c>
      <c r="S28" s="21" t="s">
        <v>23</v>
      </c>
      <c r="T28" s="21" t="s">
        <v>23</v>
      </c>
      <c r="U28" s="21">
        <f>IFERROR(__xludf.DUMMYFUNCTION("TO_PURE_NUMBER(SUM(FILTER(G28:T28, ISEVEN(COLUMN(G28:T28))))-SUM(FILTER(G28:T28, ISODD(COLUMN(G28:T28)))))*24"),45)</f>
        <v>45</v>
      </c>
      <c r="V28" s="21">
        <v>45</v>
      </c>
      <c r="W28" s="21">
        <f t="shared" si="5"/>
        <v>0</v>
      </c>
      <c r="X28" s="58">
        <v>0.375</v>
      </c>
    </row>
    <row r="29" customHeight="1" spans="1:24">
      <c r="A29" s="62">
        <v>10316681</v>
      </c>
      <c r="B29" s="51" t="s">
        <v>38</v>
      </c>
      <c r="C29" s="52" t="s">
        <v>20</v>
      </c>
      <c r="D29" s="52" t="s">
        <v>21</v>
      </c>
      <c r="E29" s="52" t="s">
        <v>22</v>
      </c>
      <c r="F29" s="53">
        <v>1</v>
      </c>
      <c r="G29" s="21" t="s">
        <v>23</v>
      </c>
      <c r="H29" s="21" t="s">
        <v>23</v>
      </c>
      <c r="I29" s="54">
        <v>0.5</v>
      </c>
      <c r="J29" s="54">
        <f t="shared" si="1"/>
        <v>0.875</v>
      </c>
      <c r="K29" s="54">
        <v>0.5</v>
      </c>
      <c r="L29" s="54">
        <f t="shared" si="2"/>
        <v>0.875</v>
      </c>
      <c r="M29" s="54">
        <v>0.5</v>
      </c>
      <c r="N29" s="54">
        <f t="shared" si="3"/>
        <v>0.875</v>
      </c>
      <c r="O29" s="54">
        <v>0.5</v>
      </c>
      <c r="P29" s="54">
        <f t="shared" si="4"/>
        <v>0.875</v>
      </c>
      <c r="Q29" s="54">
        <v>0.458333333333333</v>
      </c>
      <c r="R29" s="54">
        <v>0.666666666666667</v>
      </c>
      <c r="S29" s="21" t="s">
        <v>23</v>
      </c>
      <c r="T29" s="21" t="s">
        <v>23</v>
      </c>
      <c r="U29" s="21">
        <f>IFERROR(__xludf.DUMMYFUNCTION("TO_PURE_NUMBER(SUM(FILTER(G29:T29, ISEVEN(COLUMN(G29:T29))))-SUM(FILTER(G29:T29, ISODD(COLUMN(G29:T29)))))*24"),41)</f>
        <v>41</v>
      </c>
      <c r="V29" s="21">
        <v>41</v>
      </c>
      <c r="W29" s="21">
        <f t="shared" si="5"/>
        <v>0</v>
      </c>
      <c r="X29" s="58">
        <v>0.375</v>
      </c>
    </row>
    <row r="30" customHeight="1" spans="1:24">
      <c r="A30" s="62">
        <v>10252106</v>
      </c>
      <c r="B30" s="51" t="s">
        <v>43</v>
      </c>
      <c r="C30" s="52" t="s">
        <v>20</v>
      </c>
      <c r="D30" s="52" t="s">
        <v>21</v>
      </c>
      <c r="E30" s="52" t="s">
        <v>22</v>
      </c>
      <c r="F30" s="53">
        <v>2</v>
      </c>
      <c r="G30" s="21" t="s">
        <v>23</v>
      </c>
      <c r="H30" s="21" t="s">
        <v>23</v>
      </c>
      <c r="I30" s="54">
        <v>0.5</v>
      </c>
      <c r="J30" s="54">
        <f t="shared" si="1"/>
        <v>0.875</v>
      </c>
      <c r="K30" s="21" t="s">
        <v>23</v>
      </c>
      <c r="L30" s="54" t="str">
        <f t="shared" si="2"/>
        <v>OFF</v>
      </c>
      <c r="M30" s="54">
        <v>0.5</v>
      </c>
      <c r="N30" s="54">
        <f t="shared" si="3"/>
        <v>0.875</v>
      </c>
      <c r="O30" s="54">
        <v>0.5</v>
      </c>
      <c r="P30" s="54">
        <f t="shared" si="4"/>
        <v>0.875</v>
      </c>
      <c r="Q30" s="54">
        <v>0.458333333333333</v>
      </c>
      <c r="R30" s="54">
        <v>0.666666666666667</v>
      </c>
      <c r="S30" s="54">
        <v>0.458333333333333</v>
      </c>
      <c r="T30" s="54">
        <v>0.666666666666667</v>
      </c>
      <c r="U30" s="21">
        <f>IFERROR(__xludf.DUMMYFUNCTION("TO_PURE_NUMBER(SUM(FILTER(G30:T30, ISEVEN(COLUMN(G30:T30))))-SUM(FILTER(G30:T30, ISODD(COLUMN(G30:T30)))))*24"),37)</f>
        <v>37</v>
      </c>
      <c r="V30" s="21">
        <v>37</v>
      </c>
      <c r="W30" s="21">
        <f t="shared" si="5"/>
        <v>0</v>
      </c>
      <c r="X30" s="58">
        <v>0.375</v>
      </c>
    </row>
    <row r="31" customHeight="1" spans="1:24">
      <c r="A31" s="62">
        <v>10316683</v>
      </c>
      <c r="B31" s="51" t="s">
        <v>51</v>
      </c>
      <c r="C31" s="52" t="s">
        <v>20</v>
      </c>
      <c r="D31" s="52" t="s">
        <v>21</v>
      </c>
      <c r="E31" s="52" t="s">
        <v>22</v>
      </c>
      <c r="F31" s="53">
        <v>1</v>
      </c>
      <c r="G31" s="54">
        <v>0.458333333333333</v>
      </c>
      <c r="H31" s="54">
        <f>IFERROR(G31+$X31,"OFF")</f>
        <v>0.875</v>
      </c>
      <c r="I31" s="54">
        <v>0.458333333333333</v>
      </c>
      <c r="J31" s="54">
        <f t="shared" si="1"/>
        <v>0.875</v>
      </c>
      <c r="K31" s="54">
        <v>0.458333333333333</v>
      </c>
      <c r="L31" s="54">
        <f t="shared" si="2"/>
        <v>0.875</v>
      </c>
      <c r="M31" s="54">
        <v>0.458333333333333</v>
      </c>
      <c r="N31" s="54">
        <f t="shared" si="3"/>
        <v>0.875</v>
      </c>
      <c r="O31" s="21" t="s">
        <v>23</v>
      </c>
      <c r="P31" s="21" t="s">
        <v>23</v>
      </c>
      <c r="Q31" s="21" t="s">
        <v>23</v>
      </c>
      <c r="R31" s="21" t="s">
        <v>23</v>
      </c>
      <c r="S31" s="54">
        <v>0.458333333333333</v>
      </c>
      <c r="T31" s="54">
        <v>0.666666666666667</v>
      </c>
      <c r="U31" s="21">
        <f>IFERROR(__xludf.DUMMYFUNCTION("TO_PURE_NUMBER(SUM(FILTER(G31:T31, ISEVEN(COLUMN(G31:T31))))-SUM(FILTER(G31:T31, ISODD(COLUMN(G31:T31)))))*24"),44.9999999999999)</f>
        <v>44.9999999999999</v>
      </c>
      <c r="V31" s="21">
        <v>45</v>
      </c>
      <c r="W31" s="21">
        <f t="shared" si="5"/>
        <v>9.9475983006414e-14</v>
      </c>
      <c r="X31" s="58">
        <v>0.416666666666667</v>
      </c>
    </row>
    <row r="32" customHeight="1" spans="1:24">
      <c r="A32" s="62">
        <v>10317147</v>
      </c>
      <c r="B32" s="51" t="s">
        <v>24</v>
      </c>
      <c r="C32" s="52" t="s">
        <v>20</v>
      </c>
      <c r="D32" s="52" t="s">
        <v>21</v>
      </c>
      <c r="E32" s="52" t="s">
        <v>22</v>
      </c>
      <c r="F32" s="53">
        <v>1</v>
      </c>
      <c r="G32" s="21" t="s">
        <v>23</v>
      </c>
      <c r="H32" s="21" t="s">
        <v>23</v>
      </c>
      <c r="I32" s="54">
        <v>0.458333333333333</v>
      </c>
      <c r="J32" s="54">
        <f t="shared" si="1"/>
        <v>0.875</v>
      </c>
      <c r="K32" s="54">
        <v>0.458333333333333</v>
      </c>
      <c r="L32" s="54">
        <f t="shared" si="2"/>
        <v>0.875</v>
      </c>
      <c r="M32" s="54">
        <v>0.458333333333333</v>
      </c>
      <c r="N32" s="54">
        <f t="shared" si="3"/>
        <v>0.875</v>
      </c>
      <c r="O32" s="54">
        <v>0.458333333333333</v>
      </c>
      <c r="P32" s="54">
        <f t="shared" ref="P32:P37" si="6">IFERROR(O32+$X32,"OFF")</f>
        <v>0.875</v>
      </c>
      <c r="Q32" s="54">
        <v>0.458333333333333</v>
      </c>
      <c r="R32" s="54">
        <v>0.666666666666667</v>
      </c>
      <c r="S32" s="21" t="s">
        <v>23</v>
      </c>
      <c r="T32" s="21" t="s">
        <v>23</v>
      </c>
      <c r="U32" s="21">
        <f>IFERROR(__xludf.DUMMYFUNCTION("TO_PURE_NUMBER(SUM(FILTER(G32:T32, ISEVEN(COLUMN(G32:T32))))-SUM(FILTER(G32:T32, ISODD(COLUMN(G32:T32)))))*24"),45)</f>
        <v>45</v>
      </c>
      <c r="V32" s="21">
        <v>45</v>
      </c>
      <c r="W32" s="21">
        <f t="shared" si="5"/>
        <v>0</v>
      </c>
      <c r="X32" s="58">
        <v>0.416666666666667</v>
      </c>
    </row>
    <row r="33" customHeight="1" spans="1:24">
      <c r="A33" s="62">
        <v>10316538</v>
      </c>
      <c r="B33" s="51" t="s">
        <v>44</v>
      </c>
      <c r="C33" s="52" t="s">
        <v>20</v>
      </c>
      <c r="D33" s="52" t="s">
        <v>21</v>
      </c>
      <c r="E33" s="52" t="s">
        <v>22</v>
      </c>
      <c r="F33" s="53">
        <v>1</v>
      </c>
      <c r="G33" s="21" t="s">
        <v>23</v>
      </c>
      <c r="H33" s="21" t="s">
        <v>23</v>
      </c>
      <c r="I33" s="54">
        <v>0.375</v>
      </c>
      <c r="J33" s="54">
        <f t="shared" si="1"/>
        <v>0.791666666666667</v>
      </c>
      <c r="K33" s="54">
        <v>0.375</v>
      </c>
      <c r="L33" s="54">
        <f t="shared" si="2"/>
        <v>0.791666666666667</v>
      </c>
      <c r="M33" s="54">
        <v>0.375</v>
      </c>
      <c r="N33" s="54">
        <f t="shared" si="3"/>
        <v>0.791666666666667</v>
      </c>
      <c r="O33" s="54">
        <v>0.375</v>
      </c>
      <c r="P33" s="54">
        <f t="shared" si="6"/>
        <v>0.791666666666667</v>
      </c>
      <c r="Q33" s="54">
        <v>0.458333333333333</v>
      </c>
      <c r="R33" s="54">
        <v>0.666666666666667</v>
      </c>
      <c r="S33" s="21" t="s">
        <v>23</v>
      </c>
      <c r="T33" s="21" t="s">
        <v>23</v>
      </c>
      <c r="U33" s="21">
        <f>IFERROR(__xludf.DUMMYFUNCTION("TO_PURE_NUMBER(SUM(FILTER(G33:T33, ISEVEN(COLUMN(G33:T33))))-SUM(FILTER(G33:T33, ISODD(COLUMN(G33:T33)))))*24"),44.9999999999999)</f>
        <v>44.9999999999999</v>
      </c>
      <c r="V33" s="21">
        <v>45</v>
      </c>
      <c r="W33" s="21">
        <f t="shared" si="5"/>
        <v>9.9475983006414e-14</v>
      </c>
      <c r="X33" s="58">
        <v>0.416666666666667</v>
      </c>
    </row>
    <row r="34" customHeight="1" spans="1:24">
      <c r="A34" s="62">
        <v>10316530</v>
      </c>
      <c r="B34" s="51" t="s">
        <v>26</v>
      </c>
      <c r="C34" s="52" t="s">
        <v>20</v>
      </c>
      <c r="D34" s="52" t="s">
        <v>21</v>
      </c>
      <c r="E34" s="52" t="s">
        <v>22</v>
      </c>
      <c r="F34" s="53">
        <v>1</v>
      </c>
      <c r="G34" s="21" t="s">
        <v>23</v>
      </c>
      <c r="H34" s="21" t="s">
        <v>23</v>
      </c>
      <c r="I34" s="54">
        <v>0.458333333333333</v>
      </c>
      <c r="J34" s="54">
        <f t="shared" si="1"/>
        <v>0.875</v>
      </c>
      <c r="K34" s="54">
        <v>0.458333333333333</v>
      </c>
      <c r="L34" s="54">
        <f t="shared" si="2"/>
        <v>0.875</v>
      </c>
      <c r="M34" s="54">
        <v>0.458333333333333</v>
      </c>
      <c r="N34" s="54">
        <f t="shared" si="3"/>
        <v>0.875</v>
      </c>
      <c r="O34" s="54">
        <v>0.458333333333333</v>
      </c>
      <c r="P34" s="54">
        <f t="shared" si="6"/>
        <v>0.875</v>
      </c>
      <c r="Q34" s="54">
        <v>0.458333333333333</v>
      </c>
      <c r="R34" s="54">
        <v>0.666666666666667</v>
      </c>
      <c r="S34" s="21" t="s">
        <v>23</v>
      </c>
      <c r="T34" s="21" t="s">
        <v>23</v>
      </c>
      <c r="U34" s="21">
        <f>IFERROR(__xludf.DUMMYFUNCTION("TO_PURE_NUMBER(SUM(FILTER(G34:T34, ISEVEN(COLUMN(G34:T34))))-SUM(FILTER(G34:T34, ISODD(COLUMN(G34:T34)))))*24"),45)</f>
        <v>45</v>
      </c>
      <c r="V34" s="21">
        <v>45</v>
      </c>
      <c r="W34" s="21">
        <f t="shared" si="5"/>
        <v>0</v>
      </c>
      <c r="X34" s="58">
        <v>0.416666666666667</v>
      </c>
    </row>
    <row r="35" customHeight="1" spans="1:24">
      <c r="A35" s="62">
        <v>10316545</v>
      </c>
      <c r="B35" s="51" t="s">
        <v>45</v>
      </c>
      <c r="C35" s="52" t="s">
        <v>20</v>
      </c>
      <c r="D35" s="52" t="s">
        <v>21</v>
      </c>
      <c r="E35" s="52" t="s">
        <v>22</v>
      </c>
      <c r="F35" s="53">
        <v>1</v>
      </c>
      <c r="G35" s="21" t="s">
        <v>23</v>
      </c>
      <c r="H35" s="21" t="s">
        <v>23</v>
      </c>
      <c r="I35" s="54">
        <v>0.458333333333333</v>
      </c>
      <c r="J35" s="54">
        <f t="shared" si="1"/>
        <v>0.875</v>
      </c>
      <c r="K35" s="54">
        <v>0.458333333333333</v>
      </c>
      <c r="L35" s="54">
        <f t="shared" si="2"/>
        <v>0.875</v>
      </c>
      <c r="M35" s="54">
        <v>0.458333333333333</v>
      </c>
      <c r="N35" s="54">
        <f t="shared" si="3"/>
        <v>0.875</v>
      </c>
      <c r="O35" s="54">
        <v>0.458333333333333</v>
      </c>
      <c r="P35" s="54">
        <f t="shared" si="6"/>
        <v>0.875</v>
      </c>
      <c r="Q35" s="54">
        <v>0.458333333333333</v>
      </c>
      <c r="R35" s="54">
        <v>0.666666666666667</v>
      </c>
      <c r="S35" s="21" t="s">
        <v>23</v>
      </c>
      <c r="T35" s="21" t="s">
        <v>23</v>
      </c>
      <c r="U35" s="21">
        <f>IFERROR(__xludf.DUMMYFUNCTION("TO_PURE_NUMBER(SUM(FILTER(G35:T35, ISEVEN(COLUMN(G35:T35))))-SUM(FILTER(G35:T35, ISODD(COLUMN(G35:T35)))))*24"),45)</f>
        <v>45</v>
      </c>
      <c r="V35" s="21">
        <v>45</v>
      </c>
      <c r="W35" s="21">
        <f t="shared" si="5"/>
        <v>0</v>
      </c>
      <c r="X35" s="58">
        <v>0.416666666666667</v>
      </c>
    </row>
    <row r="36" customHeight="1" spans="1:24">
      <c r="A36" s="62">
        <v>10316685</v>
      </c>
      <c r="B36" s="51" t="s">
        <v>47</v>
      </c>
      <c r="C36" s="52" t="s">
        <v>20</v>
      </c>
      <c r="D36" s="52" t="s">
        <v>21</v>
      </c>
      <c r="E36" s="52" t="s">
        <v>22</v>
      </c>
      <c r="F36" s="53">
        <v>1</v>
      </c>
      <c r="G36" s="21" t="s">
        <v>23</v>
      </c>
      <c r="H36" s="21" t="s">
        <v>23</v>
      </c>
      <c r="I36" s="54">
        <v>0.458333333333333</v>
      </c>
      <c r="J36" s="54">
        <f t="shared" si="1"/>
        <v>0.875</v>
      </c>
      <c r="K36" s="54">
        <v>0.458333333333333</v>
      </c>
      <c r="L36" s="54">
        <f t="shared" si="2"/>
        <v>0.875</v>
      </c>
      <c r="M36" s="54">
        <v>0.458333333333333</v>
      </c>
      <c r="N36" s="54">
        <f t="shared" si="3"/>
        <v>0.875</v>
      </c>
      <c r="O36" s="54">
        <v>0.458333333333333</v>
      </c>
      <c r="P36" s="54">
        <f t="shared" si="6"/>
        <v>0.875</v>
      </c>
      <c r="Q36" s="54">
        <v>0.458333333333333</v>
      </c>
      <c r="R36" s="54">
        <v>0.666666666666667</v>
      </c>
      <c r="S36" s="21" t="s">
        <v>23</v>
      </c>
      <c r="T36" s="21" t="s">
        <v>23</v>
      </c>
      <c r="U36" s="21">
        <f>IFERROR(__xludf.DUMMYFUNCTION("TO_PURE_NUMBER(SUM(FILTER(G36:T36, ISEVEN(COLUMN(G36:T36))))-SUM(FILTER(G36:T36, ISODD(COLUMN(G36:T36)))))*24"),45)</f>
        <v>45</v>
      </c>
      <c r="V36" s="21">
        <v>45</v>
      </c>
      <c r="W36" s="21">
        <f t="shared" si="5"/>
        <v>0</v>
      </c>
      <c r="X36" s="58">
        <v>0.416666666666667</v>
      </c>
    </row>
    <row r="37" customHeight="1" spans="1:24">
      <c r="A37" s="62">
        <v>10316540</v>
      </c>
      <c r="B37" s="51" t="s">
        <v>30</v>
      </c>
      <c r="C37" s="52" t="s">
        <v>20</v>
      </c>
      <c r="D37" s="52" t="s">
        <v>21</v>
      </c>
      <c r="E37" s="52" t="s">
        <v>22</v>
      </c>
      <c r="F37" s="53">
        <v>1</v>
      </c>
      <c r="G37" s="21" t="s">
        <v>23</v>
      </c>
      <c r="H37" s="21" t="s">
        <v>23</v>
      </c>
      <c r="I37" s="54">
        <v>0.375</v>
      </c>
      <c r="J37" s="54">
        <f t="shared" si="1"/>
        <v>0.791666666666667</v>
      </c>
      <c r="K37" s="54">
        <v>0.375</v>
      </c>
      <c r="L37" s="54">
        <f t="shared" si="2"/>
        <v>0.791666666666667</v>
      </c>
      <c r="M37" s="54">
        <v>0.375</v>
      </c>
      <c r="N37" s="54">
        <f t="shared" si="3"/>
        <v>0.791666666666667</v>
      </c>
      <c r="O37" s="54">
        <v>0.375</v>
      </c>
      <c r="P37" s="54">
        <f t="shared" si="6"/>
        <v>0.791666666666667</v>
      </c>
      <c r="Q37" s="54">
        <v>0.458333333333333</v>
      </c>
      <c r="R37" s="54">
        <v>0.666666666666667</v>
      </c>
      <c r="S37" s="21" t="s">
        <v>23</v>
      </c>
      <c r="T37" s="21" t="s">
        <v>23</v>
      </c>
      <c r="U37" s="21">
        <f>IFERROR(__xludf.DUMMYFUNCTION("TO_PURE_NUMBER(SUM(FILTER(G37:T37, ISEVEN(COLUMN(G37:T37))))-SUM(FILTER(G37:T37, ISODD(COLUMN(G37:T37)))))*24"),44.9999999999999)</f>
        <v>44.9999999999999</v>
      </c>
      <c r="V37" s="21">
        <v>45</v>
      </c>
      <c r="W37" s="21">
        <f t="shared" si="5"/>
        <v>9.9475983006414e-14</v>
      </c>
      <c r="X37" s="58">
        <v>0.416666666666667</v>
      </c>
    </row>
  </sheetData>
  <mergeCells count="14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</mergeCells>
  <conditionalFormatting sqref="W4:W37">
    <cfRule type="cellIs" dxfId="0" priority="2" operator="notBetween">
      <formula>-0.2</formula>
      <formula>0.2</formula>
    </cfRule>
  </conditionalFormatting>
  <conditionalFormatting sqref="X4:X37">
    <cfRule type="colorScale" priority="3">
      <colorScale>
        <cfvo type="min"/>
        <cfvo type="max"/>
        <color rgb="FFFFFFFF"/>
        <color rgb="FF57BB8A"/>
      </colorScale>
    </cfRule>
  </conditionalFormatting>
  <conditionalFormatting sqref="G4:T37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67"/>
  <sheetViews>
    <sheetView workbookViewId="0">
      <selection activeCell="A1" sqref="A1"/>
    </sheetView>
  </sheetViews>
  <sheetFormatPr defaultColWidth="12.6272727272727" defaultRowHeight="15.75" customHeight="1"/>
  <cols>
    <col min="1" max="1" width="15.7545454545455" customWidth="1"/>
    <col min="2" max="2" width="17.5" customWidth="1"/>
    <col min="3" max="3" width="6.5" customWidth="1"/>
    <col min="4" max="4" width="8.5" customWidth="1"/>
    <col min="5" max="5" width="4.75454545454545" customWidth="1"/>
    <col min="6" max="6" width="13.3818181818182" customWidth="1"/>
    <col min="7" max="12" width="8.62727272727273" customWidth="1"/>
    <col min="13" max="13" width="7.12727272727273" customWidth="1"/>
    <col min="14" max="20" width="8.62727272727273" customWidth="1"/>
    <col min="21" max="21" width="10.1272727272727" customWidth="1"/>
    <col min="22" max="22" width="6.62727272727273" customWidth="1"/>
    <col min="23" max="23" width="8.62727272727273" customWidth="1"/>
    <col min="24" max="26" width="13" customWidth="1"/>
  </cols>
  <sheetData>
    <row r="1" customHeigh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6">
        <v>45600</v>
      </c>
      <c r="H1" s="14"/>
      <c r="I1" s="46">
        <f>G1+1</f>
        <v>45601</v>
      </c>
      <c r="J1" s="14"/>
      <c r="K1" s="46">
        <f>I1+1</f>
        <v>45602</v>
      </c>
      <c r="L1" s="14"/>
      <c r="M1" s="46">
        <f>K1+1</f>
        <v>45603</v>
      </c>
      <c r="N1" s="14"/>
      <c r="O1" s="46">
        <f>M1+1</f>
        <v>45604</v>
      </c>
      <c r="P1" s="14"/>
      <c r="Q1" s="46">
        <f>O1+1</f>
        <v>45605</v>
      </c>
      <c r="R1" s="14"/>
      <c r="S1" s="46">
        <f>Q1+1</f>
        <v>45606</v>
      </c>
      <c r="T1" s="14"/>
      <c r="U1" s="21"/>
      <c r="V1" s="21"/>
      <c r="W1" s="21"/>
    </row>
    <row r="2" customHeight="1" spans="1:23">
      <c r="A2" s="47"/>
      <c r="B2" s="47"/>
      <c r="C2" s="47"/>
      <c r="D2" s="47"/>
      <c r="E2" s="47"/>
      <c r="F2" s="47"/>
      <c r="G2" s="48" t="s">
        <v>6</v>
      </c>
      <c r="H2" s="14"/>
      <c r="I2" s="48" t="s">
        <v>7</v>
      </c>
      <c r="J2" s="14"/>
      <c r="K2" s="48" t="s">
        <v>8</v>
      </c>
      <c r="L2" s="14"/>
      <c r="M2" s="48" t="s">
        <v>9</v>
      </c>
      <c r="N2" s="14"/>
      <c r="O2" s="48" t="s">
        <v>10</v>
      </c>
      <c r="P2" s="14"/>
      <c r="Q2" s="48" t="s">
        <v>11</v>
      </c>
      <c r="R2" s="14"/>
      <c r="S2" s="48" t="s">
        <v>12</v>
      </c>
      <c r="T2" s="14"/>
      <c r="U2" s="21"/>
      <c r="V2" s="21"/>
      <c r="W2" s="21"/>
    </row>
    <row r="3" customHeight="1" spans="1:24">
      <c r="A3" s="49"/>
      <c r="B3" s="49"/>
      <c r="C3" s="49"/>
      <c r="D3" s="49"/>
      <c r="E3" s="49"/>
      <c r="F3" s="49"/>
      <c r="G3" s="50" t="s">
        <v>13</v>
      </c>
      <c r="H3" s="50" t="s">
        <v>14</v>
      </c>
      <c r="I3" s="50" t="s">
        <v>13</v>
      </c>
      <c r="J3" s="50" t="s">
        <v>14</v>
      </c>
      <c r="K3" s="50" t="s">
        <v>13</v>
      </c>
      <c r="L3" s="50" t="s">
        <v>14</v>
      </c>
      <c r="M3" s="50" t="s">
        <v>13</v>
      </c>
      <c r="N3" s="50" t="s">
        <v>14</v>
      </c>
      <c r="O3" s="50" t="s">
        <v>13</v>
      </c>
      <c r="P3" s="50" t="s">
        <v>14</v>
      </c>
      <c r="Q3" s="50" t="s">
        <v>13</v>
      </c>
      <c r="R3" s="50" t="s">
        <v>14</v>
      </c>
      <c r="S3" s="50" t="s">
        <v>13</v>
      </c>
      <c r="T3" s="50" t="s">
        <v>14</v>
      </c>
      <c r="U3" s="59" t="s">
        <v>15</v>
      </c>
      <c r="V3" s="84" t="s">
        <v>16</v>
      </c>
      <c r="W3" s="59" t="s">
        <v>17</v>
      </c>
      <c r="X3" s="11" t="s">
        <v>18</v>
      </c>
    </row>
    <row r="4" customHeight="1" spans="1:24">
      <c r="A4" s="7">
        <v>10316549</v>
      </c>
      <c r="B4" s="51" t="s">
        <v>19</v>
      </c>
      <c r="C4" s="52" t="s">
        <v>20</v>
      </c>
      <c r="D4" s="52" t="s">
        <v>21</v>
      </c>
      <c r="E4" s="52" t="s">
        <v>22</v>
      </c>
      <c r="F4" s="53">
        <v>1</v>
      </c>
      <c r="G4" s="54">
        <v>0.458333333333333</v>
      </c>
      <c r="H4" s="54">
        <f t="shared" ref="H4:H28" si="0">IFERROR(G4+$X4,"OFF")</f>
        <v>0.875</v>
      </c>
      <c r="I4" s="54">
        <v>0.458333333333333</v>
      </c>
      <c r="J4" s="54">
        <f t="shared" ref="J4:J37" si="1">IFERROR(I4+$X4,"OFF")</f>
        <v>0.875</v>
      </c>
      <c r="K4" s="54">
        <v>0.458333333333333</v>
      </c>
      <c r="L4" s="54">
        <f t="shared" ref="L4:L37" si="2">IFERROR(K4+$X4,"OFF")</f>
        <v>0.875</v>
      </c>
      <c r="M4" s="54">
        <v>0.458333333333333</v>
      </c>
      <c r="N4" s="54">
        <f t="shared" ref="N4:N37" si="3">IFERROR(M4+$X4,"OFF")</f>
        <v>0.875</v>
      </c>
      <c r="O4" s="21" t="s">
        <v>23</v>
      </c>
      <c r="P4" s="54" t="str">
        <f t="shared" ref="P4:P30" si="4">IFERROR(O4+$X4,"OFF")</f>
        <v>OFF</v>
      </c>
      <c r="Q4" s="21" t="s">
        <v>23</v>
      </c>
      <c r="R4" s="21" t="s">
        <v>23</v>
      </c>
      <c r="S4" s="54">
        <v>0.458333333333333</v>
      </c>
      <c r="T4" s="54">
        <v>0.666666666666667</v>
      </c>
      <c r="U4" s="21">
        <f>IFERROR(__xludf.DUMMYFUNCTION("TO_PURE_NUMBER(SUM(FILTER(G4:T4, ISEVEN(COLUMN(G4:T4))))-SUM(FILTER(G4:T4, ISODD(COLUMN(G4:T4)))))*24"),45)</f>
        <v>45</v>
      </c>
      <c r="V4" s="21">
        <v>45</v>
      </c>
      <c r="W4" s="21">
        <f t="shared" ref="W4:W37" si="5">V4-U4</f>
        <v>0</v>
      </c>
      <c r="X4" s="58">
        <v>0.416666666666667</v>
      </c>
    </row>
    <row r="5" customHeight="1" spans="1:24">
      <c r="A5" s="7">
        <v>10250963</v>
      </c>
      <c r="B5" s="51" t="s">
        <v>25</v>
      </c>
      <c r="C5" s="52" t="s">
        <v>20</v>
      </c>
      <c r="D5" s="52" t="s">
        <v>21</v>
      </c>
      <c r="E5" s="52" t="s">
        <v>22</v>
      </c>
      <c r="F5" s="53">
        <v>1</v>
      </c>
      <c r="G5" s="54">
        <v>0.458333333333333</v>
      </c>
      <c r="H5" s="54">
        <f t="shared" si="0"/>
        <v>0.875</v>
      </c>
      <c r="I5" s="54">
        <v>0.458333333333333</v>
      </c>
      <c r="J5" s="54">
        <f t="shared" si="1"/>
        <v>0.875</v>
      </c>
      <c r="K5" s="54">
        <v>0.458333333333333</v>
      </c>
      <c r="L5" s="54">
        <f t="shared" si="2"/>
        <v>0.875</v>
      </c>
      <c r="M5" s="54">
        <v>0.458333333333333</v>
      </c>
      <c r="N5" s="54">
        <f t="shared" si="3"/>
        <v>0.875</v>
      </c>
      <c r="O5" s="21" t="s">
        <v>23</v>
      </c>
      <c r="P5" s="54" t="str">
        <f t="shared" si="4"/>
        <v>OFF</v>
      </c>
      <c r="Q5" s="21" t="s">
        <v>23</v>
      </c>
      <c r="R5" s="21" t="s">
        <v>23</v>
      </c>
      <c r="S5" s="54">
        <v>0.458333333333333</v>
      </c>
      <c r="T5" s="54">
        <v>0.666666666666667</v>
      </c>
      <c r="U5" s="21">
        <f>IFERROR(__xludf.DUMMYFUNCTION("TO_PURE_NUMBER(SUM(FILTER(G5:T5, ISEVEN(COLUMN(G5:T5))))-SUM(FILTER(G5:T5, ISODD(COLUMN(G5:T5)))))*24"),45)</f>
        <v>45</v>
      </c>
      <c r="V5" s="21">
        <v>45</v>
      </c>
      <c r="W5" s="21">
        <f t="shared" si="5"/>
        <v>0</v>
      </c>
      <c r="X5" s="58">
        <v>0.416666666666667</v>
      </c>
    </row>
    <row r="6" customHeight="1" spans="1:24">
      <c r="A6" s="7">
        <v>10317153</v>
      </c>
      <c r="B6" s="51" t="s">
        <v>42</v>
      </c>
      <c r="C6" s="52" t="s">
        <v>20</v>
      </c>
      <c r="D6" s="52" t="s">
        <v>21</v>
      </c>
      <c r="E6" s="52" t="s">
        <v>22</v>
      </c>
      <c r="F6" s="53">
        <v>1</v>
      </c>
      <c r="G6" s="54">
        <v>0.458333333333333</v>
      </c>
      <c r="H6" s="54">
        <f t="shared" si="0"/>
        <v>0.875</v>
      </c>
      <c r="I6" s="54">
        <v>0.458333333333333</v>
      </c>
      <c r="J6" s="54">
        <f t="shared" si="1"/>
        <v>0.875</v>
      </c>
      <c r="K6" s="54">
        <v>0.458333333333333</v>
      </c>
      <c r="L6" s="54">
        <f t="shared" si="2"/>
        <v>0.875</v>
      </c>
      <c r="M6" s="54">
        <v>0.458333333333333</v>
      </c>
      <c r="N6" s="54">
        <f t="shared" si="3"/>
        <v>0.875</v>
      </c>
      <c r="O6" s="21" t="s">
        <v>23</v>
      </c>
      <c r="P6" s="54" t="str">
        <f t="shared" si="4"/>
        <v>OFF</v>
      </c>
      <c r="Q6" s="21" t="s">
        <v>23</v>
      </c>
      <c r="R6" s="21" t="s">
        <v>23</v>
      </c>
      <c r="S6" s="54">
        <v>0.458333333333333</v>
      </c>
      <c r="T6" s="54">
        <v>0.666666666666667</v>
      </c>
      <c r="U6" s="21">
        <f>IFERROR(__xludf.DUMMYFUNCTION("TO_PURE_NUMBER(SUM(FILTER(G6:T6, ISEVEN(COLUMN(G6:T6))))-SUM(FILTER(G6:T6, ISODD(COLUMN(G6:T6)))))*24"),45)</f>
        <v>45</v>
      </c>
      <c r="V6" s="21">
        <v>45</v>
      </c>
      <c r="W6" s="21">
        <f t="shared" si="5"/>
        <v>0</v>
      </c>
      <c r="X6" s="58">
        <v>0.416666666666667</v>
      </c>
    </row>
    <row r="7" customHeight="1" spans="1:24">
      <c r="A7" s="7">
        <v>10317520</v>
      </c>
      <c r="B7" s="51" t="s">
        <v>37</v>
      </c>
      <c r="C7" s="52" t="s">
        <v>20</v>
      </c>
      <c r="D7" s="52" t="s">
        <v>21</v>
      </c>
      <c r="E7" s="52" t="s">
        <v>22</v>
      </c>
      <c r="F7" s="53">
        <v>2</v>
      </c>
      <c r="G7" s="54">
        <v>0.5</v>
      </c>
      <c r="H7" s="54">
        <f t="shared" si="0"/>
        <v>0.875</v>
      </c>
      <c r="I7" s="54">
        <v>0.5</v>
      </c>
      <c r="J7" s="54">
        <f t="shared" si="1"/>
        <v>0.875</v>
      </c>
      <c r="K7" s="54">
        <v>0.5</v>
      </c>
      <c r="L7" s="54">
        <f t="shared" si="2"/>
        <v>0.875</v>
      </c>
      <c r="M7" s="54">
        <v>0.5</v>
      </c>
      <c r="N7" s="54">
        <f t="shared" si="3"/>
        <v>0.875</v>
      </c>
      <c r="O7" s="54">
        <v>0.5</v>
      </c>
      <c r="P7" s="54">
        <f t="shared" si="4"/>
        <v>0.875</v>
      </c>
      <c r="Q7" s="21" t="s">
        <v>23</v>
      </c>
      <c r="R7" s="21" t="s">
        <v>23</v>
      </c>
      <c r="S7" s="21" t="s">
        <v>23</v>
      </c>
      <c r="T7" s="21" t="s">
        <v>23</v>
      </c>
      <c r="U7" s="21">
        <f>IFERROR(__xludf.DUMMYFUNCTION("TO_PURE_NUMBER(SUM(FILTER(G7:T7, ISEVEN(COLUMN(G7:T7))))-SUM(FILTER(G7:T7, ISODD(COLUMN(G7:T7)))))*24"),45)</f>
        <v>45</v>
      </c>
      <c r="V7" s="21">
        <v>45</v>
      </c>
      <c r="W7" s="21">
        <f t="shared" si="5"/>
        <v>0</v>
      </c>
      <c r="X7" s="58">
        <v>0.375</v>
      </c>
    </row>
    <row r="8" customHeight="1" spans="1:24">
      <c r="A8" s="7">
        <v>10316650</v>
      </c>
      <c r="B8" s="51" t="s">
        <v>39</v>
      </c>
      <c r="C8" s="52" t="s">
        <v>20</v>
      </c>
      <c r="D8" s="52" t="s">
        <v>21</v>
      </c>
      <c r="E8" s="52" t="s">
        <v>22</v>
      </c>
      <c r="F8" s="53">
        <v>2</v>
      </c>
      <c r="G8" s="54">
        <v>0.5</v>
      </c>
      <c r="H8" s="54">
        <f t="shared" si="0"/>
        <v>0.875</v>
      </c>
      <c r="I8" s="54">
        <v>0.5</v>
      </c>
      <c r="J8" s="54">
        <f t="shared" si="1"/>
        <v>0.875</v>
      </c>
      <c r="K8" s="54">
        <v>0.5</v>
      </c>
      <c r="L8" s="54">
        <f t="shared" si="2"/>
        <v>0.875</v>
      </c>
      <c r="M8" s="54">
        <v>0.5</v>
      </c>
      <c r="N8" s="54">
        <f t="shared" si="3"/>
        <v>0.875</v>
      </c>
      <c r="O8" s="54">
        <v>0.5</v>
      </c>
      <c r="P8" s="54">
        <f t="shared" si="4"/>
        <v>0.875</v>
      </c>
      <c r="Q8" s="21" t="s">
        <v>23</v>
      </c>
      <c r="R8" s="21" t="s">
        <v>23</v>
      </c>
      <c r="S8" s="21" t="s">
        <v>23</v>
      </c>
      <c r="T8" s="21" t="s">
        <v>23</v>
      </c>
      <c r="U8" s="21">
        <f>IFERROR(__xludf.DUMMYFUNCTION("TO_PURE_NUMBER(SUM(FILTER(G8:T8, ISEVEN(COLUMN(G8:T8))))-SUM(FILTER(G8:T8, ISODD(COLUMN(G8:T8)))))*24"),45)</f>
        <v>45</v>
      </c>
      <c r="V8" s="21">
        <v>45</v>
      </c>
      <c r="W8" s="21">
        <f t="shared" si="5"/>
        <v>0</v>
      </c>
      <c r="X8" s="58">
        <v>0.375</v>
      </c>
    </row>
    <row r="9" customHeight="1" spans="1:24">
      <c r="A9" s="7">
        <v>10317521</v>
      </c>
      <c r="B9" s="51" t="s">
        <v>28</v>
      </c>
      <c r="C9" s="52" t="s">
        <v>20</v>
      </c>
      <c r="D9" s="52" t="s">
        <v>21</v>
      </c>
      <c r="E9" s="52" t="s">
        <v>22</v>
      </c>
      <c r="F9" s="53">
        <v>2</v>
      </c>
      <c r="G9" s="54">
        <v>0.5</v>
      </c>
      <c r="H9" s="54">
        <f t="shared" si="0"/>
        <v>0.875</v>
      </c>
      <c r="I9" s="54">
        <v>0.5</v>
      </c>
      <c r="J9" s="54">
        <f t="shared" si="1"/>
        <v>0.875</v>
      </c>
      <c r="K9" s="54">
        <v>0.5</v>
      </c>
      <c r="L9" s="54">
        <f t="shared" si="2"/>
        <v>0.875</v>
      </c>
      <c r="M9" s="54">
        <v>0.5</v>
      </c>
      <c r="N9" s="54">
        <f t="shared" si="3"/>
        <v>0.875</v>
      </c>
      <c r="O9" s="54">
        <v>0.5</v>
      </c>
      <c r="P9" s="54">
        <f t="shared" si="4"/>
        <v>0.875</v>
      </c>
      <c r="Q9" s="21" t="s">
        <v>23</v>
      </c>
      <c r="R9" s="21" t="s">
        <v>23</v>
      </c>
      <c r="S9" s="21" t="s">
        <v>23</v>
      </c>
      <c r="T9" s="21" t="s">
        <v>23</v>
      </c>
      <c r="U9" s="21">
        <f>IFERROR(__xludf.DUMMYFUNCTION("TO_PURE_NUMBER(SUM(FILTER(G9:T9, ISEVEN(COLUMN(G9:T9))))-SUM(FILTER(G9:T9, ISODD(COLUMN(G9:T9)))))*24"),45)</f>
        <v>45</v>
      </c>
      <c r="V9" s="21">
        <v>45</v>
      </c>
      <c r="W9" s="21">
        <f t="shared" si="5"/>
        <v>0</v>
      </c>
      <c r="X9" s="58">
        <v>0.375</v>
      </c>
    </row>
    <row r="10" customHeight="1" spans="1:24">
      <c r="A10" s="7">
        <v>10317517</v>
      </c>
      <c r="B10" s="51" t="s">
        <v>29</v>
      </c>
      <c r="C10" s="52" t="s">
        <v>20</v>
      </c>
      <c r="D10" s="52" t="s">
        <v>21</v>
      </c>
      <c r="E10" s="52" t="s">
        <v>22</v>
      </c>
      <c r="F10" s="53">
        <v>2</v>
      </c>
      <c r="G10" s="54">
        <v>0.375</v>
      </c>
      <c r="H10" s="54">
        <f t="shared" si="0"/>
        <v>0.75</v>
      </c>
      <c r="I10" s="54">
        <v>0.375</v>
      </c>
      <c r="J10" s="54">
        <f t="shared" si="1"/>
        <v>0.75</v>
      </c>
      <c r="K10" s="54">
        <v>0.375</v>
      </c>
      <c r="L10" s="54">
        <f t="shared" si="2"/>
        <v>0.75</v>
      </c>
      <c r="M10" s="54">
        <v>0.5</v>
      </c>
      <c r="N10" s="54">
        <f t="shared" si="3"/>
        <v>0.875</v>
      </c>
      <c r="O10" s="54">
        <v>0.5</v>
      </c>
      <c r="P10" s="54">
        <f t="shared" si="4"/>
        <v>0.875</v>
      </c>
      <c r="Q10" s="21" t="s">
        <v>23</v>
      </c>
      <c r="R10" s="21" t="s">
        <v>23</v>
      </c>
      <c r="S10" s="21" t="s">
        <v>23</v>
      </c>
      <c r="T10" s="21" t="s">
        <v>23</v>
      </c>
      <c r="U10" s="21">
        <f>IFERROR(__xludf.DUMMYFUNCTION("TO_PURE_NUMBER(SUM(FILTER(G10:T10, ISEVEN(COLUMN(G10:T10))))-SUM(FILTER(G10:T10, ISODD(COLUMN(G10:T10)))))*24"),45)</f>
        <v>45</v>
      </c>
      <c r="V10" s="21">
        <v>45</v>
      </c>
      <c r="W10" s="21">
        <f t="shared" si="5"/>
        <v>0</v>
      </c>
      <c r="X10" s="58">
        <v>0.375</v>
      </c>
    </row>
    <row r="11" customHeight="1" spans="1:24">
      <c r="A11" s="7">
        <v>10316531</v>
      </c>
      <c r="B11" s="51" t="s">
        <v>205</v>
      </c>
      <c r="C11" s="52" t="s">
        <v>20</v>
      </c>
      <c r="D11" s="52" t="s">
        <v>21</v>
      </c>
      <c r="E11" s="52" t="s">
        <v>22</v>
      </c>
      <c r="F11" s="53">
        <v>2</v>
      </c>
      <c r="G11" s="54">
        <v>0.5</v>
      </c>
      <c r="H11" s="54">
        <f t="shared" si="0"/>
        <v>0.875</v>
      </c>
      <c r="I11" s="54">
        <v>0.5</v>
      </c>
      <c r="J11" s="54">
        <f t="shared" si="1"/>
        <v>0.875</v>
      </c>
      <c r="K11" s="54">
        <v>0.5</v>
      </c>
      <c r="L11" s="54">
        <f t="shared" si="2"/>
        <v>0.875</v>
      </c>
      <c r="M11" s="54">
        <v>0.5</v>
      </c>
      <c r="N11" s="54">
        <f t="shared" si="3"/>
        <v>0.875</v>
      </c>
      <c r="O11" s="54">
        <v>0.5</v>
      </c>
      <c r="P11" s="54">
        <f t="shared" si="4"/>
        <v>0.875</v>
      </c>
      <c r="Q11" s="21" t="s">
        <v>23</v>
      </c>
      <c r="R11" s="21" t="s">
        <v>23</v>
      </c>
      <c r="S11" s="21" t="s">
        <v>23</v>
      </c>
      <c r="T11" s="21" t="s">
        <v>23</v>
      </c>
      <c r="U11" s="21">
        <f>IFERROR(__xludf.DUMMYFUNCTION("TO_PURE_NUMBER(SUM(FILTER(G11:T11, ISEVEN(COLUMN(G11:T11))))-SUM(FILTER(G11:T11, ISODD(COLUMN(G11:T11)))))*24"),45)</f>
        <v>45</v>
      </c>
      <c r="V11" s="21">
        <v>45</v>
      </c>
      <c r="W11" s="21">
        <f t="shared" si="5"/>
        <v>0</v>
      </c>
      <c r="X11" s="58">
        <v>0.375</v>
      </c>
    </row>
    <row r="12" customHeight="1" spans="1:24">
      <c r="A12" s="7">
        <v>10316572</v>
      </c>
      <c r="B12" s="51" t="s">
        <v>46</v>
      </c>
      <c r="C12" s="52" t="s">
        <v>20</v>
      </c>
      <c r="D12" s="52" t="s">
        <v>21</v>
      </c>
      <c r="E12" s="52" t="s">
        <v>22</v>
      </c>
      <c r="F12" s="53">
        <v>2</v>
      </c>
      <c r="G12" s="54">
        <v>0.5</v>
      </c>
      <c r="H12" s="54">
        <f t="shared" si="0"/>
        <v>0.875</v>
      </c>
      <c r="I12" s="54">
        <v>0.5</v>
      </c>
      <c r="J12" s="54">
        <f t="shared" si="1"/>
        <v>0.875</v>
      </c>
      <c r="K12" s="54">
        <v>0.5</v>
      </c>
      <c r="L12" s="54">
        <f t="shared" si="2"/>
        <v>0.875</v>
      </c>
      <c r="M12" s="54">
        <v>0.5</v>
      </c>
      <c r="N12" s="54">
        <f t="shared" si="3"/>
        <v>0.875</v>
      </c>
      <c r="O12" s="54">
        <v>0.5</v>
      </c>
      <c r="P12" s="54">
        <f t="shared" si="4"/>
        <v>0.875</v>
      </c>
      <c r="Q12" s="21" t="s">
        <v>23</v>
      </c>
      <c r="R12" s="21" t="s">
        <v>23</v>
      </c>
      <c r="S12" s="21" t="s">
        <v>23</v>
      </c>
      <c r="T12" s="21" t="s">
        <v>23</v>
      </c>
      <c r="U12" s="21">
        <f>IFERROR(__xludf.DUMMYFUNCTION("TO_PURE_NUMBER(SUM(FILTER(G12:T12, ISEVEN(COLUMN(G12:T12))))-SUM(FILTER(G12:T12, ISODD(COLUMN(G12:T12)))))*24"),45)</f>
        <v>45</v>
      </c>
      <c r="V12" s="21">
        <v>45</v>
      </c>
      <c r="W12" s="21">
        <f t="shared" si="5"/>
        <v>0</v>
      </c>
      <c r="X12" s="58">
        <v>0.375</v>
      </c>
    </row>
    <row r="13" customHeight="1" spans="1:24">
      <c r="A13" s="7">
        <v>10252500</v>
      </c>
      <c r="B13" s="51" t="s">
        <v>207</v>
      </c>
      <c r="C13" s="52" t="s">
        <v>20</v>
      </c>
      <c r="D13" s="52" t="s">
        <v>21</v>
      </c>
      <c r="E13" s="52" t="s">
        <v>22</v>
      </c>
      <c r="F13" s="53">
        <v>2</v>
      </c>
      <c r="G13" s="54">
        <v>0.5</v>
      </c>
      <c r="H13" s="54">
        <f t="shared" si="0"/>
        <v>0.875</v>
      </c>
      <c r="I13" s="54">
        <v>0.5</v>
      </c>
      <c r="J13" s="54">
        <f t="shared" si="1"/>
        <v>0.875</v>
      </c>
      <c r="K13" s="54">
        <v>0.5</v>
      </c>
      <c r="L13" s="54">
        <f t="shared" si="2"/>
        <v>0.875</v>
      </c>
      <c r="M13" s="54">
        <v>0.5</v>
      </c>
      <c r="N13" s="54">
        <f t="shared" si="3"/>
        <v>0.875</v>
      </c>
      <c r="O13" s="54">
        <v>0.5</v>
      </c>
      <c r="P13" s="54">
        <f t="shared" si="4"/>
        <v>0.875</v>
      </c>
      <c r="Q13" s="21" t="s">
        <v>23</v>
      </c>
      <c r="R13" s="21" t="s">
        <v>23</v>
      </c>
      <c r="S13" s="21" t="s">
        <v>23</v>
      </c>
      <c r="T13" s="21" t="s">
        <v>23</v>
      </c>
      <c r="U13" s="21">
        <f>IFERROR(__xludf.DUMMYFUNCTION("TO_PURE_NUMBER(SUM(FILTER(G13:T13, ISEVEN(COLUMN(G13:T13))))-SUM(FILTER(G13:T13, ISODD(COLUMN(G13:T13)))))*24"),45)</f>
        <v>45</v>
      </c>
      <c r="V13" s="21">
        <v>45</v>
      </c>
      <c r="W13" s="21">
        <f t="shared" si="5"/>
        <v>0</v>
      </c>
      <c r="X13" s="58">
        <v>0.375</v>
      </c>
    </row>
    <row r="14" customHeight="1" spans="1:24">
      <c r="A14" s="7">
        <v>10275375</v>
      </c>
      <c r="B14" s="51" t="s">
        <v>208</v>
      </c>
      <c r="C14" s="52" t="s">
        <v>20</v>
      </c>
      <c r="D14" s="52" t="s">
        <v>21</v>
      </c>
      <c r="E14" s="52" t="s">
        <v>22</v>
      </c>
      <c r="F14" s="53">
        <v>2</v>
      </c>
      <c r="G14" s="54">
        <v>0.5</v>
      </c>
      <c r="H14" s="54">
        <f t="shared" si="0"/>
        <v>0.875</v>
      </c>
      <c r="I14" s="54">
        <v>0.5</v>
      </c>
      <c r="J14" s="54">
        <f t="shared" si="1"/>
        <v>0.875</v>
      </c>
      <c r="K14" s="54">
        <v>0.5</v>
      </c>
      <c r="L14" s="54">
        <f t="shared" si="2"/>
        <v>0.875</v>
      </c>
      <c r="M14" s="54">
        <v>0.5</v>
      </c>
      <c r="N14" s="54">
        <f t="shared" si="3"/>
        <v>0.875</v>
      </c>
      <c r="O14" s="54">
        <v>0.5</v>
      </c>
      <c r="P14" s="54">
        <f t="shared" si="4"/>
        <v>0.875</v>
      </c>
      <c r="Q14" s="21" t="s">
        <v>23</v>
      </c>
      <c r="R14" s="21" t="s">
        <v>23</v>
      </c>
      <c r="S14" s="21" t="s">
        <v>23</v>
      </c>
      <c r="T14" s="21" t="s">
        <v>23</v>
      </c>
      <c r="U14" s="21">
        <f>IFERROR(__xludf.DUMMYFUNCTION("TO_PURE_NUMBER(SUM(FILTER(G14:T14, ISEVEN(COLUMN(G14:T14))))-SUM(FILTER(G14:T14, ISODD(COLUMN(G14:T14)))))*24"),45)</f>
        <v>45</v>
      </c>
      <c r="V14" s="21">
        <v>45</v>
      </c>
      <c r="W14" s="21">
        <f t="shared" si="5"/>
        <v>0</v>
      </c>
      <c r="X14" s="58">
        <v>0.375</v>
      </c>
    </row>
    <row r="15" customHeight="1" spans="1:24">
      <c r="A15" s="62">
        <v>10272259</v>
      </c>
      <c r="B15" s="51" t="s">
        <v>103</v>
      </c>
      <c r="C15" s="52" t="s">
        <v>20</v>
      </c>
      <c r="D15" s="52" t="s">
        <v>21</v>
      </c>
      <c r="E15" s="52" t="s">
        <v>22</v>
      </c>
      <c r="F15" s="53">
        <v>2</v>
      </c>
      <c r="G15" s="54">
        <v>0.5</v>
      </c>
      <c r="H15" s="54">
        <f t="shared" si="0"/>
        <v>0.875</v>
      </c>
      <c r="I15" s="54">
        <v>0.5</v>
      </c>
      <c r="J15" s="54">
        <f t="shared" si="1"/>
        <v>0.875</v>
      </c>
      <c r="K15" s="54">
        <v>0.5</v>
      </c>
      <c r="L15" s="54">
        <f t="shared" si="2"/>
        <v>0.875</v>
      </c>
      <c r="M15" s="21" t="s">
        <v>23</v>
      </c>
      <c r="N15" s="54" t="str">
        <f t="shared" si="3"/>
        <v>OFF</v>
      </c>
      <c r="O15" s="21" t="s">
        <v>23</v>
      </c>
      <c r="P15" s="54" t="str">
        <f t="shared" si="4"/>
        <v>OFF</v>
      </c>
      <c r="Q15" s="54">
        <v>0.458333333333333</v>
      </c>
      <c r="R15" s="54">
        <v>0.666666666666667</v>
      </c>
      <c r="S15" s="54">
        <v>0.458333333333333</v>
      </c>
      <c r="T15" s="54">
        <v>0.666666666666667</v>
      </c>
      <c r="U15" s="21">
        <f>IFERROR(__xludf.DUMMYFUNCTION("TO_PURE_NUMBER(SUM(FILTER(G15:T15, ISEVEN(COLUMN(G15:T15))))-SUM(FILTER(G15:T15, ISODD(COLUMN(G15:T15)))))*24"),37)</f>
        <v>37</v>
      </c>
      <c r="V15" s="21">
        <v>37</v>
      </c>
      <c r="W15" s="21">
        <f t="shared" si="5"/>
        <v>0</v>
      </c>
      <c r="X15" s="58">
        <v>0.375</v>
      </c>
    </row>
    <row r="16" customHeight="1" spans="1:24">
      <c r="A16" s="62">
        <v>10276839</v>
      </c>
      <c r="B16" s="51" t="s">
        <v>54</v>
      </c>
      <c r="C16" s="52" t="s">
        <v>20</v>
      </c>
      <c r="D16" s="52" t="s">
        <v>21</v>
      </c>
      <c r="E16" s="52" t="s">
        <v>22</v>
      </c>
      <c r="F16" s="52">
        <v>2</v>
      </c>
      <c r="G16" s="54">
        <v>0.5</v>
      </c>
      <c r="H16" s="54">
        <f t="shared" si="0"/>
        <v>0.875</v>
      </c>
      <c r="I16" s="54">
        <v>0.5</v>
      </c>
      <c r="J16" s="54">
        <f t="shared" si="1"/>
        <v>0.875</v>
      </c>
      <c r="K16" s="54">
        <v>0.5</v>
      </c>
      <c r="L16" s="54">
        <f t="shared" si="2"/>
        <v>0.875</v>
      </c>
      <c r="M16" s="54">
        <v>0.5</v>
      </c>
      <c r="N16" s="54">
        <f t="shared" si="3"/>
        <v>0.875</v>
      </c>
      <c r="O16" s="54">
        <v>0.5</v>
      </c>
      <c r="P16" s="54">
        <f t="shared" si="4"/>
        <v>0.875</v>
      </c>
      <c r="Q16" s="21" t="s">
        <v>23</v>
      </c>
      <c r="R16" s="54" t="s">
        <v>23</v>
      </c>
      <c r="S16" s="54" t="s">
        <v>23</v>
      </c>
      <c r="T16" s="54" t="s">
        <v>23</v>
      </c>
      <c r="U16" s="21">
        <f>IFERROR(__xludf.DUMMYFUNCTION("TO_PURE_NUMBER(SUM(FILTER(G16:T16, ISEVEN(COLUMN(G16:T16))))-SUM(FILTER(G16:T16, ISODD(COLUMN(G16:T16)))))*24"),45)</f>
        <v>45</v>
      </c>
      <c r="V16" s="21">
        <v>45</v>
      </c>
      <c r="W16" s="21">
        <f t="shared" si="5"/>
        <v>0</v>
      </c>
      <c r="X16" s="58">
        <v>0.375</v>
      </c>
    </row>
    <row r="17" customHeight="1" spans="1:24">
      <c r="A17" s="62">
        <v>10317943</v>
      </c>
      <c r="B17" s="51" t="s">
        <v>27</v>
      </c>
      <c r="C17" s="52" t="s">
        <v>20</v>
      </c>
      <c r="D17" s="52" t="s">
        <v>21</v>
      </c>
      <c r="E17" s="52" t="s">
        <v>22</v>
      </c>
      <c r="F17" s="53">
        <v>2</v>
      </c>
      <c r="G17" s="54">
        <v>0.375</v>
      </c>
      <c r="H17" s="54">
        <f t="shared" si="0"/>
        <v>0.75</v>
      </c>
      <c r="I17" s="54">
        <v>0.375</v>
      </c>
      <c r="J17" s="54">
        <f t="shared" si="1"/>
        <v>0.75</v>
      </c>
      <c r="K17" s="54">
        <v>0.375</v>
      </c>
      <c r="L17" s="54">
        <f t="shared" si="2"/>
        <v>0.75</v>
      </c>
      <c r="M17" s="54">
        <v>0.375</v>
      </c>
      <c r="N17" s="54">
        <f t="shared" si="3"/>
        <v>0.75</v>
      </c>
      <c r="O17" s="54">
        <v>0.375</v>
      </c>
      <c r="P17" s="54">
        <f t="shared" si="4"/>
        <v>0.75</v>
      </c>
      <c r="Q17" s="21" t="s">
        <v>23</v>
      </c>
      <c r="R17" s="21" t="s">
        <v>23</v>
      </c>
      <c r="S17" s="21" t="s">
        <v>23</v>
      </c>
      <c r="T17" s="21" t="s">
        <v>23</v>
      </c>
      <c r="U17" s="21">
        <f>IFERROR(__xludf.DUMMYFUNCTION("TO_PURE_NUMBER(SUM(FILTER(G17:T17, ISEVEN(COLUMN(G17:T17))))-SUM(FILTER(G17:T17, ISODD(COLUMN(G17:T17)))))*24"),45)</f>
        <v>45</v>
      </c>
      <c r="V17" s="21">
        <v>45</v>
      </c>
      <c r="W17" s="21">
        <f t="shared" si="5"/>
        <v>0</v>
      </c>
      <c r="X17" s="85">
        <v>0.375</v>
      </c>
    </row>
    <row r="18" customHeight="1" spans="1:24">
      <c r="A18" s="62">
        <v>10295555</v>
      </c>
      <c r="B18" s="51" t="s">
        <v>210</v>
      </c>
      <c r="C18" s="52" t="s">
        <v>20</v>
      </c>
      <c r="D18" s="52" t="s">
        <v>21</v>
      </c>
      <c r="E18" s="52" t="s">
        <v>35</v>
      </c>
      <c r="F18" s="53">
        <v>2</v>
      </c>
      <c r="G18" s="54">
        <v>0.375</v>
      </c>
      <c r="H18" s="54">
        <f t="shared" si="0"/>
        <v>0.583333333333333</v>
      </c>
      <c r="I18" s="54">
        <v>0.375</v>
      </c>
      <c r="J18" s="54">
        <f t="shared" si="1"/>
        <v>0.583333333333333</v>
      </c>
      <c r="K18" s="54">
        <v>0.375</v>
      </c>
      <c r="L18" s="54">
        <f t="shared" si="2"/>
        <v>0.583333333333333</v>
      </c>
      <c r="M18" s="21" t="s">
        <v>23</v>
      </c>
      <c r="N18" s="54" t="str">
        <f t="shared" si="3"/>
        <v>OFF</v>
      </c>
      <c r="O18" s="21" t="s">
        <v>23</v>
      </c>
      <c r="P18" s="54" t="str">
        <f t="shared" si="4"/>
        <v>OFF</v>
      </c>
      <c r="Q18" s="54">
        <v>0.458333333333333</v>
      </c>
      <c r="R18" s="54">
        <v>0.666666666666667</v>
      </c>
      <c r="S18" s="54">
        <v>0.458333333333333</v>
      </c>
      <c r="T18" s="54">
        <v>0.666666666666667</v>
      </c>
      <c r="U18" s="21">
        <f>IFERROR(__xludf.DUMMYFUNCTION("TO_PURE_NUMBER(SUM(FILTER(G18:T18, ISEVEN(COLUMN(G18:T18))))-SUM(FILTER(G18:T18, ISODD(COLUMN(G18:T18)))))*24"),24.9999999999999)</f>
        <v>24.9999999999999</v>
      </c>
      <c r="V18" s="21">
        <v>25</v>
      </c>
      <c r="W18" s="21">
        <f t="shared" si="5"/>
        <v>9.9475983006414e-14</v>
      </c>
      <c r="X18" s="58">
        <v>0.208333333333333</v>
      </c>
    </row>
    <row r="19" customHeight="1" spans="1:24">
      <c r="A19" s="62">
        <v>10316618</v>
      </c>
      <c r="B19" s="51" t="s">
        <v>33</v>
      </c>
      <c r="C19" s="52" t="s">
        <v>20</v>
      </c>
      <c r="D19" s="52" t="s">
        <v>21</v>
      </c>
      <c r="E19" s="52" t="s">
        <v>22</v>
      </c>
      <c r="F19" s="53">
        <v>1</v>
      </c>
      <c r="G19" s="54">
        <v>0.375</v>
      </c>
      <c r="H19" s="54">
        <f t="shared" si="0"/>
        <v>0.791666666666667</v>
      </c>
      <c r="I19" s="54">
        <v>0.375</v>
      </c>
      <c r="J19" s="54">
        <f t="shared" si="1"/>
        <v>0.791666666666667</v>
      </c>
      <c r="K19" s="54">
        <v>0.375</v>
      </c>
      <c r="L19" s="54">
        <f t="shared" si="2"/>
        <v>0.791666666666667</v>
      </c>
      <c r="M19" s="54">
        <v>0.375</v>
      </c>
      <c r="N19" s="54">
        <f t="shared" si="3"/>
        <v>0.791666666666667</v>
      </c>
      <c r="O19" s="21" t="s">
        <v>23</v>
      </c>
      <c r="P19" s="54" t="str">
        <f t="shared" si="4"/>
        <v>OFF</v>
      </c>
      <c r="Q19" s="21" t="s">
        <v>23</v>
      </c>
      <c r="R19" s="21" t="s">
        <v>23</v>
      </c>
      <c r="S19" s="54">
        <v>0.458333333333333</v>
      </c>
      <c r="T19" s="54">
        <v>0.666666666666667</v>
      </c>
      <c r="U19" s="21">
        <f>IFERROR(__xludf.DUMMYFUNCTION("TO_PURE_NUMBER(SUM(FILTER(G19:T19, ISEVEN(COLUMN(G19:T19))))-SUM(FILTER(G19:T19, ISODD(COLUMN(G19:T19)))))*24"),44.9999999999999)</f>
        <v>44.9999999999999</v>
      </c>
      <c r="V19" s="21">
        <v>45</v>
      </c>
      <c r="W19" s="21">
        <f t="shared" si="5"/>
        <v>9.9475983006414e-14</v>
      </c>
      <c r="X19" s="58">
        <v>0.416666666666667</v>
      </c>
    </row>
    <row r="20" customHeight="1" spans="1:24">
      <c r="A20" s="62">
        <v>10316680</v>
      </c>
      <c r="B20" s="51" t="s">
        <v>40</v>
      </c>
      <c r="C20" s="52" t="s">
        <v>20</v>
      </c>
      <c r="D20" s="52" t="s">
        <v>21</v>
      </c>
      <c r="E20" s="52" t="s">
        <v>22</v>
      </c>
      <c r="F20" s="53">
        <v>1</v>
      </c>
      <c r="G20" s="54">
        <v>0.375</v>
      </c>
      <c r="H20" s="54">
        <f t="shared" si="0"/>
        <v>0.791666666666667</v>
      </c>
      <c r="I20" s="54">
        <v>0.375</v>
      </c>
      <c r="J20" s="54">
        <f t="shared" si="1"/>
        <v>0.791666666666667</v>
      </c>
      <c r="K20" s="54">
        <v>0.375</v>
      </c>
      <c r="L20" s="54">
        <f t="shared" si="2"/>
        <v>0.791666666666667</v>
      </c>
      <c r="M20" s="54">
        <v>0.375</v>
      </c>
      <c r="N20" s="54">
        <f t="shared" si="3"/>
        <v>0.791666666666667</v>
      </c>
      <c r="O20" s="21" t="s">
        <v>23</v>
      </c>
      <c r="P20" s="54" t="str">
        <f t="shared" si="4"/>
        <v>OFF</v>
      </c>
      <c r="Q20" s="21" t="s">
        <v>23</v>
      </c>
      <c r="R20" s="54" t="str">
        <f>IFERROR(Q20+$X20,"OFF")</f>
        <v>OFF</v>
      </c>
      <c r="S20" s="54">
        <v>0.458333333333333</v>
      </c>
      <c r="T20" s="54">
        <v>0.666666666666667</v>
      </c>
      <c r="U20" s="21">
        <f>IFERROR(__xludf.DUMMYFUNCTION("TO_PURE_NUMBER(SUM(FILTER(G20:T20, ISEVEN(COLUMN(G20:T20))))-SUM(FILTER(G20:T20, ISODD(COLUMN(G20:T20)))))*24"),44.9999999999999)</f>
        <v>44.9999999999999</v>
      </c>
      <c r="V20" s="21">
        <v>45</v>
      </c>
      <c r="W20" s="21">
        <f t="shared" si="5"/>
        <v>9.9475983006414e-14</v>
      </c>
      <c r="X20" s="58">
        <v>0.416666666666667</v>
      </c>
    </row>
    <row r="21" customHeight="1" spans="1:24">
      <c r="A21" s="62">
        <v>10316543</v>
      </c>
      <c r="B21" s="63" t="s">
        <v>41</v>
      </c>
      <c r="C21" s="52" t="s">
        <v>20</v>
      </c>
      <c r="D21" s="52" t="s">
        <v>21</v>
      </c>
      <c r="E21" s="52" t="s">
        <v>22</v>
      </c>
      <c r="F21" s="53">
        <v>1</v>
      </c>
      <c r="G21" s="54">
        <v>0.375</v>
      </c>
      <c r="H21" s="54">
        <f t="shared" si="0"/>
        <v>0.791666666666667</v>
      </c>
      <c r="I21" s="54">
        <v>0.375</v>
      </c>
      <c r="J21" s="54">
        <f t="shared" si="1"/>
        <v>0.791666666666667</v>
      </c>
      <c r="K21" s="54">
        <v>0.375</v>
      </c>
      <c r="L21" s="54">
        <f t="shared" si="2"/>
        <v>0.791666666666667</v>
      </c>
      <c r="M21" s="54">
        <v>0.375</v>
      </c>
      <c r="N21" s="54">
        <f t="shared" si="3"/>
        <v>0.791666666666667</v>
      </c>
      <c r="O21" s="21" t="s">
        <v>23</v>
      </c>
      <c r="P21" s="54" t="str">
        <f t="shared" si="4"/>
        <v>OFF</v>
      </c>
      <c r="Q21" s="21" t="s">
        <v>23</v>
      </c>
      <c r="R21" s="21" t="s">
        <v>23</v>
      </c>
      <c r="S21" s="54">
        <v>0.458333333333333</v>
      </c>
      <c r="T21" s="54">
        <v>0.666666666666667</v>
      </c>
      <c r="U21" s="21">
        <f>IFERROR(__xludf.DUMMYFUNCTION("TO_PURE_NUMBER(SUM(FILTER(G21:T21, ISEVEN(COLUMN(G21:T21))))-SUM(FILTER(G21:T21, ISODD(COLUMN(G21:T21)))))*24"),44.9999999999999)</f>
        <v>44.9999999999999</v>
      </c>
      <c r="V21" s="21">
        <v>45</v>
      </c>
      <c r="W21" s="21">
        <f t="shared" si="5"/>
        <v>9.9475983006414e-14</v>
      </c>
      <c r="X21" s="58">
        <v>0.416666666666667</v>
      </c>
    </row>
    <row r="22" customHeight="1" spans="1:24">
      <c r="A22" s="62">
        <v>10316546</v>
      </c>
      <c r="B22" s="51" t="s">
        <v>49</v>
      </c>
      <c r="C22" s="52" t="s">
        <v>20</v>
      </c>
      <c r="D22" s="52" t="s">
        <v>21</v>
      </c>
      <c r="E22" s="52" t="s">
        <v>22</v>
      </c>
      <c r="F22" s="53">
        <v>1</v>
      </c>
      <c r="G22" s="54">
        <v>0.375</v>
      </c>
      <c r="H22" s="54">
        <f t="shared" si="0"/>
        <v>0.791666666666667</v>
      </c>
      <c r="I22" s="54">
        <v>0.375</v>
      </c>
      <c r="J22" s="54">
        <f t="shared" si="1"/>
        <v>0.791666666666667</v>
      </c>
      <c r="K22" s="54">
        <v>0.375</v>
      </c>
      <c r="L22" s="54">
        <f t="shared" si="2"/>
        <v>0.791666666666667</v>
      </c>
      <c r="M22" s="54">
        <v>0.375</v>
      </c>
      <c r="N22" s="54">
        <f t="shared" si="3"/>
        <v>0.791666666666667</v>
      </c>
      <c r="O22" s="21" t="s">
        <v>23</v>
      </c>
      <c r="P22" s="54" t="str">
        <f t="shared" si="4"/>
        <v>OFF</v>
      </c>
      <c r="Q22" s="21" t="s">
        <v>23</v>
      </c>
      <c r="R22" s="21" t="s">
        <v>23</v>
      </c>
      <c r="S22" s="54">
        <v>0.458333333333333</v>
      </c>
      <c r="T22" s="54">
        <v>0.666666666666667</v>
      </c>
      <c r="U22" s="21">
        <f>IFERROR(__xludf.DUMMYFUNCTION("TO_PURE_NUMBER(SUM(FILTER(G22:T22, ISEVEN(COLUMN(G22:T22))))-SUM(FILTER(G22:T22, ISODD(COLUMN(G22:T22)))))*24"),44.9999999999999)</f>
        <v>44.9999999999999</v>
      </c>
      <c r="V22" s="21">
        <v>45</v>
      </c>
      <c r="W22" s="21">
        <f t="shared" si="5"/>
        <v>9.9475983006414e-14</v>
      </c>
      <c r="X22" s="58">
        <v>0.416666666666667</v>
      </c>
    </row>
    <row r="23" customHeight="1" spans="1:24">
      <c r="A23" s="62">
        <v>10317151</v>
      </c>
      <c r="B23" s="51" t="s">
        <v>52</v>
      </c>
      <c r="C23" s="52" t="s">
        <v>20</v>
      </c>
      <c r="D23" s="52" t="s">
        <v>21</v>
      </c>
      <c r="E23" s="52" t="s">
        <v>22</v>
      </c>
      <c r="F23" s="53">
        <v>1</v>
      </c>
      <c r="G23" s="54">
        <v>0.375</v>
      </c>
      <c r="H23" s="54">
        <f t="shared" si="0"/>
        <v>0.791666666666667</v>
      </c>
      <c r="I23" s="54">
        <v>0.375</v>
      </c>
      <c r="J23" s="54">
        <f t="shared" si="1"/>
        <v>0.791666666666667</v>
      </c>
      <c r="K23" s="54">
        <v>0.375</v>
      </c>
      <c r="L23" s="54">
        <f t="shared" si="2"/>
        <v>0.791666666666667</v>
      </c>
      <c r="M23" s="54">
        <v>0.375</v>
      </c>
      <c r="N23" s="54">
        <f t="shared" si="3"/>
        <v>0.791666666666667</v>
      </c>
      <c r="O23" s="21" t="s">
        <v>23</v>
      </c>
      <c r="P23" s="54" t="str">
        <f t="shared" si="4"/>
        <v>OFF</v>
      </c>
      <c r="Q23" s="21" t="s">
        <v>23</v>
      </c>
      <c r="R23" s="21" t="s">
        <v>23</v>
      </c>
      <c r="S23" s="54">
        <v>0.458333333333333</v>
      </c>
      <c r="T23" s="54">
        <v>0.666666666666667</v>
      </c>
      <c r="U23" s="21">
        <f>IFERROR(__xludf.DUMMYFUNCTION("TO_PURE_NUMBER(SUM(FILTER(G23:T23, ISEVEN(COLUMN(G23:T23))))-SUM(FILTER(G23:T23, ISODD(COLUMN(G23:T23)))))*24"),44.9999999999999)</f>
        <v>44.9999999999999</v>
      </c>
      <c r="V23" s="21">
        <v>45</v>
      </c>
      <c r="W23" s="21">
        <f t="shared" si="5"/>
        <v>9.9475983006414e-14</v>
      </c>
      <c r="X23" s="58">
        <v>0.416666666666667</v>
      </c>
    </row>
    <row r="24" customHeight="1" spans="1:24">
      <c r="A24" s="62">
        <v>10317522</v>
      </c>
      <c r="B24" s="63" t="s">
        <v>31</v>
      </c>
      <c r="C24" s="52" t="s">
        <v>20</v>
      </c>
      <c r="D24" s="52" t="s">
        <v>21</v>
      </c>
      <c r="E24" s="52" t="s">
        <v>22</v>
      </c>
      <c r="F24" s="53">
        <v>2</v>
      </c>
      <c r="G24" s="54">
        <v>0.375</v>
      </c>
      <c r="H24" s="54">
        <f t="shared" si="0"/>
        <v>0.75</v>
      </c>
      <c r="I24" s="54">
        <v>0.375</v>
      </c>
      <c r="J24" s="54">
        <f t="shared" si="1"/>
        <v>0.75</v>
      </c>
      <c r="K24" s="54">
        <v>0.375</v>
      </c>
      <c r="L24" s="54">
        <f t="shared" si="2"/>
        <v>0.75</v>
      </c>
      <c r="M24" s="54">
        <v>0.375</v>
      </c>
      <c r="N24" s="54">
        <f t="shared" si="3"/>
        <v>0.75</v>
      </c>
      <c r="O24" s="54">
        <v>0.375</v>
      </c>
      <c r="P24" s="54">
        <f t="shared" si="4"/>
        <v>0.75</v>
      </c>
      <c r="Q24" s="21" t="s">
        <v>23</v>
      </c>
      <c r="R24" s="21" t="s">
        <v>23</v>
      </c>
      <c r="S24" s="21" t="s">
        <v>23</v>
      </c>
      <c r="T24" s="21" t="s">
        <v>23</v>
      </c>
      <c r="U24" s="21">
        <f>IFERROR(__xludf.DUMMYFUNCTION("TO_PURE_NUMBER(SUM(FILTER(G24:T24, ISEVEN(COLUMN(G24:T24))))-SUM(FILTER(G24:T24, ISODD(COLUMN(G24:T24)))))*24"),45)</f>
        <v>45</v>
      </c>
      <c r="V24" s="21">
        <v>45</v>
      </c>
      <c r="W24" s="21">
        <f t="shared" si="5"/>
        <v>0</v>
      </c>
      <c r="X24" s="58">
        <v>0.375</v>
      </c>
    </row>
    <row r="25" customHeight="1" spans="1:24">
      <c r="A25" s="62">
        <v>10212379</v>
      </c>
      <c r="B25" s="51" t="s">
        <v>206</v>
      </c>
      <c r="C25" s="52" t="s">
        <v>20</v>
      </c>
      <c r="D25" s="52" t="s">
        <v>21</v>
      </c>
      <c r="E25" s="52" t="s">
        <v>22</v>
      </c>
      <c r="F25" s="53">
        <v>2</v>
      </c>
      <c r="G25" s="54">
        <v>0.375</v>
      </c>
      <c r="H25" s="54">
        <f t="shared" si="0"/>
        <v>0.75</v>
      </c>
      <c r="I25" s="54">
        <v>0.375</v>
      </c>
      <c r="J25" s="54">
        <f t="shared" si="1"/>
        <v>0.75</v>
      </c>
      <c r="K25" s="54">
        <v>0.375</v>
      </c>
      <c r="L25" s="54">
        <f t="shared" si="2"/>
        <v>0.75</v>
      </c>
      <c r="M25" s="54">
        <v>0.375</v>
      </c>
      <c r="N25" s="54">
        <f t="shared" si="3"/>
        <v>0.75</v>
      </c>
      <c r="O25" s="54">
        <v>0.375</v>
      </c>
      <c r="P25" s="54">
        <f t="shared" si="4"/>
        <v>0.75</v>
      </c>
      <c r="Q25" s="21" t="s">
        <v>23</v>
      </c>
      <c r="R25" s="21" t="s">
        <v>23</v>
      </c>
      <c r="S25" s="21" t="s">
        <v>23</v>
      </c>
      <c r="T25" s="21" t="s">
        <v>23</v>
      </c>
      <c r="U25" s="21">
        <f>IFERROR(__xludf.DUMMYFUNCTION("TO_PURE_NUMBER(SUM(FILTER(G25:T25, ISEVEN(COLUMN(G25:T25))))-SUM(FILTER(G25:T25, ISODD(COLUMN(G25:T25)))))*24"),45)</f>
        <v>45</v>
      </c>
      <c r="V25" s="21">
        <v>45</v>
      </c>
      <c r="W25" s="21">
        <f t="shared" si="5"/>
        <v>0</v>
      </c>
      <c r="X25" s="58">
        <v>0.375</v>
      </c>
    </row>
    <row r="26" customHeight="1" spans="1:24">
      <c r="A26" s="62">
        <v>10274446</v>
      </c>
      <c r="B26" s="51" t="s">
        <v>88</v>
      </c>
      <c r="C26" s="52" t="s">
        <v>20</v>
      </c>
      <c r="D26" s="52" t="s">
        <v>21</v>
      </c>
      <c r="E26" s="52" t="s">
        <v>22</v>
      </c>
      <c r="F26" s="53">
        <v>2</v>
      </c>
      <c r="G26" s="54">
        <v>0.5</v>
      </c>
      <c r="H26" s="54">
        <f t="shared" si="0"/>
        <v>0.875</v>
      </c>
      <c r="I26" s="54">
        <v>0.5</v>
      </c>
      <c r="J26" s="54">
        <f t="shared" si="1"/>
        <v>0.875</v>
      </c>
      <c r="K26" s="54">
        <v>0.5</v>
      </c>
      <c r="L26" s="54">
        <f t="shared" si="2"/>
        <v>0.875</v>
      </c>
      <c r="M26" s="54">
        <v>0.375</v>
      </c>
      <c r="N26" s="54">
        <f t="shared" si="3"/>
        <v>0.75</v>
      </c>
      <c r="O26" s="21" t="s">
        <v>23</v>
      </c>
      <c r="P26" s="54" t="str">
        <f t="shared" si="4"/>
        <v>OFF</v>
      </c>
      <c r="Q26" s="21" t="s">
        <v>23</v>
      </c>
      <c r="R26" s="21" t="s">
        <v>23</v>
      </c>
      <c r="S26" s="54">
        <v>0.458333333333333</v>
      </c>
      <c r="T26" s="54">
        <v>0.666666666666667</v>
      </c>
      <c r="U26" s="21">
        <f>IFERROR(__xludf.DUMMYFUNCTION("TO_PURE_NUMBER(SUM(FILTER(G26:T26, ISEVEN(COLUMN(G26:T26))))-SUM(FILTER(G26:T26, ISODD(COLUMN(G26:T26)))))*24"),41)</f>
        <v>41</v>
      </c>
      <c r="V26" s="21">
        <v>37</v>
      </c>
      <c r="W26" s="21">
        <f t="shared" si="5"/>
        <v>-4</v>
      </c>
      <c r="X26" s="58">
        <v>0.375</v>
      </c>
    </row>
    <row r="27" customHeight="1" spans="1:24">
      <c r="A27" s="62">
        <v>10316551</v>
      </c>
      <c r="B27" s="51" t="s">
        <v>87</v>
      </c>
      <c r="C27" s="52" t="s">
        <v>20</v>
      </c>
      <c r="D27" s="52" t="s">
        <v>21</v>
      </c>
      <c r="E27" s="52" t="s">
        <v>22</v>
      </c>
      <c r="F27" s="53">
        <v>1</v>
      </c>
      <c r="G27" s="54">
        <v>0.375</v>
      </c>
      <c r="H27" s="54">
        <f t="shared" si="0"/>
        <v>0.75</v>
      </c>
      <c r="I27" s="54">
        <v>0.375</v>
      </c>
      <c r="J27" s="54">
        <f t="shared" si="1"/>
        <v>0.75</v>
      </c>
      <c r="K27" s="54">
        <v>0.375</v>
      </c>
      <c r="L27" s="54">
        <f t="shared" si="2"/>
        <v>0.75</v>
      </c>
      <c r="M27" s="54">
        <v>0.375</v>
      </c>
      <c r="N27" s="54">
        <f t="shared" si="3"/>
        <v>0.75</v>
      </c>
      <c r="O27" s="21" t="s">
        <v>23</v>
      </c>
      <c r="P27" s="54" t="str">
        <f t="shared" si="4"/>
        <v>OFF</v>
      </c>
      <c r="Q27" s="21" t="s">
        <v>23</v>
      </c>
      <c r="R27" s="54" t="str">
        <f>IFERROR(Q27+$X27,"OFF")</f>
        <v>OFF</v>
      </c>
      <c r="S27" s="54">
        <v>0.458333333333333</v>
      </c>
      <c r="T27" s="54">
        <v>0.666666666666667</v>
      </c>
      <c r="U27" s="21">
        <f>IFERROR(__xludf.DUMMYFUNCTION("TO_PURE_NUMBER(SUM(FILTER(G27:T27, ISEVEN(COLUMN(G27:T27))))-SUM(FILTER(G27:T27, ISODD(COLUMN(G27:T27)))))*24"),41)</f>
        <v>41</v>
      </c>
      <c r="V27" s="21">
        <v>37</v>
      </c>
      <c r="W27" s="21">
        <f t="shared" si="5"/>
        <v>-4</v>
      </c>
      <c r="X27" s="58">
        <v>0.375</v>
      </c>
    </row>
    <row r="28" customHeight="1" spans="1:24">
      <c r="A28" s="62">
        <v>10317524</v>
      </c>
      <c r="B28" s="51" t="s">
        <v>53</v>
      </c>
      <c r="C28" s="52" t="s">
        <v>20</v>
      </c>
      <c r="D28" s="52" t="s">
        <v>21</v>
      </c>
      <c r="E28" s="52" t="s">
        <v>22</v>
      </c>
      <c r="F28" s="53">
        <v>2</v>
      </c>
      <c r="G28" s="54">
        <v>0.375</v>
      </c>
      <c r="H28" s="54">
        <f t="shared" si="0"/>
        <v>0.75</v>
      </c>
      <c r="I28" s="54">
        <v>0.375</v>
      </c>
      <c r="J28" s="54">
        <f t="shared" si="1"/>
        <v>0.75</v>
      </c>
      <c r="K28" s="54">
        <v>0.375</v>
      </c>
      <c r="L28" s="54">
        <f t="shared" si="2"/>
        <v>0.75</v>
      </c>
      <c r="M28" s="54">
        <v>0.375</v>
      </c>
      <c r="N28" s="54">
        <f t="shared" si="3"/>
        <v>0.75</v>
      </c>
      <c r="O28" s="54">
        <v>0.375</v>
      </c>
      <c r="P28" s="54">
        <f t="shared" si="4"/>
        <v>0.75</v>
      </c>
      <c r="Q28" s="21" t="s">
        <v>23</v>
      </c>
      <c r="R28" s="21" t="s">
        <v>23</v>
      </c>
      <c r="S28" s="21" t="s">
        <v>23</v>
      </c>
      <c r="T28" s="21" t="s">
        <v>23</v>
      </c>
      <c r="U28" s="21">
        <f>IFERROR(__xludf.DUMMYFUNCTION("TO_PURE_NUMBER(SUM(FILTER(G28:T28, ISEVEN(COLUMN(G28:T28))))-SUM(FILTER(G28:T28, ISODD(COLUMN(G28:T28)))))*24"),45)</f>
        <v>45</v>
      </c>
      <c r="V28" s="21">
        <v>45</v>
      </c>
      <c r="W28" s="21">
        <f t="shared" si="5"/>
        <v>0</v>
      </c>
      <c r="X28" s="58">
        <v>0.375</v>
      </c>
    </row>
    <row r="29" customHeight="1" spans="1:24">
      <c r="A29" s="62">
        <v>10316681</v>
      </c>
      <c r="B29" s="51" t="s">
        <v>38</v>
      </c>
      <c r="C29" s="52" t="s">
        <v>20</v>
      </c>
      <c r="D29" s="52" t="s">
        <v>21</v>
      </c>
      <c r="E29" s="52" t="s">
        <v>22</v>
      </c>
      <c r="F29" s="53">
        <v>1</v>
      </c>
      <c r="G29" s="21" t="s">
        <v>23</v>
      </c>
      <c r="H29" s="21" t="s">
        <v>23</v>
      </c>
      <c r="I29" s="54">
        <v>0.5</v>
      </c>
      <c r="J29" s="54">
        <f t="shared" si="1"/>
        <v>0.875</v>
      </c>
      <c r="K29" s="54">
        <v>0.5</v>
      </c>
      <c r="L29" s="54">
        <f t="shared" si="2"/>
        <v>0.875</v>
      </c>
      <c r="M29" s="54">
        <v>0.5</v>
      </c>
      <c r="N29" s="54">
        <f t="shared" si="3"/>
        <v>0.875</v>
      </c>
      <c r="O29" s="54">
        <v>0.5</v>
      </c>
      <c r="P29" s="54">
        <f t="shared" si="4"/>
        <v>0.875</v>
      </c>
      <c r="Q29" s="54">
        <v>0.458333333333333</v>
      </c>
      <c r="R29" s="54">
        <v>0.666666666666667</v>
      </c>
      <c r="S29" s="21" t="s">
        <v>23</v>
      </c>
      <c r="T29" s="21" t="s">
        <v>23</v>
      </c>
      <c r="U29" s="21">
        <f>IFERROR(__xludf.DUMMYFUNCTION("TO_PURE_NUMBER(SUM(FILTER(G29:T29, ISEVEN(COLUMN(G29:T29))))-SUM(FILTER(G29:T29, ISODD(COLUMN(G29:T29)))))*24"),41)</f>
        <v>41</v>
      </c>
      <c r="V29" s="21">
        <v>41</v>
      </c>
      <c r="W29" s="21">
        <f t="shared" si="5"/>
        <v>0</v>
      </c>
      <c r="X29" s="58">
        <v>0.375</v>
      </c>
    </row>
    <row r="30" customHeight="1" spans="1:24">
      <c r="A30" s="62">
        <v>10252106</v>
      </c>
      <c r="B30" s="51" t="s">
        <v>43</v>
      </c>
      <c r="C30" s="52" t="s">
        <v>20</v>
      </c>
      <c r="D30" s="52" t="s">
        <v>21</v>
      </c>
      <c r="E30" s="52" t="s">
        <v>22</v>
      </c>
      <c r="F30" s="53">
        <v>2</v>
      </c>
      <c r="G30" s="21" t="s">
        <v>23</v>
      </c>
      <c r="H30" s="21" t="s">
        <v>23</v>
      </c>
      <c r="I30" s="54">
        <v>0.5</v>
      </c>
      <c r="J30" s="54">
        <f t="shared" si="1"/>
        <v>0.875</v>
      </c>
      <c r="K30" s="21" t="s">
        <v>23</v>
      </c>
      <c r="L30" s="54" t="str">
        <f t="shared" si="2"/>
        <v>OFF</v>
      </c>
      <c r="M30" s="54">
        <v>0.5</v>
      </c>
      <c r="N30" s="54">
        <f t="shared" si="3"/>
        <v>0.875</v>
      </c>
      <c r="O30" s="54">
        <v>0.5</v>
      </c>
      <c r="P30" s="54">
        <f t="shared" si="4"/>
        <v>0.875</v>
      </c>
      <c r="Q30" s="54">
        <v>0.458333333333333</v>
      </c>
      <c r="R30" s="54">
        <v>0.666666666666667</v>
      </c>
      <c r="S30" s="54">
        <v>0.458333333333333</v>
      </c>
      <c r="T30" s="54">
        <v>0.666666666666667</v>
      </c>
      <c r="U30" s="21">
        <f>IFERROR(__xludf.DUMMYFUNCTION("TO_PURE_NUMBER(SUM(FILTER(G30:T30, ISEVEN(COLUMN(G30:T30))))-SUM(FILTER(G30:T30, ISODD(COLUMN(G30:T30)))))*24"),37)</f>
        <v>37</v>
      </c>
      <c r="V30" s="21">
        <v>37</v>
      </c>
      <c r="W30" s="21">
        <f t="shared" si="5"/>
        <v>0</v>
      </c>
      <c r="X30" s="58">
        <v>0.375</v>
      </c>
    </row>
    <row r="31" customHeight="1" spans="1:24">
      <c r="A31" s="62">
        <v>10316683</v>
      </c>
      <c r="B31" s="51" t="s">
        <v>51</v>
      </c>
      <c r="C31" s="52" t="s">
        <v>20</v>
      </c>
      <c r="D31" s="52" t="s">
        <v>21</v>
      </c>
      <c r="E31" s="52" t="s">
        <v>22</v>
      </c>
      <c r="F31" s="53">
        <v>1</v>
      </c>
      <c r="G31" s="54">
        <v>0.458333333333333</v>
      </c>
      <c r="H31" s="54">
        <f>IFERROR(G31+$X31,"OFF")</f>
        <v>0.875</v>
      </c>
      <c r="I31" s="54">
        <v>0.458333333333333</v>
      </c>
      <c r="J31" s="54">
        <f t="shared" si="1"/>
        <v>0.875</v>
      </c>
      <c r="K31" s="54">
        <v>0.458333333333333</v>
      </c>
      <c r="L31" s="54">
        <f t="shared" si="2"/>
        <v>0.875</v>
      </c>
      <c r="M31" s="54">
        <v>0.458333333333333</v>
      </c>
      <c r="N31" s="54">
        <f t="shared" si="3"/>
        <v>0.875</v>
      </c>
      <c r="O31" s="21" t="s">
        <v>23</v>
      </c>
      <c r="P31" s="21" t="s">
        <v>23</v>
      </c>
      <c r="Q31" s="21" t="s">
        <v>23</v>
      </c>
      <c r="R31" s="21" t="s">
        <v>23</v>
      </c>
      <c r="S31" s="54">
        <v>0.458333333333333</v>
      </c>
      <c r="T31" s="54">
        <v>0.666666666666667</v>
      </c>
      <c r="U31" s="21">
        <f>IFERROR(__xludf.DUMMYFUNCTION("TO_PURE_NUMBER(SUM(FILTER(G31:T31, ISEVEN(COLUMN(G31:T31))))-SUM(FILTER(G31:T31, ISODD(COLUMN(G31:T31)))))*24"),44.9999999999999)</f>
        <v>44.9999999999999</v>
      </c>
      <c r="V31" s="21">
        <v>45</v>
      </c>
      <c r="W31" s="21">
        <f t="shared" si="5"/>
        <v>9.9475983006414e-14</v>
      </c>
      <c r="X31" s="58">
        <v>0.416666666666667</v>
      </c>
    </row>
    <row r="32" customHeight="1" spans="1:24">
      <c r="A32" s="62">
        <v>10317147</v>
      </c>
      <c r="B32" s="51" t="s">
        <v>24</v>
      </c>
      <c r="C32" s="52" t="s">
        <v>20</v>
      </c>
      <c r="D32" s="52" t="s">
        <v>21</v>
      </c>
      <c r="E32" s="52" t="s">
        <v>22</v>
      </c>
      <c r="F32" s="53">
        <v>1</v>
      </c>
      <c r="G32" s="21" t="s">
        <v>23</v>
      </c>
      <c r="H32" s="21" t="s">
        <v>23</v>
      </c>
      <c r="I32" s="54">
        <v>0.458333333333333</v>
      </c>
      <c r="J32" s="54">
        <f t="shared" si="1"/>
        <v>0.875</v>
      </c>
      <c r="K32" s="54">
        <v>0.458333333333333</v>
      </c>
      <c r="L32" s="54">
        <f t="shared" si="2"/>
        <v>0.875</v>
      </c>
      <c r="M32" s="54">
        <v>0.458333333333333</v>
      </c>
      <c r="N32" s="54">
        <f t="shared" si="3"/>
        <v>0.875</v>
      </c>
      <c r="O32" s="54">
        <v>0.458333333333333</v>
      </c>
      <c r="P32" s="54">
        <f t="shared" ref="P32:P37" si="6">IFERROR(O32+$X32,"OFF")</f>
        <v>0.875</v>
      </c>
      <c r="Q32" s="54">
        <v>0.458333333333333</v>
      </c>
      <c r="R32" s="54">
        <v>0.666666666666667</v>
      </c>
      <c r="S32" s="21" t="s">
        <v>23</v>
      </c>
      <c r="T32" s="21" t="s">
        <v>23</v>
      </c>
      <c r="U32" s="21">
        <f>IFERROR(__xludf.DUMMYFUNCTION("TO_PURE_NUMBER(SUM(FILTER(G32:T32, ISEVEN(COLUMN(G32:T32))))-SUM(FILTER(G32:T32, ISODD(COLUMN(G32:T32)))))*24"),45)</f>
        <v>45</v>
      </c>
      <c r="V32" s="21">
        <v>45</v>
      </c>
      <c r="W32" s="21">
        <f t="shared" si="5"/>
        <v>0</v>
      </c>
      <c r="X32" s="58">
        <v>0.416666666666667</v>
      </c>
    </row>
    <row r="33" customHeight="1" spans="1:24">
      <c r="A33" s="62">
        <v>10316538</v>
      </c>
      <c r="B33" s="51" t="s">
        <v>44</v>
      </c>
      <c r="C33" s="52" t="s">
        <v>20</v>
      </c>
      <c r="D33" s="52" t="s">
        <v>21</v>
      </c>
      <c r="E33" s="52" t="s">
        <v>22</v>
      </c>
      <c r="F33" s="53">
        <v>1</v>
      </c>
      <c r="G33" s="21" t="s">
        <v>23</v>
      </c>
      <c r="H33" s="21" t="s">
        <v>23</v>
      </c>
      <c r="I33" s="54">
        <v>0.375</v>
      </c>
      <c r="J33" s="54">
        <f t="shared" si="1"/>
        <v>0.791666666666667</v>
      </c>
      <c r="K33" s="54">
        <v>0.375</v>
      </c>
      <c r="L33" s="54">
        <f t="shared" si="2"/>
        <v>0.791666666666667</v>
      </c>
      <c r="M33" s="54">
        <v>0.375</v>
      </c>
      <c r="N33" s="54">
        <f t="shared" si="3"/>
        <v>0.791666666666667</v>
      </c>
      <c r="O33" s="54">
        <v>0.375</v>
      </c>
      <c r="P33" s="54">
        <f t="shared" si="6"/>
        <v>0.791666666666667</v>
      </c>
      <c r="Q33" s="54">
        <v>0.458333333333333</v>
      </c>
      <c r="R33" s="54">
        <v>0.666666666666667</v>
      </c>
      <c r="S33" s="21" t="s">
        <v>23</v>
      </c>
      <c r="T33" s="21" t="s">
        <v>23</v>
      </c>
      <c r="U33" s="21">
        <f>IFERROR(__xludf.DUMMYFUNCTION("TO_PURE_NUMBER(SUM(FILTER(G33:T33, ISEVEN(COLUMN(G33:T33))))-SUM(FILTER(G33:T33, ISODD(COLUMN(G33:T33)))))*24"),44.9999999999999)</f>
        <v>44.9999999999999</v>
      </c>
      <c r="V33" s="21">
        <v>45</v>
      </c>
      <c r="W33" s="21">
        <f t="shared" si="5"/>
        <v>9.9475983006414e-14</v>
      </c>
      <c r="X33" s="58">
        <v>0.416666666666667</v>
      </c>
    </row>
    <row r="34" customHeight="1" spans="1:24">
      <c r="A34" s="62">
        <v>10316530</v>
      </c>
      <c r="B34" s="51" t="s">
        <v>26</v>
      </c>
      <c r="C34" s="52" t="s">
        <v>20</v>
      </c>
      <c r="D34" s="52" t="s">
        <v>21</v>
      </c>
      <c r="E34" s="52" t="s">
        <v>22</v>
      </c>
      <c r="F34" s="53">
        <v>1</v>
      </c>
      <c r="G34" s="21" t="s">
        <v>23</v>
      </c>
      <c r="H34" s="21" t="s">
        <v>23</v>
      </c>
      <c r="I34" s="54">
        <v>0.458333333333333</v>
      </c>
      <c r="J34" s="54">
        <f t="shared" si="1"/>
        <v>0.875</v>
      </c>
      <c r="K34" s="54">
        <v>0.458333333333333</v>
      </c>
      <c r="L34" s="54">
        <f t="shared" si="2"/>
        <v>0.875</v>
      </c>
      <c r="M34" s="54">
        <v>0.458333333333333</v>
      </c>
      <c r="N34" s="54">
        <f t="shared" si="3"/>
        <v>0.875</v>
      </c>
      <c r="O34" s="54">
        <v>0.458333333333333</v>
      </c>
      <c r="P34" s="54">
        <f t="shared" si="6"/>
        <v>0.875</v>
      </c>
      <c r="Q34" s="54">
        <v>0.458333333333333</v>
      </c>
      <c r="R34" s="54">
        <v>0.666666666666667</v>
      </c>
      <c r="S34" s="21" t="s">
        <v>23</v>
      </c>
      <c r="T34" s="21" t="s">
        <v>23</v>
      </c>
      <c r="U34" s="21">
        <f>IFERROR(__xludf.DUMMYFUNCTION("TO_PURE_NUMBER(SUM(FILTER(G34:T34, ISEVEN(COLUMN(G34:T34))))-SUM(FILTER(G34:T34, ISODD(COLUMN(G34:T34)))))*24"),45)</f>
        <v>45</v>
      </c>
      <c r="V34" s="21">
        <v>45</v>
      </c>
      <c r="W34" s="21">
        <f t="shared" si="5"/>
        <v>0</v>
      </c>
      <c r="X34" s="58">
        <v>0.416666666666667</v>
      </c>
    </row>
    <row r="35" customHeight="1" spans="1:24">
      <c r="A35" s="62">
        <v>10316545</v>
      </c>
      <c r="B35" s="51" t="s">
        <v>45</v>
      </c>
      <c r="C35" s="52" t="s">
        <v>20</v>
      </c>
      <c r="D35" s="52" t="s">
        <v>21</v>
      </c>
      <c r="E35" s="52" t="s">
        <v>22</v>
      </c>
      <c r="F35" s="53">
        <v>1</v>
      </c>
      <c r="G35" s="21" t="s">
        <v>23</v>
      </c>
      <c r="H35" s="21" t="s">
        <v>23</v>
      </c>
      <c r="I35" s="54">
        <v>0.458333333333333</v>
      </c>
      <c r="J35" s="54">
        <f t="shared" si="1"/>
        <v>0.875</v>
      </c>
      <c r="K35" s="54">
        <v>0.458333333333333</v>
      </c>
      <c r="L35" s="54">
        <f t="shared" si="2"/>
        <v>0.875</v>
      </c>
      <c r="M35" s="54">
        <v>0.458333333333333</v>
      </c>
      <c r="N35" s="54">
        <f t="shared" si="3"/>
        <v>0.875</v>
      </c>
      <c r="O35" s="54">
        <v>0.458333333333333</v>
      </c>
      <c r="P35" s="54">
        <f t="shared" si="6"/>
        <v>0.875</v>
      </c>
      <c r="Q35" s="54">
        <v>0.458333333333333</v>
      </c>
      <c r="R35" s="54">
        <v>0.666666666666667</v>
      </c>
      <c r="S35" s="21" t="s">
        <v>23</v>
      </c>
      <c r="T35" s="21" t="s">
        <v>23</v>
      </c>
      <c r="U35" s="21">
        <f>IFERROR(__xludf.DUMMYFUNCTION("TO_PURE_NUMBER(SUM(FILTER(G35:T35, ISEVEN(COLUMN(G35:T35))))-SUM(FILTER(G35:T35, ISODD(COLUMN(G35:T35)))))*24"),45)</f>
        <v>45</v>
      </c>
      <c r="V35" s="21">
        <v>45</v>
      </c>
      <c r="W35" s="21">
        <f t="shared" si="5"/>
        <v>0</v>
      </c>
      <c r="X35" s="58">
        <v>0.416666666666667</v>
      </c>
    </row>
    <row r="36" customHeight="1" spans="1:24">
      <c r="A36" s="62">
        <v>10316685</v>
      </c>
      <c r="B36" s="51" t="s">
        <v>47</v>
      </c>
      <c r="C36" s="52" t="s">
        <v>20</v>
      </c>
      <c r="D36" s="52" t="s">
        <v>21</v>
      </c>
      <c r="E36" s="52" t="s">
        <v>22</v>
      </c>
      <c r="F36" s="53">
        <v>1</v>
      </c>
      <c r="G36" s="21" t="s">
        <v>23</v>
      </c>
      <c r="H36" s="21" t="s">
        <v>23</v>
      </c>
      <c r="I36" s="54">
        <v>0.458333333333333</v>
      </c>
      <c r="J36" s="54">
        <f t="shared" si="1"/>
        <v>0.875</v>
      </c>
      <c r="K36" s="54">
        <v>0.458333333333333</v>
      </c>
      <c r="L36" s="54">
        <f t="shared" si="2"/>
        <v>0.875</v>
      </c>
      <c r="M36" s="54">
        <v>0.458333333333333</v>
      </c>
      <c r="N36" s="54">
        <f t="shared" si="3"/>
        <v>0.875</v>
      </c>
      <c r="O36" s="54">
        <v>0.458333333333333</v>
      </c>
      <c r="P36" s="54">
        <f t="shared" si="6"/>
        <v>0.875</v>
      </c>
      <c r="Q36" s="54">
        <v>0.458333333333333</v>
      </c>
      <c r="R36" s="54">
        <v>0.666666666666667</v>
      </c>
      <c r="S36" s="21" t="s">
        <v>23</v>
      </c>
      <c r="T36" s="21" t="s">
        <v>23</v>
      </c>
      <c r="U36" s="21">
        <f>IFERROR(__xludf.DUMMYFUNCTION("TO_PURE_NUMBER(SUM(FILTER(G36:T36, ISEVEN(COLUMN(G36:T36))))-SUM(FILTER(G36:T36, ISODD(COLUMN(G36:T36)))))*24"),45)</f>
        <v>45</v>
      </c>
      <c r="V36" s="21">
        <v>45</v>
      </c>
      <c r="W36" s="21">
        <f t="shared" si="5"/>
        <v>0</v>
      </c>
      <c r="X36" s="58">
        <v>0.416666666666667</v>
      </c>
    </row>
    <row r="37" customHeight="1" spans="1:24">
      <c r="A37" s="62">
        <v>10316540</v>
      </c>
      <c r="B37" s="51" t="s">
        <v>30</v>
      </c>
      <c r="C37" s="52" t="s">
        <v>20</v>
      </c>
      <c r="D37" s="52" t="s">
        <v>21</v>
      </c>
      <c r="E37" s="52" t="s">
        <v>22</v>
      </c>
      <c r="F37" s="53">
        <v>1</v>
      </c>
      <c r="G37" s="21" t="s">
        <v>23</v>
      </c>
      <c r="H37" s="21" t="s">
        <v>23</v>
      </c>
      <c r="I37" s="54">
        <v>0.375</v>
      </c>
      <c r="J37" s="54">
        <f t="shared" si="1"/>
        <v>0.791666666666667</v>
      </c>
      <c r="K37" s="54">
        <v>0.375</v>
      </c>
      <c r="L37" s="54">
        <f t="shared" si="2"/>
        <v>0.791666666666667</v>
      </c>
      <c r="M37" s="54">
        <v>0.375</v>
      </c>
      <c r="N37" s="54">
        <f t="shared" si="3"/>
        <v>0.791666666666667</v>
      </c>
      <c r="O37" s="54">
        <v>0.375</v>
      </c>
      <c r="P37" s="54">
        <f t="shared" si="6"/>
        <v>0.791666666666667</v>
      </c>
      <c r="Q37" s="54">
        <v>0.458333333333333</v>
      </c>
      <c r="R37" s="54">
        <v>0.666666666666667</v>
      </c>
      <c r="S37" s="21" t="s">
        <v>23</v>
      </c>
      <c r="T37" s="21" t="s">
        <v>23</v>
      </c>
      <c r="U37" s="21">
        <f>IFERROR(__xludf.DUMMYFUNCTION("TO_PURE_NUMBER(SUM(FILTER(G37:T37, ISEVEN(COLUMN(G37:T37))))-SUM(FILTER(G37:T37, ISODD(COLUMN(G37:T37)))))*24"),44.9999999999999)</f>
        <v>44.9999999999999</v>
      </c>
      <c r="V37" s="21">
        <v>45</v>
      </c>
      <c r="W37" s="21">
        <f t="shared" si="5"/>
        <v>9.9475983006414e-14</v>
      </c>
      <c r="X37" s="58">
        <v>0.416666666666667</v>
      </c>
    </row>
    <row r="38" customHeight="1" spans="1:23">
      <c r="A38" s="10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 customHeight="1" spans="1:23">
      <c r="A39" s="10"/>
      <c r="B39" s="17"/>
      <c r="C39" s="17"/>
      <c r="D39" s="17"/>
      <c r="E39" s="17"/>
      <c r="T39" s="17"/>
      <c r="U39" s="17"/>
      <c r="V39" s="17"/>
      <c r="W39" s="17"/>
    </row>
    <row r="40" customHeight="1" spans="1:23">
      <c r="A40" s="10"/>
      <c r="B40" s="17"/>
      <c r="C40" s="17"/>
      <c r="D40" s="17"/>
      <c r="E40" s="17"/>
      <c r="G40" s="48" t="s">
        <v>6</v>
      </c>
      <c r="H40" s="48" t="s">
        <v>7</v>
      </c>
      <c r="I40" s="48" t="s">
        <v>8</v>
      </c>
      <c r="J40" s="48" t="s">
        <v>9</v>
      </c>
      <c r="K40" s="48" t="s">
        <v>10</v>
      </c>
      <c r="L40" s="48" t="s">
        <v>11</v>
      </c>
      <c r="M40" s="48" t="s">
        <v>12</v>
      </c>
      <c r="T40" s="60"/>
      <c r="U40" s="17"/>
      <c r="V40" s="17"/>
      <c r="W40" s="17"/>
    </row>
    <row r="41" customHeight="1" spans="1:23">
      <c r="A41" s="10"/>
      <c r="B41" s="17"/>
      <c r="C41" s="17"/>
      <c r="D41" s="17"/>
      <c r="E41" s="17"/>
      <c r="F41" s="7" t="s">
        <v>76</v>
      </c>
      <c r="G41" s="7">
        <f>IFERROR(__xludf.DUMMYFUNCTION("COUNTA(FILTER($C$2:$C$37, $C$2:$C$37=""CSR"", G2:G37&lt;&gt;"""", NOT(ISTEXT(G2:G37))))"),26)</f>
        <v>26</v>
      </c>
      <c r="H41" s="7">
        <f>IFERROR(__xludf.DUMMYFUNCTION("COUNTA(FILTER($C$2:$C$37, $C$2:$C$37=""CSR"", I2:I37&lt;&gt;"""", NOT(ISTEXT(I2:I37))))"),34)</f>
        <v>34</v>
      </c>
      <c r="I41" s="7">
        <f>IFERROR(__xludf.DUMMYFUNCTION("COUNTA(FILTER($C$2:$C$37, $C$2:$C$37=""CSR"", K2:K37&lt;&gt;"""", NOT(ISTEXT(K2:K37))))"),33)</f>
        <v>33</v>
      </c>
      <c r="J41" s="7">
        <f>IFERROR(__xludf.DUMMYFUNCTION("COUNTA(FILTER($C$2:$C$37, $C$2:$C$37=""CSR"", M2:M37&lt;&gt;"""", NOT(ISTEXT(M2:M37))))"),32)</f>
        <v>32</v>
      </c>
      <c r="K41" s="7">
        <f>IFERROR(__xludf.DUMMYFUNCTION("COUNTA(FILTER($C$2:$C$37, $C$2:$C$37=""CSR"", O2:O37&lt;&gt;"""", NOT(ISTEXT(O2:O37))))"),21)</f>
        <v>21</v>
      </c>
      <c r="L41" s="7">
        <f>IFERROR(__xludf.DUMMYFUNCTION("COUNTA(FILTER($C$2:$C$37, $C$2:$C$37=""CSR"", Q2:Q37&lt;&gt;"""", NOT(ISTEXT(Q2:Q37))))"),10)</f>
        <v>10</v>
      </c>
      <c r="M41" s="7">
        <f>IFERROR(__xludf.DUMMYFUNCTION("COUNTA(FILTER($C$2:$C$37, $C$2:$C$37=""CSR"", S2:S37&lt;&gt;"""", NOT(ISTEXT(S2:S37))))"),14)</f>
        <v>14</v>
      </c>
      <c r="T41" s="17"/>
      <c r="U41" s="17"/>
      <c r="V41" s="17"/>
      <c r="W41" s="17"/>
    </row>
    <row r="42" customHeight="1" spans="1:23">
      <c r="A42" s="10"/>
      <c r="B42" s="17"/>
      <c r="C42" s="17"/>
      <c r="D42" s="17"/>
      <c r="E42" s="17"/>
      <c r="F42" s="7" t="s">
        <v>77</v>
      </c>
      <c r="G42" s="56">
        <f t="shared" ref="G42:M42" si="7">G44/8</f>
        <v>20.35</v>
      </c>
      <c r="H42" s="56">
        <f t="shared" si="7"/>
        <v>17.35</v>
      </c>
      <c r="I42" s="56">
        <f t="shared" si="7"/>
        <v>16.9375</v>
      </c>
      <c r="J42" s="56">
        <f t="shared" si="7"/>
        <v>15.525</v>
      </c>
      <c r="K42" s="56">
        <f t="shared" si="7"/>
        <v>17</v>
      </c>
      <c r="L42" s="56">
        <f t="shared" si="7"/>
        <v>7.4</v>
      </c>
      <c r="M42" s="56">
        <f t="shared" si="7"/>
        <v>5.525</v>
      </c>
      <c r="T42" s="17"/>
      <c r="U42" s="17"/>
      <c r="V42" s="17"/>
      <c r="W42" s="17"/>
    </row>
    <row r="43" customHeight="1" spans="1:23">
      <c r="A43" s="10"/>
      <c r="B43" s="17"/>
      <c r="C43" s="17"/>
      <c r="D43" s="17"/>
      <c r="E43" s="17"/>
      <c r="F43" s="7" t="s">
        <v>75</v>
      </c>
      <c r="G43" s="57">
        <f t="shared" ref="G43:M43" si="8">G41-G42</f>
        <v>5.65</v>
      </c>
      <c r="H43" s="57">
        <f t="shared" si="8"/>
        <v>16.65</v>
      </c>
      <c r="I43" s="57">
        <f t="shared" si="8"/>
        <v>16.0625</v>
      </c>
      <c r="J43" s="57">
        <f t="shared" si="8"/>
        <v>16.475</v>
      </c>
      <c r="K43" s="57">
        <f t="shared" si="8"/>
        <v>4</v>
      </c>
      <c r="L43" s="57">
        <f t="shared" si="8"/>
        <v>2.6</v>
      </c>
      <c r="M43" s="57">
        <f t="shared" si="8"/>
        <v>8.475</v>
      </c>
      <c r="T43" s="17"/>
      <c r="U43" s="17"/>
      <c r="V43" s="17"/>
      <c r="W43" s="17"/>
    </row>
    <row r="44" customHeight="1" spans="1:23">
      <c r="A44" s="10"/>
      <c r="B44" s="17"/>
      <c r="C44" s="17"/>
      <c r="D44" s="17"/>
      <c r="E44" s="17"/>
      <c r="F44" s="17" t="s">
        <v>73</v>
      </c>
      <c r="G44" s="64">
        <v>162.8</v>
      </c>
      <c r="H44" s="65">
        <v>138.8</v>
      </c>
      <c r="I44" s="65">
        <v>135.5</v>
      </c>
      <c r="J44" s="65">
        <v>124.2</v>
      </c>
      <c r="K44" s="65">
        <v>136</v>
      </c>
      <c r="L44" s="65">
        <v>59.2</v>
      </c>
      <c r="M44" s="80">
        <v>44.2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 customHeight="1" spans="1:23">
      <c r="A45" s="10"/>
      <c r="B45" s="17"/>
      <c r="C45" s="17"/>
      <c r="D45" s="17"/>
      <c r="E45" s="17"/>
      <c r="F45" s="17" t="s">
        <v>74</v>
      </c>
      <c r="G45" s="17">
        <f>G41*8</f>
        <v>208</v>
      </c>
      <c r="H45" s="17">
        <f t="shared" ref="H45:M45" si="9">H41*7</f>
        <v>238</v>
      </c>
      <c r="I45" s="17">
        <f t="shared" si="9"/>
        <v>231</v>
      </c>
      <c r="J45" s="17">
        <f t="shared" si="9"/>
        <v>224</v>
      </c>
      <c r="K45" s="17">
        <f t="shared" si="9"/>
        <v>147</v>
      </c>
      <c r="L45" s="17">
        <f t="shared" si="9"/>
        <v>70</v>
      </c>
      <c r="M45" s="17">
        <f t="shared" si="9"/>
        <v>98</v>
      </c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customHeight="1" spans="1:23">
      <c r="A46" s="10"/>
      <c r="B46" s="17"/>
      <c r="C46" s="17"/>
      <c r="D46" s="17"/>
      <c r="E46" s="17"/>
      <c r="F46" s="17" t="s">
        <v>75</v>
      </c>
      <c r="G46" s="66">
        <f t="shared" ref="G46:M46" si="10">G45-G44</f>
        <v>45.2</v>
      </c>
      <c r="H46" s="66">
        <f t="shared" si="10"/>
        <v>99.2</v>
      </c>
      <c r="I46" s="66">
        <f t="shared" si="10"/>
        <v>95.5</v>
      </c>
      <c r="J46" s="66">
        <f t="shared" si="10"/>
        <v>99.8</v>
      </c>
      <c r="K46" s="66">
        <f t="shared" si="10"/>
        <v>11</v>
      </c>
      <c r="L46" s="66">
        <f t="shared" si="10"/>
        <v>10.8</v>
      </c>
      <c r="M46" s="66">
        <f t="shared" si="10"/>
        <v>53.8</v>
      </c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customHeight="1" spans="1:23">
      <c r="A47" s="10" t="s">
        <v>211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customHeight="1" spans="1:23">
      <c r="A48" s="10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46">
        <v>45593</v>
      </c>
      <c r="H48" s="14"/>
      <c r="I48" s="46">
        <f>G48+1</f>
        <v>45594</v>
      </c>
      <c r="J48" s="14"/>
      <c r="K48" s="46">
        <f>I48+1</f>
        <v>45595</v>
      </c>
      <c r="L48" s="14"/>
      <c r="M48" s="46">
        <f>K48+1</f>
        <v>45596</v>
      </c>
      <c r="N48" s="14"/>
      <c r="O48" s="46">
        <f>M48+1</f>
        <v>45597</v>
      </c>
      <c r="P48" s="14"/>
      <c r="Q48" s="46">
        <f>O48+1</f>
        <v>45598</v>
      </c>
      <c r="R48" s="14"/>
      <c r="S48" s="46">
        <f>Q48+1</f>
        <v>45599</v>
      </c>
      <c r="T48" s="14"/>
      <c r="U48" s="17"/>
      <c r="V48" s="17"/>
      <c r="W48" s="17"/>
    </row>
    <row r="49" customHeight="1" spans="1:23">
      <c r="A49" s="10">
        <v>10316681</v>
      </c>
      <c r="B49" s="51" t="s">
        <v>38</v>
      </c>
      <c r="C49" s="52" t="s">
        <v>20</v>
      </c>
      <c r="D49" s="52" t="s">
        <v>21</v>
      </c>
      <c r="E49" s="52" t="s">
        <v>22</v>
      </c>
      <c r="F49" s="53">
        <v>1</v>
      </c>
      <c r="G49" s="58">
        <v>0.375</v>
      </c>
      <c r="H49" s="58">
        <v>0.791666666666667</v>
      </c>
      <c r="I49" s="10" t="s">
        <v>23</v>
      </c>
      <c r="J49" s="10" t="s">
        <v>23</v>
      </c>
      <c r="K49" s="58">
        <v>0.375</v>
      </c>
      <c r="L49" s="58">
        <v>0.791666666666667</v>
      </c>
      <c r="M49" s="58">
        <v>0.375</v>
      </c>
      <c r="N49" s="58">
        <v>0.791666666666667</v>
      </c>
      <c r="O49" s="58">
        <v>0.333333333333333</v>
      </c>
      <c r="P49" s="58">
        <v>0.75</v>
      </c>
      <c r="Q49" s="58">
        <v>0.416666666666667</v>
      </c>
      <c r="R49" s="58">
        <v>0.625</v>
      </c>
      <c r="S49" s="10" t="s">
        <v>23</v>
      </c>
      <c r="T49" s="10" t="s">
        <v>23</v>
      </c>
      <c r="U49" s="17"/>
      <c r="V49" s="17"/>
      <c r="W49" s="17"/>
    </row>
    <row r="50" customHeight="1" spans="1:23">
      <c r="A50" s="10">
        <v>10316530</v>
      </c>
      <c r="B50" s="51" t="s">
        <v>26</v>
      </c>
      <c r="C50" s="52" t="s">
        <v>20</v>
      </c>
      <c r="D50" s="52" t="s">
        <v>21</v>
      </c>
      <c r="E50" s="52" t="s">
        <v>22</v>
      </c>
      <c r="F50" s="53">
        <v>1</v>
      </c>
      <c r="G50" s="58">
        <v>0.375</v>
      </c>
      <c r="H50" s="58">
        <v>0.791666666666667</v>
      </c>
      <c r="I50" s="58">
        <v>0.375</v>
      </c>
      <c r="J50" s="58">
        <v>0.791666666666667</v>
      </c>
      <c r="K50" s="58">
        <v>0.375</v>
      </c>
      <c r="L50" s="58">
        <v>0.791666666666667</v>
      </c>
      <c r="M50" s="10" t="s">
        <v>23</v>
      </c>
      <c r="N50" s="10" t="s">
        <v>23</v>
      </c>
      <c r="O50" s="58">
        <v>0.333333333333333</v>
      </c>
      <c r="P50" s="58">
        <v>0.75</v>
      </c>
      <c r="Q50" s="58">
        <v>0.416666666666667</v>
      </c>
      <c r="R50" s="58">
        <v>0.625</v>
      </c>
      <c r="S50" s="10" t="s">
        <v>23</v>
      </c>
      <c r="T50" s="10" t="s">
        <v>23</v>
      </c>
      <c r="U50" s="17"/>
      <c r="V50" s="17"/>
      <c r="W50" s="17"/>
    </row>
    <row r="51" customHeight="1" spans="1:23">
      <c r="A51" s="10">
        <v>10316680</v>
      </c>
      <c r="B51" s="51" t="s">
        <v>40</v>
      </c>
      <c r="C51" s="52" t="s">
        <v>20</v>
      </c>
      <c r="D51" s="52" t="s">
        <v>21</v>
      </c>
      <c r="E51" s="52" t="s">
        <v>22</v>
      </c>
      <c r="F51" s="53">
        <v>1</v>
      </c>
      <c r="G51" s="58">
        <v>0.458333333333333</v>
      </c>
      <c r="H51" s="58">
        <v>0.875</v>
      </c>
      <c r="I51" s="58">
        <v>0.458333333333333</v>
      </c>
      <c r="J51" s="58">
        <v>0.875</v>
      </c>
      <c r="K51" s="10" t="s">
        <v>23</v>
      </c>
      <c r="L51" s="10" t="s">
        <v>23</v>
      </c>
      <c r="M51" s="58">
        <v>0.458333333333333</v>
      </c>
      <c r="N51" s="58">
        <v>0.875</v>
      </c>
      <c r="O51" s="58">
        <v>0.416666666666667</v>
      </c>
      <c r="P51" s="58">
        <v>0.833333333333333</v>
      </c>
      <c r="Q51" s="58">
        <v>0.416666666666667</v>
      </c>
      <c r="R51" s="58">
        <v>0.625</v>
      </c>
      <c r="S51" s="10" t="s">
        <v>23</v>
      </c>
      <c r="T51" s="10" t="s">
        <v>23</v>
      </c>
      <c r="U51" s="17"/>
      <c r="V51" s="17"/>
      <c r="W51" s="17"/>
    </row>
    <row r="52" customHeight="1" spans="1:23">
      <c r="A52" s="10">
        <v>10317153</v>
      </c>
      <c r="B52" s="51" t="s">
        <v>42</v>
      </c>
      <c r="C52" s="52" t="s">
        <v>20</v>
      </c>
      <c r="D52" s="52" t="s">
        <v>21</v>
      </c>
      <c r="E52" s="52" t="s">
        <v>22</v>
      </c>
      <c r="F52" s="53">
        <v>1</v>
      </c>
      <c r="G52" s="58">
        <v>0.375</v>
      </c>
      <c r="H52" s="58">
        <v>0.791666666666667</v>
      </c>
      <c r="I52" s="58">
        <v>0.375</v>
      </c>
      <c r="J52" s="58">
        <v>0.791666666666667</v>
      </c>
      <c r="K52" s="58">
        <v>0.375</v>
      </c>
      <c r="L52" s="58">
        <v>0.791666666666667</v>
      </c>
      <c r="M52" s="58">
        <v>0.375</v>
      </c>
      <c r="N52" s="58">
        <v>0.791666666666667</v>
      </c>
      <c r="O52" s="10" t="s">
        <v>23</v>
      </c>
      <c r="P52" s="10" t="s">
        <v>23</v>
      </c>
      <c r="Q52" s="10" t="s">
        <v>23</v>
      </c>
      <c r="R52" s="10" t="s">
        <v>23</v>
      </c>
      <c r="S52" s="58">
        <v>0.416666666666667</v>
      </c>
      <c r="T52" s="58">
        <v>0.625</v>
      </c>
      <c r="U52" s="17"/>
      <c r="V52" s="17"/>
      <c r="W52" s="17"/>
    </row>
    <row r="53" customHeight="1" spans="1:23">
      <c r="A53" s="10">
        <v>10316538</v>
      </c>
      <c r="B53" s="51" t="s">
        <v>44</v>
      </c>
      <c r="C53" s="52" t="s">
        <v>20</v>
      </c>
      <c r="D53" s="52" t="s">
        <v>21</v>
      </c>
      <c r="E53" s="52" t="s">
        <v>22</v>
      </c>
      <c r="F53" s="53">
        <v>1</v>
      </c>
      <c r="G53" s="58">
        <v>0.458333333333333</v>
      </c>
      <c r="H53" s="58">
        <v>0.875</v>
      </c>
      <c r="I53" s="58">
        <v>0.458333333333333</v>
      </c>
      <c r="J53" s="58">
        <v>0.875</v>
      </c>
      <c r="K53" s="58">
        <v>0.458333333333333</v>
      </c>
      <c r="L53" s="58">
        <v>0.875</v>
      </c>
      <c r="M53" s="10" t="s">
        <v>23</v>
      </c>
      <c r="N53" s="10" t="s">
        <v>23</v>
      </c>
      <c r="O53" s="58">
        <v>0.416666666666667</v>
      </c>
      <c r="P53" s="58">
        <v>0.833333333333333</v>
      </c>
      <c r="Q53" s="58">
        <v>0.416666666666667</v>
      </c>
      <c r="R53" s="58">
        <v>0.625</v>
      </c>
      <c r="S53" s="10" t="s">
        <v>23</v>
      </c>
      <c r="T53" s="10" t="s">
        <v>23</v>
      </c>
      <c r="U53" s="17"/>
      <c r="V53" s="17"/>
      <c r="W53" s="17"/>
    </row>
    <row r="54" customHeight="1" spans="1:23">
      <c r="A54" s="10">
        <v>10316545</v>
      </c>
      <c r="B54" s="51" t="s">
        <v>45</v>
      </c>
      <c r="C54" s="52" t="s">
        <v>20</v>
      </c>
      <c r="D54" s="52" t="s">
        <v>21</v>
      </c>
      <c r="E54" s="52" t="s">
        <v>22</v>
      </c>
      <c r="F54" s="53">
        <v>1</v>
      </c>
      <c r="G54" s="58">
        <v>0.375</v>
      </c>
      <c r="H54" s="58">
        <v>0.791666666666667</v>
      </c>
      <c r="I54" s="58">
        <v>0.375</v>
      </c>
      <c r="J54" s="58">
        <v>0.791666666666667</v>
      </c>
      <c r="K54" s="10" t="s">
        <v>23</v>
      </c>
      <c r="L54" s="10" t="s">
        <v>23</v>
      </c>
      <c r="M54" s="58">
        <v>0.375</v>
      </c>
      <c r="N54" s="58">
        <v>0.791666666666667</v>
      </c>
      <c r="O54" s="58">
        <v>0.333333333333333</v>
      </c>
      <c r="P54" s="58">
        <v>0.75</v>
      </c>
      <c r="Q54" s="58">
        <v>0.416666666666667</v>
      </c>
      <c r="R54" s="58">
        <v>0.625</v>
      </c>
      <c r="S54" s="10" t="s">
        <v>23</v>
      </c>
      <c r="T54" s="10" t="s">
        <v>23</v>
      </c>
      <c r="U54" s="17"/>
      <c r="V54" s="17"/>
      <c r="W54" s="17"/>
    </row>
    <row r="55" customHeight="1" spans="1:23">
      <c r="A55" s="10">
        <v>10316685</v>
      </c>
      <c r="B55" s="51" t="s">
        <v>47</v>
      </c>
      <c r="C55" s="52" t="s">
        <v>20</v>
      </c>
      <c r="D55" s="52" t="s">
        <v>21</v>
      </c>
      <c r="E55" s="52" t="s">
        <v>22</v>
      </c>
      <c r="F55" s="53">
        <v>1</v>
      </c>
      <c r="G55" s="58">
        <v>0.375</v>
      </c>
      <c r="H55" s="58">
        <v>0.791666666666667</v>
      </c>
      <c r="I55" s="10" t="s">
        <v>23</v>
      </c>
      <c r="J55" s="10" t="s">
        <v>23</v>
      </c>
      <c r="K55" s="58">
        <v>0.375</v>
      </c>
      <c r="L55" s="58">
        <v>0.791666666666667</v>
      </c>
      <c r="M55" s="58">
        <v>0.375</v>
      </c>
      <c r="N55" s="58">
        <v>0.791666666666667</v>
      </c>
      <c r="O55" s="58">
        <v>0.333333333333333</v>
      </c>
      <c r="P55" s="58">
        <v>0.75</v>
      </c>
      <c r="Q55" s="58">
        <v>0.416666666666667</v>
      </c>
      <c r="R55" s="58">
        <v>0.625</v>
      </c>
      <c r="S55" s="10" t="s">
        <v>23</v>
      </c>
      <c r="T55" s="10" t="s">
        <v>23</v>
      </c>
      <c r="U55" s="17"/>
      <c r="V55" s="17"/>
      <c r="W55" s="17"/>
    </row>
    <row r="60" customHeight="1" spans="1:17">
      <c r="A60" s="22" t="s">
        <v>0</v>
      </c>
      <c r="B60" s="67" t="s">
        <v>98</v>
      </c>
      <c r="C60" s="67" t="s">
        <v>2</v>
      </c>
      <c r="D60" s="68">
        <v>45600</v>
      </c>
      <c r="E60" s="14"/>
      <c r="F60" s="68">
        <v>45601</v>
      </c>
      <c r="G60" s="14"/>
      <c r="H60" s="68">
        <v>45602</v>
      </c>
      <c r="I60" s="14"/>
      <c r="J60" s="68">
        <v>45603</v>
      </c>
      <c r="K60" s="14"/>
      <c r="L60" s="68">
        <v>45604</v>
      </c>
      <c r="M60" s="14"/>
      <c r="N60" s="68">
        <v>45605</v>
      </c>
      <c r="O60" s="14"/>
      <c r="P60" s="68">
        <v>45606</v>
      </c>
      <c r="Q60" s="14"/>
    </row>
    <row r="61" customHeight="1" spans="1:17">
      <c r="A61" s="15"/>
      <c r="B61" s="69"/>
      <c r="C61" s="69"/>
      <c r="D61" s="70" t="s">
        <v>6</v>
      </c>
      <c r="E61" s="71"/>
      <c r="F61" s="70" t="s">
        <v>7</v>
      </c>
      <c r="G61" s="71"/>
      <c r="H61" s="72" t="s">
        <v>8</v>
      </c>
      <c r="I61" s="71"/>
      <c r="J61" s="70" t="s">
        <v>9</v>
      </c>
      <c r="K61" s="71"/>
      <c r="L61" s="70" t="s">
        <v>10</v>
      </c>
      <c r="M61" s="71"/>
      <c r="N61" s="70" t="s">
        <v>11</v>
      </c>
      <c r="O61" s="71"/>
      <c r="P61" s="70" t="s">
        <v>12</v>
      </c>
      <c r="Q61" s="71"/>
    </row>
    <row r="62" customHeight="1" spans="1:17">
      <c r="A62" s="5"/>
      <c r="B62" s="71"/>
      <c r="C62" s="71"/>
      <c r="D62" s="73" t="s">
        <v>13</v>
      </c>
      <c r="E62" s="73" t="s">
        <v>14</v>
      </c>
      <c r="F62" s="73" t="s">
        <v>13</v>
      </c>
      <c r="G62" s="73" t="s">
        <v>14</v>
      </c>
      <c r="H62" s="74" t="s">
        <v>13</v>
      </c>
      <c r="I62" s="73" t="s">
        <v>14</v>
      </c>
      <c r="J62" s="73" t="s">
        <v>13</v>
      </c>
      <c r="K62" s="73" t="s">
        <v>14</v>
      </c>
      <c r="L62" s="73" t="s">
        <v>13</v>
      </c>
      <c r="M62" s="73" t="s">
        <v>14</v>
      </c>
      <c r="N62" s="73" t="s">
        <v>13</v>
      </c>
      <c r="O62" s="73" t="s">
        <v>14</v>
      </c>
      <c r="P62" s="73" t="s">
        <v>13</v>
      </c>
      <c r="Q62" s="73" t="s">
        <v>14</v>
      </c>
    </row>
    <row r="63" customHeight="1" spans="1:17">
      <c r="A63" s="75">
        <v>10316835</v>
      </c>
      <c r="B63" s="76" t="s">
        <v>161</v>
      </c>
      <c r="C63" s="76" t="s">
        <v>162</v>
      </c>
      <c r="D63" s="77">
        <v>0.458333333333333</v>
      </c>
      <c r="E63" s="78">
        <v>0.875</v>
      </c>
      <c r="F63" s="77">
        <v>0.458333333333333</v>
      </c>
      <c r="G63" s="78">
        <v>0.875</v>
      </c>
      <c r="H63" s="77">
        <v>0.458333333333333</v>
      </c>
      <c r="I63" s="78">
        <v>0.875</v>
      </c>
      <c r="J63" s="77">
        <v>0.458333333333333</v>
      </c>
      <c r="K63" s="78">
        <v>0.875</v>
      </c>
      <c r="L63" s="79" t="s">
        <v>23</v>
      </c>
      <c r="M63" s="79" t="s">
        <v>23</v>
      </c>
      <c r="N63" s="81" t="s">
        <v>23</v>
      </c>
      <c r="O63" s="81" t="s">
        <v>23</v>
      </c>
      <c r="P63" s="82">
        <v>0.458333333333333</v>
      </c>
      <c r="Q63" s="83">
        <v>0.666666666666667</v>
      </c>
    </row>
    <row r="64" customHeight="1" spans="1:17">
      <c r="A64" s="75">
        <v>10225640</v>
      </c>
      <c r="B64" s="76" t="s">
        <v>100</v>
      </c>
      <c r="C64" s="76" t="s">
        <v>162</v>
      </c>
      <c r="D64" s="79" t="s">
        <v>23</v>
      </c>
      <c r="E64" s="79" t="s">
        <v>23</v>
      </c>
      <c r="F64" s="77">
        <v>0.375</v>
      </c>
      <c r="G64" s="78">
        <v>0.791666666666667</v>
      </c>
      <c r="H64" s="77">
        <v>0.375</v>
      </c>
      <c r="I64" s="78">
        <v>0.791666666666667</v>
      </c>
      <c r="J64" s="77">
        <v>0.375</v>
      </c>
      <c r="K64" s="78">
        <v>0.791666666666667</v>
      </c>
      <c r="L64" s="77">
        <v>0.375</v>
      </c>
      <c r="M64" s="78">
        <v>0.791666666666667</v>
      </c>
      <c r="N64" s="82">
        <v>0.458333333333333</v>
      </c>
      <c r="O64" s="83">
        <v>0.666666666666667</v>
      </c>
      <c r="P64" s="81" t="s">
        <v>23</v>
      </c>
      <c r="Q64" s="81" t="s">
        <v>23</v>
      </c>
    </row>
    <row r="65" customHeight="1" spans="1:17">
      <c r="A65" s="75">
        <v>10303312</v>
      </c>
      <c r="B65" s="76" t="s">
        <v>163</v>
      </c>
      <c r="C65" s="76" t="s">
        <v>164</v>
      </c>
      <c r="D65" s="78">
        <v>0.875</v>
      </c>
      <c r="E65" s="77">
        <v>0.75</v>
      </c>
      <c r="F65" s="78">
        <v>0.875</v>
      </c>
      <c r="G65" s="77">
        <v>0.75</v>
      </c>
      <c r="H65" s="78">
        <v>0.875</v>
      </c>
      <c r="I65" s="77">
        <v>0.75</v>
      </c>
      <c r="J65" s="78">
        <v>0.875</v>
      </c>
      <c r="K65" s="77">
        <v>0.75</v>
      </c>
      <c r="L65" s="78">
        <v>0.875</v>
      </c>
      <c r="M65" s="77">
        <v>0.75</v>
      </c>
      <c r="N65" s="79" t="s">
        <v>23</v>
      </c>
      <c r="O65" s="79" t="s">
        <v>23</v>
      </c>
      <c r="P65" s="79" t="s">
        <v>23</v>
      </c>
      <c r="Q65" s="79" t="s">
        <v>23</v>
      </c>
    </row>
    <row r="66" customHeight="1" spans="1:17">
      <c r="A66" s="75">
        <v>10306591</v>
      </c>
      <c r="B66" s="76" t="s">
        <v>108</v>
      </c>
      <c r="C66" s="76" t="s">
        <v>164</v>
      </c>
      <c r="D66" s="78">
        <v>0.875</v>
      </c>
      <c r="E66" s="77">
        <v>0.75</v>
      </c>
      <c r="F66" s="78">
        <v>0.875</v>
      </c>
      <c r="G66" s="77">
        <v>0.75</v>
      </c>
      <c r="H66" s="78">
        <v>0.875</v>
      </c>
      <c r="I66" s="77">
        <v>0.75</v>
      </c>
      <c r="J66" s="78">
        <v>0.875</v>
      </c>
      <c r="K66" s="77">
        <v>0.75</v>
      </c>
      <c r="L66" s="78">
        <v>0.875</v>
      </c>
      <c r="M66" s="77">
        <v>0.75</v>
      </c>
      <c r="N66" s="79" t="s">
        <v>23</v>
      </c>
      <c r="O66" s="79" t="s">
        <v>23</v>
      </c>
      <c r="P66" s="79" t="s">
        <v>23</v>
      </c>
      <c r="Q66" s="79" t="s">
        <v>23</v>
      </c>
    </row>
    <row r="67" customHeight="1" spans="1:17">
      <c r="A67" s="75">
        <v>10271545</v>
      </c>
      <c r="B67" s="76" t="s">
        <v>165</v>
      </c>
      <c r="C67" s="76" t="s">
        <v>166</v>
      </c>
      <c r="D67" s="78">
        <v>0.875</v>
      </c>
      <c r="E67" s="77">
        <v>0.75</v>
      </c>
      <c r="F67" s="78">
        <v>0.875</v>
      </c>
      <c r="G67" s="77">
        <v>0.75</v>
      </c>
      <c r="H67" s="78">
        <v>0.875</v>
      </c>
      <c r="I67" s="77">
        <v>0.75</v>
      </c>
      <c r="J67" s="78">
        <v>0.875</v>
      </c>
      <c r="K67" s="77">
        <v>0.75</v>
      </c>
      <c r="L67" s="78">
        <v>0.875</v>
      </c>
      <c r="M67" s="77">
        <v>0.75</v>
      </c>
      <c r="N67" s="79" t="s">
        <v>23</v>
      </c>
      <c r="O67" s="79" t="s">
        <v>23</v>
      </c>
      <c r="P67" s="79" t="s">
        <v>23</v>
      </c>
      <c r="Q67" s="79" t="s">
        <v>23</v>
      </c>
    </row>
  </sheetData>
  <mergeCells count="38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G48:H48"/>
    <mergeCell ref="I48:J48"/>
    <mergeCell ref="K48:L48"/>
    <mergeCell ref="M48:N48"/>
    <mergeCell ref="O48:P48"/>
    <mergeCell ref="Q48:R48"/>
    <mergeCell ref="S48:T48"/>
    <mergeCell ref="D60:E60"/>
    <mergeCell ref="F60:G60"/>
    <mergeCell ref="H60:I60"/>
    <mergeCell ref="J60:K60"/>
    <mergeCell ref="L60:M60"/>
    <mergeCell ref="N60:O60"/>
    <mergeCell ref="P60:Q60"/>
    <mergeCell ref="D61:E61"/>
    <mergeCell ref="F61:G61"/>
    <mergeCell ref="H61:I61"/>
    <mergeCell ref="J61:K61"/>
    <mergeCell ref="L61:M61"/>
    <mergeCell ref="N61:O61"/>
    <mergeCell ref="P61:Q61"/>
    <mergeCell ref="A60:A62"/>
    <mergeCell ref="B60:B62"/>
    <mergeCell ref="C60:C62"/>
  </mergeCells>
  <conditionalFormatting sqref="W4:W37">
    <cfRule type="cellIs" dxfId="0" priority="2" operator="notBetween">
      <formula>-0.2</formula>
      <formula>0.2</formula>
    </cfRule>
  </conditionalFormatting>
  <conditionalFormatting sqref="X4:X37">
    <cfRule type="colorScale" priority="4">
      <colorScale>
        <cfvo type="min"/>
        <cfvo type="max"/>
        <color rgb="FFFFFFFF"/>
        <color rgb="FF57BB8A"/>
      </colorScale>
    </cfRule>
  </conditionalFormatting>
  <conditionalFormatting sqref="G4:T37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G49:T55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967"/>
  <sheetViews>
    <sheetView workbookViewId="0">
      <selection activeCell="A1" sqref="A1"/>
    </sheetView>
  </sheetViews>
  <sheetFormatPr defaultColWidth="12.6272727272727" defaultRowHeight="15.75" customHeight="1"/>
  <cols>
    <col min="1" max="1" width="11.5" customWidth="1"/>
    <col min="2" max="2" width="18.2545454545455" customWidth="1"/>
    <col min="3" max="3" width="6.5" customWidth="1"/>
    <col min="4" max="4" width="10" customWidth="1"/>
    <col min="5" max="5" width="7.62727272727273" customWidth="1"/>
    <col min="6" max="6" width="15.6272727272727" customWidth="1"/>
    <col min="7" max="8" width="7.5" customWidth="1"/>
    <col min="9" max="9" width="9.75454545454545" customWidth="1"/>
    <col min="10" max="10" width="7.5" customWidth="1"/>
    <col min="11" max="11" width="8.88181818181818" customWidth="1"/>
    <col min="12" max="12" width="7.5" customWidth="1"/>
    <col min="13" max="13" width="7.12727272727273" customWidth="1"/>
    <col min="14" max="14" width="6.62727272727273" customWidth="1"/>
    <col min="15" max="15" width="5.62727272727273" customWidth="1"/>
    <col min="16" max="16" width="6.62727272727273" customWidth="1"/>
    <col min="17" max="17" width="6.88181818181818" customWidth="1"/>
    <col min="18" max="18" width="6.62727272727273" customWidth="1"/>
    <col min="19" max="19" width="5.88181818181818" customWidth="1"/>
    <col min="20" max="20" width="6.62727272727273" customWidth="1"/>
  </cols>
  <sheetData>
    <row r="1" customHeigh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6">
        <v>45593</v>
      </c>
      <c r="H1" s="14"/>
      <c r="I1" s="46">
        <f>G1+1</f>
        <v>45594</v>
      </c>
      <c r="J1" s="14"/>
      <c r="K1" s="46">
        <f>I1+1</f>
        <v>45595</v>
      </c>
      <c r="L1" s="14"/>
      <c r="M1" s="46">
        <f>K1+1</f>
        <v>45596</v>
      </c>
      <c r="N1" s="14"/>
      <c r="O1" s="46">
        <f>M1+1</f>
        <v>45597</v>
      </c>
      <c r="P1" s="14"/>
      <c r="Q1" s="46">
        <f>O1+1</f>
        <v>45598</v>
      </c>
      <c r="R1" s="14"/>
      <c r="S1" s="46">
        <f>Q1+1</f>
        <v>45599</v>
      </c>
      <c r="T1" s="14"/>
      <c r="U1" s="21"/>
      <c r="V1" s="21"/>
      <c r="W1" s="21"/>
    </row>
    <row r="2" customHeight="1" spans="1:23">
      <c r="A2" s="47"/>
      <c r="B2" s="47"/>
      <c r="C2" s="47"/>
      <c r="D2" s="47"/>
      <c r="E2" s="47"/>
      <c r="F2" s="47"/>
      <c r="G2" s="48" t="s">
        <v>6</v>
      </c>
      <c r="H2" s="14"/>
      <c r="I2" s="48" t="s">
        <v>7</v>
      </c>
      <c r="J2" s="14"/>
      <c r="K2" s="48" t="s">
        <v>8</v>
      </c>
      <c r="L2" s="14"/>
      <c r="M2" s="48" t="s">
        <v>9</v>
      </c>
      <c r="N2" s="14"/>
      <c r="O2" s="48" t="s">
        <v>10</v>
      </c>
      <c r="P2" s="14"/>
      <c r="Q2" s="48" t="s">
        <v>11</v>
      </c>
      <c r="R2" s="14"/>
      <c r="S2" s="48" t="s">
        <v>12</v>
      </c>
      <c r="T2" s="14"/>
      <c r="U2" s="21"/>
      <c r="V2" s="21"/>
      <c r="W2" s="21"/>
    </row>
    <row r="3" customHeight="1" spans="1:23">
      <c r="A3" s="49"/>
      <c r="B3" s="49"/>
      <c r="C3" s="49"/>
      <c r="D3" s="49"/>
      <c r="E3" s="49"/>
      <c r="F3" s="49"/>
      <c r="G3" s="50" t="s">
        <v>13</v>
      </c>
      <c r="H3" s="50" t="s">
        <v>14</v>
      </c>
      <c r="I3" s="50" t="s">
        <v>13</v>
      </c>
      <c r="J3" s="50" t="s">
        <v>14</v>
      </c>
      <c r="K3" s="50" t="s">
        <v>13</v>
      </c>
      <c r="L3" s="50" t="s">
        <v>14</v>
      </c>
      <c r="M3" s="50" t="s">
        <v>13</v>
      </c>
      <c r="N3" s="50" t="s">
        <v>14</v>
      </c>
      <c r="O3" s="50" t="s">
        <v>13</v>
      </c>
      <c r="P3" s="50" t="s">
        <v>14</v>
      </c>
      <c r="Q3" s="50" t="s">
        <v>13</v>
      </c>
      <c r="R3" s="50" t="s">
        <v>14</v>
      </c>
      <c r="S3" s="50" t="s">
        <v>13</v>
      </c>
      <c r="T3" s="50" t="s">
        <v>14</v>
      </c>
      <c r="U3" s="59" t="s">
        <v>15</v>
      </c>
      <c r="V3" s="59" t="s">
        <v>16</v>
      </c>
      <c r="W3" s="59" t="s">
        <v>17</v>
      </c>
    </row>
    <row r="4" customHeight="1" spans="1:23">
      <c r="A4" s="7">
        <v>10317522</v>
      </c>
      <c r="B4" s="51" t="s">
        <v>31</v>
      </c>
      <c r="C4" s="52" t="s">
        <v>20</v>
      </c>
      <c r="D4" s="52" t="s">
        <v>21</v>
      </c>
      <c r="E4" s="52" t="s">
        <v>22</v>
      </c>
      <c r="F4" s="53">
        <v>2</v>
      </c>
      <c r="G4" s="54">
        <v>0.541666666666667</v>
      </c>
      <c r="H4" s="54">
        <v>0.916666666666667</v>
      </c>
      <c r="I4" s="54">
        <v>0.541666666666667</v>
      </c>
      <c r="J4" s="54">
        <v>0.916666666666667</v>
      </c>
      <c r="K4" s="54">
        <v>0.541666666666667</v>
      </c>
      <c r="L4" s="54">
        <v>0.916666666666667</v>
      </c>
      <c r="M4" s="54">
        <v>0.541666666666667</v>
      </c>
      <c r="N4" s="54">
        <v>0.916666666666667</v>
      </c>
      <c r="O4" s="54">
        <v>0.458333333333333</v>
      </c>
      <c r="P4" s="54">
        <v>0.833333333333333</v>
      </c>
      <c r="Q4" s="21" t="s">
        <v>23</v>
      </c>
      <c r="R4" s="21" t="s">
        <v>23</v>
      </c>
      <c r="S4" s="21" t="s">
        <v>23</v>
      </c>
      <c r="T4" s="21" t="s">
        <v>23</v>
      </c>
      <c r="U4" s="21">
        <f>IFERROR(__xludf.DUMMYFUNCTION("TO_PURE_NUMBER(SUM(FILTER(G4:T4, ISEVEN(COLUMN(G4:T4))))-SUM(FILTER(G4:T4, ISODD(COLUMN(G4:T4)))))*24"),45)</f>
        <v>45</v>
      </c>
      <c r="V4" s="21">
        <v>45</v>
      </c>
      <c r="W4" s="21">
        <f t="shared" ref="W4:W38" si="0">V4-U4</f>
        <v>0</v>
      </c>
    </row>
    <row r="5" customHeight="1" spans="1:23">
      <c r="A5" s="7">
        <v>10316549</v>
      </c>
      <c r="B5" s="51" t="s">
        <v>19</v>
      </c>
      <c r="C5" s="52" t="s">
        <v>20</v>
      </c>
      <c r="D5" s="52" t="s">
        <v>21</v>
      </c>
      <c r="E5" s="52" t="s">
        <v>22</v>
      </c>
      <c r="F5" s="53">
        <v>1</v>
      </c>
      <c r="G5" s="54">
        <v>0.416666666666667</v>
      </c>
      <c r="H5" s="54">
        <v>0.833333333333333</v>
      </c>
      <c r="I5" s="54">
        <v>0.416666666666667</v>
      </c>
      <c r="J5" s="54">
        <v>0.833333333333333</v>
      </c>
      <c r="K5" s="54">
        <v>0.416666666666667</v>
      </c>
      <c r="L5" s="54">
        <v>0.833333333333333</v>
      </c>
      <c r="M5" s="54">
        <v>0.416666666666667</v>
      </c>
      <c r="N5" s="54">
        <v>0.833333333333333</v>
      </c>
      <c r="O5" s="21" t="s">
        <v>23</v>
      </c>
      <c r="P5" s="21" t="s">
        <v>23</v>
      </c>
      <c r="Q5" s="21" t="s">
        <v>23</v>
      </c>
      <c r="R5" s="21" t="s">
        <v>23</v>
      </c>
      <c r="S5" s="54">
        <v>0.416666666666667</v>
      </c>
      <c r="T5" s="54">
        <v>0.625</v>
      </c>
      <c r="U5" s="21">
        <f>IFERROR(__xludf.DUMMYFUNCTION("TO_PURE_NUMBER(SUM(FILTER(G5:T5, ISEVEN(COLUMN(G5:T5))))-SUM(FILTER(G5:T5, ISODD(COLUMN(G5:T5)))))*24"),45)</f>
        <v>45</v>
      </c>
      <c r="V5" s="21">
        <v>45</v>
      </c>
      <c r="W5" s="21">
        <f t="shared" si="0"/>
        <v>0</v>
      </c>
    </row>
    <row r="6" customHeight="1" spans="1:23">
      <c r="A6" s="7">
        <v>10317147</v>
      </c>
      <c r="B6" s="51" t="s">
        <v>24</v>
      </c>
      <c r="C6" s="52" t="s">
        <v>20</v>
      </c>
      <c r="D6" s="52" t="s">
        <v>21</v>
      </c>
      <c r="E6" s="52" t="s">
        <v>22</v>
      </c>
      <c r="F6" s="53">
        <v>1</v>
      </c>
      <c r="G6" s="21" t="s">
        <v>23</v>
      </c>
      <c r="H6" s="21" t="s">
        <v>23</v>
      </c>
      <c r="I6" s="54">
        <v>0.416666666666667</v>
      </c>
      <c r="J6" s="54">
        <v>0.833333333333333</v>
      </c>
      <c r="K6" s="54">
        <v>0.416666666666667</v>
      </c>
      <c r="L6" s="54">
        <v>0.833333333333333</v>
      </c>
      <c r="M6" s="54">
        <v>0.416666666666667</v>
      </c>
      <c r="N6" s="54">
        <v>0.833333333333333</v>
      </c>
      <c r="O6" s="54">
        <v>0.333333333333333</v>
      </c>
      <c r="P6" s="54">
        <v>0.75</v>
      </c>
      <c r="Q6" s="54">
        <v>0.416666666666667</v>
      </c>
      <c r="R6" s="54">
        <v>0.625</v>
      </c>
      <c r="S6" s="21" t="s">
        <v>23</v>
      </c>
      <c r="T6" s="21" t="s">
        <v>23</v>
      </c>
      <c r="U6" s="21">
        <f>IFERROR(__xludf.DUMMYFUNCTION("TO_PURE_NUMBER(SUM(FILTER(G6:T6, ISEVEN(COLUMN(G6:T6))))-SUM(FILTER(G6:T6, ISODD(COLUMN(G6:T6)))))*24"),45)</f>
        <v>45</v>
      </c>
      <c r="V6" s="21">
        <v>45</v>
      </c>
      <c r="W6" s="21">
        <f t="shared" si="0"/>
        <v>0</v>
      </c>
    </row>
    <row r="7" customHeight="1" spans="1:23">
      <c r="A7" s="55">
        <v>10316618</v>
      </c>
      <c r="B7" s="51" t="s">
        <v>33</v>
      </c>
      <c r="C7" s="52" t="s">
        <v>20</v>
      </c>
      <c r="D7" s="52" t="s">
        <v>21</v>
      </c>
      <c r="E7" s="52" t="s">
        <v>22</v>
      </c>
      <c r="F7" s="53">
        <v>1</v>
      </c>
      <c r="G7" s="54">
        <v>0.5</v>
      </c>
      <c r="H7" s="54">
        <v>0.916666666666667</v>
      </c>
      <c r="I7" s="54">
        <v>0.5</v>
      </c>
      <c r="J7" s="54">
        <v>0.916666666666667</v>
      </c>
      <c r="K7" s="54">
        <v>0.5</v>
      </c>
      <c r="L7" s="54">
        <v>0.916666666666667</v>
      </c>
      <c r="M7" s="54">
        <v>0.5</v>
      </c>
      <c r="N7" s="54">
        <v>0.916666666666667</v>
      </c>
      <c r="O7" s="21" t="s">
        <v>23</v>
      </c>
      <c r="P7" s="21" t="s">
        <v>23</v>
      </c>
      <c r="Q7" s="21" t="s">
        <v>23</v>
      </c>
      <c r="R7" s="21" t="s">
        <v>23</v>
      </c>
      <c r="S7" s="54">
        <v>0.416666666666667</v>
      </c>
      <c r="T7" s="54">
        <v>0.625</v>
      </c>
      <c r="U7" s="21">
        <f>IFERROR(__xludf.DUMMYFUNCTION("TO_PURE_NUMBER(SUM(FILTER(G7:T7, ISEVEN(COLUMN(G7:T7))))-SUM(FILTER(G7:T7, ISODD(COLUMN(G7:T7)))))*24"),44.9999999999999)</f>
        <v>44.9999999999999</v>
      </c>
      <c r="V7" s="21">
        <v>45</v>
      </c>
      <c r="W7" s="21">
        <f t="shared" si="0"/>
        <v>9.9475983006414e-14</v>
      </c>
    </row>
    <row r="8" customHeight="1" spans="1:23">
      <c r="A8" s="7">
        <v>10250963</v>
      </c>
      <c r="B8" s="51" t="s">
        <v>25</v>
      </c>
      <c r="C8" s="52" t="s">
        <v>20</v>
      </c>
      <c r="D8" s="52" t="s">
        <v>21</v>
      </c>
      <c r="E8" s="52" t="s">
        <v>22</v>
      </c>
      <c r="F8" s="53">
        <v>1</v>
      </c>
      <c r="G8" s="54">
        <v>0.416666666666667</v>
      </c>
      <c r="H8" s="54">
        <v>0.833333333333333</v>
      </c>
      <c r="I8" s="54">
        <v>0.416666666666667</v>
      </c>
      <c r="J8" s="54">
        <v>0.833333333333333</v>
      </c>
      <c r="K8" s="54">
        <v>0.416666666666667</v>
      </c>
      <c r="L8" s="54">
        <v>0.833333333333333</v>
      </c>
      <c r="M8" s="54">
        <v>0.416666666666667</v>
      </c>
      <c r="N8" s="54">
        <v>0.833333333333333</v>
      </c>
      <c r="O8" s="21" t="s">
        <v>23</v>
      </c>
      <c r="P8" s="21" t="s">
        <v>23</v>
      </c>
      <c r="Q8" s="21" t="s">
        <v>23</v>
      </c>
      <c r="R8" s="21" t="s">
        <v>23</v>
      </c>
      <c r="S8" s="54">
        <v>0.416666666666667</v>
      </c>
      <c r="T8" s="54">
        <v>0.625</v>
      </c>
      <c r="U8" s="21">
        <f>IFERROR(__xludf.DUMMYFUNCTION("TO_PURE_NUMBER(SUM(FILTER(G8:T8, ISEVEN(COLUMN(G8:T8))))-SUM(FILTER(G8:T8, ISODD(COLUMN(G8:T8)))))*24"),45)</f>
        <v>45</v>
      </c>
      <c r="V8" s="21">
        <v>45</v>
      </c>
      <c r="W8" s="21">
        <f t="shared" si="0"/>
        <v>0</v>
      </c>
    </row>
    <row r="9" customHeight="1" spans="1:23">
      <c r="A9" s="7">
        <v>10317520</v>
      </c>
      <c r="B9" s="51" t="s">
        <v>37</v>
      </c>
      <c r="C9" s="52" t="s">
        <v>20</v>
      </c>
      <c r="D9" s="52" t="s">
        <v>21</v>
      </c>
      <c r="E9" s="52" t="s">
        <v>22</v>
      </c>
      <c r="F9" s="53">
        <v>2</v>
      </c>
      <c r="G9" s="54">
        <v>0.416666666666667</v>
      </c>
      <c r="H9" s="54">
        <v>0.791666666666667</v>
      </c>
      <c r="I9" s="54">
        <v>0.416666666666667</v>
      </c>
      <c r="J9" s="54">
        <v>0.791666666666667</v>
      </c>
      <c r="K9" s="54">
        <v>0.416666666666667</v>
      </c>
      <c r="L9" s="54">
        <v>0.791666666666667</v>
      </c>
      <c r="M9" s="54">
        <v>0.416666666666667</v>
      </c>
      <c r="N9" s="54">
        <v>0.791666666666667</v>
      </c>
      <c r="O9" s="54">
        <v>0.375</v>
      </c>
      <c r="P9" s="54">
        <v>0.75</v>
      </c>
      <c r="Q9" s="21" t="s">
        <v>23</v>
      </c>
      <c r="R9" s="21" t="s">
        <v>23</v>
      </c>
      <c r="S9" s="21" t="s">
        <v>23</v>
      </c>
      <c r="T9" s="21" t="s">
        <v>23</v>
      </c>
      <c r="U9" s="21">
        <f>IFERROR(__xludf.DUMMYFUNCTION("TO_PURE_NUMBER(SUM(FILTER(G9:T9, ISEVEN(COLUMN(G9:T9))))-SUM(FILTER(G9:T9, ISODD(COLUMN(G9:T9)))))*24"),44.9999999999999)</f>
        <v>44.9999999999999</v>
      </c>
      <c r="V9" s="21">
        <v>45</v>
      </c>
      <c r="W9" s="21">
        <f t="shared" si="0"/>
        <v>9.9475983006414e-14</v>
      </c>
    </row>
    <row r="10" customHeight="1" spans="1:23">
      <c r="A10" s="7">
        <v>10316681</v>
      </c>
      <c r="B10" s="51" t="s">
        <v>38</v>
      </c>
      <c r="C10" s="52" t="s">
        <v>20</v>
      </c>
      <c r="D10" s="52" t="s">
        <v>21</v>
      </c>
      <c r="E10" s="52" t="s">
        <v>22</v>
      </c>
      <c r="F10" s="53">
        <v>1</v>
      </c>
      <c r="G10" s="21" t="s">
        <v>23</v>
      </c>
      <c r="H10" s="21" t="s">
        <v>23</v>
      </c>
      <c r="I10" s="54">
        <v>0.416666666666667</v>
      </c>
      <c r="J10" s="54">
        <v>0.791666666666667</v>
      </c>
      <c r="K10" s="54">
        <v>0.416666666666667</v>
      </c>
      <c r="L10" s="54">
        <v>0.791666666666667</v>
      </c>
      <c r="M10" s="54">
        <v>0.416666666666667</v>
      </c>
      <c r="N10" s="54">
        <v>0.791666666666667</v>
      </c>
      <c r="O10" s="54">
        <v>0.333333333333333</v>
      </c>
      <c r="P10" s="54">
        <v>0.75</v>
      </c>
      <c r="Q10" s="54">
        <v>0.416666666666667</v>
      </c>
      <c r="R10" s="54">
        <v>0.625</v>
      </c>
      <c r="S10" s="21" t="s">
        <v>23</v>
      </c>
      <c r="T10" s="21" t="s">
        <v>23</v>
      </c>
      <c r="U10" s="21">
        <f>IFERROR(__xludf.DUMMYFUNCTION("TO_PURE_NUMBER(SUM(FILTER(G10:T10, ISEVEN(COLUMN(G10:T10))))-SUM(FILTER(G10:T10, ISODD(COLUMN(G10:T10)))))*24"),42)</f>
        <v>42</v>
      </c>
      <c r="V10" s="21">
        <v>41</v>
      </c>
      <c r="W10" s="21">
        <f t="shared" si="0"/>
        <v>-1</v>
      </c>
    </row>
    <row r="11" customHeight="1" spans="1:23">
      <c r="A11" s="7">
        <v>10316650</v>
      </c>
      <c r="B11" s="51" t="s">
        <v>39</v>
      </c>
      <c r="C11" s="52" t="s">
        <v>20</v>
      </c>
      <c r="D11" s="52" t="s">
        <v>21</v>
      </c>
      <c r="E11" s="52" t="s">
        <v>22</v>
      </c>
      <c r="F11" s="53">
        <v>2</v>
      </c>
      <c r="G11" s="54">
        <v>0.416666666666667</v>
      </c>
      <c r="H11" s="54">
        <v>0.791666666666667</v>
      </c>
      <c r="I11" s="54">
        <v>0.416666666666667</v>
      </c>
      <c r="J11" s="54">
        <v>0.791666666666667</v>
      </c>
      <c r="K11" s="54">
        <v>0.416666666666667</v>
      </c>
      <c r="L11" s="54">
        <v>0.791666666666667</v>
      </c>
      <c r="M11" s="54">
        <v>0.416666666666667</v>
      </c>
      <c r="N11" s="54">
        <v>0.791666666666667</v>
      </c>
      <c r="O11" s="54">
        <v>0.375</v>
      </c>
      <c r="P11" s="54">
        <v>0.75</v>
      </c>
      <c r="Q11" s="21" t="s">
        <v>23</v>
      </c>
      <c r="R11" s="21" t="s">
        <v>23</v>
      </c>
      <c r="S11" s="21" t="s">
        <v>23</v>
      </c>
      <c r="T11" s="21" t="s">
        <v>23</v>
      </c>
      <c r="U11" s="21">
        <f>IFERROR(__xludf.DUMMYFUNCTION("TO_PURE_NUMBER(SUM(FILTER(G11:T11, ISEVEN(COLUMN(G11:T11))))-SUM(FILTER(G11:T11, ISODD(COLUMN(G11:T11)))))*24"),44.9999999999999)</f>
        <v>44.9999999999999</v>
      </c>
      <c r="V11" s="21">
        <v>45</v>
      </c>
      <c r="W11" s="21">
        <f t="shared" si="0"/>
        <v>9.9475983006414e-14</v>
      </c>
    </row>
    <row r="12" customHeight="1" spans="1:23">
      <c r="A12" s="7">
        <v>10316530</v>
      </c>
      <c r="B12" s="51" t="s">
        <v>26</v>
      </c>
      <c r="C12" s="52" t="s">
        <v>20</v>
      </c>
      <c r="D12" s="52" t="s">
        <v>21</v>
      </c>
      <c r="E12" s="52" t="s">
        <v>22</v>
      </c>
      <c r="F12" s="53">
        <v>1</v>
      </c>
      <c r="G12" s="21" t="s">
        <v>23</v>
      </c>
      <c r="H12" s="21" t="s">
        <v>23</v>
      </c>
      <c r="I12" s="54">
        <v>0.416666666666667</v>
      </c>
      <c r="J12" s="54">
        <v>0.833333333333333</v>
      </c>
      <c r="K12" s="54">
        <v>0.416666666666667</v>
      </c>
      <c r="L12" s="54">
        <v>0.833333333333333</v>
      </c>
      <c r="M12" s="54">
        <v>0.416666666666667</v>
      </c>
      <c r="N12" s="54">
        <v>0.833333333333333</v>
      </c>
      <c r="O12" s="54">
        <v>0.333333333333333</v>
      </c>
      <c r="P12" s="54">
        <v>0.75</v>
      </c>
      <c r="Q12" s="54">
        <v>0.416666666666667</v>
      </c>
      <c r="R12" s="54">
        <v>0.625</v>
      </c>
      <c r="S12" s="21" t="s">
        <v>23</v>
      </c>
      <c r="T12" s="21" t="s">
        <v>23</v>
      </c>
      <c r="U12" s="21">
        <f>IFERROR(__xludf.DUMMYFUNCTION("TO_PURE_NUMBER(SUM(FILTER(G12:T12, ISEVEN(COLUMN(G12:T12))))-SUM(FILTER(G12:T12, ISODD(COLUMN(G12:T12)))))*24"),45)</f>
        <v>45</v>
      </c>
      <c r="V12" s="21">
        <v>45</v>
      </c>
      <c r="W12" s="21">
        <f t="shared" si="0"/>
        <v>0</v>
      </c>
    </row>
    <row r="13" customHeight="1" spans="1:23">
      <c r="A13" s="7">
        <v>10316680</v>
      </c>
      <c r="B13" s="51" t="s">
        <v>40</v>
      </c>
      <c r="C13" s="52" t="s">
        <v>20</v>
      </c>
      <c r="D13" s="52" t="s">
        <v>21</v>
      </c>
      <c r="E13" s="52" t="s">
        <v>22</v>
      </c>
      <c r="F13" s="53">
        <v>1</v>
      </c>
      <c r="G13" s="54">
        <v>0.5</v>
      </c>
      <c r="H13" s="54">
        <v>0.916666666666667</v>
      </c>
      <c r="I13" s="21" t="s">
        <v>23</v>
      </c>
      <c r="J13" s="21" t="s">
        <v>23</v>
      </c>
      <c r="K13" s="54">
        <v>0.5</v>
      </c>
      <c r="L13" s="54">
        <v>0.916666666666667</v>
      </c>
      <c r="M13" s="54">
        <v>0.5</v>
      </c>
      <c r="N13" s="54">
        <v>0.916666666666667</v>
      </c>
      <c r="O13" s="54">
        <v>0.416666666666667</v>
      </c>
      <c r="P13" s="54">
        <v>0.833333333333333</v>
      </c>
      <c r="Q13" s="54">
        <v>0.416666666666667</v>
      </c>
      <c r="R13" s="54">
        <v>0.625</v>
      </c>
      <c r="S13" s="21" t="s">
        <v>23</v>
      </c>
      <c r="T13" s="21" t="s">
        <v>23</v>
      </c>
      <c r="U13" s="21">
        <f>IFERROR(__xludf.DUMMYFUNCTION("TO_PURE_NUMBER(SUM(FILTER(G13:T13, ISEVEN(COLUMN(G13:T13))))-SUM(FILTER(G13:T13, ISODD(COLUMN(G13:T13)))))*24"),45)</f>
        <v>45</v>
      </c>
      <c r="V13" s="21">
        <v>45</v>
      </c>
      <c r="W13" s="21">
        <f t="shared" si="0"/>
        <v>0</v>
      </c>
    </row>
    <row r="14" customHeight="1" spans="1:23">
      <c r="A14" s="55">
        <v>10317943</v>
      </c>
      <c r="B14" s="51" t="s">
        <v>27</v>
      </c>
      <c r="C14" s="52" t="s">
        <v>20</v>
      </c>
      <c r="D14" s="52" t="s">
        <v>21</v>
      </c>
      <c r="E14" s="52" t="s">
        <v>22</v>
      </c>
      <c r="F14" s="53">
        <v>2</v>
      </c>
      <c r="G14" s="54">
        <v>0.416666666666667</v>
      </c>
      <c r="H14" s="54">
        <v>0.75</v>
      </c>
      <c r="I14" s="54">
        <v>0.416666666666667</v>
      </c>
      <c r="J14" s="54">
        <v>0.75</v>
      </c>
      <c r="K14" s="54">
        <v>0.416666666666667</v>
      </c>
      <c r="L14" s="54">
        <v>0.75</v>
      </c>
      <c r="M14" s="54">
        <v>0.416666666666667</v>
      </c>
      <c r="N14" s="54">
        <v>0.75</v>
      </c>
      <c r="O14" s="54">
        <v>0.375</v>
      </c>
      <c r="P14" s="54">
        <v>0.75</v>
      </c>
      <c r="Q14" s="21" t="s">
        <v>23</v>
      </c>
      <c r="R14" s="21" t="s">
        <v>23</v>
      </c>
      <c r="S14" s="21" t="s">
        <v>23</v>
      </c>
      <c r="T14" s="21" t="s">
        <v>23</v>
      </c>
      <c r="U14" s="21">
        <f>IFERROR(__xludf.DUMMYFUNCTION("TO_PURE_NUMBER(SUM(FILTER(G14:T14, ISEVEN(COLUMN(G14:T14))))-SUM(FILTER(G14:T14, ISODD(COLUMN(G14:T14)))))*24"),40.9999999999999)</f>
        <v>40.9999999999999</v>
      </c>
      <c r="V14" s="21">
        <v>45</v>
      </c>
      <c r="W14" s="21">
        <f t="shared" si="0"/>
        <v>4.0000000000001</v>
      </c>
    </row>
    <row r="15" customHeight="1" spans="1:23">
      <c r="A15" s="7">
        <v>10316543</v>
      </c>
      <c r="B15" s="51" t="s">
        <v>41</v>
      </c>
      <c r="C15" s="52" t="s">
        <v>20</v>
      </c>
      <c r="D15" s="52" t="s">
        <v>21</v>
      </c>
      <c r="E15" s="52" t="s">
        <v>22</v>
      </c>
      <c r="F15" s="53">
        <v>1</v>
      </c>
      <c r="G15" s="54">
        <v>0.5</v>
      </c>
      <c r="H15" s="54">
        <v>0.916666666666667</v>
      </c>
      <c r="I15" s="54">
        <v>0.5</v>
      </c>
      <c r="J15" s="54">
        <v>0.916666666666667</v>
      </c>
      <c r="K15" s="54">
        <v>0.5</v>
      </c>
      <c r="L15" s="54">
        <v>0.916666666666667</v>
      </c>
      <c r="M15" s="54">
        <v>0.5</v>
      </c>
      <c r="N15" s="54">
        <v>0.916666666666667</v>
      </c>
      <c r="O15" s="21" t="s">
        <v>23</v>
      </c>
      <c r="P15" s="21" t="s">
        <v>23</v>
      </c>
      <c r="Q15" s="21" t="s">
        <v>23</v>
      </c>
      <c r="R15" s="21" t="s">
        <v>23</v>
      </c>
      <c r="S15" s="54">
        <v>0.416666666666667</v>
      </c>
      <c r="T15" s="54">
        <v>0.625</v>
      </c>
      <c r="U15" s="21">
        <f>IFERROR(__xludf.DUMMYFUNCTION("TO_PURE_NUMBER(SUM(FILTER(G15:T15, ISEVEN(COLUMN(G15:T15))))-SUM(FILTER(G15:T15, ISODD(COLUMN(G15:T15)))))*24"),44.9999999999999)</f>
        <v>44.9999999999999</v>
      </c>
      <c r="V15" s="21">
        <v>45</v>
      </c>
      <c r="W15" s="21">
        <f t="shared" si="0"/>
        <v>9.9475983006414e-14</v>
      </c>
    </row>
    <row r="16" customHeight="1" spans="1:23">
      <c r="A16" s="7">
        <v>10317153</v>
      </c>
      <c r="B16" s="51" t="s">
        <v>42</v>
      </c>
      <c r="C16" s="52" t="s">
        <v>20</v>
      </c>
      <c r="D16" s="52" t="s">
        <v>21</v>
      </c>
      <c r="E16" s="52" t="s">
        <v>22</v>
      </c>
      <c r="F16" s="53">
        <v>1</v>
      </c>
      <c r="G16" s="54">
        <v>0.416666666666667</v>
      </c>
      <c r="H16" s="54">
        <v>0.833333333333333</v>
      </c>
      <c r="I16" s="54">
        <v>0.416666666666667</v>
      </c>
      <c r="J16" s="54">
        <v>0.833333333333333</v>
      </c>
      <c r="K16" s="54">
        <v>0.416666666666667</v>
      </c>
      <c r="L16" s="54">
        <v>0.833333333333333</v>
      </c>
      <c r="M16" s="54">
        <v>0.416666666666667</v>
      </c>
      <c r="N16" s="54">
        <v>0.833333333333333</v>
      </c>
      <c r="O16" s="21" t="s">
        <v>23</v>
      </c>
      <c r="P16" s="21" t="s">
        <v>23</v>
      </c>
      <c r="Q16" s="21" t="s">
        <v>23</v>
      </c>
      <c r="R16" s="21" t="s">
        <v>23</v>
      </c>
      <c r="S16" s="54">
        <v>0.416666666666667</v>
      </c>
      <c r="T16" s="54">
        <v>0.625</v>
      </c>
      <c r="U16" s="21">
        <f>IFERROR(__xludf.DUMMYFUNCTION("TO_PURE_NUMBER(SUM(FILTER(G16:T16, ISEVEN(COLUMN(G16:T16))))-SUM(FILTER(G16:T16, ISODD(COLUMN(G16:T16)))))*24"),45)</f>
        <v>45</v>
      </c>
      <c r="V16" s="21">
        <v>45</v>
      </c>
      <c r="W16" s="21">
        <f t="shared" si="0"/>
        <v>0</v>
      </c>
    </row>
    <row r="17" customHeight="1" spans="1:23">
      <c r="A17" s="7">
        <v>10317521</v>
      </c>
      <c r="B17" s="51" t="s">
        <v>28</v>
      </c>
      <c r="C17" s="52" t="s">
        <v>20</v>
      </c>
      <c r="D17" s="52" t="s">
        <v>21</v>
      </c>
      <c r="E17" s="52" t="s">
        <v>22</v>
      </c>
      <c r="F17" s="53">
        <v>2</v>
      </c>
      <c r="G17" s="54">
        <v>0.416666666666667</v>
      </c>
      <c r="H17" s="54">
        <v>0.791666666666667</v>
      </c>
      <c r="I17" s="54">
        <v>0.416666666666667</v>
      </c>
      <c r="J17" s="54">
        <v>0.791666666666667</v>
      </c>
      <c r="K17" s="54">
        <v>0.416666666666667</v>
      </c>
      <c r="L17" s="54">
        <v>0.791666666666667</v>
      </c>
      <c r="M17" s="54">
        <v>0.416666666666667</v>
      </c>
      <c r="N17" s="54">
        <v>0.791666666666667</v>
      </c>
      <c r="O17" s="54">
        <v>0.375</v>
      </c>
      <c r="P17" s="54">
        <v>0.75</v>
      </c>
      <c r="Q17" s="21" t="s">
        <v>23</v>
      </c>
      <c r="R17" s="21" t="s">
        <v>23</v>
      </c>
      <c r="S17" s="21" t="s">
        <v>23</v>
      </c>
      <c r="T17" s="21" t="s">
        <v>23</v>
      </c>
      <c r="U17" s="21">
        <f>IFERROR(__xludf.DUMMYFUNCTION("TO_PURE_NUMBER(SUM(FILTER(G17:T17, ISEVEN(COLUMN(G17:T17))))-SUM(FILTER(G17:T17, ISODD(COLUMN(G17:T17)))))*24"),44.9999999999999)</f>
        <v>44.9999999999999</v>
      </c>
      <c r="V17" s="21">
        <v>45</v>
      </c>
      <c r="W17" s="21">
        <f t="shared" si="0"/>
        <v>9.9475983006414e-14</v>
      </c>
    </row>
    <row r="18" customHeight="1" spans="1:23">
      <c r="A18" s="7">
        <v>10317517</v>
      </c>
      <c r="B18" s="51" t="s">
        <v>29</v>
      </c>
      <c r="C18" s="52" t="s">
        <v>20</v>
      </c>
      <c r="D18" s="52" t="s">
        <v>21</v>
      </c>
      <c r="E18" s="52" t="s">
        <v>22</v>
      </c>
      <c r="F18" s="53">
        <v>2</v>
      </c>
      <c r="G18" s="54">
        <v>0.416666666666667</v>
      </c>
      <c r="H18" s="54">
        <v>0.791666666666667</v>
      </c>
      <c r="I18" s="54">
        <v>0.416666666666667</v>
      </c>
      <c r="J18" s="54">
        <v>0.791666666666667</v>
      </c>
      <c r="K18" s="54">
        <v>0.416666666666667</v>
      </c>
      <c r="L18" s="54">
        <v>0.791666666666667</v>
      </c>
      <c r="M18" s="54">
        <v>0.416666666666667</v>
      </c>
      <c r="N18" s="54">
        <v>0.791666666666667</v>
      </c>
      <c r="O18" s="54">
        <v>0.375</v>
      </c>
      <c r="P18" s="54">
        <v>0.75</v>
      </c>
      <c r="Q18" s="21" t="s">
        <v>23</v>
      </c>
      <c r="R18" s="21" t="s">
        <v>23</v>
      </c>
      <c r="S18" s="21" t="s">
        <v>23</v>
      </c>
      <c r="T18" s="21" t="s">
        <v>23</v>
      </c>
      <c r="U18" s="21">
        <f>IFERROR(__xludf.DUMMYFUNCTION("TO_PURE_NUMBER(SUM(FILTER(G18:T18, ISEVEN(COLUMN(G18:T18))))-SUM(FILTER(G18:T18, ISODD(COLUMN(G18:T18)))))*24"),44.9999999999999)</f>
        <v>44.9999999999999</v>
      </c>
      <c r="V18" s="21">
        <v>45</v>
      </c>
      <c r="W18" s="21">
        <f t="shared" si="0"/>
        <v>9.9475983006414e-14</v>
      </c>
    </row>
    <row r="19" customHeight="1" spans="1:23">
      <c r="A19" s="7">
        <v>10252106</v>
      </c>
      <c r="B19" s="51" t="s">
        <v>43</v>
      </c>
      <c r="C19" s="52" t="s">
        <v>20</v>
      </c>
      <c r="D19" s="52" t="s">
        <v>21</v>
      </c>
      <c r="E19" s="52" t="s">
        <v>22</v>
      </c>
      <c r="F19" s="53">
        <v>2</v>
      </c>
      <c r="G19" s="21" t="s">
        <v>23</v>
      </c>
      <c r="H19" s="21" t="s">
        <v>23</v>
      </c>
      <c r="I19" s="54">
        <v>0.416666666666667</v>
      </c>
      <c r="J19" s="54">
        <v>0.791666666666667</v>
      </c>
      <c r="K19" s="21" t="s">
        <v>23</v>
      </c>
      <c r="L19" s="21" t="s">
        <v>23</v>
      </c>
      <c r="M19" s="54">
        <v>0.416666666666667</v>
      </c>
      <c r="N19" s="54">
        <v>0.791666666666667</v>
      </c>
      <c r="O19" s="54">
        <v>0.333333333333333</v>
      </c>
      <c r="P19" s="54">
        <v>0.708333333333333</v>
      </c>
      <c r="Q19" s="54">
        <v>0.416666666666667</v>
      </c>
      <c r="R19" s="54">
        <v>0.625</v>
      </c>
      <c r="S19" s="54">
        <v>0.416666666666667</v>
      </c>
      <c r="T19" s="54">
        <v>0.625</v>
      </c>
      <c r="U19" s="21">
        <f>IFERROR(__xludf.DUMMYFUNCTION("TO_PURE_NUMBER(SUM(FILTER(G19:T19, ISEVEN(COLUMN(G19:T19))))-SUM(FILTER(G19:T19, ISODD(COLUMN(G19:T19)))))*24"),37)</f>
        <v>37</v>
      </c>
      <c r="V19" s="21">
        <v>37</v>
      </c>
      <c r="W19" s="21">
        <f t="shared" si="0"/>
        <v>0</v>
      </c>
    </row>
    <row r="20" customHeight="1" spans="1:23">
      <c r="A20" s="7">
        <v>10316538</v>
      </c>
      <c r="B20" s="51" t="s">
        <v>44</v>
      </c>
      <c r="C20" s="52" t="s">
        <v>20</v>
      </c>
      <c r="D20" s="52" t="s">
        <v>21</v>
      </c>
      <c r="E20" s="52" t="s">
        <v>22</v>
      </c>
      <c r="F20" s="53">
        <v>1</v>
      </c>
      <c r="G20" s="21" t="s">
        <v>23</v>
      </c>
      <c r="H20" s="21" t="s">
        <v>23</v>
      </c>
      <c r="I20" s="54">
        <v>0.5</v>
      </c>
      <c r="J20" s="54">
        <v>0.916666666666667</v>
      </c>
      <c r="K20" s="54">
        <v>0.5</v>
      </c>
      <c r="L20" s="54">
        <v>0.916666666666667</v>
      </c>
      <c r="M20" s="54">
        <v>0.5</v>
      </c>
      <c r="N20" s="54">
        <v>0.916666666666667</v>
      </c>
      <c r="O20" s="54">
        <v>0.416666666666667</v>
      </c>
      <c r="P20" s="54">
        <v>0.833333333333333</v>
      </c>
      <c r="Q20" s="54">
        <v>0.416666666666667</v>
      </c>
      <c r="R20" s="54">
        <v>0.625</v>
      </c>
      <c r="S20" s="21" t="s">
        <v>23</v>
      </c>
      <c r="T20" s="21" t="s">
        <v>23</v>
      </c>
      <c r="U20" s="21">
        <f>IFERROR(__xludf.DUMMYFUNCTION("TO_PURE_NUMBER(SUM(FILTER(G20:T20, ISEVEN(COLUMN(G20:T20))))-SUM(FILTER(G20:T20, ISODD(COLUMN(G20:T20)))))*24"),45)</f>
        <v>45</v>
      </c>
      <c r="V20" s="21">
        <v>45</v>
      </c>
      <c r="W20" s="21">
        <f t="shared" si="0"/>
        <v>0</v>
      </c>
    </row>
    <row r="21" customHeight="1" spans="1:23">
      <c r="A21" s="7">
        <v>10316531</v>
      </c>
      <c r="B21" s="51" t="s">
        <v>205</v>
      </c>
      <c r="C21" s="52" t="s">
        <v>20</v>
      </c>
      <c r="D21" s="52" t="s">
        <v>21</v>
      </c>
      <c r="E21" s="52" t="s">
        <v>22</v>
      </c>
      <c r="F21" s="53">
        <v>2</v>
      </c>
      <c r="G21" s="54">
        <v>0.416666666666667</v>
      </c>
      <c r="H21" s="54">
        <v>0.791666666666667</v>
      </c>
      <c r="I21" s="54">
        <v>0.416666666666667</v>
      </c>
      <c r="J21" s="54">
        <v>0.791666666666667</v>
      </c>
      <c r="K21" s="54">
        <v>0.416666666666667</v>
      </c>
      <c r="L21" s="54">
        <v>0.791666666666667</v>
      </c>
      <c r="M21" s="54">
        <v>0.416666666666667</v>
      </c>
      <c r="N21" s="54">
        <v>0.791666666666667</v>
      </c>
      <c r="O21" s="54">
        <v>0.375</v>
      </c>
      <c r="P21" s="54">
        <v>0.75</v>
      </c>
      <c r="Q21" s="21" t="s">
        <v>23</v>
      </c>
      <c r="R21" s="21" t="s">
        <v>23</v>
      </c>
      <c r="S21" s="21" t="s">
        <v>23</v>
      </c>
      <c r="T21" s="21" t="s">
        <v>23</v>
      </c>
      <c r="U21" s="21">
        <f>IFERROR(__xludf.DUMMYFUNCTION("TO_PURE_NUMBER(SUM(FILTER(G21:T21, ISEVEN(COLUMN(G21:T21))))-SUM(FILTER(G21:T21, ISODD(COLUMN(G21:T21)))))*24"),44.9999999999999)</f>
        <v>44.9999999999999</v>
      </c>
      <c r="V21" s="21">
        <v>45</v>
      </c>
      <c r="W21" s="21">
        <f t="shared" si="0"/>
        <v>9.9475983006414e-14</v>
      </c>
    </row>
    <row r="22" customHeight="1" spans="1:23">
      <c r="A22" s="7">
        <v>10316545</v>
      </c>
      <c r="B22" s="51" t="s">
        <v>45</v>
      </c>
      <c r="C22" s="52" t="s">
        <v>20</v>
      </c>
      <c r="D22" s="52" t="s">
        <v>21</v>
      </c>
      <c r="E22" s="52" t="s">
        <v>22</v>
      </c>
      <c r="F22" s="53">
        <v>1</v>
      </c>
      <c r="G22" s="21" t="s">
        <v>23</v>
      </c>
      <c r="H22" s="21" t="s">
        <v>23</v>
      </c>
      <c r="I22" s="54">
        <v>0.416666666666667</v>
      </c>
      <c r="J22" s="54">
        <v>0.833333333333333</v>
      </c>
      <c r="K22" s="54">
        <v>0.416666666666667</v>
      </c>
      <c r="L22" s="54">
        <v>0.833333333333333</v>
      </c>
      <c r="M22" s="54">
        <v>0.416666666666667</v>
      </c>
      <c r="N22" s="54">
        <v>0.833333333333333</v>
      </c>
      <c r="O22" s="54">
        <v>0.333333333333333</v>
      </c>
      <c r="P22" s="54">
        <v>0.75</v>
      </c>
      <c r="Q22" s="54">
        <v>0.416666666666667</v>
      </c>
      <c r="R22" s="54">
        <v>0.625</v>
      </c>
      <c r="S22" s="21" t="s">
        <v>23</v>
      </c>
      <c r="T22" s="21" t="s">
        <v>23</v>
      </c>
      <c r="U22" s="21">
        <f>IFERROR(__xludf.DUMMYFUNCTION("TO_PURE_NUMBER(SUM(FILTER(G22:T22, ISEVEN(COLUMN(G22:T22))))-SUM(FILTER(G22:T22, ISODD(COLUMN(G22:T22)))))*24"),45)</f>
        <v>45</v>
      </c>
      <c r="V22" s="21">
        <v>45</v>
      </c>
      <c r="W22" s="21">
        <f t="shared" si="0"/>
        <v>0</v>
      </c>
    </row>
    <row r="23" customHeight="1" spans="1:23">
      <c r="A23" s="7">
        <v>10316572</v>
      </c>
      <c r="B23" s="51" t="s">
        <v>46</v>
      </c>
      <c r="C23" s="52" t="s">
        <v>20</v>
      </c>
      <c r="D23" s="52" t="s">
        <v>21</v>
      </c>
      <c r="E23" s="52" t="s">
        <v>22</v>
      </c>
      <c r="F23" s="53">
        <v>2</v>
      </c>
      <c r="G23" s="54">
        <v>0.416666666666667</v>
      </c>
      <c r="H23" s="54">
        <v>0.791666666666667</v>
      </c>
      <c r="I23" s="54">
        <v>0.416666666666667</v>
      </c>
      <c r="J23" s="54">
        <v>0.791666666666667</v>
      </c>
      <c r="K23" s="54">
        <v>0.416666666666667</v>
      </c>
      <c r="L23" s="54">
        <v>0.791666666666667</v>
      </c>
      <c r="M23" s="54">
        <v>0.416666666666667</v>
      </c>
      <c r="N23" s="54">
        <v>0.791666666666667</v>
      </c>
      <c r="O23" s="54">
        <v>0.375</v>
      </c>
      <c r="P23" s="54">
        <v>0.75</v>
      </c>
      <c r="Q23" s="21" t="s">
        <v>23</v>
      </c>
      <c r="R23" s="21" t="s">
        <v>23</v>
      </c>
      <c r="S23" s="21" t="s">
        <v>23</v>
      </c>
      <c r="T23" s="21" t="s">
        <v>23</v>
      </c>
      <c r="U23" s="21">
        <f>IFERROR(__xludf.DUMMYFUNCTION("TO_PURE_NUMBER(SUM(FILTER(G23:T23, ISEVEN(COLUMN(G23:T23))))-SUM(FILTER(G23:T23, ISODD(COLUMN(G23:T23)))))*24"),44.9999999999999)</f>
        <v>44.9999999999999</v>
      </c>
      <c r="V23" s="21">
        <v>45</v>
      </c>
      <c r="W23" s="21">
        <f t="shared" si="0"/>
        <v>9.9475983006414e-14</v>
      </c>
    </row>
    <row r="24" customHeight="1" spans="1:23">
      <c r="A24" s="7">
        <v>10212379</v>
      </c>
      <c r="B24" s="51" t="s">
        <v>206</v>
      </c>
      <c r="C24" s="52" t="s">
        <v>20</v>
      </c>
      <c r="D24" s="52" t="s">
        <v>21</v>
      </c>
      <c r="E24" s="52" t="s">
        <v>22</v>
      </c>
      <c r="F24" s="53">
        <v>2</v>
      </c>
      <c r="G24" s="54">
        <v>0.541666666666667</v>
      </c>
      <c r="H24" s="54">
        <v>0.916666666666667</v>
      </c>
      <c r="I24" s="54">
        <v>0.541666666666667</v>
      </c>
      <c r="J24" s="54">
        <v>0.916666666666667</v>
      </c>
      <c r="K24" s="54">
        <v>0.541666666666667</v>
      </c>
      <c r="L24" s="54">
        <v>0.916666666666667</v>
      </c>
      <c r="M24" s="54">
        <v>0.541666666666667</v>
      </c>
      <c r="N24" s="54">
        <v>0.916666666666667</v>
      </c>
      <c r="O24" s="54">
        <v>0.458333333333333</v>
      </c>
      <c r="P24" s="54">
        <v>0.833333333333333</v>
      </c>
      <c r="Q24" s="21" t="s">
        <v>23</v>
      </c>
      <c r="R24" s="21" t="s">
        <v>23</v>
      </c>
      <c r="S24" s="21" t="s">
        <v>23</v>
      </c>
      <c r="T24" s="21" t="s">
        <v>23</v>
      </c>
      <c r="U24" s="21">
        <f>IFERROR(__xludf.DUMMYFUNCTION("TO_PURE_NUMBER(SUM(FILTER(G24:T24, ISEVEN(COLUMN(G24:T24))))-SUM(FILTER(G24:T24, ISODD(COLUMN(G24:T24)))))*24"),45)</f>
        <v>45</v>
      </c>
      <c r="V24" s="21">
        <v>45</v>
      </c>
      <c r="W24" s="21">
        <f t="shared" si="0"/>
        <v>0</v>
      </c>
    </row>
    <row r="25" customHeight="1" spans="1:23">
      <c r="A25" s="7">
        <v>10316685</v>
      </c>
      <c r="B25" s="51" t="s">
        <v>47</v>
      </c>
      <c r="C25" s="52" t="s">
        <v>20</v>
      </c>
      <c r="D25" s="52" t="s">
        <v>21</v>
      </c>
      <c r="E25" s="52" t="s">
        <v>22</v>
      </c>
      <c r="F25" s="53">
        <v>1</v>
      </c>
      <c r="G25" s="21" t="s">
        <v>23</v>
      </c>
      <c r="H25" s="21" t="s">
        <v>23</v>
      </c>
      <c r="I25" s="54">
        <v>0.416666666666667</v>
      </c>
      <c r="J25" s="54">
        <v>0.833333333333333</v>
      </c>
      <c r="K25" s="54">
        <v>0.416666666666667</v>
      </c>
      <c r="L25" s="54">
        <v>0.833333333333333</v>
      </c>
      <c r="M25" s="54">
        <v>0.416666666666667</v>
      </c>
      <c r="N25" s="54">
        <v>0.833333333333333</v>
      </c>
      <c r="O25" s="54">
        <v>0.333333333333333</v>
      </c>
      <c r="P25" s="54">
        <v>0.75</v>
      </c>
      <c r="Q25" s="54">
        <v>0.416666666666667</v>
      </c>
      <c r="R25" s="54">
        <v>0.625</v>
      </c>
      <c r="S25" s="21" t="s">
        <v>23</v>
      </c>
      <c r="T25" s="21" t="s">
        <v>23</v>
      </c>
      <c r="U25" s="21">
        <f>IFERROR(__xludf.DUMMYFUNCTION("TO_PURE_NUMBER(SUM(FILTER(G25:T25, ISEVEN(COLUMN(G25:T25))))-SUM(FILTER(G25:T25, ISODD(COLUMN(G25:T25)))))*24"),45)</f>
        <v>45</v>
      </c>
      <c r="V25" s="21">
        <v>45</v>
      </c>
      <c r="W25" s="21">
        <f t="shared" si="0"/>
        <v>0</v>
      </c>
    </row>
    <row r="26" customHeight="1" spans="1:23">
      <c r="A26" s="7">
        <v>10252500</v>
      </c>
      <c r="B26" s="51" t="s">
        <v>207</v>
      </c>
      <c r="C26" s="52" t="s">
        <v>20</v>
      </c>
      <c r="D26" s="52" t="s">
        <v>21</v>
      </c>
      <c r="E26" s="52" t="s">
        <v>22</v>
      </c>
      <c r="F26" s="53">
        <v>2</v>
      </c>
      <c r="G26" s="54">
        <v>0.416666666666667</v>
      </c>
      <c r="H26" s="54">
        <v>0.791666666666667</v>
      </c>
      <c r="I26" s="54">
        <v>0.416666666666667</v>
      </c>
      <c r="J26" s="54">
        <v>0.791666666666667</v>
      </c>
      <c r="K26" s="54">
        <v>0.416666666666667</v>
      </c>
      <c r="L26" s="54">
        <v>0.791666666666667</v>
      </c>
      <c r="M26" s="54">
        <v>0.416666666666667</v>
      </c>
      <c r="N26" s="54">
        <v>0.791666666666667</v>
      </c>
      <c r="O26" s="54">
        <v>0.375</v>
      </c>
      <c r="P26" s="54">
        <v>0.75</v>
      </c>
      <c r="Q26" s="21" t="s">
        <v>23</v>
      </c>
      <c r="R26" s="21" t="s">
        <v>23</v>
      </c>
      <c r="S26" s="21" t="s">
        <v>23</v>
      </c>
      <c r="T26" s="21" t="s">
        <v>23</v>
      </c>
      <c r="U26" s="21">
        <f>IFERROR(__xludf.DUMMYFUNCTION("TO_PURE_NUMBER(SUM(FILTER(G26:T26, ISEVEN(COLUMN(G26:T26))))-SUM(FILTER(G26:T26, ISODD(COLUMN(G26:T26)))))*24"),44.9999999999999)</f>
        <v>44.9999999999999</v>
      </c>
      <c r="V26" s="21">
        <v>45</v>
      </c>
      <c r="W26" s="21">
        <f t="shared" si="0"/>
        <v>9.9475983006414e-14</v>
      </c>
    </row>
    <row r="27" customHeight="1" spans="1:23">
      <c r="A27" s="7">
        <v>10274446</v>
      </c>
      <c r="B27" s="51" t="s">
        <v>88</v>
      </c>
      <c r="C27" s="52" t="s">
        <v>20</v>
      </c>
      <c r="D27" s="52" t="s">
        <v>21</v>
      </c>
      <c r="E27" s="52" t="s">
        <v>22</v>
      </c>
      <c r="F27" s="53">
        <v>2</v>
      </c>
      <c r="G27" s="54">
        <v>0.541666666666667</v>
      </c>
      <c r="H27" s="54">
        <v>0.916666666666667</v>
      </c>
      <c r="I27" s="54">
        <v>0.541666666666667</v>
      </c>
      <c r="J27" s="54">
        <v>0.916666666666667</v>
      </c>
      <c r="K27" s="54">
        <v>0.541666666666667</v>
      </c>
      <c r="L27" s="54">
        <v>0.916666666666667</v>
      </c>
      <c r="M27" s="54">
        <v>0.541666666666667</v>
      </c>
      <c r="N27" s="54">
        <v>0.916666666666667</v>
      </c>
      <c r="O27" s="21" t="s">
        <v>23</v>
      </c>
      <c r="P27" s="21" t="s">
        <v>23</v>
      </c>
      <c r="Q27" s="21" t="s">
        <v>23</v>
      </c>
      <c r="R27" s="21" t="s">
        <v>23</v>
      </c>
      <c r="S27" s="54">
        <v>0.416666666666667</v>
      </c>
      <c r="T27" s="54">
        <v>0.625</v>
      </c>
      <c r="U27" s="21">
        <f>IFERROR(__xludf.DUMMYFUNCTION("TO_PURE_NUMBER(SUM(FILTER(G27:T27, ISEVEN(COLUMN(G27:T27))))-SUM(FILTER(G27:T27, ISODD(COLUMN(G27:T27)))))*24"),40.9999999999999)</f>
        <v>40.9999999999999</v>
      </c>
      <c r="V27" s="21">
        <v>37</v>
      </c>
      <c r="W27" s="21">
        <f t="shared" si="0"/>
        <v>-3.9999999999999</v>
      </c>
    </row>
    <row r="28" customHeight="1" spans="1:23">
      <c r="A28" s="7">
        <v>10316546</v>
      </c>
      <c r="B28" s="51" t="s">
        <v>49</v>
      </c>
      <c r="C28" s="52" t="s">
        <v>20</v>
      </c>
      <c r="D28" s="52" t="s">
        <v>21</v>
      </c>
      <c r="E28" s="52" t="s">
        <v>22</v>
      </c>
      <c r="F28" s="53">
        <v>1</v>
      </c>
      <c r="G28" s="54">
        <v>0.5</v>
      </c>
      <c r="H28" s="54">
        <v>0.916666666666667</v>
      </c>
      <c r="I28" s="54">
        <v>0.5</v>
      </c>
      <c r="J28" s="54">
        <v>0.916666666666667</v>
      </c>
      <c r="K28" s="54">
        <v>0.5</v>
      </c>
      <c r="L28" s="54">
        <v>0.916666666666667</v>
      </c>
      <c r="M28" s="54">
        <v>0.5</v>
      </c>
      <c r="N28" s="54">
        <v>0.916666666666667</v>
      </c>
      <c r="O28" s="21" t="s">
        <v>23</v>
      </c>
      <c r="P28" s="21" t="s">
        <v>23</v>
      </c>
      <c r="Q28" s="21" t="s">
        <v>23</v>
      </c>
      <c r="R28" s="21" t="s">
        <v>23</v>
      </c>
      <c r="S28" s="54">
        <v>0.416666666666667</v>
      </c>
      <c r="T28" s="54">
        <v>0.625</v>
      </c>
      <c r="U28" s="21">
        <f>IFERROR(__xludf.DUMMYFUNCTION("TO_PURE_NUMBER(SUM(FILTER(G28:T28, ISEVEN(COLUMN(G28:T28))))-SUM(FILTER(G28:T28, ISODD(COLUMN(G28:T28)))))*24"),44.9999999999999)</f>
        <v>44.9999999999999</v>
      </c>
      <c r="V28" s="21">
        <v>45</v>
      </c>
      <c r="W28" s="21">
        <f t="shared" si="0"/>
        <v>9.9475983006414e-14</v>
      </c>
    </row>
    <row r="29" customHeight="1" spans="1:23">
      <c r="A29" s="7">
        <v>10316551</v>
      </c>
      <c r="B29" s="51" t="s">
        <v>87</v>
      </c>
      <c r="C29" s="52" t="s">
        <v>20</v>
      </c>
      <c r="D29" s="52" t="s">
        <v>21</v>
      </c>
      <c r="E29" s="52" t="s">
        <v>22</v>
      </c>
      <c r="F29" s="53">
        <v>1</v>
      </c>
      <c r="G29" s="54">
        <v>0.541666666666667</v>
      </c>
      <c r="H29" s="54">
        <v>0.916666666666667</v>
      </c>
      <c r="I29" s="54">
        <v>0.541666666666667</v>
      </c>
      <c r="J29" s="54">
        <v>0.916666666666667</v>
      </c>
      <c r="K29" s="54">
        <v>0.541666666666667</v>
      </c>
      <c r="L29" s="54">
        <v>0.916666666666667</v>
      </c>
      <c r="M29" s="21" t="s">
        <v>23</v>
      </c>
      <c r="N29" s="21" t="s">
        <v>23</v>
      </c>
      <c r="O29" s="21" t="s">
        <v>23</v>
      </c>
      <c r="P29" s="21" t="s">
        <v>23</v>
      </c>
      <c r="Q29" s="54">
        <v>0.416666666666667</v>
      </c>
      <c r="R29" s="54">
        <v>0.625</v>
      </c>
      <c r="S29" s="54">
        <v>0.416666666666667</v>
      </c>
      <c r="T29" s="54">
        <v>0.625</v>
      </c>
      <c r="U29" s="21">
        <f>IFERROR(__xludf.DUMMYFUNCTION("TO_PURE_NUMBER(SUM(FILTER(G29:T29, ISEVEN(COLUMN(G29:T29))))-SUM(FILTER(G29:T29, ISODD(COLUMN(G29:T29)))))*24"),37)</f>
        <v>37</v>
      </c>
      <c r="V29" s="21">
        <v>37</v>
      </c>
      <c r="W29" s="21">
        <f t="shared" si="0"/>
        <v>0</v>
      </c>
    </row>
    <row r="30" customHeight="1" spans="1:23">
      <c r="A30" s="7">
        <v>10316683</v>
      </c>
      <c r="B30" s="51" t="s">
        <v>51</v>
      </c>
      <c r="C30" s="52" t="s">
        <v>20</v>
      </c>
      <c r="D30" s="52" t="s">
        <v>21</v>
      </c>
      <c r="E30" s="52" t="s">
        <v>22</v>
      </c>
      <c r="F30" s="53">
        <v>1</v>
      </c>
      <c r="G30" s="21" t="s">
        <v>23</v>
      </c>
      <c r="H30" s="21" t="s">
        <v>23</v>
      </c>
      <c r="I30" s="54">
        <v>0.416666666666667</v>
      </c>
      <c r="J30" s="54">
        <v>0.833333333333333</v>
      </c>
      <c r="K30" s="54">
        <v>0.416666666666667</v>
      </c>
      <c r="L30" s="54">
        <v>0.833333333333333</v>
      </c>
      <c r="M30" s="54">
        <v>0.416666666666667</v>
      </c>
      <c r="N30" s="54">
        <v>0.833333333333333</v>
      </c>
      <c r="O30" s="54">
        <v>0.375</v>
      </c>
      <c r="P30" s="54">
        <v>0.791666666666667</v>
      </c>
      <c r="Q30" s="54">
        <v>0.416666666666667</v>
      </c>
      <c r="R30" s="54">
        <v>0.625</v>
      </c>
      <c r="S30" s="21" t="s">
        <v>23</v>
      </c>
      <c r="T30" s="21" t="s">
        <v>23</v>
      </c>
      <c r="U30" s="21">
        <f>IFERROR(__xludf.DUMMYFUNCTION("TO_PURE_NUMBER(SUM(FILTER(G30:T30, ISEVEN(COLUMN(G30:T30))))-SUM(FILTER(G30:T30, ISODD(COLUMN(G30:T30)))))*24"),45)</f>
        <v>45</v>
      </c>
      <c r="V30" s="21">
        <v>45</v>
      </c>
      <c r="W30" s="21">
        <f t="shared" si="0"/>
        <v>0</v>
      </c>
    </row>
    <row r="31" customHeight="1" spans="1:23">
      <c r="A31" s="55">
        <v>10316540</v>
      </c>
      <c r="B31" s="51" t="s">
        <v>30</v>
      </c>
      <c r="C31" s="52" t="s">
        <v>20</v>
      </c>
      <c r="D31" s="52" t="s">
        <v>21</v>
      </c>
      <c r="E31" s="52" t="s">
        <v>22</v>
      </c>
      <c r="F31" s="53">
        <v>1</v>
      </c>
      <c r="G31" s="21" t="s">
        <v>23</v>
      </c>
      <c r="H31" s="21" t="s">
        <v>23</v>
      </c>
      <c r="I31" s="54">
        <v>0.5</v>
      </c>
      <c r="J31" s="54">
        <v>0.916666666666667</v>
      </c>
      <c r="K31" s="54">
        <v>0.5</v>
      </c>
      <c r="L31" s="54">
        <v>0.916666666666667</v>
      </c>
      <c r="M31" s="54">
        <v>0.5</v>
      </c>
      <c r="N31" s="54">
        <v>0.916666666666667</v>
      </c>
      <c r="O31" s="54">
        <v>0.416666666666667</v>
      </c>
      <c r="P31" s="54">
        <v>0.833333333333333</v>
      </c>
      <c r="Q31" s="54">
        <v>0.416666666666667</v>
      </c>
      <c r="R31" s="54">
        <v>0.625</v>
      </c>
      <c r="S31" s="21" t="s">
        <v>23</v>
      </c>
      <c r="T31" s="21" t="s">
        <v>23</v>
      </c>
      <c r="U31" s="21">
        <f>IFERROR(__xludf.DUMMYFUNCTION("TO_PURE_NUMBER(SUM(FILTER(G31:T31, ISEVEN(COLUMN(G31:T31))))-SUM(FILTER(G31:T31, ISODD(COLUMN(G31:T31)))))*24"),45)</f>
        <v>45</v>
      </c>
      <c r="V31" s="21">
        <v>45</v>
      </c>
      <c r="W31" s="21">
        <f t="shared" si="0"/>
        <v>0</v>
      </c>
    </row>
    <row r="32" customHeight="1" spans="1:23">
      <c r="A32" s="7">
        <v>10317523</v>
      </c>
      <c r="B32" s="51" t="s">
        <v>212</v>
      </c>
      <c r="C32" s="52" t="s">
        <v>20</v>
      </c>
      <c r="D32" s="52" t="s">
        <v>21</v>
      </c>
      <c r="E32" s="52" t="s">
        <v>22</v>
      </c>
      <c r="F32" s="53">
        <v>2</v>
      </c>
      <c r="G32" s="54">
        <v>0.541666666666667</v>
      </c>
      <c r="H32" s="54">
        <v>0.916666666666667</v>
      </c>
      <c r="I32" s="54">
        <v>0.541666666666667</v>
      </c>
      <c r="J32" s="54">
        <v>0.916666666666667</v>
      </c>
      <c r="K32" s="54">
        <v>0.541666666666667</v>
      </c>
      <c r="L32" s="54">
        <v>0.916666666666667</v>
      </c>
      <c r="M32" s="54">
        <v>0.541666666666667</v>
      </c>
      <c r="N32" s="54">
        <v>0.916666666666667</v>
      </c>
      <c r="O32" s="54">
        <v>0.458333333333333</v>
      </c>
      <c r="P32" s="54">
        <v>0.833333333333333</v>
      </c>
      <c r="Q32" s="21" t="s">
        <v>23</v>
      </c>
      <c r="R32" s="21" t="s">
        <v>23</v>
      </c>
      <c r="S32" s="21" t="s">
        <v>23</v>
      </c>
      <c r="T32" s="21" t="s">
        <v>23</v>
      </c>
      <c r="U32" s="21">
        <f>IFERROR(__xludf.DUMMYFUNCTION("TO_PURE_NUMBER(SUM(FILTER(G32:T32, ISEVEN(COLUMN(G32:T32))))-SUM(FILTER(G32:T32, ISODD(COLUMN(G32:T32)))))*24"),45)</f>
        <v>45</v>
      </c>
      <c r="V32" s="21">
        <v>45</v>
      </c>
      <c r="W32" s="21">
        <f t="shared" si="0"/>
        <v>0</v>
      </c>
    </row>
    <row r="33" customHeight="1" spans="1:23">
      <c r="A33" s="7">
        <v>10275375</v>
      </c>
      <c r="B33" s="51" t="s">
        <v>208</v>
      </c>
      <c r="C33" s="52" t="s">
        <v>20</v>
      </c>
      <c r="D33" s="52" t="s">
        <v>21</v>
      </c>
      <c r="E33" s="52" t="s">
        <v>22</v>
      </c>
      <c r="F33" s="53">
        <v>2</v>
      </c>
      <c r="G33" s="54">
        <v>0.416666666666667</v>
      </c>
      <c r="H33" s="54">
        <v>0.791666666666667</v>
      </c>
      <c r="I33" s="54">
        <v>0.416666666666667</v>
      </c>
      <c r="J33" s="54">
        <v>0.791666666666667</v>
      </c>
      <c r="K33" s="54">
        <v>0.416666666666667</v>
      </c>
      <c r="L33" s="54">
        <v>0.791666666666667</v>
      </c>
      <c r="M33" s="54">
        <v>0.416666666666667</v>
      </c>
      <c r="N33" s="54">
        <v>0.791666666666667</v>
      </c>
      <c r="O33" s="54">
        <v>0.375</v>
      </c>
      <c r="P33" s="54">
        <v>0.75</v>
      </c>
      <c r="Q33" s="21" t="s">
        <v>23</v>
      </c>
      <c r="R33" s="21" t="s">
        <v>23</v>
      </c>
      <c r="S33" s="21" t="s">
        <v>23</v>
      </c>
      <c r="T33" s="21" t="s">
        <v>23</v>
      </c>
      <c r="U33" s="21">
        <f>IFERROR(__xludf.DUMMYFUNCTION("TO_PURE_NUMBER(SUM(FILTER(G33:T33, ISEVEN(COLUMN(G33:T33))))-SUM(FILTER(G33:T33, ISODD(COLUMN(G33:T33)))))*24"),44.9999999999999)</f>
        <v>44.9999999999999</v>
      </c>
      <c r="V33" s="21">
        <v>45</v>
      </c>
      <c r="W33" s="21">
        <f t="shared" si="0"/>
        <v>9.9475983006414e-14</v>
      </c>
    </row>
    <row r="34" customHeight="1" spans="1:23">
      <c r="A34" s="7">
        <v>10317151</v>
      </c>
      <c r="B34" s="51" t="s">
        <v>52</v>
      </c>
      <c r="C34" s="52" t="s">
        <v>20</v>
      </c>
      <c r="D34" s="52" t="s">
        <v>21</v>
      </c>
      <c r="E34" s="52" t="s">
        <v>22</v>
      </c>
      <c r="F34" s="53">
        <v>1</v>
      </c>
      <c r="G34" s="54">
        <v>0.5</v>
      </c>
      <c r="H34" s="54">
        <v>0.916666666666667</v>
      </c>
      <c r="I34" s="54">
        <v>0.5</v>
      </c>
      <c r="J34" s="54">
        <v>0.916666666666667</v>
      </c>
      <c r="K34" s="54">
        <v>0.5</v>
      </c>
      <c r="L34" s="54">
        <v>0.916666666666667</v>
      </c>
      <c r="M34" s="54">
        <v>0.5</v>
      </c>
      <c r="N34" s="54">
        <v>0.916666666666667</v>
      </c>
      <c r="O34" s="21" t="s">
        <v>23</v>
      </c>
      <c r="P34" s="21" t="s">
        <v>23</v>
      </c>
      <c r="Q34" s="21" t="s">
        <v>23</v>
      </c>
      <c r="R34" s="21" t="s">
        <v>23</v>
      </c>
      <c r="S34" s="54">
        <v>0.416666666666667</v>
      </c>
      <c r="T34" s="54">
        <v>0.625</v>
      </c>
      <c r="U34" s="21">
        <f>IFERROR(__xludf.DUMMYFUNCTION("TO_PURE_NUMBER(SUM(FILTER(G34:T34, ISEVEN(COLUMN(G34:T34))))-SUM(FILTER(G34:T34, ISODD(COLUMN(G34:T34)))))*24"),44.9999999999999)</f>
        <v>44.9999999999999</v>
      </c>
      <c r="V34" s="21">
        <v>44</v>
      </c>
      <c r="W34" s="21">
        <f t="shared" si="0"/>
        <v>-0.999999999999901</v>
      </c>
    </row>
    <row r="35" customHeight="1" spans="1:23">
      <c r="A35" s="7">
        <v>10317524</v>
      </c>
      <c r="B35" s="51" t="s">
        <v>53</v>
      </c>
      <c r="C35" s="52" t="s">
        <v>20</v>
      </c>
      <c r="D35" s="52" t="s">
        <v>21</v>
      </c>
      <c r="E35" s="52" t="s">
        <v>22</v>
      </c>
      <c r="F35" s="53">
        <v>2</v>
      </c>
      <c r="G35" s="54">
        <v>0.541666666666667</v>
      </c>
      <c r="H35" s="54">
        <v>0.916666666666667</v>
      </c>
      <c r="I35" s="54">
        <v>0.541666666666667</v>
      </c>
      <c r="J35" s="54">
        <v>0.916666666666667</v>
      </c>
      <c r="K35" s="54">
        <v>0.541666666666667</v>
      </c>
      <c r="L35" s="54">
        <v>0.916666666666667</v>
      </c>
      <c r="M35" s="54">
        <v>0.541666666666667</v>
      </c>
      <c r="N35" s="54">
        <v>0.916666666666667</v>
      </c>
      <c r="O35" s="54">
        <v>0.458333333333333</v>
      </c>
      <c r="P35" s="54">
        <v>0.833333333333333</v>
      </c>
      <c r="Q35" s="21" t="s">
        <v>23</v>
      </c>
      <c r="R35" s="21" t="s">
        <v>23</v>
      </c>
      <c r="S35" s="21" t="s">
        <v>23</v>
      </c>
      <c r="T35" s="21" t="s">
        <v>23</v>
      </c>
      <c r="U35" s="21">
        <f>IFERROR(__xludf.DUMMYFUNCTION("TO_PURE_NUMBER(SUM(FILTER(G35:T35, ISEVEN(COLUMN(G35:T35))))-SUM(FILTER(G35:T35, ISODD(COLUMN(G35:T35)))))*24"),45)</f>
        <v>45</v>
      </c>
      <c r="V35" s="21">
        <v>45</v>
      </c>
      <c r="W35" s="21">
        <f t="shared" si="0"/>
        <v>0</v>
      </c>
    </row>
    <row r="36" customHeight="1" spans="1:23">
      <c r="A36" s="7">
        <v>10295555</v>
      </c>
      <c r="B36" s="51" t="s">
        <v>210</v>
      </c>
      <c r="C36" s="52" t="s">
        <v>20</v>
      </c>
      <c r="D36" s="52" t="s">
        <v>21</v>
      </c>
      <c r="E36" s="52" t="s">
        <v>35</v>
      </c>
      <c r="F36" s="53">
        <v>2</v>
      </c>
      <c r="G36" s="54">
        <v>0.416666666666667</v>
      </c>
      <c r="H36" s="54">
        <v>0.625</v>
      </c>
      <c r="I36" s="54">
        <v>0.416666666666667</v>
      </c>
      <c r="J36" s="54">
        <v>0.625</v>
      </c>
      <c r="K36" s="54">
        <v>0.416666666666667</v>
      </c>
      <c r="L36" s="54">
        <v>0.625</v>
      </c>
      <c r="M36" s="21" t="s">
        <v>23</v>
      </c>
      <c r="N36" s="21" t="s">
        <v>23</v>
      </c>
      <c r="O36" s="21" t="s">
        <v>23</v>
      </c>
      <c r="P36" s="21" t="s">
        <v>23</v>
      </c>
      <c r="Q36" s="54">
        <v>0.416666666666667</v>
      </c>
      <c r="R36" s="54">
        <v>0.625</v>
      </c>
      <c r="S36" s="54">
        <v>0.416666666666667</v>
      </c>
      <c r="T36" s="54">
        <v>0.625</v>
      </c>
      <c r="U36" s="21">
        <f>IFERROR(__xludf.DUMMYFUNCTION("TO_PURE_NUMBER(SUM(FILTER(G36:T36, ISEVEN(COLUMN(G36:T36))))-SUM(FILTER(G36:T36, ISODD(COLUMN(G36:T36)))))*24"),24.9999999999999)</f>
        <v>24.9999999999999</v>
      </c>
      <c r="V36" s="21">
        <v>25</v>
      </c>
      <c r="W36" s="21">
        <f t="shared" si="0"/>
        <v>9.9475983006414e-14</v>
      </c>
    </row>
    <row r="37" customHeight="1" spans="1:23">
      <c r="A37" s="7">
        <v>10272259</v>
      </c>
      <c r="B37" s="51" t="s">
        <v>103</v>
      </c>
      <c r="C37" s="52" t="s">
        <v>20</v>
      </c>
      <c r="D37" s="52" t="s">
        <v>21</v>
      </c>
      <c r="E37" s="52" t="s">
        <v>22</v>
      </c>
      <c r="F37" s="53">
        <v>2</v>
      </c>
      <c r="G37" s="54">
        <v>0.416666666666667</v>
      </c>
      <c r="H37" s="54">
        <v>0.791666666666667</v>
      </c>
      <c r="I37" s="54">
        <v>0.416666666666667</v>
      </c>
      <c r="J37" s="54">
        <v>0.791666666666667</v>
      </c>
      <c r="K37" s="54">
        <v>0.416666666666667</v>
      </c>
      <c r="L37" s="54">
        <v>0.791666666666667</v>
      </c>
      <c r="M37" s="21" t="s">
        <v>23</v>
      </c>
      <c r="N37" s="21" t="s">
        <v>23</v>
      </c>
      <c r="O37" s="21" t="s">
        <v>23</v>
      </c>
      <c r="P37" s="21" t="s">
        <v>23</v>
      </c>
      <c r="Q37" s="54">
        <v>0.416666666666667</v>
      </c>
      <c r="R37" s="54">
        <v>0.625</v>
      </c>
      <c r="S37" s="54">
        <v>0.416666666666667</v>
      </c>
      <c r="T37" s="54">
        <v>0.625</v>
      </c>
      <c r="U37" s="21">
        <f>IFERROR(__xludf.DUMMYFUNCTION("TO_PURE_NUMBER(SUM(FILTER(G37:T37, ISEVEN(COLUMN(G37:T37))))-SUM(FILTER(G37:T37, ISODD(COLUMN(G37:T37)))))*24"),37)</f>
        <v>37</v>
      </c>
      <c r="V37" s="21">
        <v>37</v>
      </c>
      <c r="W37" s="21">
        <f t="shared" si="0"/>
        <v>0</v>
      </c>
    </row>
    <row r="38" customHeight="1" spans="1:23">
      <c r="A38" s="7">
        <v>10276839</v>
      </c>
      <c r="B38" s="51" t="s">
        <v>54</v>
      </c>
      <c r="C38" s="52" t="s">
        <v>20</v>
      </c>
      <c r="D38" s="52" t="s">
        <v>21</v>
      </c>
      <c r="E38" s="52" t="s">
        <v>22</v>
      </c>
      <c r="F38" s="52">
        <v>2</v>
      </c>
      <c r="G38" s="54">
        <v>0.416666666666667</v>
      </c>
      <c r="H38" s="54">
        <v>0.791666666666667</v>
      </c>
      <c r="I38" s="54">
        <v>0.416666666666667</v>
      </c>
      <c r="J38" s="54">
        <v>0.791666666666667</v>
      </c>
      <c r="K38" s="54">
        <v>0.416666666666667</v>
      </c>
      <c r="L38" s="54">
        <v>0.791666666666667</v>
      </c>
      <c r="M38" s="54">
        <v>0.416666666666667</v>
      </c>
      <c r="N38" s="54">
        <v>0.791666666666667</v>
      </c>
      <c r="O38" s="54">
        <v>0.375</v>
      </c>
      <c r="P38" s="54">
        <v>0.75</v>
      </c>
      <c r="Q38" s="21" t="s">
        <v>23</v>
      </c>
      <c r="R38" s="54" t="s">
        <v>23</v>
      </c>
      <c r="S38" s="54" t="s">
        <v>23</v>
      </c>
      <c r="T38" s="54" t="s">
        <v>23</v>
      </c>
      <c r="U38" s="21">
        <f>IFERROR(__xludf.DUMMYFUNCTION("TO_PURE_NUMBER(SUM(FILTER(G38:T38, ISEVEN(COLUMN(G38:T38))))-SUM(FILTER(G38:T38, ISODD(COLUMN(G38:T38)))))*24"),44.9999999999999)</f>
        <v>44.9999999999999</v>
      </c>
      <c r="V38" s="21">
        <v>45</v>
      </c>
      <c r="W38" s="21">
        <f t="shared" si="0"/>
        <v>9.9475983006414e-14</v>
      </c>
    </row>
    <row r="39" customHeight="1" spans="1:23">
      <c r="A39" s="10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>
        <f>SUM(U2:U38)</f>
        <v>1520</v>
      </c>
      <c r="V39" s="17"/>
      <c r="W39" s="17"/>
    </row>
    <row r="40" customHeight="1" spans="1:23">
      <c r="A40" s="10"/>
      <c r="B40" s="17"/>
      <c r="C40" s="17"/>
      <c r="D40" s="17"/>
      <c r="E40" s="17"/>
      <c r="T40" s="17"/>
      <c r="U40" s="17"/>
      <c r="V40" s="17"/>
      <c r="W40" s="17"/>
    </row>
    <row r="41" customHeight="1" spans="1:23">
      <c r="A41" s="10"/>
      <c r="B41" s="17"/>
      <c r="C41" s="17"/>
      <c r="D41" s="17"/>
      <c r="E41" s="17"/>
      <c r="G41" s="48" t="s">
        <v>6</v>
      </c>
      <c r="H41" s="48" t="s">
        <v>7</v>
      </c>
      <c r="I41" s="48" t="s">
        <v>8</v>
      </c>
      <c r="J41" s="48" t="s">
        <v>9</v>
      </c>
      <c r="K41" s="48" t="s">
        <v>10</v>
      </c>
      <c r="L41" s="48" t="s">
        <v>11</v>
      </c>
      <c r="M41" s="48" t="s">
        <v>12</v>
      </c>
      <c r="T41" s="60"/>
      <c r="U41" s="17"/>
      <c r="V41" s="17"/>
      <c r="W41" s="17"/>
    </row>
    <row r="42" customHeight="1" spans="1:23">
      <c r="A42" s="10"/>
      <c r="B42" s="17"/>
      <c r="C42" s="17"/>
      <c r="D42" s="17"/>
      <c r="E42" s="17"/>
      <c r="F42" s="7" t="s">
        <v>76</v>
      </c>
      <c r="G42" s="7">
        <f>IFERROR(__xludf.DUMMYFUNCTION("COUNTA(FILTER($C$2:$C$38, $C$2:$C$38=""CSR"", G2:G38&lt;&gt;"""", NOT(ISTEXT(G2:G38))))"),26)</f>
        <v>26</v>
      </c>
      <c r="H42" s="7">
        <f>IFERROR(__xludf.DUMMYFUNCTION("COUNTA(FILTER($C$2:$C$38, $C$2:$C$38=""CSR"", I2:I38&lt;&gt;"""", NOT(ISTEXT(I2:I38))))"),34)</f>
        <v>34</v>
      </c>
      <c r="I42" s="7">
        <f>IFERROR(__xludf.DUMMYFUNCTION("COUNTA(FILTER($C$2:$C$38, $C$2:$C$38=""CSR"", K2:K38&lt;&gt;"""", NOT(ISTEXT(K2:K38))))"),34)</f>
        <v>34</v>
      </c>
      <c r="J42" s="7">
        <f>IFERROR(__xludf.DUMMYFUNCTION("COUNTA(FILTER($C$2:$C$38, $C$2:$C$38=""CSR"", M2:M38&lt;&gt;"""", NOT(ISTEXT(M2:M38))))"),32)</f>
        <v>32</v>
      </c>
      <c r="K42" s="7">
        <f>IFERROR(__xludf.DUMMYFUNCTION("COUNTA(FILTER($C$2:$C$38, $C$2:$C$38=""CSR"", O2:O38&lt;&gt;"""", NOT(ISTEXT(O2:O38))))"),24)</f>
        <v>24</v>
      </c>
      <c r="L42" s="7">
        <f>IFERROR(__xludf.DUMMYFUNCTION("COUNTA(FILTER($C$2:$C$38, $C$2:$C$38=""CSR"", Q2:Q38&lt;&gt;"""", NOT(ISTEXT(Q2:Q38))))"),13)</f>
        <v>13</v>
      </c>
      <c r="M42" s="7">
        <f>IFERROR(__xludf.DUMMYFUNCTION("COUNTA(FILTER($C$2:$C$38, $C$2:$C$38=""CSR"", S2:S38&lt;&gt;"""", NOT(ISTEXT(S2:S38))))"),12)</f>
        <v>12</v>
      </c>
      <c r="T42" s="17"/>
      <c r="U42" s="17"/>
      <c r="V42" s="17"/>
      <c r="W42" s="17"/>
    </row>
    <row r="43" customHeight="1" spans="1:23">
      <c r="A43" s="10"/>
      <c r="B43" s="17"/>
      <c r="C43" s="17"/>
      <c r="D43" s="17"/>
      <c r="E43" s="17"/>
      <c r="F43" s="7" t="s">
        <v>77</v>
      </c>
      <c r="G43" s="56">
        <v>22.6571428571429</v>
      </c>
      <c r="H43" s="56">
        <v>18.6428571428571</v>
      </c>
      <c r="I43" s="56">
        <v>17.9</v>
      </c>
      <c r="J43" s="56">
        <v>17.3714285714286</v>
      </c>
      <c r="K43" s="56">
        <v>20.1714285714286</v>
      </c>
      <c r="L43" s="56">
        <v>8.8</v>
      </c>
      <c r="M43" s="56">
        <v>6.6</v>
      </c>
      <c r="T43" s="17"/>
      <c r="U43" s="17"/>
      <c r="V43" s="17"/>
      <c r="W43" s="17"/>
    </row>
    <row r="44" customHeight="1" spans="1:23">
      <c r="A44" s="10"/>
      <c r="B44" s="17"/>
      <c r="C44" s="17"/>
      <c r="D44" s="17"/>
      <c r="E44" s="17"/>
      <c r="F44" s="7" t="s">
        <v>75</v>
      </c>
      <c r="G44" s="57">
        <f t="shared" ref="G44:M44" si="1">G42-G43</f>
        <v>3.34285714285715</v>
      </c>
      <c r="H44" s="57">
        <f t="shared" si="1"/>
        <v>15.3571428571429</v>
      </c>
      <c r="I44" s="57">
        <f t="shared" si="1"/>
        <v>16.1</v>
      </c>
      <c r="J44" s="57">
        <f t="shared" si="1"/>
        <v>14.6285714285714</v>
      </c>
      <c r="K44" s="57">
        <f t="shared" si="1"/>
        <v>3.82857142857143</v>
      </c>
      <c r="L44" s="57">
        <f t="shared" si="1"/>
        <v>4.2</v>
      </c>
      <c r="M44" s="57">
        <f t="shared" si="1"/>
        <v>5.4</v>
      </c>
      <c r="T44" s="17"/>
      <c r="U44" s="17"/>
      <c r="V44" s="17"/>
      <c r="W44" s="17"/>
    </row>
    <row r="45" customHeight="1" spans="1:23">
      <c r="A45" s="10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customHeight="1" spans="1:23">
      <c r="A46" s="10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customHeight="1" spans="1:23">
      <c r="A47" s="10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customHeight="1" spans="1:23">
      <c r="A48" s="10" t="s">
        <v>211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 customHeight="1" spans="1:23">
      <c r="A49" s="10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46">
        <v>45593</v>
      </c>
      <c r="H49" s="14"/>
      <c r="I49" s="46">
        <f>G49+1</f>
        <v>45594</v>
      </c>
      <c r="J49" s="14"/>
      <c r="K49" s="46">
        <f>I49+1</f>
        <v>45595</v>
      </c>
      <c r="L49" s="14"/>
      <c r="M49" s="46">
        <f>K49+1</f>
        <v>45596</v>
      </c>
      <c r="N49" s="14"/>
      <c r="O49" s="46">
        <f>M49+1</f>
        <v>45597</v>
      </c>
      <c r="P49" s="14"/>
      <c r="Q49" s="46">
        <f>O49+1</f>
        <v>45598</v>
      </c>
      <c r="R49" s="14"/>
      <c r="S49" s="46">
        <f>Q49+1</f>
        <v>45599</v>
      </c>
      <c r="T49" s="14"/>
      <c r="U49" s="17"/>
      <c r="V49" s="17"/>
      <c r="W49" s="17"/>
    </row>
    <row r="50" customHeight="1" spans="1:23">
      <c r="A50" s="10">
        <v>10316681</v>
      </c>
      <c r="B50" s="51" t="s">
        <v>38</v>
      </c>
      <c r="C50" s="52" t="s">
        <v>20</v>
      </c>
      <c r="D50" s="52" t="s">
        <v>21</v>
      </c>
      <c r="E50" s="52" t="s">
        <v>22</v>
      </c>
      <c r="F50" s="53">
        <v>1</v>
      </c>
      <c r="G50" s="58">
        <v>0.375</v>
      </c>
      <c r="H50" s="58">
        <v>0.791666666666667</v>
      </c>
      <c r="I50" s="10" t="s">
        <v>23</v>
      </c>
      <c r="J50" s="10" t="s">
        <v>23</v>
      </c>
      <c r="K50" s="58">
        <v>0.375</v>
      </c>
      <c r="L50" s="58">
        <v>0.791666666666667</v>
      </c>
      <c r="M50" s="58">
        <v>0.375</v>
      </c>
      <c r="N50" s="58">
        <v>0.791666666666667</v>
      </c>
      <c r="O50" s="58">
        <v>0.333333333333333</v>
      </c>
      <c r="P50" s="58">
        <v>0.75</v>
      </c>
      <c r="Q50" s="58">
        <v>0.416666666666667</v>
      </c>
      <c r="R50" s="58">
        <v>0.625</v>
      </c>
      <c r="S50" s="10" t="s">
        <v>23</v>
      </c>
      <c r="T50" s="10" t="s">
        <v>23</v>
      </c>
      <c r="U50" s="17"/>
      <c r="V50" s="17"/>
      <c r="W50" s="17"/>
    </row>
    <row r="51" customHeight="1" spans="1:23">
      <c r="A51" s="10">
        <v>10316530</v>
      </c>
      <c r="B51" s="51" t="s">
        <v>26</v>
      </c>
      <c r="C51" s="52" t="s">
        <v>20</v>
      </c>
      <c r="D51" s="52" t="s">
        <v>21</v>
      </c>
      <c r="E51" s="52" t="s">
        <v>22</v>
      </c>
      <c r="F51" s="53">
        <v>1</v>
      </c>
      <c r="G51" s="58">
        <v>0.375</v>
      </c>
      <c r="H51" s="58">
        <v>0.791666666666667</v>
      </c>
      <c r="I51" s="58">
        <v>0.375</v>
      </c>
      <c r="J51" s="58">
        <v>0.791666666666667</v>
      </c>
      <c r="K51" s="58">
        <v>0.375</v>
      </c>
      <c r="L51" s="58">
        <v>0.791666666666667</v>
      </c>
      <c r="M51" s="10" t="s">
        <v>23</v>
      </c>
      <c r="N51" s="10" t="s">
        <v>23</v>
      </c>
      <c r="O51" s="58">
        <v>0.333333333333333</v>
      </c>
      <c r="P51" s="58">
        <v>0.75</v>
      </c>
      <c r="Q51" s="58">
        <v>0.416666666666667</v>
      </c>
      <c r="R51" s="58">
        <v>0.625</v>
      </c>
      <c r="S51" s="10" t="s">
        <v>23</v>
      </c>
      <c r="T51" s="10" t="s">
        <v>23</v>
      </c>
      <c r="U51" s="17"/>
      <c r="V51" s="17"/>
      <c r="W51" s="17"/>
    </row>
    <row r="52" customHeight="1" spans="1:23">
      <c r="A52" s="10">
        <v>10316680</v>
      </c>
      <c r="B52" s="51" t="s">
        <v>40</v>
      </c>
      <c r="C52" s="52" t="s">
        <v>20</v>
      </c>
      <c r="D52" s="52" t="s">
        <v>21</v>
      </c>
      <c r="E52" s="52" t="s">
        <v>22</v>
      </c>
      <c r="F52" s="53">
        <v>1</v>
      </c>
      <c r="G52" s="58">
        <v>0.458333333333333</v>
      </c>
      <c r="H52" s="58">
        <v>0.875</v>
      </c>
      <c r="I52" s="58">
        <v>0.458333333333333</v>
      </c>
      <c r="J52" s="58">
        <v>0.875</v>
      </c>
      <c r="K52" s="10" t="s">
        <v>23</v>
      </c>
      <c r="L52" s="10" t="s">
        <v>23</v>
      </c>
      <c r="M52" s="58">
        <v>0.458333333333333</v>
      </c>
      <c r="N52" s="58">
        <v>0.875</v>
      </c>
      <c r="O52" s="58">
        <v>0.416666666666667</v>
      </c>
      <c r="P52" s="58">
        <v>0.833333333333333</v>
      </c>
      <c r="Q52" s="58">
        <v>0.416666666666667</v>
      </c>
      <c r="R52" s="58">
        <v>0.625</v>
      </c>
      <c r="S52" s="10" t="s">
        <v>23</v>
      </c>
      <c r="T52" s="10" t="s">
        <v>23</v>
      </c>
      <c r="U52" s="17"/>
      <c r="V52" s="17"/>
      <c r="W52" s="17"/>
    </row>
    <row r="53" customHeight="1" spans="1:23">
      <c r="A53" s="10">
        <v>10317153</v>
      </c>
      <c r="B53" s="51" t="s">
        <v>42</v>
      </c>
      <c r="C53" s="52" t="s">
        <v>20</v>
      </c>
      <c r="D53" s="52" t="s">
        <v>21</v>
      </c>
      <c r="E53" s="52" t="s">
        <v>22</v>
      </c>
      <c r="F53" s="53">
        <v>1</v>
      </c>
      <c r="G53" s="58">
        <v>0.375</v>
      </c>
      <c r="H53" s="58">
        <v>0.791666666666667</v>
      </c>
      <c r="I53" s="58">
        <v>0.375</v>
      </c>
      <c r="J53" s="58">
        <v>0.791666666666667</v>
      </c>
      <c r="K53" s="58">
        <v>0.375</v>
      </c>
      <c r="L53" s="58">
        <v>0.791666666666667</v>
      </c>
      <c r="M53" s="58">
        <v>0.375</v>
      </c>
      <c r="N53" s="58">
        <v>0.791666666666667</v>
      </c>
      <c r="O53" s="10" t="s">
        <v>23</v>
      </c>
      <c r="P53" s="10" t="s">
        <v>23</v>
      </c>
      <c r="Q53" s="10" t="s">
        <v>23</v>
      </c>
      <c r="R53" s="10" t="s">
        <v>23</v>
      </c>
      <c r="S53" s="58">
        <v>0.416666666666667</v>
      </c>
      <c r="T53" s="58">
        <v>0.625</v>
      </c>
      <c r="U53" s="17"/>
      <c r="V53" s="17"/>
      <c r="W53" s="17"/>
    </row>
    <row r="54" customHeight="1" spans="1:23">
      <c r="A54" s="10">
        <v>10316538</v>
      </c>
      <c r="B54" s="51" t="s">
        <v>44</v>
      </c>
      <c r="C54" s="52" t="s">
        <v>20</v>
      </c>
      <c r="D54" s="52" t="s">
        <v>21</v>
      </c>
      <c r="E54" s="52" t="s">
        <v>22</v>
      </c>
      <c r="F54" s="53">
        <v>1</v>
      </c>
      <c r="G54" s="58">
        <v>0.458333333333333</v>
      </c>
      <c r="H54" s="58">
        <v>0.875</v>
      </c>
      <c r="I54" s="58">
        <v>0.458333333333333</v>
      </c>
      <c r="J54" s="58">
        <v>0.875</v>
      </c>
      <c r="K54" s="58">
        <v>0.458333333333333</v>
      </c>
      <c r="L54" s="58">
        <v>0.875</v>
      </c>
      <c r="M54" s="10" t="s">
        <v>23</v>
      </c>
      <c r="N54" s="10" t="s">
        <v>23</v>
      </c>
      <c r="O54" s="58">
        <v>0.416666666666667</v>
      </c>
      <c r="P54" s="58">
        <v>0.833333333333333</v>
      </c>
      <c r="Q54" s="58">
        <v>0.416666666666667</v>
      </c>
      <c r="R54" s="58">
        <v>0.625</v>
      </c>
      <c r="S54" s="10" t="s">
        <v>23</v>
      </c>
      <c r="T54" s="10" t="s">
        <v>23</v>
      </c>
      <c r="U54" s="17"/>
      <c r="V54" s="17"/>
      <c r="W54" s="17"/>
    </row>
    <row r="55" customHeight="1" spans="1:23">
      <c r="A55" s="10">
        <v>10316545</v>
      </c>
      <c r="B55" s="51" t="s">
        <v>45</v>
      </c>
      <c r="C55" s="52" t="s">
        <v>20</v>
      </c>
      <c r="D55" s="52" t="s">
        <v>21</v>
      </c>
      <c r="E55" s="52" t="s">
        <v>22</v>
      </c>
      <c r="F55" s="53">
        <v>1</v>
      </c>
      <c r="G55" s="58">
        <v>0.375</v>
      </c>
      <c r="H55" s="58">
        <v>0.791666666666667</v>
      </c>
      <c r="I55" s="58">
        <v>0.375</v>
      </c>
      <c r="J55" s="58">
        <v>0.791666666666667</v>
      </c>
      <c r="K55" s="10" t="s">
        <v>23</v>
      </c>
      <c r="L55" s="10" t="s">
        <v>23</v>
      </c>
      <c r="M55" s="58">
        <v>0.375</v>
      </c>
      <c r="N55" s="58">
        <v>0.791666666666667</v>
      </c>
      <c r="O55" s="58">
        <v>0.333333333333333</v>
      </c>
      <c r="P55" s="58">
        <v>0.75</v>
      </c>
      <c r="Q55" s="58">
        <v>0.416666666666667</v>
      </c>
      <c r="R55" s="58">
        <v>0.625</v>
      </c>
      <c r="S55" s="10" t="s">
        <v>23</v>
      </c>
      <c r="T55" s="10" t="s">
        <v>23</v>
      </c>
      <c r="U55" s="17"/>
      <c r="V55" s="17"/>
      <c r="W55" s="17"/>
    </row>
    <row r="56" customHeight="1" spans="1:23">
      <c r="A56" s="10">
        <v>10316685</v>
      </c>
      <c r="B56" s="51" t="s">
        <v>47</v>
      </c>
      <c r="C56" s="52" t="s">
        <v>20</v>
      </c>
      <c r="D56" s="52" t="s">
        <v>21</v>
      </c>
      <c r="E56" s="52" t="s">
        <v>22</v>
      </c>
      <c r="F56" s="53">
        <v>1</v>
      </c>
      <c r="G56" s="58">
        <v>0.375</v>
      </c>
      <c r="H56" s="58">
        <v>0.791666666666667</v>
      </c>
      <c r="I56" s="10" t="s">
        <v>23</v>
      </c>
      <c r="J56" s="10" t="s">
        <v>23</v>
      </c>
      <c r="K56" s="58">
        <v>0.375</v>
      </c>
      <c r="L56" s="58">
        <v>0.791666666666667</v>
      </c>
      <c r="M56" s="58">
        <v>0.375</v>
      </c>
      <c r="N56" s="58">
        <v>0.791666666666667</v>
      </c>
      <c r="O56" s="58">
        <v>0.333333333333333</v>
      </c>
      <c r="P56" s="58">
        <v>0.75</v>
      </c>
      <c r="Q56" s="58">
        <v>0.416666666666667</v>
      </c>
      <c r="R56" s="58">
        <v>0.625</v>
      </c>
      <c r="S56" s="10" t="s">
        <v>23</v>
      </c>
      <c r="T56" s="10" t="s">
        <v>23</v>
      </c>
      <c r="U56" s="17"/>
      <c r="V56" s="17"/>
      <c r="W56" s="17"/>
    </row>
    <row r="57" customHeight="1" spans="1:23">
      <c r="A57" s="10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customHeight="1" spans="1:23">
      <c r="A58" s="22" t="s">
        <v>0</v>
      </c>
      <c r="B58" s="22" t="s">
        <v>98</v>
      </c>
      <c r="C58" s="22" t="s">
        <v>2</v>
      </c>
      <c r="D58" s="22" t="s">
        <v>3</v>
      </c>
      <c r="E58" s="22" t="s">
        <v>4</v>
      </c>
      <c r="F58" s="22" t="s">
        <v>5</v>
      </c>
      <c r="G58" s="46">
        <v>45593</v>
      </c>
      <c r="H58" s="14"/>
      <c r="I58" s="46">
        <f>G58+1</f>
        <v>45594</v>
      </c>
      <c r="J58" s="14"/>
      <c r="K58" s="23">
        <f>I58+1</f>
        <v>45595</v>
      </c>
      <c r="L58" s="14"/>
      <c r="M58" s="23">
        <f>K58+1</f>
        <v>45596</v>
      </c>
      <c r="N58" s="14"/>
      <c r="O58" s="23">
        <f>M58+1</f>
        <v>45597</v>
      </c>
      <c r="P58" s="14"/>
      <c r="Q58" s="23">
        <f>O58+1</f>
        <v>45598</v>
      </c>
      <c r="R58" s="14"/>
      <c r="S58" s="23">
        <f>Q58+1</f>
        <v>45599</v>
      </c>
      <c r="T58" s="14"/>
      <c r="U58" s="17"/>
      <c r="V58" s="17"/>
      <c r="W58" s="17"/>
    </row>
    <row r="59" customHeight="1" spans="1:23">
      <c r="A59" s="15"/>
      <c r="B59" s="15"/>
      <c r="C59" s="15"/>
      <c r="D59" s="15"/>
      <c r="E59" s="15"/>
      <c r="F59" s="15"/>
      <c r="G59" s="24" t="s">
        <v>6</v>
      </c>
      <c r="H59" s="14"/>
      <c r="I59" s="24" t="s">
        <v>7</v>
      </c>
      <c r="J59" s="14"/>
      <c r="K59" s="24" t="s">
        <v>8</v>
      </c>
      <c r="L59" s="14"/>
      <c r="M59" s="24" t="s">
        <v>9</v>
      </c>
      <c r="N59" s="14"/>
      <c r="O59" s="24" t="s">
        <v>10</v>
      </c>
      <c r="P59" s="14"/>
      <c r="Q59" s="24" t="s">
        <v>11</v>
      </c>
      <c r="R59" s="14"/>
      <c r="S59" s="24" t="s">
        <v>12</v>
      </c>
      <c r="T59" s="14"/>
      <c r="U59" s="17"/>
      <c r="V59" s="17"/>
      <c r="W59" s="17"/>
    </row>
    <row r="60" customHeight="1" spans="1:23">
      <c r="A60" s="5"/>
      <c r="B60" s="5"/>
      <c r="C60" s="5"/>
      <c r="D60" s="5"/>
      <c r="E60" s="5"/>
      <c r="F60" s="5"/>
      <c r="G60" s="25" t="s">
        <v>13</v>
      </c>
      <c r="H60" s="25" t="s">
        <v>14</v>
      </c>
      <c r="I60" s="25" t="s">
        <v>13</v>
      </c>
      <c r="J60" s="25" t="s">
        <v>14</v>
      </c>
      <c r="K60" s="25" t="s">
        <v>13</v>
      </c>
      <c r="L60" s="25" t="s">
        <v>14</v>
      </c>
      <c r="M60" s="25" t="s">
        <v>13</v>
      </c>
      <c r="N60" s="25" t="s">
        <v>14</v>
      </c>
      <c r="O60" s="25" t="s">
        <v>13</v>
      </c>
      <c r="P60" s="25" t="s">
        <v>14</v>
      </c>
      <c r="Q60" s="25" t="s">
        <v>13</v>
      </c>
      <c r="R60" s="25" t="s">
        <v>14</v>
      </c>
      <c r="S60" s="25" t="s">
        <v>13</v>
      </c>
      <c r="T60" s="25" t="s">
        <v>14</v>
      </c>
      <c r="U60" s="17"/>
      <c r="V60" s="17"/>
      <c r="W60" s="17"/>
    </row>
    <row r="61" customHeight="1" spans="1:23">
      <c r="A61" s="26">
        <v>10316835</v>
      </c>
      <c r="B61" s="26" t="s">
        <v>161</v>
      </c>
      <c r="C61" s="26" t="s">
        <v>162</v>
      </c>
      <c r="D61" s="26" t="s">
        <v>21</v>
      </c>
      <c r="E61" s="26" t="s">
        <v>22</v>
      </c>
      <c r="F61" s="27">
        <v>1</v>
      </c>
      <c r="G61" s="30">
        <v>0.5</v>
      </c>
      <c r="H61" s="31">
        <v>0.916666666666667</v>
      </c>
      <c r="I61" s="30">
        <v>0.5</v>
      </c>
      <c r="J61" s="31">
        <v>0.916666666666667</v>
      </c>
      <c r="K61" s="30">
        <v>0.5</v>
      </c>
      <c r="L61" s="31">
        <v>0.916666666666667</v>
      </c>
      <c r="M61" s="30">
        <v>0.375</v>
      </c>
      <c r="N61" s="31">
        <v>0.791666666666667</v>
      </c>
      <c r="O61" s="33" t="s">
        <v>23</v>
      </c>
      <c r="P61" s="33" t="s">
        <v>23</v>
      </c>
      <c r="Q61" s="33" t="s">
        <v>23</v>
      </c>
      <c r="R61" s="33" t="s">
        <v>23</v>
      </c>
      <c r="S61" s="40">
        <v>0.458333333333333</v>
      </c>
      <c r="T61" s="41">
        <v>0.666666666666667</v>
      </c>
      <c r="U61" s="61">
        <f>IFERROR(__xludf.DUMMYFUNCTION("TO_PURE_NUMBER(SUM(FILTER(G61:T61, ISEVEN(COLUMN(G61:T61))))-SUM(FILTER(G61:T61, ISODD(COLUMN(G61:T61)))))*24"),44.9999999999999)</f>
        <v>44.9999999999999</v>
      </c>
      <c r="V61" s="17"/>
      <c r="W61" s="17"/>
    </row>
    <row r="62" customHeight="1" spans="1:23">
      <c r="A62" s="26">
        <v>10271545</v>
      </c>
      <c r="B62" s="26" t="s">
        <v>165</v>
      </c>
      <c r="C62" s="26" t="s">
        <v>166</v>
      </c>
      <c r="D62" s="44"/>
      <c r="E62" s="44"/>
      <c r="F62" s="44"/>
      <c r="G62" s="30">
        <v>0.375</v>
      </c>
      <c r="H62" s="34">
        <v>0.75</v>
      </c>
      <c r="I62" s="30">
        <v>0.375</v>
      </c>
      <c r="J62" s="34">
        <v>0.75</v>
      </c>
      <c r="K62" s="30">
        <v>0.375</v>
      </c>
      <c r="L62" s="34">
        <v>0.75</v>
      </c>
      <c r="M62" s="30">
        <v>0.375</v>
      </c>
      <c r="N62" s="34">
        <v>0.75</v>
      </c>
      <c r="O62" s="30">
        <v>0.375</v>
      </c>
      <c r="P62" s="34">
        <v>0.75</v>
      </c>
      <c r="Q62" s="33" t="s">
        <v>23</v>
      </c>
      <c r="R62" s="33" t="s">
        <v>23</v>
      </c>
      <c r="S62" s="33" t="s">
        <v>23</v>
      </c>
      <c r="T62" s="33" t="s">
        <v>23</v>
      </c>
      <c r="U62" s="61">
        <f>IFERROR(__xludf.DUMMYFUNCTION("TO_PURE_NUMBER(SUM(FILTER(G62:T62, ISEVEN(COLUMN(G62:T62))))-SUM(FILTER(G62:T62, ISODD(COLUMN(G62:T62)))))*24"),45)</f>
        <v>45</v>
      </c>
      <c r="V62" s="17"/>
      <c r="W62" s="17"/>
    </row>
    <row r="63" customHeight="1" spans="1:23">
      <c r="A63" s="26">
        <v>10225640</v>
      </c>
      <c r="B63" s="26" t="s">
        <v>100</v>
      </c>
      <c r="C63" s="26" t="s">
        <v>162</v>
      </c>
      <c r="D63" s="26" t="s">
        <v>21</v>
      </c>
      <c r="E63" s="26" t="s">
        <v>22</v>
      </c>
      <c r="F63" s="26">
        <v>2</v>
      </c>
      <c r="G63" s="33" t="s">
        <v>23</v>
      </c>
      <c r="H63" s="33" t="s">
        <v>23</v>
      </c>
      <c r="I63" s="30">
        <v>0.375</v>
      </c>
      <c r="J63" s="31">
        <v>0.791666666666667</v>
      </c>
      <c r="K63" s="30">
        <v>0.375</v>
      </c>
      <c r="L63" s="31">
        <v>0.791666666666667</v>
      </c>
      <c r="M63" s="30">
        <v>0.375</v>
      </c>
      <c r="N63" s="31">
        <v>0.791666666666667</v>
      </c>
      <c r="O63" s="30">
        <v>0.375</v>
      </c>
      <c r="P63" s="31">
        <v>0.791666666666667</v>
      </c>
      <c r="Q63" s="40">
        <v>0.458333333333333</v>
      </c>
      <c r="R63" s="41">
        <v>0.666666666666667</v>
      </c>
      <c r="S63" s="33" t="s">
        <v>23</v>
      </c>
      <c r="T63" s="33" t="s">
        <v>23</v>
      </c>
      <c r="U63" s="61">
        <f>IFERROR(__xludf.DUMMYFUNCTION("TO_PURE_NUMBER(SUM(FILTER(G63:T63, ISEVEN(COLUMN(G63:T63))))-SUM(FILTER(G63:T63, ISODD(COLUMN(G63:T63)))))*24"),44.9999999999999)</f>
        <v>44.9999999999999</v>
      </c>
      <c r="V63" s="17"/>
      <c r="W63" s="17"/>
    </row>
    <row r="64" customHeight="1" spans="1:23">
      <c r="A64" s="26" t="s">
        <v>213</v>
      </c>
      <c r="B64" s="26" t="s">
        <v>214</v>
      </c>
      <c r="C64" s="26" t="s">
        <v>166</v>
      </c>
      <c r="D64" s="44"/>
      <c r="E64" s="44"/>
      <c r="F64" s="44"/>
      <c r="G64" s="30">
        <v>0.375</v>
      </c>
      <c r="H64" s="34">
        <v>0.75</v>
      </c>
      <c r="I64" s="30">
        <v>0.375</v>
      </c>
      <c r="J64" s="34">
        <v>0.75</v>
      </c>
      <c r="K64" s="30">
        <v>0.375</v>
      </c>
      <c r="L64" s="34">
        <v>0.75</v>
      </c>
      <c r="M64" s="30">
        <v>0.375</v>
      </c>
      <c r="N64" s="34">
        <v>0.75</v>
      </c>
      <c r="O64" s="30">
        <v>0.375</v>
      </c>
      <c r="P64" s="34">
        <v>0.75</v>
      </c>
      <c r="Q64" s="33" t="s">
        <v>23</v>
      </c>
      <c r="R64" s="33" t="s">
        <v>23</v>
      </c>
      <c r="S64" s="33" t="s">
        <v>23</v>
      </c>
      <c r="T64" s="33" t="s">
        <v>23</v>
      </c>
      <c r="U64" s="61">
        <f>IFERROR(__xludf.DUMMYFUNCTION("TO_PURE_NUMBER(SUM(FILTER(G64:T64, ISEVEN(COLUMN(G64:T64))))-SUM(FILTER(G64:T64, ISODD(COLUMN(G64:T64)))))*24"),45)</f>
        <v>45</v>
      </c>
      <c r="V64" s="17"/>
      <c r="W64" s="17"/>
    </row>
    <row r="65" customHeight="1" spans="1:23">
      <c r="A65" s="10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 customHeight="1" spans="1:23">
      <c r="A66" s="10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customHeight="1" spans="1:23">
      <c r="A67" s="10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</row>
    <row r="68" customHeight="1" spans="1:23">
      <c r="A68" s="10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 customHeight="1" spans="1:23">
      <c r="A69" s="10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 customHeight="1" spans="1:23">
      <c r="A70" s="10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customHeight="1" spans="1:23">
      <c r="A71" s="10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customHeight="1" spans="1:23">
      <c r="A72" s="10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customHeight="1" spans="1:23">
      <c r="A73" s="10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customHeight="1" spans="1:23">
      <c r="A74" s="10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 customHeight="1" spans="1:23">
      <c r="A75" s="10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</row>
    <row r="76" customHeight="1" spans="1:23">
      <c r="A76" s="10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</row>
    <row r="77" customHeight="1" spans="1:23">
      <c r="A77" s="10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customHeight="1" spans="1:23">
      <c r="A78" s="10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 customHeight="1" spans="1:23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</row>
    <row r="80" customHeight="1" spans="1:23">
      <c r="A80" s="10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</row>
    <row r="81" customHeight="1" spans="1:23">
      <c r="A81" s="10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 customHeight="1" spans="1:23">
      <c r="A82" s="10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</row>
    <row r="83" customHeight="1" spans="1:23">
      <c r="A83" s="10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</row>
    <row r="84" customHeight="1" spans="1:23">
      <c r="A84" s="10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 customHeight="1" spans="1:23">
      <c r="A85" s="10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 customHeight="1" spans="1:23">
      <c r="A86" s="10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 customHeight="1" spans="1:23">
      <c r="A87" s="10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</row>
    <row r="88" customHeight="1" spans="1:23">
      <c r="A88" s="10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 customHeight="1" spans="1:23">
      <c r="A89" s="10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</row>
    <row r="90" customHeight="1" spans="1:23">
      <c r="A90" s="10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</row>
    <row r="91" customHeight="1" spans="1:23">
      <c r="A91" s="10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</row>
    <row r="92" customHeight="1" spans="1:23">
      <c r="A92" s="10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</row>
    <row r="93" customHeight="1" spans="1:23">
      <c r="A93" s="10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 customHeight="1" spans="1:23">
      <c r="A94" s="10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</row>
    <row r="95" customHeight="1" spans="1:23">
      <c r="A95" s="10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</row>
    <row r="96" customHeight="1" spans="1:23">
      <c r="A96" s="10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</row>
    <row r="97" customHeight="1" spans="1:23">
      <c r="A97" s="10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</row>
    <row r="98" customHeight="1" spans="1:23">
      <c r="A98" s="10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 customHeight="1" spans="1:23">
      <c r="A99" s="10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</row>
    <row r="100" customHeight="1" spans="1:23">
      <c r="A100" s="10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</row>
    <row r="101" customHeight="1" spans="1:23">
      <c r="A101" s="10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 customHeight="1" spans="1:23">
      <c r="A102" s="10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 customHeight="1" spans="1:23">
      <c r="A103" s="10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 customHeight="1" spans="1:23">
      <c r="A104" s="10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 customHeight="1" spans="1:23">
      <c r="A105" s="10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 customHeight="1" spans="1:23">
      <c r="A106" s="10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 customHeight="1" spans="1:23">
      <c r="A107" s="10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 customHeight="1" spans="1:23">
      <c r="A108" s="10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</row>
    <row r="109" customHeight="1" spans="1:23">
      <c r="A109" s="10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 customHeight="1" spans="1:23">
      <c r="A110" s="10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</row>
    <row r="111" customHeight="1" spans="1:23">
      <c r="A111" s="10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</row>
    <row r="112" customHeight="1" spans="1:23">
      <c r="A112" s="10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 customHeight="1" spans="1:23">
      <c r="A113" s="10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</row>
    <row r="114" customHeight="1" spans="1:23">
      <c r="A114" s="10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</row>
    <row r="115" customHeight="1" spans="1:23">
      <c r="A115" s="10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</row>
    <row r="116" customHeight="1" spans="1:23">
      <c r="A116" s="10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</row>
    <row r="117" customHeight="1" spans="1:23">
      <c r="A117" s="10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</row>
    <row r="118" customHeight="1" spans="1:23">
      <c r="A118" s="10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 customHeight="1" spans="1:23">
      <c r="A119" s="10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</row>
    <row r="120" customHeight="1" spans="1:23">
      <c r="A120" s="10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</row>
    <row r="121" customHeight="1" spans="1:23">
      <c r="A121" s="10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</row>
    <row r="122" customHeight="1" spans="1:23">
      <c r="A122" s="10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</row>
    <row r="123" customHeight="1" spans="1:23">
      <c r="A123" s="10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</row>
    <row r="124" customHeight="1" spans="1:23">
      <c r="A124" s="10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</row>
    <row r="125" customHeight="1" spans="1:23">
      <c r="A125" s="10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</row>
    <row r="126" customHeight="1" spans="1:23">
      <c r="A126" s="10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</row>
    <row r="127" customHeight="1" spans="1:23">
      <c r="A127" s="10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</row>
    <row r="128" customHeight="1" spans="1:23">
      <c r="A128" s="10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</row>
    <row r="129" customHeight="1" spans="1:23">
      <c r="A129" s="10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</row>
    <row r="130" customHeight="1" spans="1:23">
      <c r="A130" s="10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</row>
    <row r="131" customHeight="1" spans="1:23">
      <c r="A131" s="10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</row>
    <row r="132" customHeight="1" spans="1:23">
      <c r="A132" s="10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</row>
    <row r="133" customHeight="1" spans="1:23">
      <c r="A133" s="10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</row>
    <row r="134" customHeight="1" spans="2:23"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</row>
    <row r="135" customHeight="1" spans="2:23"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</row>
    <row r="136" customHeight="1" spans="2:23"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</row>
    <row r="137" customHeight="1" spans="2:23"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</row>
    <row r="138" customHeight="1" spans="2:23"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</row>
    <row r="139" customHeight="1" spans="2:23"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</row>
    <row r="140" customHeight="1" spans="2:23"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</row>
    <row r="141" customHeight="1" spans="2:23"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</row>
    <row r="142" customHeight="1" spans="2:23"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</row>
    <row r="143" customHeight="1" spans="2:23"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</row>
    <row r="144" customHeight="1" spans="2:23"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</row>
    <row r="145" customHeight="1" spans="2:23"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</row>
    <row r="146" customHeight="1" spans="2:23"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</row>
    <row r="147" customHeight="1" spans="2:23"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</row>
    <row r="148" customHeight="1" spans="2:23"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</row>
    <row r="149" customHeight="1" spans="2:23"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</row>
    <row r="150" customHeight="1" spans="2:23"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</row>
    <row r="151" customHeight="1" spans="2:23"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</row>
    <row r="152" customHeight="1" spans="2:23"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</row>
    <row r="153" customHeight="1" spans="2:23"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</row>
    <row r="154" customHeight="1" spans="2:23"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</row>
    <row r="155" customHeight="1" spans="2:23"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</row>
    <row r="156" customHeight="1" spans="2:23"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</row>
    <row r="157" customHeight="1" spans="2:23"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</row>
    <row r="158" customHeight="1" spans="2:23"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</row>
    <row r="159" customHeight="1" spans="2:23"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</row>
    <row r="160" customHeight="1" spans="2:23"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</row>
    <row r="161" customHeight="1" spans="2:23"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</row>
    <row r="162" customHeight="1" spans="2:23"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</row>
    <row r="163" customHeight="1" spans="2:23"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</row>
    <row r="164" customHeight="1" spans="2:23"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</row>
    <row r="165" customHeight="1" spans="2:23"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</row>
    <row r="166" customHeight="1" spans="2:23"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</row>
    <row r="167" customHeight="1" spans="2:23"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</row>
    <row r="168" customHeight="1" spans="2:23"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</row>
    <row r="169" customHeight="1" spans="2:23"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</row>
    <row r="170" customHeight="1" spans="2:23"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</row>
    <row r="171" customHeight="1" spans="2:23"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</row>
    <row r="172" customHeight="1" spans="2:23"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</row>
    <row r="173" customHeight="1" spans="2:23"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</row>
    <row r="174" customHeight="1" spans="2:23"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</row>
    <row r="175" customHeight="1" spans="2:23"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</row>
    <row r="176" customHeight="1" spans="2:23"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</row>
    <row r="177" customHeight="1" spans="2:23"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</row>
    <row r="178" customHeight="1" spans="2:23"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</row>
    <row r="179" customHeight="1" spans="2:23"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</row>
    <row r="180" customHeight="1" spans="2:23"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</row>
    <row r="181" customHeight="1" spans="2:23"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</row>
    <row r="182" customHeight="1" spans="2:23"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</row>
    <row r="183" customHeight="1" spans="2:23"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</row>
    <row r="184" customHeight="1" spans="2:23"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</row>
    <row r="185" customHeight="1" spans="2:23"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</row>
    <row r="186" customHeight="1" spans="2:23"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</row>
    <row r="187" customHeight="1" spans="2:23"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</row>
    <row r="188" customHeight="1" spans="2:23"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</row>
    <row r="189" customHeight="1" spans="2:23"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</row>
    <row r="190" customHeight="1" spans="2:23"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</row>
    <row r="191" customHeight="1" spans="2:23"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</row>
    <row r="192" customHeight="1" spans="2:23"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</row>
    <row r="193" customHeight="1" spans="2:23"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</row>
    <row r="194" customHeight="1" spans="2:23"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</row>
    <row r="195" customHeight="1" spans="2:23"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</row>
    <row r="196" customHeight="1" spans="2:23"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</row>
    <row r="197" customHeight="1" spans="2:23"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</row>
    <row r="198" customHeight="1" spans="2:23"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</row>
    <row r="199" customHeight="1" spans="2:23"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</row>
    <row r="200" customHeight="1" spans="2:23"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</row>
    <row r="201" customHeight="1" spans="2:23"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</row>
    <row r="202" customHeight="1" spans="2:23"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</row>
    <row r="203" customHeight="1" spans="2:23"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</row>
    <row r="204" customHeight="1" spans="2:23"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</row>
    <row r="205" customHeight="1" spans="2:23"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</row>
    <row r="206" customHeight="1" spans="2:23"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</row>
    <row r="207" customHeight="1" spans="2:23"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</row>
    <row r="208" customHeight="1" spans="2:23"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</row>
    <row r="209" customHeight="1" spans="2:23"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</row>
    <row r="210" customHeight="1" spans="2:23"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</row>
    <row r="211" customHeight="1" spans="2:23"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</row>
    <row r="212" customHeight="1" spans="2:23"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</row>
    <row r="213" customHeight="1" spans="2:23"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</row>
    <row r="214" customHeight="1" spans="2:23"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</row>
    <row r="215" customHeight="1" spans="2:23"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</row>
    <row r="216" customHeight="1" spans="2:23"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</row>
    <row r="217" customHeight="1" spans="2:23"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</row>
    <row r="218" customHeight="1" spans="2:23"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</row>
    <row r="219" customHeight="1" spans="2:23"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</row>
    <row r="220" customHeight="1" spans="2:23"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</row>
    <row r="221" customHeight="1" spans="2:23"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</row>
    <row r="222" customHeight="1" spans="2:23"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</row>
    <row r="223" customHeight="1" spans="2:23"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</row>
    <row r="224" customHeight="1" spans="2:23"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</row>
    <row r="225" customHeight="1" spans="2:23"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</row>
    <row r="226" customHeight="1" spans="2:23"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</row>
    <row r="227" customHeight="1" spans="2:23"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</row>
    <row r="228" customHeight="1" spans="2:23"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</row>
    <row r="229" customHeight="1" spans="2:23"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</row>
    <row r="230" customHeight="1" spans="2:23"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</row>
    <row r="231" customHeight="1" spans="2:23"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</row>
    <row r="232" customHeight="1" spans="2:23"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</row>
    <row r="233" customHeight="1" spans="2:23"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</row>
    <row r="234" customHeight="1" spans="2:23"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</row>
    <row r="235" customHeight="1" spans="2:23"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</row>
    <row r="236" customHeight="1" spans="2:23"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</row>
    <row r="237" customHeight="1" spans="2:23"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</row>
    <row r="238" customHeight="1" spans="2:23"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</row>
    <row r="239" customHeight="1" spans="2:23"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</row>
    <row r="240" customHeight="1" spans="2:23"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</row>
    <row r="241" customHeight="1" spans="2:23"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</row>
    <row r="242" customHeight="1" spans="2:23"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</row>
    <row r="243" customHeight="1" spans="2:23"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</row>
    <row r="244" customHeight="1" spans="2:23"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</row>
    <row r="245" customHeight="1" spans="2:23"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</row>
    <row r="246" customHeight="1" spans="2:23"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</row>
    <row r="247" customHeight="1" spans="2:23"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</row>
    <row r="248" customHeight="1" spans="2:23"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</row>
    <row r="249" customHeight="1" spans="2:23"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</row>
    <row r="250" customHeight="1" spans="2:23"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</row>
    <row r="251" customHeight="1" spans="2:23"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</row>
    <row r="252" customHeight="1" spans="2:23"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</row>
    <row r="253" customHeight="1" spans="2:23"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</row>
    <row r="254" customHeight="1" spans="2:23"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</row>
    <row r="255" customHeight="1" spans="2:23"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</row>
    <row r="256" customHeight="1" spans="2:23"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</row>
    <row r="257" customHeight="1" spans="2:23"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</row>
    <row r="258" customHeight="1" spans="2:23"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</row>
    <row r="259" customHeight="1" spans="2:23"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</row>
    <row r="260" customHeight="1" spans="2:23"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</row>
    <row r="261" customHeight="1" spans="2:23"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</row>
    <row r="262" customHeight="1" spans="2:23"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</row>
    <row r="263" customHeight="1" spans="2:23"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</row>
    <row r="264" customHeight="1" spans="2:23"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</row>
    <row r="265" customHeight="1" spans="2:23"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</row>
    <row r="266" customHeight="1" spans="2:23"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</row>
    <row r="267" customHeight="1" spans="2:23"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</row>
    <row r="268" customHeight="1" spans="2:23"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</row>
    <row r="269" customHeight="1" spans="2:23"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</row>
    <row r="270" customHeight="1" spans="2:23"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</row>
    <row r="271" customHeight="1" spans="2:23"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</row>
    <row r="272" customHeight="1" spans="2:23"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</row>
    <row r="273" customHeight="1" spans="2:23"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</row>
    <row r="274" customHeight="1" spans="2:23"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</row>
    <row r="275" customHeight="1" spans="2:23"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</row>
    <row r="276" customHeight="1" spans="2:23"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</row>
    <row r="277" customHeight="1" spans="2:23"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</row>
    <row r="278" customHeight="1" spans="2:23"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</row>
    <row r="279" customHeight="1" spans="2:23"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</row>
    <row r="280" customHeight="1" spans="2:23"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</row>
    <row r="281" customHeight="1" spans="2:23"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</row>
    <row r="282" customHeight="1" spans="2:23"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</row>
    <row r="283" customHeight="1" spans="2:23"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</row>
    <row r="284" customHeight="1" spans="2:23"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</row>
    <row r="285" customHeight="1" spans="2:23"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</row>
    <row r="286" customHeight="1" spans="2:23"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</row>
    <row r="287" customHeight="1" spans="2:23"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</row>
    <row r="288" customHeight="1" spans="2:23"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</row>
    <row r="289" customHeight="1" spans="2:23"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</row>
    <row r="290" customHeight="1" spans="2:23"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</row>
    <row r="291" customHeight="1" spans="2:23"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</row>
    <row r="292" customHeight="1" spans="2:23"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</row>
    <row r="293" customHeight="1" spans="2:23"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</row>
    <row r="294" customHeight="1" spans="2:23"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</row>
    <row r="295" customHeight="1" spans="2:23"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</row>
    <row r="296" customHeight="1" spans="2:23"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</row>
    <row r="297" customHeight="1" spans="2:23"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</row>
    <row r="298" customHeight="1" spans="2:23"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</row>
    <row r="299" customHeight="1" spans="2:23"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</row>
    <row r="300" customHeight="1" spans="2:23"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</row>
    <row r="301" customHeight="1" spans="2:23"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</row>
    <row r="302" customHeight="1" spans="2:23"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</row>
    <row r="303" customHeight="1" spans="2:23"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</row>
    <row r="304" customHeight="1" spans="2:23"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</row>
    <row r="305" customHeight="1" spans="2:23"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</row>
    <row r="306" customHeight="1" spans="2:23"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</row>
    <row r="307" customHeight="1" spans="2:23"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</row>
    <row r="308" customHeight="1" spans="2:23"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</row>
    <row r="309" customHeight="1" spans="2:23"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</row>
    <row r="310" customHeight="1" spans="2:23"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</row>
    <row r="311" customHeight="1" spans="2:23"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</row>
    <row r="312" customHeight="1" spans="2:23"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</row>
    <row r="313" customHeight="1" spans="2:23"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</row>
    <row r="314" customHeight="1" spans="2:23"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</row>
    <row r="315" customHeight="1" spans="2:23"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</row>
    <row r="316" customHeight="1" spans="2:23"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</row>
    <row r="317" customHeight="1" spans="2:23"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</row>
    <row r="318" customHeight="1" spans="2:23"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</row>
    <row r="319" customHeight="1" spans="2:23"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</row>
    <row r="320" customHeight="1" spans="2:23"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</row>
    <row r="321" customHeight="1" spans="2:23"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</row>
    <row r="322" customHeight="1" spans="2:23"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</row>
    <row r="323" customHeight="1" spans="2:23"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</row>
    <row r="324" customHeight="1" spans="2:23"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</row>
    <row r="325" customHeight="1" spans="2:23"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</row>
    <row r="326" customHeight="1" spans="2:23"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</row>
    <row r="327" customHeight="1" spans="2:23"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</row>
    <row r="328" customHeight="1" spans="2:23"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</row>
    <row r="329" customHeight="1" spans="2:23"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</row>
    <row r="330" customHeight="1" spans="2:23"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</row>
    <row r="331" customHeight="1" spans="2:23"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</row>
    <row r="332" customHeight="1" spans="2:23"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</row>
    <row r="333" customHeight="1" spans="2:23"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</row>
    <row r="334" customHeight="1" spans="2:23"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</row>
    <row r="335" customHeight="1" spans="2:23"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</row>
    <row r="336" customHeight="1" spans="2:23"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</row>
    <row r="337" customHeight="1" spans="2:23"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</row>
    <row r="338" customHeight="1" spans="2:23"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</row>
    <row r="339" customHeight="1" spans="2:23"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</row>
    <row r="340" customHeight="1" spans="2:23"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</row>
    <row r="341" customHeight="1" spans="2:23"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</row>
    <row r="342" customHeight="1" spans="2:23"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</row>
    <row r="343" customHeight="1" spans="2:23"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</row>
    <row r="344" customHeight="1" spans="2:23"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</row>
    <row r="345" customHeight="1" spans="2:23"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</row>
    <row r="346" customHeight="1" spans="2:23"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</row>
    <row r="347" customHeight="1" spans="2:23"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</row>
    <row r="348" customHeight="1" spans="2:23"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</row>
    <row r="349" customHeight="1" spans="2:23"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</row>
    <row r="350" customHeight="1" spans="2:23"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</row>
    <row r="351" customHeight="1" spans="2:23"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</row>
    <row r="352" customHeight="1" spans="2:23"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</row>
    <row r="353" customHeight="1" spans="2:23"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</row>
    <row r="354" customHeight="1" spans="2:23"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</row>
    <row r="355" customHeight="1" spans="2:23"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</row>
    <row r="356" customHeight="1" spans="2:23"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</row>
    <row r="357" customHeight="1" spans="2:23"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</row>
    <row r="358" customHeight="1" spans="2:23"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</row>
    <row r="359" customHeight="1" spans="2:23"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</row>
    <row r="360" customHeight="1" spans="2:23"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</row>
    <row r="361" customHeight="1" spans="2:23"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</row>
    <row r="362" customHeight="1" spans="2:23"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</row>
    <row r="363" customHeight="1" spans="2:23"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</row>
    <row r="364" customHeight="1" spans="2:23"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</row>
    <row r="365" customHeight="1" spans="2:23"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</row>
    <row r="366" customHeight="1" spans="2:23"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</row>
    <row r="367" customHeight="1" spans="2:23"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</row>
    <row r="368" customHeight="1" spans="2:23"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</row>
    <row r="369" customHeight="1" spans="2:23"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</row>
    <row r="370" customHeight="1" spans="2:23"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</row>
    <row r="371" customHeight="1" spans="2:23"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</row>
    <row r="372" customHeight="1" spans="2:23"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</row>
    <row r="373" customHeight="1" spans="2:23"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</row>
    <row r="374" customHeight="1" spans="2:23"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</row>
    <row r="375" customHeight="1" spans="2:23"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</row>
    <row r="376" customHeight="1" spans="2:23"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</row>
    <row r="377" customHeight="1" spans="2:23"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</row>
    <row r="378" customHeight="1" spans="2:23"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</row>
    <row r="379" customHeight="1" spans="2:23"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</row>
    <row r="380" customHeight="1" spans="2:23"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</row>
    <row r="381" customHeight="1" spans="2:23"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</row>
    <row r="382" customHeight="1" spans="2:23"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</row>
    <row r="383" customHeight="1" spans="2:23"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</row>
    <row r="384" customHeight="1" spans="2:23"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</row>
    <row r="385" customHeight="1" spans="2:23"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</row>
    <row r="386" customHeight="1" spans="2:23"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</row>
    <row r="387" customHeight="1" spans="2:23"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</row>
    <row r="388" customHeight="1" spans="2:23"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</row>
    <row r="389" customHeight="1" spans="2:23"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</row>
    <row r="390" customHeight="1" spans="2:23"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</row>
    <row r="391" customHeight="1" spans="2:23"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</row>
    <row r="392" customHeight="1" spans="2:23"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</row>
    <row r="393" customHeight="1" spans="2:23"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</row>
    <row r="394" customHeight="1" spans="2:23"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</row>
    <row r="395" customHeight="1" spans="2:23"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</row>
    <row r="396" customHeight="1" spans="2:23"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</row>
    <row r="397" customHeight="1" spans="2:23"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</row>
    <row r="398" customHeight="1" spans="2:23"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</row>
    <row r="399" customHeight="1" spans="2:23"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</row>
    <row r="400" customHeight="1" spans="2:23"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</row>
    <row r="401" customHeight="1" spans="2:23"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</row>
    <row r="402" customHeight="1" spans="2:23"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</row>
    <row r="403" customHeight="1" spans="2:23"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</row>
    <row r="404" customHeight="1" spans="2:23"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</row>
    <row r="405" customHeight="1" spans="2:23"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</row>
    <row r="406" customHeight="1" spans="2:23"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</row>
    <row r="407" customHeight="1" spans="2:23"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</row>
    <row r="408" customHeight="1" spans="2:23"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</row>
    <row r="409" customHeight="1" spans="2:23"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</row>
    <row r="410" customHeight="1" spans="2:23"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</row>
    <row r="411" customHeight="1" spans="2:23"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</row>
    <row r="412" customHeight="1" spans="2:23"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</row>
    <row r="413" customHeight="1" spans="2:23"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</row>
    <row r="414" customHeight="1" spans="2:23"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</row>
    <row r="415" customHeight="1" spans="2:23"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</row>
    <row r="416" customHeight="1" spans="2:23"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</row>
    <row r="417" customHeight="1" spans="2:23"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</row>
    <row r="418" customHeight="1" spans="2:23"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</row>
    <row r="419" customHeight="1" spans="2:23"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</row>
    <row r="420" customHeight="1" spans="2:23"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</row>
    <row r="421" customHeight="1" spans="2:23"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</row>
    <row r="422" customHeight="1" spans="2:23"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</row>
    <row r="423" customHeight="1" spans="2:23"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</row>
    <row r="424" customHeight="1" spans="2:23"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</row>
    <row r="425" customHeight="1" spans="2:23"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</row>
    <row r="426" customHeight="1" spans="2:23"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</row>
    <row r="427" customHeight="1" spans="2:23"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</row>
    <row r="428" customHeight="1" spans="2:23"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</row>
    <row r="429" customHeight="1" spans="2:23"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</row>
    <row r="430" customHeight="1" spans="2:23"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</row>
    <row r="431" customHeight="1" spans="2:23"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</row>
    <row r="432" customHeight="1" spans="2:23"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</row>
    <row r="433" customHeight="1" spans="2:23"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</row>
    <row r="434" customHeight="1" spans="2:23"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</row>
    <row r="435" customHeight="1" spans="2:23"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</row>
    <row r="436" customHeight="1" spans="2:23"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</row>
    <row r="437" customHeight="1" spans="2:23"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</row>
    <row r="438" customHeight="1" spans="2:23"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</row>
    <row r="439" customHeight="1" spans="2:23"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</row>
    <row r="440" customHeight="1" spans="2:23"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</row>
    <row r="441" customHeight="1" spans="2:23"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</row>
    <row r="442" customHeight="1" spans="2:23"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</row>
    <row r="443" customHeight="1" spans="2:23"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</row>
    <row r="444" customHeight="1" spans="2:23"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</row>
    <row r="445" customHeight="1" spans="2:23"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</row>
    <row r="446" customHeight="1" spans="2:23"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</row>
    <row r="447" customHeight="1" spans="2:23"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</row>
    <row r="448" customHeight="1" spans="2:23"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</row>
    <row r="449" customHeight="1" spans="2:23"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</row>
    <row r="450" customHeight="1" spans="2:23"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</row>
    <row r="451" customHeight="1" spans="2:23"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</row>
    <row r="452" customHeight="1" spans="2:23"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</row>
    <row r="453" customHeight="1" spans="2:23"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</row>
    <row r="454" customHeight="1" spans="2:23"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</row>
    <row r="455" customHeight="1" spans="2:23"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</row>
    <row r="456" customHeight="1" spans="2:23"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</row>
    <row r="457" customHeight="1" spans="2:23"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</row>
    <row r="458" customHeight="1" spans="2:23"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</row>
    <row r="459" customHeight="1" spans="2:23"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</row>
    <row r="460" customHeight="1" spans="2:23"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</row>
    <row r="461" customHeight="1" spans="2:23"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</row>
    <row r="462" customHeight="1" spans="2:23"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</row>
    <row r="463" customHeight="1" spans="2:23"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</row>
    <row r="464" customHeight="1" spans="2:23"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</row>
    <row r="465" customHeight="1" spans="2:23"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</row>
    <row r="466" customHeight="1" spans="2:23"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</row>
    <row r="467" customHeight="1" spans="2:23"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</row>
    <row r="468" customHeight="1" spans="2:23"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</row>
    <row r="469" customHeight="1" spans="2:23"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</row>
    <row r="470" customHeight="1" spans="2:23"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</row>
    <row r="471" customHeight="1" spans="2:23"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</row>
    <row r="472" customHeight="1" spans="2:23"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</row>
    <row r="473" customHeight="1" spans="2:23"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</row>
    <row r="474" customHeight="1" spans="2:23"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</row>
    <row r="475" customHeight="1" spans="2:23"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</row>
    <row r="476" customHeight="1" spans="2:23"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</row>
    <row r="477" customHeight="1" spans="2:23"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</row>
    <row r="478" customHeight="1" spans="2:23"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</row>
    <row r="479" customHeight="1" spans="2:23"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</row>
    <row r="480" customHeight="1" spans="2:23"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</row>
    <row r="481" customHeight="1" spans="2:23"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</row>
    <row r="482" customHeight="1" spans="2:23"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</row>
    <row r="483" customHeight="1" spans="2:23"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</row>
    <row r="484" customHeight="1" spans="2:23"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</row>
    <row r="485" customHeight="1" spans="2:23"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</row>
    <row r="486" customHeight="1" spans="2:23"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</row>
    <row r="487" customHeight="1" spans="2:23"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</row>
    <row r="488" customHeight="1" spans="2:23"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</row>
    <row r="489" customHeight="1" spans="2:23"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</row>
    <row r="490" customHeight="1" spans="2:23"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</row>
    <row r="491" customHeight="1" spans="2:23"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</row>
    <row r="492" customHeight="1" spans="2:23"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</row>
    <row r="493" customHeight="1" spans="2:23"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</row>
    <row r="494" customHeight="1" spans="2:23"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</row>
    <row r="495" customHeight="1" spans="2:23"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</row>
    <row r="496" customHeight="1" spans="2:23"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</row>
    <row r="497" customHeight="1" spans="2:23"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</row>
    <row r="498" customHeight="1" spans="2:23"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</row>
    <row r="499" customHeight="1" spans="2:23"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</row>
    <row r="500" customHeight="1" spans="2:23"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</row>
    <row r="501" customHeight="1" spans="2:23"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</row>
    <row r="502" customHeight="1" spans="2:23"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</row>
    <row r="503" customHeight="1" spans="2:23"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</row>
    <row r="504" customHeight="1" spans="2:23"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</row>
    <row r="505" customHeight="1" spans="2:23"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</row>
    <row r="506" customHeight="1" spans="2:23"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</row>
    <row r="507" customHeight="1" spans="2:23"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</row>
    <row r="508" customHeight="1" spans="2:23"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</row>
    <row r="509" customHeight="1" spans="2:23"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</row>
    <row r="510" customHeight="1" spans="2:23"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</row>
    <row r="511" customHeight="1" spans="2:23"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</row>
    <row r="512" customHeight="1" spans="2:23"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</row>
    <row r="513" customHeight="1" spans="2:23"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</row>
    <row r="514" customHeight="1" spans="2:23"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</row>
    <row r="515" customHeight="1" spans="2:23"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</row>
    <row r="516" customHeight="1" spans="2:23"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</row>
    <row r="517" customHeight="1" spans="2:23"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</row>
    <row r="518" customHeight="1" spans="2:23"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</row>
    <row r="519" customHeight="1" spans="2:23"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</row>
    <row r="520" customHeight="1" spans="2:23"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</row>
    <row r="521" customHeight="1" spans="2:23"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</row>
    <row r="522" customHeight="1" spans="2:23"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</row>
    <row r="523" customHeight="1" spans="2:23"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</row>
    <row r="524" customHeight="1" spans="2:23"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</row>
    <row r="525" customHeight="1" spans="2:23"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</row>
    <row r="526" customHeight="1" spans="2:23"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</row>
    <row r="527" customHeight="1" spans="2:23"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</row>
    <row r="528" customHeight="1" spans="2:23"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</row>
    <row r="529" customHeight="1" spans="2:23"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</row>
    <row r="530" customHeight="1" spans="2:23"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</row>
    <row r="531" customHeight="1" spans="2:23"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</row>
    <row r="532" customHeight="1" spans="2:23"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</row>
    <row r="533" customHeight="1" spans="2:23"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</row>
    <row r="534" customHeight="1" spans="2:23"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</row>
    <row r="535" customHeight="1" spans="2:23"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</row>
    <row r="536" customHeight="1" spans="2:23"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</row>
    <row r="537" customHeight="1" spans="2:23"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</row>
    <row r="538" customHeight="1" spans="2:23"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</row>
    <row r="539" customHeight="1" spans="2:23"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</row>
    <row r="540" customHeight="1" spans="2:23"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</row>
    <row r="541" customHeight="1" spans="2:23"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</row>
    <row r="542" customHeight="1" spans="2:23"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</row>
    <row r="543" customHeight="1" spans="2:23"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</row>
    <row r="544" customHeight="1" spans="2:23"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</row>
    <row r="545" customHeight="1" spans="2:23"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</row>
    <row r="546" customHeight="1" spans="2:23"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</row>
    <row r="547" customHeight="1" spans="2:23"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</row>
    <row r="548" customHeight="1" spans="2:23"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</row>
    <row r="549" customHeight="1" spans="2:23"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</row>
    <row r="550" customHeight="1" spans="2:23"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</row>
    <row r="551" customHeight="1" spans="2:23"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</row>
    <row r="552" customHeight="1" spans="2:23"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</row>
    <row r="553" customHeight="1" spans="2:23"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</row>
    <row r="554" customHeight="1" spans="2:23"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</row>
    <row r="555" customHeight="1" spans="2:23"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</row>
    <row r="556" customHeight="1" spans="2:23"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</row>
    <row r="557" customHeight="1" spans="2:23"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</row>
    <row r="558" customHeight="1" spans="2:23"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</row>
    <row r="559" customHeight="1" spans="2:23"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</row>
    <row r="560" customHeight="1" spans="2:23"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</row>
    <row r="561" customHeight="1" spans="2:23"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</row>
    <row r="562" customHeight="1" spans="2:23"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</row>
    <row r="563" customHeight="1" spans="2:23"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</row>
    <row r="564" customHeight="1" spans="2:23"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</row>
    <row r="565" customHeight="1" spans="2:23"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</row>
    <row r="566" customHeight="1" spans="2:23"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</row>
    <row r="567" customHeight="1" spans="2:23"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</row>
    <row r="568" customHeight="1" spans="2:23"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</row>
    <row r="569" customHeight="1" spans="2:23"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</row>
    <row r="570" customHeight="1" spans="2:23"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</row>
    <row r="571" customHeight="1" spans="2:23"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</row>
    <row r="572" customHeight="1" spans="2:23"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</row>
    <row r="573" customHeight="1" spans="2:23"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</row>
    <row r="574" customHeight="1" spans="2:23"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</row>
    <row r="575" customHeight="1" spans="2:23"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</row>
    <row r="576" customHeight="1" spans="2:23"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</row>
    <row r="577" customHeight="1" spans="2:23"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</row>
    <row r="578" customHeight="1" spans="2:23"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</row>
    <row r="579" customHeight="1" spans="2:23"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</row>
    <row r="580" customHeight="1" spans="2:23"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</row>
    <row r="581" customHeight="1" spans="2:23"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</row>
    <row r="582" customHeight="1" spans="2:23"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</row>
    <row r="583" customHeight="1" spans="2:23"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</row>
    <row r="584" customHeight="1" spans="2:23"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</row>
    <row r="585" customHeight="1" spans="2:23"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</row>
    <row r="586" customHeight="1" spans="2:23"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</row>
    <row r="587" customHeight="1" spans="2:23"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</row>
    <row r="588" customHeight="1" spans="2:23"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</row>
    <row r="589" customHeight="1" spans="2:23"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</row>
    <row r="590" customHeight="1" spans="2:23"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</row>
    <row r="591" customHeight="1" spans="2:23"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</row>
    <row r="592" customHeight="1" spans="2:23"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</row>
    <row r="593" customHeight="1" spans="2:23"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</row>
    <row r="594" customHeight="1" spans="2:23"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</row>
    <row r="595" customHeight="1" spans="2:23"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</row>
    <row r="596" customHeight="1" spans="2:23"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</row>
    <row r="597" customHeight="1" spans="2:23"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</row>
    <row r="598" customHeight="1" spans="2:23"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</row>
    <row r="599" customHeight="1" spans="2:23"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</row>
    <row r="600" customHeight="1" spans="2:23"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</row>
    <row r="601" customHeight="1" spans="2:23"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</row>
    <row r="602" customHeight="1" spans="2:23"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</row>
    <row r="603" customHeight="1" spans="2:23"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</row>
    <row r="604" customHeight="1" spans="2:23"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</row>
    <row r="605" customHeight="1" spans="2:23"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</row>
    <row r="606" customHeight="1" spans="2:23"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</row>
    <row r="607" customHeight="1" spans="2:23"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</row>
    <row r="608" customHeight="1" spans="2:23"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</row>
    <row r="609" customHeight="1" spans="2:23"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</row>
    <row r="610" customHeight="1" spans="2:23"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</row>
    <row r="611" customHeight="1" spans="2:23"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</row>
    <row r="612" customHeight="1" spans="2:23"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</row>
    <row r="613" customHeight="1" spans="2:23"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</row>
    <row r="614" customHeight="1" spans="2:23"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</row>
    <row r="615" customHeight="1" spans="2:23"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</row>
    <row r="616" customHeight="1" spans="2:23"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</row>
    <row r="617" customHeight="1" spans="2:23"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</row>
    <row r="618" customHeight="1" spans="2:23"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</row>
    <row r="619" customHeight="1" spans="2:23"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</row>
    <row r="620" customHeight="1" spans="2:23"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</row>
    <row r="621" customHeight="1" spans="2:23"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</row>
    <row r="622" customHeight="1" spans="2:23"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</row>
    <row r="623" customHeight="1" spans="2:23"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</row>
    <row r="624" customHeight="1" spans="2:23"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</row>
    <row r="625" customHeight="1" spans="2:23"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</row>
    <row r="626" customHeight="1" spans="2:23"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</row>
    <row r="627" customHeight="1" spans="2:23"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</row>
    <row r="628" customHeight="1" spans="2:23"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</row>
    <row r="629" customHeight="1" spans="2:23"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</row>
    <row r="630" customHeight="1" spans="2:23"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</row>
    <row r="631" customHeight="1" spans="2:23"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</row>
    <row r="632" customHeight="1" spans="2:23"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</row>
    <row r="633" customHeight="1" spans="2:23"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</row>
    <row r="634" customHeight="1" spans="2:23"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</row>
    <row r="635" customHeight="1" spans="2:23"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</row>
    <row r="636" customHeight="1" spans="2:23"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</row>
    <row r="637" customHeight="1" spans="2:23"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</row>
    <row r="638" customHeight="1" spans="2:23"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</row>
    <row r="639" customHeight="1" spans="2:23"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</row>
    <row r="640" customHeight="1" spans="2:23"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</row>
    <row r="641" customHeight="1" spans="2:23"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</row>
    <row r="642" customHeight="1" spans="2:23"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</row>
    <row r="643" customHeight="1" spans="2:23"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</row>
    <row r="644" customHeight="1" spans="2:23"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</row>
    <row r="645" customHeight="1" spans="2:23"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</row>
    <row r="646" customHeight="1" spans="2:23"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</row>
    <row r="647" customHeight="1" spans="2:23"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</row>
    <row r="648" customHeight="1" spans="2:23"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</row>
    <row r="649" customHeight="1" spans="2:23"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</row>
    <row r="650" customHeight="1" spans="2:23"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</row>
    <row r="651" customHeight="1" spans="2:23"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</row>
    <row r="652" customHeight="1" spans="2:23"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</row>
    <row r="653" customHeight="1" spans="2:23"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</row>
    <row r="654" customHeight="1" spans="2:23"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</row>
    <row r="655" customHeight="1" spans="2:23"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</row>
    <row r="656" customHeight="1" spans="2:23"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</row>
    <row r="657" customHeight="1" spans="2:23"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</row>
    <row r="658" customHeight="1" spans="2:23"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</row>
    <row r="659" customHeight="1" spans="2:23"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</row>
    <row r="660" customHeight="1" spans="2:23"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</row>
    <row r="661" customHeight="1" spans="2:23"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</row>
    <row r="662" customHeight="1" spans="2:23"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</row>
    <row r="663" customHeight="1" spans="2:23"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</row>
    <row r="664" customHeight="1" spans="2:23"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</row>
    <row r="665" customHeight="1" spans="2:23"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</row>
    <row r="666" customHeight="1" spans="2:23"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</row>
    <row r="667" customHeight="1" spans="2:23"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</row>
    <row r="668" customHeight="1" spans="2:23"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</row>
    <row r="669" customHeight="1" spans="2:23"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</row>
    <row r="670" customHeight="1" spans="2:23"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</row>
    <row r="671" customHeight="1" spans="2:23"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</row>
    <row r="672" customHeight="1" spans="2:23"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</row>
    <row r="673" customHeight="1" spans="2:23"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</row>
    <row r="674" customHeight="1" spans="2:23"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</row>
    <row r="675" customHeight="1" spans="2:23"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</row>
    <row r="676" customHeight="1" spans="2:23"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</row>
    <row r="677" customHeight="1" spans="2:23"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</row>
    <row r="678" customHeight="1" spans="2:23"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</row>
    <row r="679" customHeight="1" spans="2:23"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</row>
    <row r="680" customHeight="1" spans="2:23"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</row>
    <row r="681" customHeight="1" spans="2:23"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</row>
    <row r="682" customHeight="1" spans="2:23"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</row>
    <row r="683" customHeight="1" spans="2:23"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</row>
    <row r="684" customHeight="1" spans="2:23"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</row>
    <row r="685" customHeight="1" spans="2:23"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</row>
    <row r="686" customHeight="1" spans="2:23"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</row>
    <row r="687" customHeight="1" spans="2:23"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</row>
    <row r="688" customHeight="1" spans="2:23"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</row>
    <row r="689" customHeight="1" spans="2:23"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</row>
    <row r="690" customHeight="1" spans="2:23"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</row>
    <row r="691" customHeight="1" spans="2:23"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</row>
    <row r="692" customHeight="1" spans="2:23"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</row>
    <row r="693" customHeight="1" spans="2:23"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</row>
    <row r="694" customHeight="1" spans="2:23"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</row>
    <row r="695" customHeight="1" spans="2:23"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</row>
    <row r="696" customHeight="1" spans="2:23"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</row>
    <row r="697" customHeight="1" spans="2:23"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</row>
    <row r="698" customHeight="1" spans="2:23"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</row>
    <row r="699" customHeight="1" spans="2:23"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</row>
    <row r="700" customHeight="1" spans="2:23"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</row>
    <row r="701" customHeight="1" spans="2:23"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</row>
    <row r="702" customHeight="1" spans="2:23"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</row>
    <row r="703" customHeight="1" spans="2:23"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</row>
    <row r="704" customHeight="1" spans="2:23"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</row>
    <row r="705" customHeight="1" spans="2:23"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</row>
    <row r="706" customHeight="1" spans="2:23"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</row>
    <row r="707" customHeight="1" spans="2:23"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</row>
    <row r="708" customHeight="1" spans="2:23"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</row>
    <row r="709" customHeight="1" spans="2:23"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</row>
    <row r="710" customHeight="1" spans="2:23"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</row>
    <row r="711" customHeight="1" spans="2:23"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</row>
    <row r="712" customHeight="1" spans="2:23"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</row>
    <row r="713" customHeight="1" spans="2:23"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</row>
    <row r="714" customHeight="1" spans="2:23"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</row>
    <row r="715" customHeight="1" spans="2:23"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</row>
    <row r="716" customHeight="1" spans="2:23"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</row>
    <row r="717" customHeight="1" spans="2:23"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</row>
    <row r="718" customHeight="1" spans="2:23"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</row>
    <row r="719" customHeight="1" spans="2:23"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</row>
    <row r="720" customHeight="1" spans="2:23"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</row>
    <row r="721" customHeight="1" spans="2:23"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</row>
    <row r="722" customHeight="1" spans="2:23"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</row>
    <row r="723" customHeight="1" spans="2:23"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</row>
    <row r="724" customHeight="1" spans="2:23"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</row>
    <row r="725" customHeight="1" spans="2:23"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</row>
    <row r="726" customHeight="1" spans="2:23"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</row>
    <row r="727" customHeight="1" spans="2:23"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</row>
    <row r="728" customHeight="1" spans="2:23"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</row>
    <row r="729" customHeight="1" spans="2:23"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</row>
    <row r="730" customHeight="1" spans="2:23"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</row>
    <row r="731" customHeight="1" spans="2:23"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</row>
    <row r="732" customHeight="1" spans="2:23"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</row>
    <row r="733" customHeight="1" spans="2:23"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</row>
    <row r="734" customHeight="1" spans="2:23"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</row>
    <row r="735" customHeight="1" spans="2:23"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</row>
    <row r="736" customHeight="1" spans="2:23"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</row>
    <row r="737" customHeight="1" spans="2:23"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</row>
    <row r="738" customHeight="1" spans="2:23"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</row>
    <row r="739" customHeight="1" spans="2:23"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</row>
    <row r="740" customHeight="1" spans="2:23"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</row>
    <row r="741" customHeight="1" spans="2:23"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</row>
    <row r="742" customHeight="1" spans="2:23"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</row>
    <row r="743" customHeight="1" spans="2:23"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</row>
    <row r="744" customHeight="1" spans="2:23"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</row>
    <row r="745" customHeight="1" spans="2:23"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</row>
    <row r="746" customHeight="1" spans="2:23"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</row>
    <row r="747" customHeight="1" spans="2:23"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</row>
    <row r="748" customHeight="1" spans="2:23"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</row>
    <row r="749" customHeight="1" spans="2:23"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</row>
    <row r="750" customHeight="1" spans="2:23"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</row>
    <row r="751" customHeight="1" spans="2:23"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</row>
    <row r="752" customHeight="1" spans="2:23"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</row>
    <row r="753" customHeight="1" spans="2:23"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</row>
    <row r="754" customHeight="1" spans="2:23"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</row>
    <row r="755" customHeight="1" spans="2:23"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</row>
    <row r="756" customHeight="1" spans="2:23"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</row>
    <row r="757" customHeight="1" spans="2:23"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</row>
    <row r="758" customHeight="1" spans="2:23"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</row>
    <row r="759" customHeight="1" spans="2:23"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</row>
    <row r="760" customHeight="1" spans="2:23"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</row>
    <row r="761" customHeight="1" spans="2:23"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</row>
    <row r="762" customHeight="1" spans="2:23"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</row>
    <row r="763" customHeight="1" spans="2:23"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</row>
    <row r="764" customHeight="1" spans="2:23"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</row>
    <row r="765" customHeight="1" spans="2:23"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</row>
    <row r="766" customHeight="1" spans="2:23"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</row>
    <row r="767" customHeight="1" spans="2:23"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</row>
    <row r="768" customHeight="1" spans="2:23"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</row>
    <row r="769" customHeight="1" spans="2:23"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</row>
    <row r="770" customHeight="1" spans="2:23"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</row>
    <row r="771" customHeight="1" spans="2:23"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</row>
    <row r="772" customHeight="1" spans="2:23"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</row>
    <row r="773" customHeight="1" spans="2:23"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</row>
    <row r="774" customHeight="1" spans="2:23"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</row>
    <row r="775" customHeight="1" spans="2:23"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</row>
    <row r="776" customHeight="1" spans="2:23"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</row>
    <row r="777" customHeight="1" spans="2:23"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</row>
    <row r="778" customHeight="1" spans="2:23"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</row>
    <row r="779" customHeight="1" spans="2:23"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</row>
    <row r="780" customHeight="1" spans="2:23"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</row>
    <row r="781" customHeight="1" spans="2:23"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</row>
    <row r="782" customHeight="1" spans="2:23"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</row>
    <row r="783" customHeight="1" spans="2:23"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</row>
    <row r="784" customHeight="1" spans="2:23"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</row>
    <row r="785" customHeight="1" spans="2:23"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</row>
    <row r="786" customHeight="1" spans="2:23"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</row>
    <row r="787" customHeight="1" spans="2:23"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</row>
    <row r="788" customHeight="1" spans="2:23"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</row>
    <row r="789" customHeight="1" spans="2:23"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</row>
    <row r="790" customHeight="1" spans="2:23"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</row>
    <row r="791" customHeight="1" spans="2:23"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</row>
    <row r="792" customHeight="1" spans="2:23"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</row>
    <row r="793" customHeight="1" spans="2:23"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</row>
    <row r="794" customHeight="1" spans="2:23"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</row>
    <row r="795" customHeight="1" spans="2:23"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</row>
    <row r="796" customHeight="1" spans="2:23"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</row>
    <row r="797" customHeight="1" spans="2:23"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</row>
    <row r="798" customHeight="1" spans="2:23"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</row>
    <row r="799" customHeight="1" spans="2:23"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</row>
    <row r="800" customHeight="1" spans="2:23"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</row>
    <row r="801" customHeight="1" spans="2:23"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</row>
    <row r="802" customHeight="1" spans="2:23"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</row>
    <row r="803" customHeight="1" spans="2:23"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</row>
    <row r="804" customHeight="1" spans="2:23"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</row>
    <row r="805" customHeight="1" spans="2:23"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</row>
    <row r="806" customHeight="1" spans="2:23"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</row>
    <row r="807" customHeight="1" spans="2:23"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</row>
    <row r="808" customHeight="1" spans="2:23"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</row>
    <row r="809" customHeight="1" spans="2:23"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</row>
    <row r="810" customHeight="1" spans="2:23"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</row>
    <row r="811" customHeight="1" spans="2:23"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</row>
    <row r="812" customHeight="1" spans="2:23"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</row>
    <row r="813" customHeight="1" spans="2:23"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</row>
    <row r="814" customHeight="1" spans="2:23"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</row>
    <row r="815" customHeight="1" spans="2:23"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</row>
    <row r="816" customHeight="1" spans="2:23"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</row>
    <row r="817" customHeight="1" spans="2:23"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</row>
    <row r="818" customHeight="1" spans="2:23"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</row>
    <row r="819" customHeight="1" spans="2:23"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</row>
    <row r="820" customHeight="1" spans="2:23"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</row>
    <row r="821" customHeight="1" spans="2:23"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</row>
    <row r="822" customHeight="1" spans="2:23"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</row>
    <row r="823" customHeight="1" spans="2:23"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</row>
    <row r="824" customHeight="1" spans="2:23"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</row>
    <row r="825" customHeight="1" spans="2:23"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</row>
    <row r="826" customHeight="1" spans="2:23"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</row>
    <row r="827" customHeight="1" spans="2:23"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</row>
    <row r="828" customHeight="1" spans="2:23"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</row>
    <row r="829" customHeight="1" spans="2:23"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</row>
    <row r="830" customHeight="1" spans="2:23"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</row>
    <row r="831" customHeight="1" spans="2:23"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</row>
    <row r="832" customHeight="1" spans="2:23"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</row>
    <row r="833" customHeight="1" spans="2:23"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</row>
    <row r="834" customHeight="1" spans="2:23"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</row>
    <row r="835" customHeight="1" spans="2:23"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</row>
    <row r="836" customHeight="1" spans="2:23"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</row>
    <row r="837" customHeight="1" spans="2:23"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</row>
    <row r="838" customHeight="1" spans="2:23"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</row>
    <row r="839" customHeight="1" spans="2:23"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</row>
    <row r="840" customHeight="1" spans="2:23"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</row>
    <row r="841" customHeight="1" spans="2:23"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</row>
    <row r="842" customHeight="1" spans="2:23"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</row>
    <row r="843" customHeight="1" spans="2:23"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</row>
    <row r="844" customHeight="1" spans="2:23"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</row>
    <row r="845" customHeight="1" spans="2:23"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</row>
    <row r="846" customHeight="1" spans="2:23"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</row>
    <row r="847" customHeight="1" spans="2:23"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</row>
    <row r="848" customHeight="1" spans="2:23"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</row>
    <row r="849" customHeight="1" spans="2:23"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</row>
    <row r="850" customHeight="1" spans="2:23"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</row>
    <row r="851" customHeight="1" spans="2:23"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</row>
    <row r="852" customHeight="1" spans="2:23"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</row>
    <row r="853" customHeight="1" spans="2:23"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</row>
    <row r="854" customHeight="1" spans="2:23"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</row>
    <row r="855" customHeight="1" spans="2:23"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</row>
    <row r="856" customHeight="1" spans="2:23"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</row>
    <row r="857" customHeight="1" spans="2:23"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</row>
    <row r="858" customHeight="1" spans="2:23"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</row>
    <row r="859" customHeight="1" spans="2:23"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</row>
    <row r="860" customHeight="1" spans="2:23"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</row>
    <row r="861" customHeight="1" spans="2:23"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</row>
    <row r="862" customHeight="1" spans="2:23"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</row>
    <row r="863" customHeight="1" spans="2:23"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</row>
    <row r="864" customHeight="1" spans="2:23"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</row>
    <row r="865" customHeight="1" spans="2:23"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</row>
    <row r="866" customHeight="1" spans="2:23"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</row>
    <row r="867" customHeight="1" spans="2:23"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</row>
    <row r="868" customHeight="1" spans="2:23"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</row>
    <row r="869" customHeight="1" spans="2:23"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</row>
    <row r="870" customHeight="1" spans="2:23"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</row>
    <row r="871" customHeight="1" spans="2:23"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</row>
    <row r="872" customHeight="1" spans="2:23"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</row>
    <row r="873" customHeight="1" spans="2:23"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</row>
    <row r="874" customHeight="1" spans="2:23"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</row>
    <row r="875" customHeight="1" spans="2:23"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</row>
    <row r="876" customHeight="1" spans="2:23"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</row>
    <row r="877" customHeight="1" spans="2:23"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</row>
    <row r="878" customHeight="1" spans="2:23"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</row>
    <row r="879" customHeight="1" spans="2:23"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</row>
    <row r="880" customHeight="1" spans="2:23"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</row>
    <row r="881" customHeight="1" spans="2:23"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</row>
    <row r="882" customHeight="1" spans="2:23"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</row>
    <row r="883" customHeight="1" spans="2:23"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</row>
    <row r="884" customHeight="1" spans="2:23"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</row>
    <row r="885" customHeight="1" spans="2:23"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</row>
    <row r="886" customHeight="1" spans="2:23"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</row>
    <row r="887" customHeight="1" spans="2:23"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</row>
    <row r="888" customHeight="1" spans="2:23"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</row>
    <row r="889" customHeight="1" spans="2:23"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</row>
    <row r="890" customHeight="1" spans="2:23"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</row>
    <row r="891" customHeight="1" spans="2:23"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</row>
    <row r="892" customHeight="1" spans="2:23"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</row>
    <row r="893" customHeight="1" spans="2:23"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</row>
    <row r="894" customHeight="1" spans="2:23"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</row>
    <row r="895" customHeight="1" spans="2:23"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</row>
    <row r="896" customHeight="1" spans="2:23"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</row>
    <row r="897" customHeight="1" spans="2:23"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</row>
    <row r="898" customHeight="1" spans="2:23"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</row>
    <row r="899" customHeight="1" spans="2:23"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</row>
    <row r="900" customHeight="1" spans="2:23"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</row>
    <row r="901" customHeight="1" spans="2:23"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</row>
    <row r="902" customHeight="1" spans="2:23"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</row>
    <row r="903" customHeight="1" spans="2:23"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</row>
    <row r="904" customHeight="1" spans="2:23"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</row>
    <row r="905" customHeight="1" spans="2:23"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</row>
    <row r="906" customHeight="1" spans="2:23"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</row>
    <row r="907" customHeight="1" spans="2:23"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</row>
    <row r="908" customHeight="1" spans="2:23"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</row>
    <row r="909" customHeight="1" spans="2:23"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</row>
    <row r="910" customHeight="1" spans="2:23"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</row>
    <row r="911" customHeight="1" spans="2:23"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</row>
    <row r="912" customHeight="1" spans="2:23"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</row>
    <row r="913" customHeight="1" spans="2:23"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</row>
    <row r="914" customHeight="1" spans="2:23"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</row>
    <row r="915" customHeight="1" spans="2:23"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</row>
    <row r="916" customHeight="1" spans="2:23"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</row>
    <row r="917" customHeight="1" spans="2:23"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</row>
    <row r="918" customHeight="1" spans="2:23"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</row>
    <row r="919" customHeight="1" spans="2:23"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</row>
    <row r="920" customHeight="1" spans="2:23"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</row>
    <row r="921" customHeight="1" spans="2:23"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</row>
    <row r="922" customHeight="1" spans="2:23"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</row>
    <row r="923" customHeight="1" spans="2:23"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</row>
    <row r="924" customHeight="1" spans="2:23"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</row>
    <row r="925" customHeight="1" spans="2:23"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</row>
    <row r="926" customHeight="1" spans="2:23"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</row>
    <row r="927" customHeight="1" spans="2:23"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</row>
    <row r="928" customHeight="1" spans="2:23"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</row>
    <row r="929" customHeight="1" spans="2:23"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</row>
    <row r="930" customHeight="1" spans="2:23"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</row>
    <row r="931" customHeight="1" spans="2:23"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</row>
    <row r="932" customHeight="1" spans="2:23"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</row>
    <row r="933" customHeight="1" spans="2:23"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</row>
    <row r="934" customHeight="1" spans="2:23"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</row>
    <row r="935" customHeight="1" spans="2:23"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</row>
    <row r="936" customHeight="1" spans="2:23"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</row>
    <row r="937" customHeight="1" spans="2:23"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</row>
    <row r="938" customHeight="1" spans="2:23"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</row>
    <row r="939" customHeight="1" spans="2:23"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</row>
    <row r="940" customHeight="1" spans="2:23"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</row>
    <row r="941" customHeight="1" spans="2:23"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</row>
    <row r="942" customHeight="1" spans="2:23"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</row>
    <row r="943" customHeight="1" spans="2:23"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</row>
    <row r="944" customHeight="1" spans="2:23"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</row>
    <row r="945" customHeight="1" spans="2:23"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</row>
    <row r="946" customHeight="1" spans="2:23"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</row>
    <row r="947" customHeight="1" spans="2:23"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</row>
    <row r="948" customHeight="1" spans="2:23"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</row>
    <row r="949" customHeight="1" spans="2:23"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</row>
    <row r="950" customHeight="1" spans="2:23"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</row>
    <row r="951" customHeight="1" spans="2:23"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</row>
    <row r="952" customHeight="1" spans="2:23"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</row>
    <row r="953" customHeight="1" spans="2:23"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</row>
    <row r="954" customHeight="1" spans="2:23"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</row>
    <row r="955" customHeight="1" spans="2:23"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</row>
    <row r="956" customHeight="1" spans="2:23"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</row>
    <row r="957" customHeight="1" spans="2:23"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</row>
    <row r="958" customHeight="1" spans="2:23"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</row>
    <row r="959" customHeight="1" spans="2:23"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</row>
    <row r="960" customHeight="1" spans="2:23"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</row>
    <row r="961" customHeight="1" spans="2:23"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</row>
    <row r="962" customHeight="1" spans="2:23"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</row>
    <row r="963" customHeight="1" spans="2:23"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</row>
    <row r="964" customHeight="1" spans="2:23"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</row>
    <row r="965" customHeight="1" spans="2:23"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</row>
    <row r="966" customHeight="1" spans="2:23"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</row>
    <row r="967" customHeight="1" spans="2:23"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</row>
  </sheetData>
  <mergeCells count="41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G49:H49"/>
    <mergeCell ref="I49:J49"/>
    <mergeCell ref="K49:L49"/>
    <mergeCell ref="M49:N49"/>
    <mergeCell ref="O49:P49"/>
    <mergeCell ref="Q49:R49"/>
    <mergeCell ref="S49:T49"/>
    <mergeCell ref="G58:H58"/>
    <mergeCell ref="I58:J58"/>
    <mergeCell ref="K58:L58"/>
    <mergeCell ref="M58:N58"/>
    <mergeCell ref="O58:P58"/>
    <mergeCell ref="Q58:R58"/>
    <mergeCell ref="S58:T58"/>
    <mergeCell ref="G59:H59"/>
    <mergeCell ref="I59:J59"/>
    <mergeCell ref="K59:L59"/>
    <mergeCell ref="M59:N59"/>
    <mergeCell ref="O59:P59"/>
    <mergeCell ref="Q59:R59"/>
    <mergeCell ref="S59:T59"/>
    <mergeCell ref="A58:A60"/>
    <mergeCell ref="B58:B60"/>
    <mergeCell ref="C58:C60"/>
    <mergeCell ref="D58:D60"/>
    <mergeCell ref="E58:E60"/>
    <mergeCell ref="F58:F60"/>
  </mergeCells>
  <conditionalFormatting sqref="W4:W38">
    <cfRule type="cellIs" dxfId="0" priority="2" operator="notBetween">
      <formula>-0.2</formula>
      <formula>0.2</formula>
    </cfRule>
  </conditionalFormatting>
  <conditionalFormatting sqref="G4:T38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G50:T56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50"/>
  <sheetViews>
    <sheetView workbookViewId="0">
      <selection activeCell="A1" sqref="A1:A3"/>
    </sheetView>
  </sheetViews>
  <sheetFormatPr defaultColWidth="12.6272727272727" defaultRowHeight="15.75" customHeight="1"/>
  <cols>
    <col min="1" max="1" width="8.38181818181818" customWidth="1"/>
    <col min="2" max="2" width="23" customWidth="1"/>
    <col min="3" max="3" width="6.62727272727273" customWidth="1"/>
    <col min="4" max="4" width="10.5" customWidth="1"/>
    <col min="5" max="6" width="4.88181818181818" customWidth="1"/>
    <col min="7" max="7" width="7.62727272727273" customWidth="1"/>
    <col min="8" max="8" width="9.75454545454545" customWidth="1"/>
    <col min="9" max="9" width="7.62727272727273" customWidth="1"/>
    <col min="10" max="10" width="9.75454545454545" customWidth="1"/>
    <col min="11" max="11" width="9" customWidth="1"/>
    <col min="12" max="12" width="9.75454545454545" customWidth="1"/>
    <col min="13" max="13" width="7.62727272727273" customWidth="1"/>
    <col min="14" max="14" width="9.75454545454545" customWidth="1"/>
    <col min="15" max="15" width="7.62727272727273" customWidth="1"/>
    <col min="16" max="16" width="9.75454545454545" customWidth="1"/>
    <col min="17" max="17" width="7.62727272727273" customWidth="1"/>
    <col min="18" max="18" width="9.75454545454545" customWidth="1"/>
    <col min="19" max="19" width="7.62727272727273" customWidth="1"/>
    <col min="20" max="20" width="9.75454545454545" customWidth="1"/>
    <col min="21" max="34" width="7.88181818181818" customWidth="1"/>
  </cols>
  <sheetData>
    <row r="1" customHeight="1" spans="1:20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3">
        <v>45586</v>
      </c>
      <c r="H1" s="14"/>
      <c r="I1" s="23">
        <f>G1+1</f>
        <v>45587</v>
      </c>
      <c r="J1" s="14"/>
      <c r="K1" s="23">
        <f>I1+1</f>
        <v>45588</v>
      </c>
      <c r="L1" s="14"/>
      <c r="M1" s="23">
        <f>K1+1</f>
        <v>45589</v>
      </c>
      <c r="N1" s="14"/>
      <c r="O1" s="23">
        <f>M1+1</f>
        <v>45590</v>
      </c>
      <c r="P1" s="14"/>
      <c r="Q1" s="23">
        <f>O1+1</f>
        <v>45591</v>
      </c>
      <c r="R1" s="14"/>
      <c r="S1" s="23">
        <f>Q1+1</f>
        <v>45592</v>
      </c>
      <c r="T1" s="14"/>
    </row>
    <row r="2" customHeight="1" spans="1:20">
      <c r="A2" s="15"/>
      <c r="B2" s="15"/>
      <c r="C2" s="15"/>
      <c r="D2" s="15"/>
      <c r="E2" s="15"/>
      <c r="F2" s="15"/>
      <c r="G2" s="24" t="s">
        <v>6</v>
      </c>
      <c r="H2" s="14"/>
      <c r="I2" s="24" t="s">
        <v>7</v>
      </c>
      <c r="J2" s="14"/>
      <c r="K2" s="24" t="s">
        <v>8</v>
      </c>
      <c r="L2" s="14"/>
      <c r="M2" s="24" t="s">
        <v>9</v>
      </c>
      <c r="N2" s="14"/>
      <c r="O2" s="24" t="s">
        <v>10</v>
      </c>
      <c r="P2" s="14"/>
      <c r="Q2" s="24" t="s">
        <v>11</v>
      </c>
      <c r="R2" s="14"/>
      <c r="S2" s="24" t="s">
        <v>12</v>
      </c>
      <c r="T2" s="14"/>
    </row>
    <row r="3" customHeight="1" spans="1:20">
      <c r="A3" s="5"/>
      <c r="B3" s="5"/>
      <c r="C3" s="5"/>
      <c r="D3" s="5"/>
      <c r="E3" s="5"/>
      <c r="F3" s="5"/>
      <c r="G3" s="25" t="s">
        <v>13</v>
      </c>
      <c r="H3" s="25" t="s">
        <v>14</v>
      </c>
      <c r="I3" s="25" t="s">
        <v>13</v>
      </c>
      <c r="J3" s="25" t="s">
        <v>14</v>
      </c>
      <c r="K3" s="25" t="s">
        <v>13</v>
      </c>
      <c r="L3" s="25" t="s">
        <v>14</v>
      </c>
      <c r="M3" s="25" t="s">
        <v>13</v>
      </c>
      <c r="N3" s="25" t="s">
        <v>14</v>
      </c>
      <c r="O3" s="25" t="s">
        <v>13</v>
      </c>
      <c r="P3" s="25" t="s">
        <v>14</v>
      </c>
      <c r="Q3" s="25" t="s">
        <v>13</v>
      </c>
      <c r="R3" s="25" t="s">
        <v>14</v>
      </c>
      <c r="S3" s="25" t="s">
        <v>13</v>
      </c>
      <c r="T3" s="25" t="s">
        <v>14</v>
      </c>
    </row>
    <row r="4" customHeight="1" spans="1:20">
      <c r="A4" s="26">
        <v>10316545</v>
      </c>
      <c r="B4" s="27" t="s">
        <v>45</v>
      </c>
      <c r="C4" s="26" t="s">
        <v>20</v>
      </c>
      <c r="D4" s="26" t="s">
        <v>21</v>
      </c>
      <c r="E4" s="26" t="s">
        <v>22</v>
      </c>
      <c r="F4" s="27">
        <v>1</v>
      </c>
      <c r="G4" s="30">
        <v>0.375</v>
      </c>
      <c r="H4" s="34">
        <v>0.75</v>
      </c>
      <c r="I4" s="30">
        <v>0.375</v>
      </c>
      <c r="J4" s="34">
        <v>0.75</v>
      </c>
      <c r="K4" s="30">
        <v>0.375</v>
      </c>
      <c r="L4" s="34">
        <v>0.75</v>
      </c>
      <c r="M4" s="30">
        <v>0.375</v>
      </c>
      <c r="N4" s="34">
        <v>0.75</v>
      </c>
      <c r="O4" s="30">
        <v>0.375</v>
      </c>
      <c r="P4" s="34">
        <v>0.75</v>
      </c>
      <c r="Q4" s="33" t="s">
        <v>23</v>
      </c>
      <c r="R4" s="33" t="s">
        <v>23</v>
      </c>
      <c r="S4" s="33" t="s">
        <v>23</v>
      </c>
      <c r="T4" s="33" t="s">
        <v>23</v>
      </c>
    </row>
    <row r="5" customHeight="1" spans="1:20">
      <c r="A5" s="26">
        <v>10316530</v>
      </c>
      <c r="B5" s="27" t="s">
        <v>215</v>
      </c>
      <c r="C5" s="26" t="s">
        <v>20</v>
      </c>
      <c r="D5" s="26" t="s">
        <v>21</v>
      </c>
      <c r="E5" s="26" t="s">
        <v>22</v>
      </c>
      <c r="F5" s="27">
        <v>1</v>
      </c>
      <c r="G5" s="30">
        <v>0.375</v>
      </c>
      <c r="H5" s="34">
        <v>0.75</v>
      </c>
      <c r="I5" s="30">
        <v>0.375</v>
      </c>
      <c r="J5" s="34">
        <v>0.75</v>
      </c>
      <c r="K5" s="30">
        <v>0.375</v>
      </c>
      <c r="L5" s="34">
        <v>0.75</v>
      </c>
      <c r="M5" s="30">
        <v>0.375</v>
      </c>
      <c r="N5" s="34">
        <v>0.75</v>
      </c>
      <c r="O5" s="30">
        <v>0.375</v>
      </c>
      <c r="P5" s="34">
        <v>0.75</v>
      </c>
      <c r="Q5" s="33" t="s">
        <v>23</v>
      </c>
      <c r="R5" s="33" t="s">
        <v>23</v>
      </c>
      <c r="S5" s="33" t="s">
        <v>23</v>
      </c>
      <c r="T5" s="33" t="s">
        <v>23</v>
      </c>
    </row>
    <row r="6" customHeight="1" spans="1:20">
      <c r="A6" s="26">
        <v>10250963</v>
      </c>
      <c r="B6" s="27" t="s">
        <v>106</v>
      </c>
      <c r="C6" s="26" t="s">
        <v>20</v>
      </c>
      <c r="D6" s="26" t="s">
        <v>21</v>
      </c>
      <c r="E6" s="26" t="s">
        <v>22</v>
      </c>
      <c r="F6" s="27">
        <v>1</v>
      </c>
      <c r="G6" s="30">
        <v>0.375</v>
      </c>
      <c r="H6" s="31">
        <v>0.791666666666667</v>
      </c>
      <c r="I6" s="30">
        <v>0.375</v>
      </c>
      <c r="J6" s="31">
        <v>0.791666666666667</v>
      </c>
      <c r="K6" s="30">
        <v>0.375</v>
      </c>
      <c r="L6" s="31">
        <v>0.791666666666667</v>
      </c>
      <c r="M6" s="30">
        <v>0.375</v>
      </c>
      <c r="N6" s="31">
        <v>0.791666666666667</v>
      </c>
      <c r="O6" s="36" t="s">
        <v>23</v>
      </c>
      <c r="P6" s="36" t="s">
        <v>23</v>
      </c>
      <c r="Q6" s="36" t="s">
        <v>23</v>
      </c>
      <c r="R6" s="36" t="s">
        <v>23</v>
      </c>
      <c r="S6" s="40">
        <v>0.458333333333333</v>
      </c>
      <c r="T6" s="41">
        <v>0.666666666666667</v>
      </c>
    </row>
    <row r="7" customHeight="1" spans="1:20">
      <c r="A7" s="26">
        <v>10316538</v>
      </c>
      <c r="B7" s="27" t="s">
        <v>216</v>
      </c>
      <c r="C7" s="26" t="s">
        <v>20</v>
      </c>
      <c r="D7" s="26" t="s">
        <v>21</v>
      </c>
      <c r="E7" s="26" t="s">
        <v>22</v>
      </c>
      <c r="F7" s="27">
        <v>1</v>
      </c>
      <c r="G7" s="30">
        <v>0.375</v>
      </c>
      <c r="H7" s="34">
        <v>0.75</v>
      </c>
      <c r="I7" s="30">
        <v>0.375</v>
      </c>
      <c r="J7" s="34">
        <v>0.75</v>
      </c>
      <c r="K7" s="30">
        <v>0.375</v>
      </c>
      <c r="L7" s="34">
        <v>0.75</v>
      </c>
      <c r="M7" s="30">
        <v>0.375</v>
      </c>
      <c r="N7" s="34">
        <v>0.75</v>
      </c>
      <c r="O7" s="30">
        <v>0.375</v>
      </c>
      <c r="P7" s="34">
        <v>0.75</v>
      </c>
      <c r="Q7" s="33" t="s">
        <v>23</v>
      </c>
      <c r="R7" s="33" t="s">
        <v>23</v>
      </c>
      <c r="S7" s="33" t="s">
        <v>23</v>
      </c>
      <c r="T7" s="33" t="s">
        <v>23</v>
      </c>
    </row>
    <row r="8" customHeight="1" spans="1:20">
      <c r="A8" s="26">
        <v>10316546</v>
      </c>
      <c r="B8" s="27" t="s">
        <v>49</v>
      </c>
      <c r="C8" s="26" t="s">
        <v>20</v>
      </c>
      <c r="D8" s="26" t="s">
        <v>21</v>
      </c>
      <c r="E8" s="26" t="s">
        <v>22</v>
      </c>
      <c r="F8" s="27">
        <v>1</v>
      </c>
      <c r="G8" s="30">
        <v>0.375</v>
      </c>
      <c r="H8" s="34">
        <v>0.75</v>
      </c>
      <c r="I8" s="30">
        <v>0.375</v>
      </c>
      <c r="J8" s="34">
        <v>0.75</v>
      </c>
      <c r="K8" s="30">
        <v>0.375</v>
      </c>
      <c r="L8" s="34">
        <v>0.75</v>
      </c>
      <c r="M8" s="30">
        <v>0.375</v>
      </c>
      <c r="N8" s="34">
        <v>0.75</v>
      </c>
      <c r="O8" s="30">
        <v>0.375</v>
      </c>
      <c r="P8" s="34">
        <v>0.75</v>
      </c>
      <c r="Q8" s="33" t="s">
        <v>23</v>
      </c>
      <c r="R8" s="33" t="s">
        <v>23</v>
      </c>
      <c r="S8" s="33" t="s">
        <v>23</v>
      </c>
      <c r="T8" s="33" t="s">
        <v>23</v>
      </c>
    </row>
    <row r="9" customHeight="1" spans="1:20">
      <c r="A9" s="26">
        <v>10316554</v>
      </c>
      <c r="B9" s="27" t="s">
        <v>217</v>
      </c>
      <c r="C9" s="26" t="s">
        <v>20</v>
      </c>
      <c r="D9" s="26" t="s">
        <v>21</v>
      </c>
      <c r="E9" s="26" t="s">
        <v>35</v>
      </c>
      <c r="F9" s="27">
        <v>1</v>
      </c>
      <c r="G9" s="30">
        <v>0.375</v>
      </c>
      <c r="H9" s="32">
        <v>0.583333333333333</v>
      </c>
      <c r="I9" s="30">
        <v>0.375</v>
      </c>
      <c r="J9" s="32">
        <v>0.583333333333333</v>
      </c>
      <c r="K9" s="30">
        <v>0.375</v>
      </c>
      <c r="L9" s="32">
        <v>0.583333333333333</v>
      </c>
      <c r="M9" s="36" t="s">
        <v>23</v>
      </c>
      <c r="N9" s="36" t="s">
        <v>23</v>
      </c>
      <c r="O9" s="36" t="s">
        <v>23</v>
      </c>
      <c r="P9" s="36" t="s">
        <v>23</v>
      </c>
      <c r="Q9" s="40">
        <v>0.458333333333333</v>
      </c>
      <c r="R9" s="41">
        <v>0.666666666666667</v>
      </c>
      <c r="S9" s="40">
        <v>0.458333333333333</v>
      </c>
      <c r="T9" s="41">
        <v>0.666666666666667</v>
      </c>
    </row>
    <row r="10" customHeight="1" spans="1:20">
      <c r="A10" s="26">
        <v>10316549</v>
      </c>
      <c r="B10" s="27" t="s">
        <v>19</v>
      </c>
      <c r="C10" s="26" t="s">
        <v>20</v>
      </c>
      <c r="D10" s="26" t="s">
        <v>21</v>
      </c>
      <c r="E10" s="26" t="s">
        <v>22</v>
      </c>
      <c r="F10" s="27">
        <v>1</v>
      </c>
      <c r="G10" s="30">
        <v>0.375</v>
      </c>
      <c r="H10" s="31">
        <v>0.791666666666667</v>
      </c>
      <c r="I10" s="40">
        <v>0.458333333333333</v>
      </c>
      <c r="J10" s="43">
        <v>0.875</v>
      </c>
      <c r="K10" s="45">
        <v>0.458333333333333</v>
      </c>
      <c r="L10" s="43">
        <v>0.875</v>
      </c>
      <c r="M10" s="45">
        <v>0.458333333333333</v>
      </c>
      <c r="N10" s="43">
        <v>0.875</v>
      </c>
      <c r="O10" s="36" t="s">
        <v>23</v>
      </c>
      <c r="P10" s="36" t="s">
        <v>23</v>
      </c>
      <c r="Q10" s="36" t="s">
        <v>23</v>
      </c>
      <c r="R10" s="36" t="s">
        <v>23</v>
      </c>
      <c r="S10" s="40">
        <v>0.458333333333333</v>
      </c>
      <c r="T10" s="41">
        <v>0.666666666666667</v>
      </c>
    </row>
    <row r="11" customHeight="1" spans="1:20">
      <c r="A11" s="26">
        <v>10316540</v>
      </c>
      <c r="B11" s="27" t="s">
        <v>104</v>
      </c>
      <c r="C11" s="26" t="s">
        <v>20</v>
      </c>
      <c r="D11" s="26" t="s">
        <v>21</v>
      </c>
      <c r="E11" s="26" t="s">
        <v>22</v>
      </c>
      <c r="F11" s="27">
        <v>1</v>
      </c>
      <c r="G11" s="33" t="s">
        <v>23</v>
      </c>
      <c r="H11" s="33" t="s">
        <v>23</v>
      </c>
      <c r="I11" s="30">
        <v>0.375</v>
      </c>
      <c r="J11" s="31">
        <v>0.791666666666667</v>
      </c>
      <c r="K11" s="30">
        <v>0.375</v>
      </c>
      <c r="L11" s="31">
        <v>0.791666666666667</v>
      </c>
      <c r="M11" s="30">
        <v>0.375</v>
      </c>
      <c r="N11" s="31">
        <v>0.791666666666667</v>
      </c>
      <c r="O11" s="30">
        <v>0.375</v>
      </c>
      <c r="P11" s="31">
        <v>0.791666666666667</v>
      </c>
      <c r="Q11" s="40">
        <v>0.458333333333333</v>
      </c>
      <c r="R11" s="41">
        <v>0.666666666666667</v>
      </c>
      <c r="S11" s="33" t="s">
        <v>23</v>
      </c>
      <c r="T11" s="33" t="s">
        <v>23</v>
      </c>
    </row>
    <row r="12" customHeight="1" spans="1:20">
      <c r="A12" s="26">
        <v>10316543</v>
      </c>
      <c r="B12" s="27" t="s">
        <v>218</v>
      </c>
      <c r="C12" s="26" t="s">
        <v>20</v>
      </c>
      <c r="D12" s="26" t="s">
        <v>21</v>
      </c>
      <c r="E12" s="26" t="s">
        <v>22</v>
      </c>
      <c r="F12" s="27">
        <v>1</v>
      </c>
      <c r="G12" s="40">
        <v>0.458333333333333</v>
      </c>
      <c r="H12" s="43">
        <v>0.875</v>
      </c>
      <c r="I12" s="45">
        <v>0.458333333333333</v>
      </c>
      <c r="J12" s="43">
        <v>0.875</v>
      </c>
      <c r="K12" s="45">
        <v>0.458333333333333</v>
      </c>
      <c r="L12" s="43">
        <v>0.875</v>
      </c>
      <c r="M12" s="45">
        <v>0.458333333333333</v>
      </c>
      <c r="N12" s="43">
        <v>0.875</v>
      </c>
      <c r="O12" s="33" t="s">
        <v>23</v>
      </c>
      <c r="P12" s="33" t="s">
        <v>23</v>
      </c>
      <c r="Q12" s="40">
        <v>0.458333333333333</v>
      </c>
      <c r="R12" s="41">
        <v>0.666666666666667</v>
      </c>
      <c r="S12" s="33" t="s">
        <v>23</v>
      </c>
      <c r="T12" s="33" t="s">
        <v>23</v>
      </c>
    </row>
    <row r="13" customHeight="1" spans="1:20">
      <c r="A13" s="26">
        <v>10316551</v>
      </c>
      <c r="B13" s="27" t="s">
        <v>219</v>
      </c>
      <c r="C13" s="26" t="s">
        <v>20</v>
      </c>
      <c r="D13" s="26" t="s">
        <v>21</v>
      </c>
      <c r="E13" s="26" t="s">
        <v>22</v>
      </c>
      <c r="F13" s="27">
        <v>1</v>
      </c>
      <c r="G13" s="30">
        <v>0.375</v>
      </c>
      <c r="H13" s="34">
        <v>0.75</v>
      </c>
      <c r="I13" s="30">
        <v>0.375</v>
      </c>
      <c r="J13" s="34">
        <v>0.75</v>
      </c>
      <c r="K13" s="30">
        <v>0.375</v>
      </c>
      <c r="L13" s="34">
        <v>0.75</v>
      </c>
      <c r="M13" s="36" t="s">
        <v>23</v>
      </c>
      <c r="N13" s="36" t="s">
        <v>23</v>
      </c>
      <c r="O13" s="36" t="s">
        <v>23</v>
      </c>
      <c r="P13" s="36" t="s">
        <v>23</v>
      </c>
      <c r="Q13" s="40">
        <v>0.458333333333333</v>
      </c>
      <c r="R13" s="41">
        <v>0.666666666666667</v>
      </c>
      <c r="S13" s="40">
        <v>0.458333333333333</v>
      </c>
      <c r="T13" s="41">
        <v>0.666666666666667</v>
      </c>
    </row>
    <row r="14" customHeight="1" spans="1:20">
      <c r="A14" s="26">
        <v>10316618</v>
      </c>
      <c r="B14" s="27" t="s">
        <v>220</v>
      </c>
      <c r="C14" s="26" t="s">
        <v>20</v>
      </c>
      <c r="D14" s="26" t="s">
        <v>21</v>
      </c>
      <c r="E14" s="26" t="s">
        <v>22</v>
      </c>
      <c r="F14" s="27">
        <v>1</v>
      </c>
      <c r="G14" s="30">
        <v>0.375</v>
      </c>
      <c r="H14" s="31">
        <v>0.791666666666667</v>
      </c>
      <c r="I14" s="30">
        <v>0.375</v>
      </c>
      <c r="J14" s="31">
        <v>0.791666666666667</v>
      </c>
      <c r="K14" s="30">
        <v>0.375</v>
      </c>
      <c r="L14" s="31">
        <v>0.791666666666667</v>
      </c>
      <c r="M14" s="30">
        <v>0.375</v>
      </c>
      <c r="N14" s="31">
        <v>0.791666666666667</v>
      </c>
      <c r="O14" s="36" t="s">
        <v>23</v>
      </c>
      <c r="P14" s="36" t="s">
        <v>23</v>
      </c>
      <c r="Q14" s="36" t="s">
        <v>23</v>
      </c>
      <c r="R14" s="36" t="s">
        <v>23</v>
      </c>
      <c r="S14" s="40">
        <v>0.458333333333333</v>
      </c>
      <c r="T14" s="41">
        <v>0.666666666666667</v>
      </c>
    </row>
    <row r="15" customHeight="1" spans="1:20">
      <c r="A15" s="26">
        <v>10316680</v>
      </c>
      <c r="B15" s="27" t="s">
        <v>221</v>
      </c>
      <c r="C15" s="26" t="s">
        <v>20</v>
      </c>
      <c r="D15" s="26" t="s">
        <v>21</v>
      </c>
      <c r="E15" s="26" t="s">
        <v>22</v>
      </c>
      <c r="F15" s="27">
        <v>1</v>
      </c>
      <c r="G15" s="30">
        <v>0.375</v>
      </c>
      <c r="H15" s="34">
        <v>0.75</v>
      </c>
      <c r="I15" s="30">
        <v>0.375</v>
      </c>
      <c r="J15" s="34">
        <v>0.75</v>
      </c>
      <c r="K15" s="30">
        <v>0.375</v>
      </c>
      <c r="L15" s="34">
        <v>0.75</v>
      </c>
      <c r="M15" s="30">
        <v>0.375</v>
      </c>
      <c r="N15" s="34">
        <v>0.75</v>
      </c>
      <c r="O15" s="30">
        <v>0.375</v>
      </c>
      <c r="P15" s="34">
        <v>0.75</v>
      </c>
      <c r="Q15" s="33" t="s">
        <v>23</v>
      </c>
      <c r="R15" s="33" t="s">
        <v>23</v>
      </c>
      <c r="S15" s="33" t="s">
        <v>23</v>
      </c>
      <c r="T15" s="33" t="s">
        <v>23</v>
      </c>
    </row>
    <row r="16" customHeight="1" spans="1:20">
      <c r="A16" s="26">
        <v>10316681</v>
      </c>
      <c r="B16" s="27" t="s">
        <v>222</v>
      </c>
      <c r="C16" s="26" t="s">
        <v>20</v>
      </c>
      <c r="D16" s="26" t="s">
        <v>21</v>
      </c>
      <c r="E16" s="26" t="s">
        <v>22</v>
      </c>
      <c r="F16" s="27">
        <v>1</v>
      </c>
      <c r="G16" s="33" t="s">
        <v>23</v>
      </c>
      <c r="H16" s="33" t="s">
        <v>23</v>
      </c>
      <c r="I16" s="30">
        <v>0.375</v>
      </c>
      <c r="J16" s="34">
        <v>0.75</v>
      </c>
      <c r="K16" s="30">
        <v>0.375</v>
      </c>
      <c r="L16" s="34">
        <v>0.75</v>
      </c>
      <c r="M16" s="30">
        <v>0.375</v>
      </c>
      <c r="N16" s="34">
        <v>0.75</v>
      </c>
      <c r="O16" s="30">
        <v>0.375</v>
      </c>
      <c r="P16" s="34">
        <v>0.75</v>
      </c>
      <c r="Q16" s="40">
        <v>0.458333333333333</v>
      </c>
      <c r="R16" s="41">
        <v>0.666666666666667</v>
      </c>
      <c r="S16" s="33" t="s">
        <v>23</v>
      </c>
      <c r="T16" s="33" t="s">
        <v>23</v>
      </c>
    </row>
    <row r="17" customHeight="1" spans="1:20">
      <c r="A17" s="26">
        <v>10316685</v>
      </c>
      <c r="B17" s="27" t="s">
        <v>101</v>
      </c>
      <c r="C17" s="26" t="s">
        <v>20</v>
      </c>
      <c r="D17" s="26" t="s">
        <v>21</v>
      </c>
      <c r="E17" s="26" t="s">
        <v>22</v>
      </c>
      <c r="F17" s="27">
        <v>1</v>
      </c>
      <c r="G17" s="30">
        <v>0.375</v>
      </c>
      <c r="H17" s="34">
        <v>0.75</v>
      </c>
      <c r="I17" s="30">
        <v>0.375</v>
      </c>
      <c r="J17" s="34">
        <v>0.75</v>
      </c>
      <c r="K17" s="30">
        <v>0.375</v>
      </c>
      <c r="L17" s="34">
        <v>0.75</v>
      </c>
      <c r="M17" s="30">
        <v>0.375</v>
      </c>
      <c r="N17" s="34">
        <v>0.75</v>
      </c>
      <c r="O17" s="30">
        <v>0.375</v>
      </c>
      <c r="P17" s="34">
        <v>0.75</v>
      </c>
      <c r="Q17" s="33" t="s">
        <v>23</v>
      </c>
      <c r="R17" s="33" t="s">
        <v>23</v>
      </c>
      <c r="S17" s="33" t="s">
        <v>23</v>
      </c>
      <c r="T17" s="33" t="s">
        <v>23</v>
      </c>
    </row>
    <row r="18" customHeight="1" spans="1:20">
      <c r="A18" s="26">
        <v>10316683</v>
      </c>
      <c r="B18" s="27" t="s">
        <v>223</v>
      </c>
      <c r="C18" s="26" t="s">
        <v>20</v>
      </c>
      <c r="D18" s="26" t="s">
        <v>21</v>
      </c>
      <c r="E18" s="26" t="s">
        <v>22</v>
      </c>
      <c r="F18" s="27">
        <v>1</v>
      </c>
      <c r="G18" s="30">
        <v>0.375</v>
      </c>
      <c r="H18" s="34">
        <v>0.75</v>
      </c>
      <c r="I18" s="30">
        <v>0.375</v>
      </c>
      <c r="J18" s="34">
        <v>0.75</v>
      </c>
      <c r="K18" s="30">
        <v>0.375</v>
      </c>
      <c r="L18" s="34">
        <v>0.75</v>
      </c>
      <c r="M18" s="30">
        <v>0.375</v>
      </c>
      <c r="N18" s="34">
        <v>0.75</v>
      </c>
      <c r="O18" s="30">
        <v>0.375</v>
      </c>
      <c r="P18" s="34">
        <v>0.75</v>
      </c>
      <c r="Q18" s="33" t="s">
        <v>23</v>
      </c>
      <c r="R18" s="33" t="s">
        <v>23</v>
      </c>
      <c r="S18" s="33" t="s">
        <v>23</v>
      </c>
      <c r="T18" s="33" t="s">
        <v>23</v>
      </c>
    </row>
    <row r="19" customHeight="1" spans="1:20">
      <c r="A19" s="26">
        <v>10317147</v>
      </c>
      <c r="B19" s="27" t="s">
        <v>107</v>
      </c>
      <c r="C19" s="26" t="s">
        <v>20</v>
      </c>
      <c r="D19" s="26" t="s">
        <v>21</v>
      </c>
      <c r="E19" s="26" t="s">
        <v>22</v>
      </c>
      <c r="F19" s="27">
        <v>1</v>
      </c>
      <c r="G19" s="33" t="s">
        <v>23</v>
      </c>
      <c r="H19" s="33" t="s">
        <v>23</v>
      </c>
      <c r="I19" s="30">
        <v>0.375</v>
      </c>
      <c r="J19" s="31">
        <v>0.791666666666667</v>
      </c>
      <c r="K19" s="30">
        <v>0.375</v>
      </c>
      <c r="L19" s="31">
        <v>0.791666666666667</v>
      </c>
      <c r="M19" s="30">
        <v>0.375</v>
      </c>
      <c r="N19" s="31">
        <v>0.791666666666667</v>
      </c>
      <c r="O19" s="30">
        <v>0.375</v>
      </c>
      <c r="P19" s="31">
        <v>0.791666666666667</v>
      </c>
      <c r="Q19" s="40">
        <v>0.458333333333333</v>
      </c>
      <c r="R19" s="41">
        <v>0.666666666666667</v>
      </c>
      <c r="S19" s="33" t="s">
        <v>23</v>
      </c>
      <c r="T19" s="33" t="s">
        <v>23</v>
      </c>
    </row>
    <row r="20" customHeight="1" spans="1:20">
      <c r="A20" s="26">
        <v>10317151</v>
      </c>
      <c r="B20" s="27" t="s">
        <v>224</v>
      </c>
      <c r="C20" s="26" t="s">
        <v>20</v>
      </c>
      <c r="D20" s="26" t="s">
        <v>21</v>
      </c>
      <c r="E20" s="26" t="s">
        <v>22</v>
      </c>
      <c r="F20" s="27">
        <v>1</v>
      </c>
      <c r="G20" s="28">
        <v>0.5</v>
      </c>
      <c r="H20" s="29">
        <v>0.875</v>
      </c>
      <c r="I20" s="40">
        <v>0.458333333333333</v>
      </c>
      <c r="J20" s="29">
        <v>0.875</v>
      </c>
      <c r="K20" s="40">
        <v>0.458333333333333</v>
      </c>
      <c r="L20" s="29">
        <v>0.875</v>
      </c>
      <c r="M20" s="40">
        <v>0.458333333333333</v>
      </c>
      <c r="N20" s="29">
        <v>0.875</v>
      </c>
      <c r="O20" s="36" t="s">
        <v>23</v>
      </c>
      <c r="P20" s="36" t="s">
        <v>23</v>
      </c>
      <c r="Q20" s="36" t="s">
        <v>23</v>
      </c>
      <c r="R20" s="36" t="s">
        <v>23</v>
      </c>
      <c r="S20" s="40">
        <v>0.458333333333333</v>
      </c>
      <c r="T20" s="41">
        <v>0.666666666666667</v>
      </c>
    </row>
    <row r="21" customHeight="1" spans="1:20">
      <c r="A21" s="26">
        <v>10317153</v>
      </c>
      <c r="B21" s="35" t="s">
        <v>225</v>
      </c>
      <c r="C21" s="26" t="s">
        <v>20</v>
      </c>
      <c r="D21" s="26" t="s">
        <v>21</v>
      </c>
      <c r="E21" s="26" t="s">
        <v>22</v>
      </c>
      <c r="F21" s="27">
        <v>1</v>
      </c>
      <c r="G21" s="33" t="s">
        <v>23</v>
      </c>
      <c r="H21" s="33" t="s">
        <v>23</v>
      </c>
      <c r="I21" s="40">
        <v>0.458333333333333</v>
      </c>
      <c r="J21" s="29">
        <v>0.875</v>
      </c>
      <c r="K21" s="40">
        <v>0.458333333333333</v>
      </c>
      <c r="L21" s="29">
        <v>0.875</v>
      </c>
      <c r="M21" s="40">
        <v>0.458333333333333</v>
      </c>
      <c r="N21" s="29">
        <v>0.875</v>
      </c>
      <c r="O21" s="40">
        <v>0.458333333333333</v>
      </c>
      <c r="P21" s="29">
        <v>0.875</v>
      </c>
      <c r="Q21" s="40">
        <v>0.458333333333333</v>
      </c>
      <c r="R21" s="41">
        <v>0.666666666666667</v>
      </c>
      <c r="S21" s="33" t="s">
        <v>23</v>
      </c>
      <c r="T21" s="33" t="s">
        <v>23</v>
      </c>
    </row>
    <row r="22" customHeight="1" spans="1:20">
      <c r="A22" s="26">
        <v>10317517</v>
      </c>
      <c r="B22" s="27" t="s">
        <v>226</v>
      </c>
      <c r="C22" s="26" t="s">
        <v>20</v>
      </c>
      <c r="D22" s="26" t="s">
        <v>21</v>
      </c>
      <c r="E22" s="26" t="s">
        <v>22</v>
      </c>
      <c r="F22" s="37">
        <v>2</v>
      </c>
      <c r="G22" s="33" t="s">
        <v>23</v>
      </c>
      <c r="H22" s="33" t="s">
        <v>23</v>
      </c>
      <c r="I22" s="30">
        <v>0.375</v>
      </c>
      <c r="J22" s="31">
        <v>0.791666666666667</v>
      </c>
      <c r="K22" s="30">
        <v>0.375</v>
      </c>
      <c r="L22" s="31">
        <v>0.791666666666667</v>
      </c>
      <c r="M22" s="30">
        <v>0.375</v>
      </c>
      <c r="N22" s="31">
        <v>0.791666666666667</v>
      </c>
      <c r="O22" s="30">
        <v>0.375</v>
      </c>
      <c r="P22" s="31">
        <v>0.791666666666667</v>
      </c>
      <c r="Q22" s="40">
        <v>0.458333333333333</v>
      </c>
      <c r="R22" s="41">
        <v>0.666666666666667</v>
      </c>
      <c r="S22" s="33" t="s">
        <v>23</v>
      </c>
      <c r="T22" s="33" t="s">
        <v>23</v>
      </c>
    </row>
    <row r="23" customHeight="1" spans="1:20">
      <c r="A23" s="26">
        <v>10317520</v>
      </c>
      <c r="B23" s="27" t="s">
        <v>227</v>
      </c>
      <c r="C23" s="26" t="s">
        <v>20</v>
      </c>
      <c r="D23" s="26" t="s">
        <v>21</v>
      </c>
      <c r="E23" s="26" t="s">
        <v>22</v>
      </c>
      <c r="F23" s="37">
        <v>2</v>
      </c>
      <c r="G23" s="33" t="s">
        <v>23</v>
      </c>
      <c r="H23" s="33" t="s">
        <v>23</v>
      </c>
      <c r="I23" s="30">
        <v>0.375</v>
      </c>
      <c r="J23" s="31">
        <v>0.791666666666667</v>
      </c>
      <c r="K23" s="30">
        <v>0.375</v>
      </c>
      <c r="L23" s="31">
        <v>0.791666666666667</v>
      </c>
      <c r="M23" s="30">
        <v>0.375</v>
      </c>
      <c r="N23" s="31">
        <v>0.791666666666667</v>
      </c>
      <c r="O23" s="30">
        <v>0.375</v>
      </c>
      <c r="P23" s="31">
        <v>0.791666666666667</v>
      </c>
      <c r="Q23" s="40">
        <v>0.458333333333333</v>
      </c>
      <c r="R23" s="41">
        <v>0.666666666666667</v>
      </c>
      <c r="S23" s="33" t="s">
        <v>23</v>
      </c>
      <c r="T23" s="33" t="s">
        <v>23</v>
      </c>
    </row>
    <row r="24" customHeight="1" spans="1:20">
      <c r="A24" s="26">
        <v>10317521</v>
      </c>
      <c r="B24" s="27" t="s">
        <v>228</v>
      </c>
      <c r="C24" s="26" t="s">
        <v>20</v>
      </c>
      <c r="D24" s="26" t="s">
        <v>21</v>
      </c>
      <c r="E24" s="26" t="s">
        <v>22</v>
      </c>
      <c r="F24" s="37">
        <v>2</v>
      </c>
      <c r="G24" s="33" t="s">
        <v>23</v>
      </c>
      <c r="H24" s="33" t="s">
        <v>23</v>
      </c>
      <c r="I24" s="30">
        <v>0.375</v>
      </c>
      <c r="J24" s="31">
        <v>0.791666666666667</v>
      </c>
      <c r="K24" s="30">
        <v>0.375</v>
      </c>
      <c r="L24" s="31">
        <v>0.791666666666667</v>
      </c>
      <c r="M24" s="30">
        <v>0.375</v>
      </c>
      <c r="N24" s="31">
        <v>0.791666666666667</v>
      </c>
      <c r="O24" s="30">
        <v>0.375</v>
      </c>
      <c r="P24" s="31">
        <v>0.791666666666667</v>
      </c>
      <c r="Q24" s="40">
        <v>0.458333333333333</v>
      </c>
      <c r="R24" s="41">
        <v>0.666666666666667</v>
      </c>
      <c r="S24" s="33" t="s">
        <v>23</v>
      </c>
      <c r="T24" s="33" t="s">
        <v>23</v>
      </c>
    </row>
    <row r="25" customHeight="1" spans="1:20">
      <c r="A25" s="26">
        <v>10317522</v>
      </c>
      <c r="B25" s="27" t="s">
        <v>31</v>
      </c>
      <c r="C25" s="26" t="s">
        <v>20</v>
      </c>
      <c r="D25" s="26" t="s">
        <v>21</v>
      </c>
      <c r="E25" s="26" t="s">
        <v>22</v>
      </c>
      <c r="F25" s="37">
        <v>2</v>
      </c>
      <c r="G25" s="28">
        <v>0.5</v>
      </c>
      <c r="H25" s="29">
        <v>0.875</v>
      </c>
      <c r="I25" s="28">
        <v>0.5</v>
      </c>
      <c r="J25" s="29">
        <v>0.875</v>
      </c>
      <c r="K25" s="28">
        <v>0.5</v>
      </c>
      <c r="L25" s="29">
        <v>0.875</v>
      </c>
      <c r="M25" s="28">
        <v>0.5</v>
      </c>
      <c r="N25" s="29">
        <v>0.875</v>
      </c>
      <c r="O25" s="28">
        <v>0.5</v>
      </c>
      <c r="P25" s="29">
        <v>0.875</v>
      </c>
      <c r="Q25" s="33" t="s">
        <v>23</v>
      </c>
      <c r="R25" s="33" t="s">
        <v>23</v>
      </c>
      <c r="S25" s="33" t="s">
        <v>23</v>
      </c>
      <c r="T25" s="33" t="s">
        <v>23</v>
      </c>
    </row>
    <row r="26" customHeight="1" spans="1:20">
      <c r="A26" s="26">
        <v>10317523</v>
      </c>
      <c r="B26" s="27" t="s">
        <v>229</v>
      </c>
      <c r="C26" s="26" t="s">
        <v>20</v>
      </c>
      <c r="D26" s="26" t="s">
        <v>21</v>
      </c>
      <c r="E26" s="26" t="s">
        <v>22</v>
      </c>
      <c r="F26" s="37">
        <v>2</v>
      </c>
      <c r="G26" s="28">
        <v>0.5</v>
      </c>
      <c r="H26" s="29">
        <v>0.875</v>
      </c>
      <c r="I26" s="28">
        <v>0.5</v>
      </c>
      <c r="J26" s="29">
        <v>0.875</v>
      </c>
      <c r="K26" s="28">
        <v>0.5</v>
      </c>
      <c r="L26" s="29">
        <v>0.875</v>
      </c>
      <c r="M26" s="28">
        <v>0.5</v>
      </c>
      <c r="N26" s="29">
        <v>0.875</v>
      </c>
      <c r="O26" s="28">
        <v>0.5</v>
      </c>
      <c r="P26" s="29">
        <v>0.875</v>
      </c>
      <c r="Q26" s="33" t="s">
        <v>23</v>
      </c>
      <c r="R26" s="33" t="s">
        <v>23</v>
      </c>
      <c r="S26" s="33" t="s">
        <v>23</v>
      </c>
      <c r="T26" s="33" t="s">
        <v>23</v>
      </c>
    </row>
    <row r="27" customHeight="1" spans="1:20">
      <c r="A27" s="26">
        <v>10317524</v>
      </c>
      <c r="B27" s="27" t="s">
        <v>53</v>
      </c>
      <c r="C27" s="26" t="s">
        <v>20</v>
      </c>
      <c r="D27" s="26" t="s">
        <v>21</v>
      </c>
      <c r="E27" s="26" t="s">
        <v>22</v>
      </c>
      <c r="F27" s="37">
        <v>2</v>
      </c>
      <c r="G27" s="28">
        <v>0.5</v>
      </c>
      <c r="H27" s="29">
        <v>0.875</v>
      </c>
      <c r="I27" s="28">
        <v>0.5</v>
      </c>
      <c r="J27" s="29">
        <v>0.875</v>
      </c>
      <c r="K27" s="28">
        <v>0.5</v>
      </c>
      <c r="L27" s="29">
        <v>0.875</v>
      </c>
      <c r="M27" s="28">
        <v>0.5</v>
      </c>
      <c r="N27" s="29">
        <v>0.875</v>
      </c>
      <c r="O27" s="28">
        <v>0.5</v>
      </c>
      <c r="P27" s="29">
        <v>0.875</v>
      </c>
      <c r="Q27" s="33" t="s">
        <v>23</v>
      </c>
      <c r="R27" s="33" t="s">
        <v>23</v>
      </c>
      <c r="S27" s="33" t="s">
        <v>23</v>
      </c>
      <c r="T27" s="33" t="s">
        <v>23</v>
      </c>
    </row>
    <row r="28" customHeight="1" spans="1:20">
      <c r="A28" s="26">
        <v>10316531</v>
      </c>
      <c r="B28" s="27" t="s">
        <v>205</v>
      </c>
      <c r="C28" s="26" t="s">
        <v>20</v>
      </c>
      <c r="D28" s="26" t="s">
        <v>21</v>
      </c>
      <c r="E28" s="26" t="s">
        <v>22</v>
      </c>
      <c r="F28" s="37">
        <v>2</v>
      </c>
      <c r="G28" s="28">
        <v>0.5</v>
      </c>
      <c r="H28" s="29">
        <v>0.875</v>
      </c>
      <c r="I28" s="28">
        <v>0.5</v>
      </c>
      <c r="J28" s="29">
        <v>0.875</v>
      </c>
      <c r="K28" s="28">
        <v>0.5</v>
      </c>
      <c r="L28" s="29">
        <v>0.875</v>
      </c>
      <c r="M28" s="28">
        <v>0.5</v>
      </c>
      <c r="N28" s="29">
        <v>0.875</v>
      </c>
      <c r="O28" s="28">
        <v>0.5</v>
      </c>
      <c r="P28" s="29">
        <v>0.875</v>
      </c>
      <c r="Q28" s="33" t="s">
        <v>23</v>
      </c>
      <c r="R28" s="33" t="s">
        <v>23</v>
      </c>
      <c r="S28" s="33" t="s">
        <v>23</v>
      </c>
      <c r="T28" s="33" t="s">
        <v>23</v>
      </c>
    </row>
    <row r="29" customHeight="1" spans="1:20">
      <c r="A29" s="26">
        <v>10316572</v>
      </c>
      <c r="B29" s="27" t="s">
        <v>230</v>
      </c>
      <c r="C29" s="26" t="s">
        <v>20</v>
      </c>
      <c r="D29" s="26" t="s">
        <v>21</v>
      </c>
      <c r="E29" s="26" t="s">
        <v>22</v>
      </c>
      <c r="F29" s="37">
        <v>2</v>
      </c>
      <c r="G29" s="28">
        <v>0.5</v>
      </c>
      <c r="H29" s="29">
        <v>0.875</v>
      </c>
      <c r="I29" s="28">
        <v>0.5</v>
      </c>
      <c r="J29" s="29">
        <v>0.875</v>
      </c>
      <c r="K29" s="28">
        <v>0.5</v>
      </c>
      <c r="L29" s="29">
        <v>0.875</v>
      </c>
      <c r="M29" s="28">
        <v>0.5</v>
      </c>
      <c r="N29" s="29">
        <v>0.875</v>
      </c>
      <c r="O29" s="28">
        <v>0.5</v>
      </c>
      <c r="P29" s="29">
        <v>0.875</v>
      </c>
      <c r="Q29" s="33" t="s">
        <v>23</v>
      </c>
      <c r="R29" s="33" t="s">
        <v>23</v>
      </c>
      <c r="S29" s="33" t="s">
        <v>23</v>
      </c>
      <c r="T29" s="33" t="s">
        <v>23</v>
      </c>
    </row>
    <row r="30" customHeight="1" spans="1:20">
      <c r="A30" s="26">
        <v>10316650</v>
      </c>
      <c r="B30" s="27" t="s">
        <v>231</v>
      </c>
      <c r="C30" s="26" t="s">
        <v>20</v>
      </c>
      <c r="D30" s="26" t="s">
        <v>21</v>
      </c>
      <c r="E30" s="26" t="s">
        <v>22</v>
      </c>
      <c r="F30" s="37">
        <v>2</v>
      </c>
      <c r="G30" s="28">
        <v>0.5</v>
      </c>
      <c r="H30" s="29">
        <v>0.875</v>
      </c>
      <c r="I30" s="28">
        <v>0.5</v>
      </c>
      <c r="J30" s="29">
        <v>0.875</v>
      </c>
      <c r="K30" s="28">
        <v>0.5</v>
      </c>
      <c r="L30" s="29">
        <v>0.875</v>
      </c>
      <c r="M30" s="28">
        <v>0.5</v>
      </c>
      <c r="N30" s="29">
        <v>0.875</v>
      </c>
      <c r="O30" s="28">
        <v>0.5</v>
      </c>
      <c r="P30" s="29">
        <v>0.875</v>
      </c>
      <c r="Q30" s="33" t="s">
        <v>23</v>
      </c>
      <c r="R30" s="33" t="s">
        <v>23</v>
      </c>
      <c r="S30" s="33" t="s">
        <v>23</v>
      </c>
      <c r="T30" s="33" t="s">
        <v>23</v>
      </c>
    </row>
    <row r="31" customHeight="1" spans="1:20">
      <c r="A31" s="26">
        <v>10275375</v>
      </c>
      <c r="B31" s="27" t="s">
        <v>208</v>
      </c>
      <c r="C31" s="26" t="s">
        <v>20</v>
      </c>
      <c r="D31" s="26" t="s">
        <v>21</v>
      </c>
      <c r="E31" s="26" t="s">
        <v>22</v>
      </c>
      <c r="F31" s="37">
        <v>2</v>
      </c>
      <c r="G31" s="33" t="s">
        <v>23</v>
      </c>
      <c r="H31" s="33" t="s">
        <v>23</v>
      </c>
      <c r="I31" s="30">
        <v>0.375</v>
      </c>
      <c r="J31" s="31">
        <v>0.791666666666667</v>
      </c>
      <c r="K31" s="30">
        <v>0.375</v>
      </c>
      <c r="L31" s="31">
        <v>0.791666666666667</v>
      </c>
      <c r="M31" s="30">
        <v>0.375</v>
      </c>
      <c r="N31" s="31">
        <v>0.791666666666667</v>
      </c>
      <c r="O31" s="30">
        <v>0.375</v>
      </c>
      <c r="P31" s="31">
        <v>0.791666666666667</v>
      </c>
      <c r="Q31" s="40">
        <v>0.458333333333333</v>
      </c>
      <c r="R31" s="41">
        <v>0.666666666666667</v>
      </c>
      <c r="S31" s="33" t="s">
        <v>23</v>
      </c>
      <c r="T31" s="33" t="s">
        <v>23</v>
      </c>
    </row>
    <row r="32" customHeight="1" spans="1:20">
      <c r="A32" s="26">
        <v>10252500</v>
      </c>
      <c r="B32" s="27" t="s">
        <v>232</v>
      </c>
      <c r="C32" s="26" t="s">
        <v>20</v>
      </c>
      <c r="D32" s="26" t="s">
        <v>21</v>
      </c>
      <c r="E32" s="26" t="s">
        <v>22</v>
      </c>
      <c r="F32" s="37">
        <v>2</v>
      </c>
      <c r="G32" s="33" t="s">
        <v>23</v>
      </c>
      <c r="H32" s="33" t="s">
        <v>23</v>
      </c>
      <c r="I32" s="30">
        <v>0.375</v>
      </c>
      <c r="J32" s="31">
        <v>0.791666666666667</v>
      </c>
      <c r="K32" s="30">
        <v>0.375</v>
      </c>
      <c r="L32" s="31">
        <v>0.791666666666667</v>
      </c>
      <c r="M32" s="30">
        <v>0.375</v>
      </c>
      <c r="N32" s="31">
        <v>0.791666666666667</v>
      </c>
      <c r="O32" s="30">
        <v>0.375</v>
      </c>
      <c r="P32" s="31">
        <v>0.791666666666667</v>
      </c>
      <c r="Q32" s="40">
        <v>0.458333333333333</v>
      </c>
      <c r="R32" s="41">
        <v>0.666666666666667</v>
      </c>
      <c r="S32" s="33" t="s">
        <v>23</v>
      </c>
      <c r="T32" s="33" t="s">
        <v>23</v>
      </c>
    </row>
    <row r="33" customHeight="1" spans="1:20">
      <c r="A33" s="26">
        <v>10252106</v>
      </c>
      <c r="B33" s="27" t="s">
        <v>233</v>
      </c>
      <c r="C33" s="26" t="s">
        <v>20</v>
      </c>
      <c r="D33" s="26" t="s">
        <v>21</v>
      </c>
      <c r="E33" s="26" t="s">
        <v>22</v>
      </c>
      <c r="F33" s="37">
        <v>2</v>
      </c>
      <c r="G33" s="36" t="s">
        <v>23</v>
      </c>
      <c r="H33" s="36" t="s">
        <v>23</v>
      </c>
      <c r="I33" s="30">
        <v>0.375</v>
      </c>
      <c r="J33" s="34">
        <v>0.75</v>
      </c>
      <c r="K33" s="36" t="s">
        <v>23</v>
      </c>
      <c r="L33" s="36" t="s">
        <v>23</v>
      </c>
      <c r="M33" s="30">
        <v>0.375</v>
      </c>
      <c r="N33" s="34">
        <v>0.75</v>
      </c>
      <c r="O33" s="30">
        <v>0.375</v>
      </c>
      <c r="P33" s="34">
        <v>0.75</v>
      </c>
      <c r="Q33" s="40">
        <v>0.458333333333333</v>
      </c>
      <c r="R33" s="41">
        <v>0.666666666666667</v>
      </c>
      <c r="S33" s="40">
        <v>0.458333333333333</v>
      </c>
      <c r="T33" s="41">
        <v>0.666666666666667</v>
      </c>
    </row>
    <row r="34" customHeight="1" spans="1:20">
      <c r="A34" s="26">
        <v>10295555</v>
      </c>
      <c r="B34" s="27" t="s">
        <v>210</v>
      </c>
      <c r="C34" s="26" t="s">
        <v>20</v>
      </c>
      <c r="D34" s="26" t="s">
        <v>21</v>
      </c>
      <c r="E34" s="26" t="s">
        <v>35</v>
      </c>
      <c r="F34" s="37">
        <v>2</v>
      </c>
      <c r="G34" s="30">
        <v>0.375</v>
      </c>
      <c r="H34" s="32">
        <v>0.583333333333333</v>
      </c>
      <c r="I34" s="30">
        <v>0.375</v>
      </c>
      <c r="J34" s="32">
        <v>0.583333333333333</v>
      </c>
      <c r="K34" s="30">
        <v>0.375</v>
      </c>
      <c r="L34" s="32">
        <v>0.583333333333333</v>
      </c>
      <c r="M34" s="36" t="s">
        <v>23</v>
      </c>
      <c r="N34" s="36" t="s">
        <v>23</v>
      </c>
      <c r="O34" s="36" t="s">
        <v>23</v>
      </c>
      <c r="P34" s="36" t="s">
        <v>23</v>
      </c>
      <c r="Q34" s="40">
        <v>0.458333333333333</v>
      </c>
      <c r="R34" s="41">
        <v>0.666666666666667</v>
      </c>
      <c r="S34" s="40">
        <v>0.458333333333333</v>
      </c>
      <c r="T34" s="41">
        <v>0.666666666666667</v>
      </c>
    </row>
    <row r="35" customHeight="1" spans="1:20">
      <c r="A35" s="26">
        <v>10272259</v>
      </c>
      <c r="B35" s="27" t="s">
        <v>103</v>
      </c>
      <c r="C35" s="26" t="s">
        <v>20</v>
      </c>
      <c r="D35" s="26" t="s">
        <v>21</v>
      </c>
      <c r="E35" s="26" t="s">
        <v>22</v>
      </c>
      <c r="F35" s="37">
        <v>2</v>
      </c>
      <c r="G35" s="28">
        <v>0.5</v>
      </c>
      <c r="H35" s="29">
        <v>0.875</v>
      </c>
      <c r="I35" s="28">
        <v>0.5</v>
      </c>
      <c r="J35" s="29">
        <v>0.875</v>
      </c>
      <c r="K35" s="28">
        <v>0.5</v>
      </c>
      <c r="L35" s="29">
        <v>0.875</v>
      </c>
      <c r="M35" s="28">
        <v>0.5</v>
      </c>
      <c r="N35" s="29">
        <v>0.875</v>
      </c>
      <c r="O35" s="28">
        <v>0.5</v>
      </c>
      <c r="P35" s="29">
        <v>0.875</v>
      </c>
      <c r="Q35" s="33" t="s">
        <v>23</v>
      </c>
      <c r="R35" s="33" t="s">
        <v>23</v>
      </c>
      <c r="S35" s="33" t="s">
        <v>23</v>
      </c>
      <c r="T35" s="33" t="s">
        <v>23</v>
      </c>
    </row>
    <row r="36" customHeight="1" spans="1:20">
      <c r="A36" s="26">
        <v>10212379</v>
      </c>
      <c r="B36" s="27" t="s">
        <v>234</v>
      </c>
      <c r="C36" s="26" t="s">
        <v>20</v>
      </c>
      <c r="D36" s="26" t="s">
        <v>21</v>
      </c>
      <c r="E36" s="26" t="s">
        <v>22</v>
      </c>
      <c r="F36" s="26">
        <v>2</v>
      </c>
      <c r="G36" s="33" t="s">
        <v>23</v>
      </c>
      <c r="H36" s="33" t="s">
        <v>23</v>
      </c>
      <c r="I36" s="30">
        <v>0.375</v>
      </c>
      <c r="J36" s="31">
        <v>0.791666666666667</v>
      </c>
      <c r="K36" s="30">
        <v>0.375</v>
      </c>
      <c r="L36" s="31">
        <v>0.791666666666667</v>
      </c>
      <c r="M36" s="30">
        <v>0.375</v>
      </c>
      <c r="N36" s="31">
        <v>0.791666666666667</v>
      </c>
      <c r="O36" s="30">
        <v>0.375</v>
      </c>
      <c r="P36" s="31">
        <v>0.791666666666667</v>
      </c>
      <c r="Q36" s="40">
        <v>0.458333333333333</v>
      </c>
      <c r="R36" s="41">
        <v>0.666666666666667</v>
      </c>
      <c r="S36" s="33" t="s">
        <v>23</v>
      </c>
      <c r="T36" s="33" t="s">
        <v>23</v>
      </c>
    </row>
    <row r="37" customHeight="1" spans="1:20">
      <c r="A37" s="26">
        <v>10276839</v>
      </c>
      <c r="B37" s="27" t="s">
        <v>54</v>
      </c>
      <c r="C37" s="26" t="s">
        <v>20</v>
      </c>
      <c r="D37" s="26" t="s">
        <v>21</v>
      </c>
      <c r="E37" s="26" t="s">
        <v>22</v>
      </c>
      <c r="F37" s="26">
        <v>2</v>
      </c>
      <c r="G37" s="28">
        <v>0.5</v>
      </c>
      <c r="H37" s="29">
        <v>0.875</v>
      </c>
      <c r="I37" s="28">
        <v>0.5</v>
      </c>
      <c r="J37" s="29">
        <v>0.875</v>
      </c>
      <c r="K37" s="28">
        <v>0.5</v>
      </c>
      <c r="L37" s="29">
        <v>0.875</v>
      </c>
      <c r="M37" s="28">
        <v>0.5</v>
      </c>
      <c r="N37" s="29">
        <v>0.875</v>
      </c>
      <c r="O37" s="28">
        <v>0.5</v>
      </c>
      <c r="P37" s="29">
        <v>0.875</v>
      </c>
      <c r="Q37" s="33" t="s">
        <v>23</v>
      </c>
      <c r="R37" s="33" t="s">
        <v>23</v>
      </c>
      <c r="S37" s="33" t="s">
        <v>23</v>
      </c>
      <c r="T37" s="33" t="s">
        <v>23</v>
      </c>
    </row>
    <row r="38" customHeight="1" spans="1:20">
      <c r="A38" s="26">
        <v>10274446</v>
      </c>
      <c r="B38" s="27" t="s">
        <v>88</v>
      </c>
      <c r="C38" s="26" t="s">
        <v>20</v>
      </c>
      <c r="D38" s="26" t="s">
        <v>21</v>
      </c>
      <c r="E38" s="26" t="s">
        <v>22</v>
      </c>
      <c r="F38" s="26">
        <v>2</v>
      </c>
      <c r="G38" s="28">
        <v>0.5</v>
      </c>
      <c r="H38" s="29">
        <v>0.875</v>
      </c>
      <c r="I38" s="28">
        <v>0.5</v>
      </c>
      <c r="J38" s="29">
        <v>0.875</v>
      </c>
      <c r="K38" s="28">
        <v>0.5</v>
      </c>
      <c r="L38" s="29">
        <v>0.875</v>
      </c>
      <c r="M38" s="36" t="s">
        <v>23</v>
      </c>
      <c r="N38" s="36" t="s">
        <v>23</v>
      </c>
      <c r="O38" s="36" t="s">
        <v>23</v>
      </c>
      <c r="P38" s="36" t="s">
        <v>23</v>
      </c>
      <c r="Q38" s="40">
        <v>0.458333333333333</v>
      </c>
      <c r="R38" s="41">
        <v>0.666666666666667</v>
      </c>
      <c r="S38" s="40">
        <v>0.458333333333333</v>
      </c>
      <c r="T38" s="41">
        <v>0.666666666666667</v>
      </c>
    </row>
    <row r="39" customHeight="1" spans="1:20">
      <c r="A39" s="26">
        <v>10317943</v>
      </c>
      <c r="B39" s="27" t="s">
        <v>235</v>
      </c>
      <c r="C39" s="26" t="s">
        <v>20</v>
      </c>
      <c r="D39" s="26" t="s">
        <v>21</v>
      </c>
      <c r="E39" s="26" t="s">
        <v>22</v>
      </c>
      <c r="F39" s="26">
        <v>2</v>
      </c>
      <c r="G39" s="28">
        <v>0.5</v>
      </c>
      <c r="H39" s="29">
        <v>0.875</v>
      </c>
      <c r="I39" s="28">
        <v>0.5</v>
      </c>
      <c r="J39" s="29">
        <v>0.875</v>
      </c>
      <c r="K39" s="28">
        <v>0.5</v>
      </c>
      <c r="L39" s="29">
        <v>0.875</v>
      </c>
      <c r="M39" s="28">
        <v>0.5</v>
      </c>
      <c r="N39" s="29">
        <v>0.875</v>
      </c>
      <c r="O39" s="28">
        <v>0.5</v>
      </c>
      <c r="P39" s="29">
        <v>0.875</v>
      </c>
      <c r="Q39" s="33" t="s">
        <v>23</v>
      </c>
      <c r="R39" s="33" t="s">
        <v>23</v>
      </c>
      <c r="S39" s="33" t="s">
        <v>23</v>
      </c>
      <c r="T39" s="33" t="s">
        <v>23</v>
      </c>
    </row>
    <row r="43" customHeight="1" spans="1:20">
      <c r="A43" s="22" t="s">
        <v>0</v>
      </c>
      <c r="B43" s="22" t="s">
        <v>98</v>
      </c>
      <c r="C43" s="22" t="s">
        <v>2</v>
      </c>
      <c r="D43" s="22" t="s">
        <v>3</v>
      </c>
      <c r="E43" s="22" t="s">
        <v>4</v>
      </c>
      <c r="F43" s="22" t="s">
        <v>5</v>
      </c>
      <c r="G43" s="23">
        <v>45586</v>
      </c>
      <c r="H43" s="14"/>
      <c r="I43" s="23">
        <f>G43+1</f>
        <v>45587</v>
      </c>
      <c r="J43" s="14"/>
      <c r="K43" s="23">
        <f>I43+1</f>
        <v>45588</v>
      </c>
      <c r="L43" s="14"/>
      <c r="M43" s="23">
        <f>K43+1</f>
        <v>45589</v>
      </c>
      <c r="N43" s="14"/>
      <c r="O43" s="23">
        <f>M43+1</f>
        <v>45590</v>
      </c>
      <c r="P43" s="14"/>
      <c r="Q43" s="23">
        <f>O43+1</f>
        <v>45591</v>
      </c>
      <c r="R43" s="14"/>
      <c r="S43" s="23">
        <f>Q43+1</f>
        <v>45592</v>
      </c>
      <c r="T43" s="14"/>
    </row>
    <row r="44" customHeight="1" spans="1:20">
      <c r="A44" s="15"/>
      <c r="B44" s="15"/>
      <c r="C44" s="15"/>
      <c r="D44" s="15"/>
      <c r="E44" s="15"/>
      <c r="F44" s="15"/>
      <c r="G44" s="24" t="s">
        <v>6</v>
      </c>
      <c r="H44" s="14"/>
      <c r="I44" s="24" t="s">
        <v>7</v>
      </c>
      <c r="J44" s="14"/>
      <c r="K44" s="24" t="s">
        <v>8</v>
      </c>
      <c r="L44" s="14"/>
      <c r="M44" s="24" t="s">
        <v>9</v>
      </c>
      <c r="N44" s="14"/>
      <c r="O44" s="24" t="s">
        <v>10</v>
      </c>
      <c r="P44" s="14"/>
      <c r="Q44" s="24" t="s">
        <v>11</v>
      </c>
      <c r="R44" s="14"/>
      <c r="S44" s="24" t="s">
        <v>12</v>
      </c>
      <c r="T44" s="14"/>
    </row>
    <row r="45" customHeight="1" spans="1:20">
      <c r="A45" s="5"/>
      <c r="B45" s="5"/>
      <c r="C45" s="5"/>
      <c r="D45" s="5"/>
      <c r="E45" s="5"/>
      <c r="F45" s="5"/>
      <c r="G45" s="25" t="s">
        <v>13</v>
      </c>
      <c r="H45" s="25" t="s">
        <v>14</v>
      </c>
      <c r="I45" s="25" t="s">
        <v>13</v>
      </c>
      <c r="J45" s="25" t="s">
        <v>14</v>
      </c>
      <c r="K45" s="25" t="s">
        <v>13</v>
      </c>
      <c r="L45" s="25" t="s">
        <v>14</v>
      </c>
      <c r="M45" s="25" t="s">
        <v>13</v>
      </c>
      <c r="N45" s="25" t="s">
        <v>14</v>
      </c>
      <c r="O45" s="25" t="s">
        <v>13</v>
      </c>
      <c r="P45" s="25" t="s">
        <v>14</v>
      </c>
      <c r="Q45" s="25" t="s">
        <v>13</v>
      </c>
      <c r="R45" s="25" t="s">
        <v>14</v>
      </c>
      <c r="S45" s="25" t="s">
        <v>13</v>
      </c>
      <c r="T45" s="25" t="s">
        <v>14</v>
      </c>
    </row>
    <row r="46" customHeight="1" spans="1:20">
      <c r="A46" s="26">
        <v>10316835</v>
      </c>
      <c r="B46" s="26" t="s">
        <v>161</v>
      </c>
      <c r="C46" s="26" t="s">
        <v>162</v>
      </c>
      <c r="D46" s="26" t="s">
        <v>21</v>
      </c>
      <c r="E46" s="26" t="s">
        <v>22</v>
      </c>
      <c r="F46" s="27">
        <v>1</v>
      </c>
      <c r="G46" s="30">
        <v>0.375</v>
      </c>
      <c r="H46" s="31">
        <v>0.791666666666667</v>
      </c>
      <c r="I46" s="30">
        <v>0.375</v>
      </c>
      <c r="J46" s="31">
        <v>0.791666666666667</v>
      </c>
      <c r="K46" s="30">
        <v>0.375</v>
      </c>
      <c r="L46" s="31">
        <v>0.791666666666667</v>
      </c>
      <c r="M46" s="30">
        <v>0.375</v>
      </c>
      <c r="N46" s="31">
        <v>0.791666666666667</v>
      </c>
      <c r="O46" s="33" t="s">
        <v>23</v>
      </c>
      <c r="P46" s="33" t="s">
        <v>23</v>
      </c>
      <c r="Q46" s="33" t="s">
        <v>23</v>
      </c>
      <c r="R46" s="33" t="s">
        <v>23</v>
      </c>
      <c r="S46" s="40">
        <v>0.458333333333333</v>
      </c>
      <c r="T46" s="41">
        <v>0.666666666666667</v>
      </c>
    </row>
    <row r="47" customHeight="1" spans="1:20">
      <c r="A47" s="26">
        <v>10271545</v>
      </c>
      <c r="B47" s="26" t="s">
        <v>165</v>
      </c>
      <c r="C47" s="26" t="s">
        <v>166</v>
      </c>
      <c r="D47" s="44"/>
      <c r="E47" s="44"/>
      <c r="F47" s="44"/>
      <c r="G47" s="30">
        <v>0.375</v>
      </c>
      <c r="H47" s="34">
        <v>0.75</v>
      </c>
      <c r="I47" s="30">
        <v>0.375</v>
      </c>
      <c r="J47" s="34">
        <v>0.75</v>
      </c>
      <c r="K47" s="30">
        <v>0.375</v>
      </c>
      <c r="L47" s="34">
        <v>0.75</v>
      </c>
      <c r="M47" s="30">
        <v>0.375</v>
      </c>
      <c r="N47" s="34">
        <v>0.75</v>
      </c>
      <c r="O47" s="30">
        <v>0.375</v>
      </c>
      <c r="P47" s="34">
        <v>0.75</v>
      </c>
      <c r="Q47" s="33" t="s">
        <v>23</v>
      </c>
      <c r="R47" s="33" t="s">
        <v>23</v>
      </c>
      <c r="S47" s="33" t="s">
        <v>23</v>
      </c>
      <c r="T47" s="33" t="s">
        <v>23</v>
      </c>
    </row>
    <row r="48" customHeight="1" spans="1:20">
      <c r="A48" s="26">
        <v>10259973</v>
      </c>
      <c r="B48" s="26" t="s">
        <v>99</v>
      </c>
      <c r="C48" s="26" t="s">
        <v>236</v>
      </c>
      <c r="D48" s="44"/>
      <c r="E48" s="44"/>
      <c r="F48" s="44"/>
      <c r="G48" s="30">
        <v>0.375</v>
      </c>
      <c r="H48" s="34">
        <v>0.75</v>
      </c>
      <c r="I48" s="30">
        <v>0.375</v>
      </c>
      <c r="J48" s="34">
        <v>0.75</v>
      </c>
      <c r="K48" s="30">
        <v>0.375</v>
      </c>
      <c r="L48" s="34">
        <v>0.75</v>
      </c>
      <c r="M48" s="30">
        <v>0.375</v>
      </c>
      <c r="N48" s="34">
        <v>0.75</v>
      </c>
      <c r="O48" s="30">
        <v>0.375</v>
      </c>
      <c r="P48" s="34">
        <v>0.75</v>
      </c>
      <c r="Q48" s="33" t="s">
        <v>23</v>
      </c>
      <c r="R48" s="33" t="s">
        <v>23</v>
      </c>
      <c r="S48" s="33" t="s">
        <v>23</v>
      </c>
      <c r="T48" s="33" t="s">
        <v>23</v>
      </c>
    </row>
    <row r="49" customHeight="1" spans="1:20">
      <c r="A49" s="26">
        <v>10225640</v>
      </c>
      <c r="B49" s="26" t="s">
        <v>100</v>
      </c>
      <c r="C49" s="26" t="s">
        <v>162</v>
      </c>
      <c r="D49" s="26" t="s">
        <v>21</v>
      </c>
      <c r="E49" s="26" t="s">
        <v>22</v>
      </c>
      <c r="F49" s="26">
        <v>2</v>
      </c>
      <c r="G49" s="33" t="s">
        <v>23</v>
      </c>
      <c r="H49" s="33" t="s">
        <v>23</v>
      </c>
      <c r="I49" s="40">
        <v>0.458333333333333</v>
      </c>
      <c r="J49" s="29">
        <v>0.875</v>
      </c>
      <c r="K49" s="40">
        <v>0.458333333333333</v>
      </c>
      <c r="L49" s="29">
        <v>0.875</v>
      </c>
      <c r="M49" s="40">
        <v>0.458333333333333</v>
      </c>
      <c r="N49" s="29">
        <v>0.875</v>
      </c>
      <c r="O49" s="40">
        <v>0.458333333333333</v>
      </c>
      <c r="P49" s="29">
        <v>0.875</v>
      </c>
      <c r="Q49" s="40">
        <v>0.458333333333333</v>
      </c>
      <c r="R49" s="41">
        <v>0.666666666666667</v>
      </c>
      <c r="S49" s="33" t="s">
        <v>23</v>
      </c>
      <c r="T49" s="33" t="s">
        <v>23</v>
      </c>
    </row>
    <row r="50" customHeight="1" spans="1:20">
      <c r="A50" s="26" t="s">
        <v>213</v>
      </c>
      <c r="B50" s="26" t="s">
        <v>214</v>
      </c>
      <c r="C50" s="26" t="s">
        <v>166</v>
      </c>
      <c r="D50" s="44"/>
      <c r="E50" s="44"/>
      <c r="F50" s="44"/>
      <c r="G50" s="30">
        <v>0.375</v>
      </c>
      <c r="H50" s="34">
        <v>0.75</v>
      </c>
      <c r="I50" s="30">
        <v>0.375</v>
      </c>
      <c r="J50" s="34">
        <v>0.75</v>
      </c>
      <c r="K50" s="30">
        <v>0.375</v>
      </c>
      <c r="L50" s="34">
        <v>0.75</v>
      </c>
      <c r="M50" s="30">
        <v>0.375</v>
      </c>
      <c r="N50" s="34">
        <v>0.75</v>
      </c>
      <c r="O50" s="30">
        <v>0.375</v>
      </c>
      <c r="P50" s="34">
        <v>0.75</v>
      </c>
      <c r="Q50" s="33" t="s">
        <v>23</v>
      </c>
      <c r="R50" s="33" t="s">
        <v>23</v>
      </c>
      <c r="S50" s="33" t="s">
        <v>23</v>
      </c>
      <c r="T50" s="33" t="s">
        <v>23</v>
      </c>
    </row>
  </sheetData>
  <mergeCells count="40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G43:H43"/>
    <mergeCell ref="I43:J43"/>
    <mergeCell ref="K43:L43"/>
    <mergeCell ref="M43:N43"/>
    <mergeCell ref="O43:P43"/>
    <mergeCell ref="Q43:R43"/>
    <mergeCell ref="S43:T43"/>
    <mergeCell ref="G44:H44"/>
    <mergeCell ref="I44:J44"/>
    <mergeCell ref="K44:L44"/>
    <mergeCell ref="M44:N44"/>
    <mergeCell ref="O44:P44"/>
    <mergeCell ref="Q44:R44"/>
    <mergeCell ref="S44:T44"/>
    <mergeCell ref="A1:A3"/>
    <mergeCell ref="A43:A45"/>
    <mergeCell ref="B1:B3"/>
    <mergeCell ref="B43:B45"/>
    <mergeCell ref="C1:C3"/>
    <mergeCell ref="C43:C45"/>
    <mergeCell ref="D1:D3"/>
    <mergeCell ref="D43:D45"/>
    <mergeCell ref="E1:E3"/>
    <mergeCell ref="E43:E45"/>
    <mergeCell ref="F1:F3"/>
    <mergeCell ref="F43:F45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44"/>
  <sheetViews>
    <sheetView workbookViewId="0">
      <selection activeCell="A1" sqref="A1:A3"/>
    </sheetView>
  </sheetViews>
  <sheetFormatPr defaultColWidth="12.6272727272727" defaultRowHeight="15.75" customHeight="1"/>
  <cols>
    <col min="1" max="1" width="11.7545454545455" customWidth="1"/>
    <col min="2" max="2" width="23" customWidth="1"/>
    <col min="3" max="3" width="6.62727272727273" customWidth="1"/>
    <col min="4" max="4" width="8.38181818181818" customWidth="1"/>
    <col min="5" max="6" width="4.88181818181818" customWidth="1"/>
    <col min="7" max="7" width="7.5" customWidth="1"/>
    <col min="8" max="8" width="6.62727272727273" customWidth="1"/>
    <col min="9" max="9" width="7.5" customWidth="1"/>
    <col min="10" max="10" width="6.62727272727273" customWidth="1"/>
    <col min="11" max="11" width="9" customWidth="1"/>
    <col min="12" max="12" width="6.62727272727273" customWidth="1"/>
    <col min="13" max="13" width="7.5" customWidth="1"/>
    <col min="14" max="14" width="6.62727272727273" customWidth="1"/>
    <col min="15" max="15" width="7.5" customWidth="1"/>
    <col min="16" max="16" width="6.62727272727273" customWidth="1"/>
    <col min="17" max="17" width="7.62727272727273" customWidth="1"/>
    <col min="18" max="18" width="6.62727272727273" customWidth="1"/>
    <col min="19" max="19" width="7.62727272727273" customWidth="1"/>
    <col min="20" max="20" width="6.62727272727273" customWidth="1"/>
  </cols>
  <sheetData>
    <row r="1" customHeight="1" spans="1:20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3">
        <v>45579</v>
      </c>
      <c r="H1" s="14"/>
      <c r="I1" s="23">
        <f>G1+1</f>
        <v>45580</v>
      </c>
      <c r="J1" s="14"/>
      <c r="K1" s="23">
        <f>I1+1</f>
        <v>45581</v>
      </c>
      <c r="L1" s="14"/>
      <c r="M1" s="23">
        <f>K1+1</f>
        <v>45582</v>
      </c>
      <c r="N1" s="14"/>
      <c r="O1" s="23">
        <f>M1+1</f>
        <v>45583</v>
      </c>
      <c r="P1" s="14"/>
      <c r="Q1" s="23">
        <f>O1+1</f>
        <v>45584</v>
      </c>
      <c r="R1" s="14"/>
      <c r="S1" s="23">
        <f>Q1+1</f>
        <v>45585</v>
      </c>
      <c r="T1" s="14"/>
    </row>
    <row r="2" customHeight="1" spans="1:20">
      <c r="A2" s="15"/>
      <c r="B2" s="15"/>
      <c r="C2" s="15"/>
      <c r="D2" s="15"/>
      <c r="E2" s="15"/>
      <c r="F2" s="15"/>
      <c r="G2" s="24" t="s">
        <v>6</v>
      </c>
      <c r="H2" s="14"/>
      <c r="I2" s="24" t="s">
        <v>7</v>
      </c>
      <c r="J2" s="14"/>
      <c r="K2" s="24" t="s">
        <v>8</v>
      </c>
      <c r="L2" s="14"/>
      <c r="M2" s="24" t="s">
        <v>9</v>
      </c>
      <c r="N2" s="14"/>
      <c r="O2" s="24" t="s">
        <v>10</v>
      </c>
      <c r="P2" s="14"/>
      <c r="Q2" s="24" t="s">
        <v>11</v>
      </c>
      <c r="R2" s="14"/>
      <c r="S2" s="24" t="s">
        <v>12</v>
      </c>
      <c r="T2" s="14"/>
    </row>
    <row r="3" customHeight="1" spans="1:20">
      <c r="A3" s="5"/>
      <c r="B3" s="5"/>
      <c r="C3" s="5"/>
      <c r="D3" s="5"/>
      <c r="E3" s="5"/>
      <c r="F3" s="5"/>
      <c r="G3" s="25" t="s">
        <v>13</v>
      </c>
      <c r="H3" s="25" t="s">
        <v>14</v>
      </c>
      <c r="I3" s="25" t="s">
        <v>13</v>
      </c>
      <c r="J3" s="25" t="s">
        <v>14</v>
      </c>
      <c r="K3" s="25" t="s">
        <v>13</v>
      </c>
      <c r="L3" s="25" t="s">
        <v>14</v>
      </c>
      <c r="M3" s="25" t="s">
        <v>13</v>
      </c>
      <c r="N3" s="25" t="s">
        <v>14</v>
      </c>
      <c r="O3" s="25" t="s">
        <v>13</v>
      </c>
      <c r="P3" s="25" t="s">
        <v>14</v>
      </c>
      <c r="Q3" s="25" t="s">
        <v>13</v>
      </c>
      <c r="R3" s="25" t="s">
        <v>14</v>
      </c>
      <c r="S3" s="25" t="s">
        <v>13</v>
      </c>
      <c r="T3" s="25" t="s">
        <v>14</v>
      </c>
    </row>
    <row r="4" customHeight="1" spans="1:20">
      <c r="A4" s="26">
        <v>10316545</v>
      </c>
      <c r="B4" s="26" t="s">
        <v>45</v>
      </c>
      <c r="C4" s="26" t="s">
        <v>20</v>
      </c>
      <c r="D4" s="26" t="s">
        <v>21</v>
      </c>
      <c r="E4" s="26" t="s">
        <v>22</v>
      </c>
      <c r="F4" s="27">
        <v>1</v>
      </c>
      <c r="G4" s="28">
        <v>0.5</v>
      </c>
      <c r="H4" s="29">
        <v>0.875</v>
      </c>
      <c r="I4" s="28">
        <v>0.5</v>
      </c>
      <c r="J4" s="29">
        <v>0.875</v>
      </c>
      <c r="K4" s="28">
        <v>0.5</v>
      </c>
      <c r="L4" s="29">
        <v>0.875</v>
      </c>
      <c r="M4" s="28">
        <v>0.5</v>
      </c>
      <c r="N4" s="29">
        <v>0.875</v>
      </c>
      <c r="O4" s="28">
        <v>0.5</v>
      </c>
      <c r="P4" s="29">
        <v>0.875</v>
      </c>
      <c r="Q4" s="33" t="s">
        <v>23</v>
      </c>
      <c r="R4" s="33" t="s">
        <v>23</v>
      </c>
      <c r="S4" s="33" t="s">
        <v>23</v>
      </c>
      <c r="T4" s="33" t="s">
        <v>23</v>
      </c>
    </row>
    <row r="5" customHeight="1" spans="1:20">
      <c r="A5" s="26">
        <v>10316530</v>
      </c>
      <c r="B5" s="26" t="s">
        <v>215</v>
      </c>
      <c r="C5" s="26" t="s">
        <v>20</v>
      </c>
      <c r="D5" s="26" t="s">
        <v>21</v>
      </c>
      <c r="E5" s="26" t="s">
        <v>22</v>
      </c>
      <c r="F5" s="27">
        <v>1</v>
      </c>
      <c r="G5" s="28">
        <v>0.5</v>
      </c>
      <c r="H5" s="29">
        <v>0.875</v>
      </c>
      <c r="I5" s="28">
        <v>0.5</v>
      </c>
      <c r="J5" s="29">
        <v>0.875</v>
      </c>
      <c r="K5" s="28">
        <v>0.5</v>
      </c>
      <c r="L5" s="29">
        <v>0.875</v>
      </c>
      <c r="M5" s="28">
        <v>0.5</v>
      </c>
      <c r="N5" s="29">
        <v>0.875</v>
      </c>
      <c r="O5" s="28">
        <v>0.5</v>
      </c>
      <c r="P5" s="29">
        <v>0.875</v>
      </c>
      <c r="Q5" s="33" t="s">
        <v>23</v>
      </c>
      <c r="R5" s="33" t="s">
        <v>23</v>
      </c>
      <c r="S5" s="33" t="s">
        <v>23</v>
      </c>
      <c r="T5" s="33" t="s">
        <v>23</v>
      </c>
    </row>
    <row r="6" customHeight="1" spans="1:20">
      <c r="A6" s="26">
        <v>10250963</v>
      </c>
      <c r="B6" s="26" t="s">
        <v>106</v>
      </c>
      <c r="C6" s="26" t="s">
        <v>20</v>
      </c>
      <c r="D6" s="26" t="s">
        <v>21</v>
      </c>
      <c r="E6" s="26" t="s">
        <v>22</v>
      </c>
      <c r="F6" s="27">
        <v>1</v>
      </c>
      <c r="G6" s="30">
        <v>0.375</v>
      </c>
      <c r="H6" s="31">
        <v>0.791666666666667</v>
      </c>
      <c r="I6" s="30">
        <v>0.375</v>
      </c>
      <c r="J6" s="31">
        <v>0.791666666666667</v>
      </c>
      <c r="K6" s="30">
        <v>0.375</v>
      </c>
      <c r="L6" s="31">
        <v>0.791666666666667</v>
      </c>
      <c r="M6" s="30">
        <v>0.375</v>
      </c>
      <c r="N6" s="31">
        <v>0.791666666666667</v>
      </c>
      <c r="O6" s="33" t="s">
        <v>23</v>
      </c>
      <c r="P6" s="33" t="s">
        <v>23</v>
      </c>
      <c r="Q6" s="33" t="s">
        <v>23</v>
      </c>
      <c r="R6" s="33" t="s">
        <v>23</v>
      </c>
      <c r="S6" s="40">
        <v>0.458333333333333</v>
      </c>
      <c r="T6" s="41">
        <v>0.666666666666667</v>
      </c>
    </row>
    <row r="7" customHeight="1" spans="1:20">
      <c r="A7" s="26">
        <v>10316538</v>
      </c>
      <c r="B7" s="26" t="s">
        <v>216</v>
      </c>
      <c r="C7" s="26" t="s">
        <v>20</v>
      </c>
      <c r="D7" s="26" t="s">
        <v>21</v>
      </c>
      <c r="E7" s="26" t="s">
        <v>22</v>
      </c>
      <c r="F7" s="27">
        <v>1</v>
      </c>
      <c r="G7" s="28">
        <v>0.5</v>
      </c>
      <c r="H7" s="29">
        <v>0.875</v>
      </c>
      <c r="I7" s="28">
        <v>0.5</v>
      </c>
      <c r="J7" s="29">
        <v>0.875</v>
      </c>
      <c r="K7" s="28">
        <v>0.5</v>
      </c>
      <c r="L7" s="29">
        <v>0.875</v>
      </c>
      <c r="M7" s="28">
        <v>0.5</v>
      </c>
      <c r="N7" s="29">
        <v>0.875</v>
      </c>
      <c r="O7" s="28">
        <v>0.5</v>
      </c>
      <c r="P7" s="29">
        <v>0.875</v>
      </c>
      <c r="Q7" s="33" t="s">
        <v>23</v>
      </c>
      <c r="R7" s="33" t="s">
        <v>23</v>
      </c>
      <c r="S7" s="33" t="s">
        <v>23</v>
      </c>
      <c r="T7" s="33" t="s">
        <v>23</v>
      </c>
    </row>
    <row r="8" customHeight="1" spans="1:20">
      <c r="A8" s="26">
        <v>10316546</v>
      </c>
      <c r="B8" s="26" t="s">
        <v>49</v>
      </c>
      <c r="C8" s="26" t="s">
        <v>20</v>
      </c>
      <c r="D8" s="26" t="s">
        <v>21</v>
      </c>
      <c r="E8" s="26" t="s">
        <v>22</v>
      </c>
      <c r="F8" s="27">
        <v>1</v>
      </c>
      <c r="G8" s="28">
        <v>0.5</v>
      </c>
      <c r="H8" s="29">
        <v>0.875</v>
      </c>
      <c r="I8" s="28">
        <v>0.5</v>
      </c>
      <c r="J8" s="29">
        <v>0.875</v>
      </c>
      <c r="K8" s="28">
        <v>0.5</v>
      </c>
      <c r="L8" s="29">
        <v>0.875</v>
      </c>
      <c r="M8" s="28">
        <v>0.5</v>
      </c>
      <c r="N8" s="29">
        <v>0.875</v>
      </c>
      <c r="O8" s="28">
        <v>0.5</v>
      </c>
      <c r="P8" s="29">
        <v>0.875</v>
      </c>
      <c r="Q8" s="33" t="s">
        <v>23</v>
      </c>
      <c r="R8" s="33" t="s">
        <v>23</v>
      </c>
      <c r="S8" s="33" t="s">
        <v>23</v>
      </c>
      <c r="T8" s="33" t="s">
        <v>23</v>
      </c>
    </row>
    <row r="9" customHeight="1" spans="1:20">
      <c r="A9" s="26">
        <v>10316554</v>
      </c>
      <c r="B9" s="26" t="s">
        <v>217</v>
      </c>
      <c r="C9" s="26" t="s">
        <v>20</v>
      </c>
      <c r="D9" s="26" t="s">
        <v>21</v>
      </c>
      <c r="E9" s="26" t="s">
        <v>35</v>
      </c>
      <c r="F9" s="27">
        <v>1</v>
      </c>
      <c r="G9" s="30">
        <v>0.375</v>
      </c>
      <c r="H9" s="32">
        <v>0.583333333333333</v>
      </c>
      <c r="I9" s="30">
        <v>0.375</v>
      </c>
      <c r="J9" s="32">
        <v>0.583333333333333</v>
      </c>
      <c r="K9" s="30">
        <v>0.375</v>
      </c>
      <c r="L9" s="32">
        <v>0.583333333333333</v>
      </c>
      <c r="M9" s="33" t="s">
        <v>23</v>
      </c>
      <c r="N9" s="33" t="s">
        <v>23</v>
      </c>
      <c r="O9" s="33" t="s">
        <v>23</v>
      </c>
      <c r="P9" s="33" t="s">
        <v>23</v>
      </c>
      <c r="Q9" s="40">
        <v>0.458333333333333</v>
      </c>
      <c r="R9" s="41">
        <v>0.666666666666667</v>
      </c>
      <c r="S9" s="40">
        <v>0.458333333333333</v>
      </c>
      <c r="T9" s="41">
        <v>0.666666666666667</v>
      </c>
    </row>
    <row r="10" customHeight="1" spans="1:20">
      <c r="A10" s="26">
        <v>10316549</v>
      </c>
      <c r="B10" s="26" t="s">
        <v>19</v>
      </c>
      <c r="C10" s="26" t="s">
        <v>20</v>
      </c>
      <c r="D10" s="26" t="s">
        <v>21</v>
      </c>
      <c r="E10" s="26" t="s">
        <v>22</v>
      </c>
      <c r="F10" s="27">
        <v>1</v>
      </c>
      <c r="G10" s="30">
        <v>0.375</v>
      </c>
      <c r="H10" s="31">
        <v>0.791666666666667</v>
      </c>
      <c r="I10" s="30">
        <v>0.375</v>
      </c>
      <c r="J10" s="31">
        <v>0.791666666666667</v>
      </c>
      <c r="K10" s="30">
        <v>0.375</v>
      </c>
      <c r="L10" s="31">
        <v>0.791666666666667</v>
      </c>
      <c r="M10" s="30">
        <v>0.375</v>
      </c>
      <c r="N10" s="31">
        <v>0.791666666666667</v>
      </c>
      <c r="O10" s="33" t="s">
        <v>23</v>
      </c>
      <c r="P10" s="33" t="s">
        <v>23</v>
      </c>
      <c r="Q10" s="33" t="s">
        <v>23</v>
      </c>
      <c r="R10" s="33" t="s">
        <v>23</v>
      </c>
      <c r="S10" s="40">
        <v>0.458333333333333</v>
      </c>
      <c r="T10" s="41">
        <v>0.666666666666667</v>
      </c>
    </row>
    <row r="11" customHeight="1" spans="1:20">
      <c r="A11" s="26">
        <v>10316540</v>
      </c>
      <c r="B11" s="26" t="s">
        <v>104</v>
      </c>
      <c r="C11" s="26" t="s">
        <v>20</v>
      </c>
      <c r="D11" s="26" t="s">
        <v>21</v>
      </c>
      <c r="E11" s="26" t="s">
        <v>22</v>
      </c>
      <c r="F11" s="27">
        <v>1</v>
      </c>
      <c r="G11" s="33" t="s">
        <v>23</v>
      </c>
      <c r="H11" s="33" t="s">
        <v>23</v>
      </c>
      <c r="I11" s="30">
        <v>0.375</v>
      </c>
      <c r="J11" s="31">
        <v>0.791666666666667</v>
      </c>
      <c r="K11" s="30">
        <v>0.375</v>
      </c>
      <c r="L11" s="31">
        <v>0.791666666666667</v>
      </c>
      <c r="M11" s="30">
        <v>0.375</v>
      </c>
      <c r="N11" s="31">
        <v>0.791666666666667</v>
      </c>
      <c r="O11" s="30">
        <v>0.375</v>
      </c>
      <c r="P11" s="31">
        <v>0.791666666666667</v>
      </c>
      <c r="Q11" s="40">
        <v>0.458333333333333</v>
      </c>
      <c r="R11" s="41">
        <v>0.666666666666667</v>
      </c>
      <c r="S11" s="33" t="s">
        <v>23</v>
      </c>
      <c r="T11" s="33" t="s">
        <v>23</v>
      </c>
    </row>
    <row r="12" customHeight="1" spans="1:20">
      <c r="A12" s="26">
        <v>10316543</v>
      </c>
      <c r="B12" s="26" t="s">
        <v>218</v>
      </c>
      <c r="C12" s="26" t="s">
        <v>20</v>
      </c>
      <c r="D12" s="26" t="s">
        <v>21</v>
      </c>
      <c r="E12" s="26" t="s">
        <v>22</v>
      </c>
      <c r="F12" s="27">
        <v>1</v>
      </c>
      <c r="G12" s="28">
        <v>0.5</v>
      </c>
      <c r="H12" s="29">
        <v>0.875</v>
      </c>
      <c r="I12" s="28">
        <v>0.5</v>
      </c>
      <c r="J12" s="29">
        <v>0.875</v>
      </c>
      <c r="K12" s="28">
        <v>0.5</v>
      </c>
      <c r="L12" s="29">
        <v>0.875</v>
      </c>
      <c r="M12" s="33" t="s">
        <v>23</v>
      </c>
      <c r="N12" s="33" t="s">
        <v>23</v>
      </c>
      <c r="O12" s="33" t="s">
        <v>23</v>
      </c>
      <c r="P12" s="33" t="s">
        <v>23</v>
      </c>
      <c r="Q12" s="40">
        <v>0.458333333333333</v>
      </c>
      <c r="R12" s="41">
        <v>0.666666666666667</v>
      </c>
      <c r="S12" s="40">
        <v>0.458333333333333</v>
      </c>
      <c r="T12" s="41">
        <v>0.666666666666667</v>
      </c>
    </row>
    <row r="13" customHeight="1" spans="1:20">
      <c r="A13" s="26">
        <v>10316551</v>
      </c>
      <c r="B13" s="26" t="s">
        <v>219</v>
      </c>
      <c r="C13" s="26" t="s">
        <v>20</v>
      </c>
      <c r="D13" s="26" t="s">
        <v>21</v>
      </c>
      <c r="E13" s="26" t="s">
        <v>22</v>
      </c>
      <c r="F13" s="27">
        <v>1</v>
      </c>
      <c r="G13" s="28">
        <v>0.5</v>
      </c>
      <c r="H13" s="29">
        <v>0.875</v>
      </c>
      <c r="I13" s="28">
        <v>0.5</v>
      </c>
      <c r="J13" s="29">
        <v>0.875</v>
      </c>
      <c r="K13" s="28">
        <v>0.5</v>
      </c>
      <c r="L13" s="29">
        <v>0.875</v>
      </c>
      <c r="M13" s="33" t="s">
        <v>23</v>
      </c>
      <c r="N13" s="33" t="s">
        <v>23</v>
      </c>
      <c r="O13" s="33" t="s">
        <v>23</v>
      </c>
      <c r="P13" s="33" t="s">
        <v>23</v>
      </c>
      <c r="Q13" s="40">
        <v>0.458333333333333</v>
      </c>
      <c r="R13" s="41">
        <v>0.666666666666667</v>
      </c>
      <c r="S13" s="40">
        <v>0.458333333333333</v>
      </c>
      <c r="T13" s="41">
        <v>0.666666666666667</v>
      </c>
    </row>
    <row r="14" customHeight="1" spans="1:20">
      <c r="A14" s="26">
        <v>10316618</v>
      </c>
      <c r="B14" s="26" t="s">
        <v>220</v>
      </c>
      <c r="C14" s="26" t="s">
        <v>20</v>
      </c>
      <c r="D14" s="26" t="s">
        <v>21</v>
      </c>
      <c r="E14" s="26" t="s">
        <v>22</v>
      </c>
      <c r="F14" s="27">
        <v>1</v>
      </c>
      <c r="G14" s="30">
        <v>0.375</v>
      </c>
      <c r="H14" s="31">
        <v>0.791666666666667</v>
      </c>
      <c r="I14" s="30">
        <v>0.375</v>
      </c>
      <c r="J14" s="31">
        <v>0.791666666666667</v>
      </c>
      <c r="K14" s="30">
        <v>0.375</v>
      </c>
      <c r="L14" s="31">
        <v>0.791666666666667</v>
      </c>
      <c r="M14" s="30">
        <v>0.375</v>
      </c>
      <c r="N14" s="31">
        <v>0.791666666666667</v>
      </c>
      <c r="O14" s="33" t="s">
        <v>23</v>
      </c>
      <c r="P14" s="33" t="s">
        <v>23</v>
      </c>
      <c r="Q14" s="33" t="s">
        <v>23</v>
      </c>
      <c r="R14" s="33" t="s">
        <v>23</v>
      </c>
      <c r="S14" s="40">
        <v>0.458333333333333</v>
      </c>
      <c r="T14" s="41">
        <v>0.666666666666667</v>
      </c>
    </row>
    <row r="15" customHeight="1" spans="1:20">
      <c r="A15" s="26">
        <v>10316680</v>
      </c>
      <c r="B15" s="26" t="s">
        <v>221</v>
      </c>
      <c r="C15" s="26" t="s">
        <v>20</v>
      </c>
      <c r="D15" s="26" t="s">
        <v>21</v>
      </c>
      <c r="E15" s="26" t="s">
        <v>22</v>
      </c>
      <c r="F15" s="27">
        <v>1</v>
      </c>
      <c r="G15" s="28">
        <v>0.5</v>
      </c>
      <c r="H15" s="29">
        <v>0.875</v>
      </c>
      <c r="I15" s="28">
        <v>0.5</v>
      </c>
      <c r="J15" s="29">
        <v>0.875</v>
      </c>
      <c r="K15" s="28">
        <v>0.5</v>
      </c>
      <c r="L15" s="29">
        <v>0.875</v>
      </c>
      <c r="M15" s="28">
        <v>0.5</v>
      </c>
      <c r="N15" s="29">
        <v>0.875</v>
      </c>
      <c r="O15" s="28">
        <v>0.5</v>
      </c>
      <c r="P15" s="29">
        <v>0.875</v>
      </c>
      <c r="Q15" s="33" t="s">
        <v>23</v>
      </c>
      <c r="R15" s="33" t="s">
        <v>23</v>
      </c>
      <c r="S15" s="33" t="s">
        <v>23</v>
      </c>
      <c r="T15" s="33" t="s">
        <v>23</v>
      </c>
    </row>
    <row r="16" customHeight="1" spans="1:20">
      <c r="A16" s="26">
        <v>10316681</v>
      </c>
      <c r="B16" s="26" t="s">
        <v>222</v>
      </c>
      <c r="C16" s="26" t="s">
        <v>20</v>
      </c>
      <c r="D16" s="26" t="s">
        <v>21</v>
      </c>
      <c r="E16" s="26" t="s">
        <v>22</v>
      </c>
      <c r="F16" s="27">
        <v>1</v>
      </c>
      <c r="G16" s="30">
        <v>0.375</v>
      </c>
      <c r="H16" s="34">
        <v>0.75</v>
      </c>
      <c r="I16" s="30">
        <v>0.375</v>
      </c>
      <c r="J16" s="34">
        <v>0.75</v>
      </c>
      <c r="K16" s="30">
        <v>0.375</v>
      </c>
      <c r="L16" s="34">
        <v>0.75</v>
      </c>
      <c r="M16" s="33" t="s">
        <v>23</v>
      </c>
      <c r="N16" s="33" t="s">
        <v>23</v>
      </c>
      <c r="O16" s="33" t="s">
        <v>23</v>
      </c>
      <c r="P16" s="33" t="s">
        <v>23</v>
      </c>
      <c r="Q16" s="40">
        <v>0.458333333333333</v>
      </c>
      <c r="R16" s="41">
        <v>0.666666666666667</v>
      </c>
      <c r="S16" s="40">
        <v>0.458333333333333</v>
      </c>
      <c r="T16" s="41">
        <v>0.666666666666667</v>
      </c>
    </row>
    <row r="17" customHeight="1" spans="1:20">
      <c r="A17" s="26">
        <v>10316685</v>
      </c>
      <c r="B17" s="26" t="s">
        <v>101</v>
      </c>
      <c r="C17" s="26" t="s">
        <v>20</v>
      </c>
      <c r="D17" s="26" t="s">
        <v>21</v>
      </c>
      <c r="E17" s="26" t="s">
        <v>22</v>
      </c>
      <c r="F17" s="27">
        <v>1</v>
      </c>
      <c r="G17" s="30">
        <v>0.375</v>
      </c>
      <c r="H17" s="34">
        <v>0.75</v>
      </c>
      <c r="I17" s="30">
        <v>0.375</v>
      </c>
      <c r="J17" s="34">
        <v>0.75</v>
      </c>
      <c r="K17" s="30">
        <v>0.375</v>
      </c>
      <c r="L17" s="34">
        <v>0.75</v>
      </c>
      <c r="M17" s="30">
        <v>0.375</v>
      </c>
      <c r="N17" s="34">
        <v>0.75</v>
      </c>
      <c r="O17" s="30">
        <v>0.375</v>
      </c>
      <c r="P17" s="34">
        <v>0.75</v>
      </c>
      <c r="Q17" s="33" t="s">
        <v>23</v>
      </c>
      <c r="R17" s="33" t="s">
        <v>23</v>
      </c>
      <c r="S17" s="33" t="s">
        <v>23</v>
      </c>
      <c r="T17" s="33" t="s">
        <v>23</v>
      </c>
    </row>
    <row r="18" customHeight="1" spans="1:20">
      <c r="A18" s="26">
        <v>10316683</v>
      </c>
      <c r="B18" s="26" t="s">
        <v>223</v>
      </c>
      <c r="C18" s="26" t="s">
        <v>20</v>
      </c>
      <c r="D18" s="26" t="s">
        <v>21</v>
      </c>
      <c r="E18" s="26" t="s">
        <v>22</v>
      </c>
      <c r="F18" s="27">
        <v>1</v>
      </c>
      <c r="G18" s="30">
        <v>0.375</v>
      </c>
      <c r="H18" s="34">
        <v>0.75</v>
      </c>
      <c r="I18" s="30">
        <v>0.375</v>
      </c>
      <c r="J18" s="34">
        <v>0.75</v>
      </c>
      <c r="K18" s="30">
        <v>0.375</v>
      </c>
      <c r="L18" s="34">
        <v>0.75</v>
      </c>
      <c r="M18" s="30">
        <v>0.375</v>
      </c>
      <c r="N18" s="34">
        <v>0.75</v>
      </c>
      <c r="O18" s="30">
        <v>0.375</v>
      </c>
      <c r="P18" s="34">
        <v>0.75</v>
      </c>
      <c r="Q18" s="33" t="s">
        <v>23</v>
      </c>
      <c r="R18" s="33" t="s">
        <v>23</v>
      </c>
      <c r="S18" s="33" t="s">
        <v>23</v>
      </c>
      <c r="T18" s="33" t="s">
        <v>23</v>
      </c>
    </row>
    <row r="19" customHeight="1" spans="1:20">
      <c r="A19" s="26">
        <v>10317147</v>
      </c>
      <c r="B19" s="26" t="s">
        <v>107</v>
      </c>
      <c r="C19" s="26" t="s">
        <v>20</v>
      </c>
      <c r="D19" s="26" t="s">
        <v>21</v>
      </c>
      <c r="E19" s="26" t="s">
        <v>22</v>
      </c>
      <c r="F19" s="27">
        <v>1</v>
      </c>
      <c r="G19" s="33" t="s">
        <v>23</v>
      </c>
      <c r="H19" s="33" t="s">
        <v>23</v>
      </c>
      <c r="I19" s="30">
        <v>0.375</v>
      </c>
      <c r="J19" s="31">
        <v>0.791666666666667</v>
      </c>
      <c r="K19" s="30">
        <v>0.375</v>
      </c>
      <c r="L19" s="31">
        <v>0.791666666666667</v>
      </c>
      <c r="M19" s="30">
        <v>0.375</v>
      </c>
      <c r="N19" s="31">
        <v>0.791666666666667</v>
      </c>
      <c r="O19" s="30">
        <v>0.375</v>
      </c>
      <c r="P19" s="31">
        <v>0.791666666666667</v>
      </c>
      <c r="Q19" s="40">
        <v>0.458333333333333</v>
      </c>
      <c r="R19" s="41">
        <v>0.666666666666667</v>
      </c>
      <c r="S19" s="33" t="s">
        <v>23</v>
      </c>
      <c r="T19" s="33" t="s">
        <v>23</v>
      </c>
    </row>
    <row r="20" customHeight="1" spans="1:20">
      <c r="A20" s="26">
        <v>10317151</v>
      </c>
      <c r="B20" s="26" t="s">
        <v>224</v>
      </c>
      <c r="C20" s="26" t="s">
        <v>20</v>
      </c>
      <c r="D20" s="26" t="s">
        <v>21</v>
      </c>
      <c r="E20" s="26" t="s">
        <v>22</v>
      </c>
      <c r="F20" s="27">
        <v>1</v>
      </c>
      <c r="G20" s="30">
        <v>0.375</v>
      </c>
      <c r="H20" s="34">
        <v>0.75</v>
      </c>
      <c r="I20" s="30">
        <v>0.375</v>
      </c>
      <c r="J20" s="34">
        <v>0.75</v>
      </c>
      <c r="K20" s="30">
        <v>0.375</v>
      </c>
      <c r="L20" s="34">
        <v>0.75</v>
      </c>
      <c r="M20" s="33" t="s">
        <v>23</v>
      </c>
      <c r="N20" s="33" t="s">
        <v>23</v>
      </c>
      <c r="O20" s="33" t="s">
        <v>23</v>
      </c>
      <c r="P20" s="33" t="s">
        <v>23</v>
      </c>
      <c r="Q20" s="40">
        <v>0.458333333333333</v>
      </c>
      <c r="R20" s="41">
        <v>0.666666666666667</v>
      </c>
      <c r="S20" s="40">
        <v>0.458333333333333</v>
      </c>
      <c r="T20" s="41">
        <v>0.666666666666667</v>
      </c>
    </row>
    <row r="21" customHeight="1" spans="1:20">
      <c r="A21" s="35">
        <v>10317153</v>
      </c>
      <c r="B21" s="35" t="s">
        <v>225</v>
      </c>
      <c r="C21" s="26" t="s">
        <v>20</v>
      </c>
      <c r="D21" s="26" t="s">
        <v>21</v>
      </c>
      <c r="E21" s="26" t="s">
        <v>22</v>
      </c>
      <c r="F21" s="27">
        <v>1</v>
      </c>
      <c r="G21" s="36" t="s">
        <v>23</v>
      </c>
      <c r="H21" s="36" t="s">
        <v>23</v>
      </c>
      <c r="I21" s="30">
        <v>0.375</v>
      </c>
      <c r="J21" s="31">
        <v>0.791666666666667</v>
      </c>
      <c r="K21" s="30">
        <v>0.375</v>
      </c>
      <c r="L21" s="31">
        <v>0.791666666666667</v>
      </c>
      <c r="M21" s="30">
        <v>0.375</v>
      </c>
      <c r="N21" s="31">
        <v>0.791666666666667</v>
      </c>
      <c r="O21" s="30">
        <v>0.375</v>
      </c>
      <c r="P21" s="31">
        <v>0.791666666666667</v>
      </c>
      <c r="Q21" s="40">
        <v>0.458333333333333</v>
      </c>
      <c r="R21" s="41">
        <v>0.666666666666667</v>
      </c>
      <c r="S21" s="33" t="s">
        <v>23</v>
      </c>
      <c r="T21" s="33" t="s">
        <v>23</v>
      </c>
    </row>
    <row r="22" customHeight="1" spans="1:20">
      <c r="A22" s="26">
        <v>10317517</v>
      </c>
      <c r="B22" s="26" t="s">
        <v>226</v>
      </c>
      <c r="C22" s="26" t="s">
        <v>20</v>
      </c>
      <c r="D22" s="26" t="s">
        <v>209</v>
      </c>
      <c r="E22" s="26" t="s">
        <v>22</v>
      </c>
      <c r="F22" s="37">
        <v>2</v>
      </c>
      <c r="G22" s="30">
        <v>0.375</v>
      </c>
      <c r="H22" s="34">
        <v>0.75</v>
      </c>
      <c r="I22" s="30">
        <v>0.375</v>
      </c>
      <c r="J22" s="34">
        <v>0.75</v>
      </c>
      <c r="K22" s="30">
        <v>0.375</v>
      </c>
      <c r="L22" s="34">
        <v>0.75</v>
      </c>
      <c r="M22" s="30">
        <v>0.375</v>
      </c>
      <c r="N22" s="34">
        <v>0.75</v>
      </c>
      <c r="O22" s="30">
        <v>0.375</v>
      </c>
      <c r="P22" s="34">
        <v>0.75</v>
      </c>
      <c r="Q22" s="33" t="s">
        <v>23</v>
      </c>
      <c r="R22" s="33" t="s">
        <v>23</v>
      </c>
      <c r="S22" s="33" t="s">
        <v>23</v>
      </c>
      <c r="T22" s="33" t="s">
        <v>23</v>
      </c>
    </row>
    <row r="23" customHeight="1" spans="1:20">
      <c r="A23" s="26">
        <v>10317520</v>
      </c>
      <c r="B23" s="26" t="s">
        <v>227</v>
      </c>
      <c r="C23" s="26" t="s">
        <v>20</v>
      </c>
      <c r="D23" s="26" t="s">
        <v>209</v>
      </c>
      <c r="E23" s="26" t="s">
        <v>22</v>
      </c>
      <c r="F23" s="37">
        <v>2</v>
      </c>
      <c r="G23" s="30">
        <v>0.375</v>
      </c>
      <c r="H23" s="34">
        <v>0.75</v>
      </c>
      <c r="I23" s="30">
        <v>0.375</v>
      </c>
      <c r="J23" s="34">
        <v>0.75</v>
      </c>
      <c r="K23" s="30">
        <v>0.375</v>
      </c>
      <c r="L23" s="34">
        <v>0.75</v>
      </c>
      <c r="M23" s="30">
        <v>0.375</v>
      </c>
      <c r="N23" s="34">
        <v>0.75</v>
      </c>
      <c r="O23" s="30">
        <v>0.375</v>
      </c>
      <c r="P23" s="34">
        <v>0.75</v>
      </c>
      <c r="Q23" s="33" t="s">
        <v>23</v>
      </c>
      <c r="R23" s="33" t="s">
        <v>23</v>
      </c>
      <c r="S23" s="33" t="s">
        <v>23</v>
      </c>
      <c r="T23" s="33" t="s">
        <v>23</v>
      </c>
    </row>
    <row r="24" customHeight="1" spans="1:20">
      <c r="A24" s="26">
        <v>10317521</v>
      </c>
      <c r="B24" s="26" t="s">
        <v>228</v>
      </c>
      <c r="C24" s="26" t="s">
        <v>20</v>
      </c>
      <c r="D24" s="26" t="s">
        <v>209</v>
      </c>
      <c r="E24" s="26" t="s">
        <v>22</v>
      </c>
      <c r="F24" s="37">
        <v>2</v>
      </c>
      <c r="G24" s="30">
        <v>0.375</v>
      </c>
      <c r="H24" s="34">
        <v>0.75</v>
      </c>
      <c r="I24" s="30">
        <v>0.375</v>
      </c>
      <c r="J24" s="34">
        <v>0.75</v>
      </c>
      <c r="K24" s="30">
        <v>0.375</v>
      </c>
      <c r="L24" s="34">
        <v>0.75</v>
      </c>
      <c r="M24" s="30">
        <v>0.375</v>
      </c>
      <c r="N24" s="34">
        <v>0.75</v>
      </c>
      <c r="O24" s="30">
        <v>0.375</v>
      </c>
      <c r="P24" s="34">
        <v>0.75</v>
      </c>
      <c r="Q24" s="33" t="s">
        <v>23</v>
      </c>
      <c r="R24" s="33" t="s">
        <v>23</v>
      </c>
      <c r="S24" s="33" t="s">
        <v>23</v>
      </c>
      <c r="T24" s="33" t="s">
        <v>23</v>
      </c>
    </row>
    <row r="25" customHeight="1" spans="1:20">
      <c r="A25" s="26">
        <v>10317522</v>
      </c>
      <c r="B25" s="26" t="s">
        <v>31</v>
      </c>
      <c r="C25" s="26" t="s">
        <v>20</v>
      </c>
      <c r="D25" s="26" t="s">
        <v>209</v>
      </c>
      <c r="E25" s="26" t="s">
        <v>22</v>
      </c>
      <c r="F25" s="37">
        <v>2</v>
      </c>
      <c r="G25" s="30">
        <v>0.375</v>
      </c>
      <c r="H25" s="34">
        <v>0.75</v>
      </c>
      <c r="I25" s="30">
        <v>0.375</v>
      </c>
      <c r="J25" s="34">
        <v>0.75</v>
      </c>
      <c r="K25" s="30">
        <v>0.375</v>
      </c>
      <c r="L25" s="34">
        <v>0.75</v>
      </c>
      <c r="M25" s="30">
        <v>0.375</v>
      </c>
      <c r="N25" s="34">
        <v>0.75</v>
      </c>
      <c r="O25" s="30">
        <v>0.375</v>
      </c>
      <c r="P25" s="34">
        <v>0.75</v>
      </c>
      <c r="Q25" s="33" t="s">
        <v>23</v>
      </c>
      <c r="R25" s="33" t="s">
        <v>23</v>
      </c>
      <c r="S25" s="33" t="s">
        <v>23</v>
      </c>
      <c r="T25" s="33" t="s">
        <v>23</v>
      </c>
    </row>
    <row r="26" customHeight="1" spans="1:20">
      <c r="A26" s="26">
        <v>10317523</v>
      </c>
      <c r="B26" s="26" t="s">
        <v>229</v>
      </c>
      <c r="C26" s="26" t="s">
        <v>20</v>
      </c>
      <c r="D26" s="26" t="s">
        <v>209</v>
      </c>
      <c r="E26" s="26" t="s">
        <v>22</v>
      </c>
      <c r="F26" s="37">
        <v>2</v>
      </c>
      <c r="G26" s="30">
        <v>0.375</v>
      </c>
      <c r="H26" s="34">
        <v>0.75</v>
      </c>
      <c r="I26" s="30">
        <v>0.375</v>
      </c>
      <c r="J26" s="34">
        <v>0.75</v>
      </c>
      <c r="K26" s="30">
        <v>0.375</v>
      </c>
      <c r="L26" s="34">
        <v>0.75</v>
      </c>
      <c r="M26" s="30">
        <v>0.375</v>
      </c>
      <c r="N26" s="34">
        <v>0.75</v>
      </c>
      <c r="O26" s="30">
        <v>0.375</v>
      </c>
      <c r="P26" s="34">
        <v>0.75</v>
      </c>
      <c r="Q26" s="33" t="s">
        <v>23</v>
      </c>
      <c r="R26" s="33" t="s">
        <v>23</v>
      </c>
      <c r="S26" s="33" t="s">
        <v>23</v>
      </c>
      <c r="T26" s="33" t="s">
        <v>23</v>
      </c>
    </row>
    <row r="27" customHeight="1" spans="1:20">
      <c r="A27" s="26">
        <v>10317524</v>
      </c>
      <c r="B27" s="26" t="s">
        <v>53</v>
      </c>
      <c r="C27" s="26" t="s">
        <v>20</v>
      </c>
      <c r="D27" s="26" t="s">
        <v>209</v>
      </c>
      <c r="E27" s="26" t="s">
        <v>22</v>
      </c>
      <c r="F27" s="37">
        <v>2</v>
      </c>
      <c r="G27" s="30">
        <v>0.375</v>
      </c>
      <c r="H27" s="34">
        <v>0.75</v>
      </c>
      <c r="I27" s="30">
        <v>0.375</v>
      </c>
      <c r="J27" s="34">
        <v>0.75</v>
      </c>
      <c r="K27" s="30">
        <v>0.375</v>
      </c>
      <c r="L27" s="34">
        <v>0.75</v>
      </c>
      <c r="M27" s="30">
        <v>0.375</v>
      </c>
      <c r="N27" s="34">
        <v>0.75</v>
      </c>
      <c r="O27" s="30">
        <v>0.375</v>
      </c>
      <c r="P27" s="34">
        <v>0.75</v>
      </c>
      <c r="Q27" s="33" t="s">
        <v>23</v>
      </c>
      <c r="R27" s="33" t="s">
        <v>23</v>
      </c>
      <c r="S27" s="33" t="s">
        <v>23</v>
      </c>
      <c r="T27" s="33" t="s">
        <v>23</v>
      </c>
    </row>
    <row r="28" customHeight="1" spans="1:20">
      <c r="A28" s="26">
        <v>10316531</v>
      </c>
      <c r="B28" s="26" t="s">
        <v>205</v>
      </c>
      <c r="C28" s="26" t="s">
        <v>20</v>
      </c>
      <c r="D28" s="26" t="s">
        <v>209</v>
      </c>
      <c r="E28" s="26" t="s">
        <v>22</v>
      </c>
      <c r="F28" s="37">
        <v>2</v>
      </c>
      <c r="G28" s="30">
        <v>0.375</v>
      </c>
      <c r="H28" s="34">
        <v>0.75</v>
      </c>
      <c r="I28" s="30">
        <v>0.375</v>
      </c>
      <c r="J28" s="34">
        <v>0.75</v>
      </c>
      <c r="K28" s="30">
        <v>0.375</v>
      </c>
      <c r="L28" s="34">
        <v>0.75</v>
      </c>
      <c r="M28" s="30">
        <v>0.375</v>
      </c>
      <c r="N28" s="34">
        <v>0.75</v>
      </c>
      <c r="O28" s="30">
        <v>0.375</v>
      </c>
      <c r="P28" s="34">
        <v>0.75</v>
      </c>
      <c r="Q28" s="33" t="s">
        <v>23</v>
      </c>
      <c r="R28" s="33" t="s">
        <v>23</v>
      </c>
      <c r="S28" s="33" t="s">
        <v>23</v>
      </c>
      <c r="T28" s="33" t="s">
        <v>23</v>
      </c>
    </row>
    <row r="29" customHeight="1" spans="1:20">
      <c r="A29" s="26">
        <v>10316572</v>
      </c>
      <c r="B29" s="26" t="s">
        <v>230</v>
      </c>
      <c r="C29" s="26" t="s">
        <v>20</v>
      </c>
      <c r="D29" s="26" t="s">
        <v>209</v>
      </c>
      <c r="E29" s="26" t="s">
        <v>22</v>
      </c>
      <c r="F29" s="37">
        <v>2</v>
      </c>
      <c r="G29" s="30">
        <v>0.375</v>
      </c>
      <c r="H29" s="34">
        <v>0.75</v>
      </c>
      <c r="I29" s="30">
        <v>0.375</v>
      </c>
      <c r="J29" s="34">
        <v>0.75</v>
      </c>
      <c r="K29" s="30">
        <v>0.375</v>
      </c>
      <c r="L29" s="34">
        <v>0.75</v>
      </c>
      <c r="M29" s="30">
        <v>0.375</v>
      </c>
      <c r="N29" s="34">
        <v>0.75</v>
      </c>
      <c r="O29" s="30">
        <v>0.375</v>
      </c>
      <c r="P29" s="34">
        <v>0.75</v>
      </c>
      <c r="Q29" s="33" t="s">
        <v>23</v>
      </c>
      <c r="R29" s="33" t="s">
        <v>23</v>
      </c>
      <c r="S29" s="33" t="s">
        <v>23</v>
      </c>
      <c r="T29" s="33" t="s">
        <v>23</v>
      </c>
    </row>
    <row r="30" customHeight="1" spans="1:20">
      <c r="A30" s="26">
        <v>10316650</v>
      </c>
      <c r="B30" s="26" t="s">
        <v>231</v>
      </c>
      <c r="C30" s="26" t="s">
        <v>20</v>
      </c>
      <c r="D30" s="26" t="s">
        <v>209</v>
      </c>
      <c r="E30" s="26" t="s">
        <v>22</v>
      </c>
      <c r="F30" s="37">
        <v>2</v>
      </c>
      <c r="G30" s="30">
        <v>0.375</v>
      </c>
      <c r="H30" s="34">
        <v>0.75</v>
      </c>
      <c r="I30" s="30">
        <v>0.375</v>
      </c>
      <c r="J30" s="34">
        <v>0.75</v>
      </c>
      <c r="K30" s="30">
        <v>0.375</v>
      </c>
      <c r="L30" s="34">
        <v>0.75</v>
      </c>
      <c r="M30" s="30">
        <v>0.375</v>
      </c>
      <c r="N30" s="34">
        <v>0.75</v>
      </c>
      <c r="O30" s="30">
        <v>0.375</v>
      </c>
      <c r="P30" s="34">
        <v>0.75</v>
      </c>
      <c r="Q30" s="33" t="s">
        <v>23</v>
      </c>
      <c r="R30" s="33" t="s">
        <v>23</v>
      </c>
      <c r="S30" s="33" t="s">
        <v>23</v>
      </c>
      <c r="T30" s="33" t="s">
        <v>23</v>
      </c>
    </row>
    <row r="31" customHeight="1" spans="1:20">
      <c r="A31" s="26">
        <v>10275375</v>
      </c>
      <c r="B31" s="26" t="s">
        <v>208</v>
      </c>
      <c r="C31" s="26" t="s">
        <v>20</v>
      </c>
      <c r="D31" s="26" t="s">
        <v>209</v>
      </c>
      <c r="E31" s="26" t="s">
        <v>22</v>
      </c>
      <c r="F31" s="37">
        <v>2</v>
      </c>
      <c r="G31" s="30">
        <v>0.375</v>
      </c>
      <c r="H31" s="34">
        <v>0.75</v>
      </c>
      <c r="I31" s="30">
        <v>0.375</v>
      </c>
      <c r="J31" s="34">
        <v>0.75</v>
      </c>
      <c r="K31" s="30">
        <v>0.375</v>
      </c>
      <c r="L31" s="34">
        <v>0.75</v>
      </c>
      <c r="M31" s="30">
        <v>0.375</v>
      </c>
      <c r="N31" s="34">
        <v>0.75</v>
      </c>
      <c r="O31" s="30">
        <v>0.375</v>
      </c>
      <c r="P31" s="34">
        <v>0.75</v>
      </c>
      <c r="Q31" s="33" t="s">
        <v>23</v>
      </c>
      <c r="R31" s="33" t="s">
        <v>23</v>
      </c>
      <c r="S31" s="33" t="s">
        <v>23</v>
      </c>
      <c r="T31" s="33" t="s">
        <v>23</v>
      </c>
    </row>
    <row r="32" customHeight="1" spans="1:20">
      <c r="A32" s="26">
        <v>10252500</v>
      </c>
      <c r="B32" s="26" t="s">
        <v>232</v>
      </c>
      <c r="C32" s="26" t="s">
        <v>20</v>
      </c>
      <c r="D32" s="26" t="s">
        <v>209</v>
      </c>
      <c r="E32" s="26" t="s">
        <v>22</v>
      </c>
      <c r="F32" s="37">
        <v>2</v>
      </c>
      <c r="G32" s="30">
        <v>0.375</v>
      </c>
      <c r="H32" s="34">
        <v>0.75</v>
      </c>
      <c r="I32" s="30">
        <v>0.375</v>
      </c>
      <c r="J32" s="34">
        <v>0.75</v>
      </c>
      <c r="K32" s="30">
        <v>0.375</v>
      </c>
      <c r="L32" s="34">
        <v>0.75</v>
      </c>
      <c r="M32" s="30">
        <v>0.375</v>
      </c>
      <c r="N32" s="34">
        <v>0.75</v>
      </c>
      <c r="O32" s="30">
        <v>0.375</v>
      </c>
      <c r="P32" s="34">
        <v>0.75</v>
      </c>
      <c r="Q32" s="33" t="s">
        <v>23</v>
      </c>
      <c r="R32" s="33" t="s">
        <v>23</v>
      </c>
      <c r="S32" s="33" t="s">
        <v>23</v>
      </c>
      <c r="T32" s="33" t="s">
        <v>23</v>
      </c>
    </row>
    <row r="33" customHeight="1" spans="1:20">
      <c r="A33" s="26">
        <v>10252106</v>
      </c>
      <c r="B33" s="26" t="s">
        <v>233</v>
      </c>
      <c r="C33" s="26" t="s">
        <v>20</v>
      </c>
      <c r="D33" s="26" t="s">
        <v>209</v>
      </c>
      <c r="E33" s="26" t="s">
        <v>22</v>
      </c>
      <c r="F33" s="37">
        <v>2</v>
      </c>
      <c r="G33" s="30">
        <v>0.375</v>
      </c>
      <c r="H33" s="34">
        <v>0.75</v>
      </c>
      <c r="I33" s="30">
        <v>0.375</v>
      </c>
      <c r="J33" s="34">
        <v>0.75</v>
      </c>
      <c r="K33" s="30">
        <v>0.375</v>
      </c>
      <c r="L33" s="34">
        <v>0.75</v>
      </c>
      <c r="M33" s="30">
        <v>0.375</v>
      </c>
      <c r="N33" s="34">
        <v>0.75</v>
      </c>
      <c r="O33" s="30">
        <v>0.375</v>
      </c>
      <c r="P33" s="34">
        <v>0.75</v>
      </c>
      <c r="Q33" s="33" t="s">
        <v>23</v>
      </c>
      <c r="R33" s="33" t="s">
        <v>23</v>
      </c>
      <c r="S33" s="33" t="s">
        <v>23</v>
      </c>
      <c r="T33" s="33" t="s">
        <v>23</v>
      </c>
    </row>
    <row r="34" customHeight="1" spans="1:20">
      <c r="A34" s="26">
        <v>10295555</v>
      </c>
      <c r="B34" s="26" t="s">
        <v>210</v>
      </c>
      <c r="C34" s="26" t="s">
        <v>20</v>
      </c>
      <c r="D34" s="26" t="s">
        <v>209</v>
      </c>
      <c r="E34" s="26" t="s">
        <v>35</v>
      </c>
      <c r="F34" s="37">
        <v>2</v>
      </c>
      <c r="G34" s="30">
        <v>0.375</v>
      </c>
      <c r="H34" s="32">
        <v>0.583333333333333</v>
      </c>
      <c r="I34" s="30">
        <v>0.375</v>
      </c>
      <c r="J34" s="32">
        <v>0.583333333333333</v>
      </c>
      <c r="K34" s="30">
        <v>0.375</v>
      </c>
      <c r="L34" s="32">
        <v>0.583333333333333</v>
      </c>
      <c r="M34" s="30">
        <v>0.375</v>
      </c>
      <c r="N34" s="32">
        <v>0.583333333333333</v>
      </c>
      <c r="O34" s="30">
        <v>0.375</v>
      </c>
      <c r="P34" s="32">
        <v>0.583333333333333</v>
      </c>
      <c r="Q34" s="33" t="s">
        <v>23</v>
      </c>
      <c r="R34" s="33" t="s">
        <v>23</v>
      </c>
      <c r="S34" s="33" t="s">
        <v>23</v>
      </c>
      <c r="T34" s="33" t="s">
        <v>23</v>
      </c>
    </row>
    <row r="35" customHeight="1" spans="1:20">
      <c r="A35" s="26">
        <v>10272259</v>
      </c>
      <c r="B35" s="26" t="s">
        <v>103</v>
      </c>
      <c r="C35" s="26" t="s">
        <v>20</v>
      </c>
      <c r="D35" s="26" t="s">
        <v>209</v>
      </c>
      <c r="E35" s="26" t="s">
        <v>22</v>
      </c>
      <c r="F35" s="37">
        <v>2</v>
      </c>
      <c r="G35" s="30">
        <v>0.375</v>
      </c>
      <c r="H35" s="34">
        <v>0.75</v>
      </c>
      <c r="I35" s="30">
        <v>0.375</v>
      </c>
      <c r="J35" s="34">
        <v>0.75</v>
      </c>
      <c r="K35" s="30">
        <v>0.375</v>
      </c>
      <c r="L35" s="34">
        <v>0.75</v>
      </c>
      <c r="M35" s="30">
        <v>0.375</v>
      </c>
      <c r="N35" s="34">
        <v>0.75</v>
      </c>
      <c r="O35" s="30">
        <v>0.375</v>
      </c>
      <c r="P35" s="34">
        <v>0.75</v>
      </c>
      <c r="Q35" s="33" t="s">
        <v>23</v>
      </c>
      <c r="R35" s="33" t="s">
        <v>23</v>
      </c>
      <c r="S35" s="33" t="s">
        <v>23</v>
      </c>
      <c r="T35" s="33" t="s">
        <v>23</v>
      </c>
    </row>
    <row r="36" customHeight="1" spans="1:20">
      <c r="A36" s="26">
        <v>10212379</v>
      </c>
      <c r="B36" s="26" t="s">
        <v>234</v>
      </c>
      <c r="C36" s="26" t="s">
        <v>20</v>
      </c>
      <c r="D36" s="26" t="s">
        <v>209</v>
      </c>
      <c r="E36" s="26" t="s">
        <v>22</v>
      </c>
      <c r="F36" s="26">
        <v>2</v>
      </c>
      <c r="G36" s="30">
        <v>0.375</v>
      </c>
      <c r="H36" s="34">
        <v>0.75</v>
      </c>
      <c r="I36" s="30">
        <v>0.375</v>
      </c>
      <c r="J36" s="34">
        <v>0.75</v>
      </c>
      <c r="K36" s="30">
        <v>0.375</v>
      </c>
      <c r="L36" s="34">
        <v>0.75</v>
      </c>
      <c r="M36" s="30">
        <v>0.375</v>
      </c>
      <c r="N36" s="34">
        <v>0.75</v>
      </c>
      <c r="O36" s="30">
        <v>0.375</v>
      </c>
      <c r="P36" s="34">
        <v>0.75</v>
      </c>
      <c r="Q36" s="33" t="s">
        <v>23</v>
      </c>
      <c r="R36" s="33" t="s">
        <v>23</v>
      </c>
      <c r="S36" s="33" t="s">
        <v>23</v>
      </c>
      <c r="T36" s="33" t="s">
        <v>23</v>
      </c>
    </row>
    <row r="37" customHeight="1" spans="1:20">
      <c r="A37" s="26">
        <v>10276839</v>
      </c>
      <c r="B37" s="26" t="s">
        <v>54</v>
      </c>
      <c r="C37" s="26" t="s">
        <v>20</v>
      </c>
      <c r="D37" s="26" t="s">
        <v>209</v>
      </c>
      <c r="E37" s="26" t="s">
        <v>22</v>
      </c>
      <c r="F37" s="26">
        <v>2</v>
      </c>
      <c r="G37" s="30">
        <v>0.375</v>
      </c>
      <c r="H37" s="34">
        <v>0.75</v>
      </c>
      <c r="I37" s="30">
        <v>0.375</v>
      </c>
      <c r="J37" s="34">
        <v>0.75</v>
      </c>
      <c r="K37" s="30">
        <v>0.375</v>
      </c>
      <c r="L37" s="34">
        <v>0.75</v>
      </c>
      <c r="M37" s="30">
        <v>0.375</v>
      </c>
      <c r="N37" s="34">
        <v>0.75</v>
      </c>
      <c r="O37" s="30">
        <v>0.375</v>
      </c>
      <c r="P37" s="34">
        <v>0.75</v>
      </c>
      <c r="Q37" s="33" t="s">
        <v>23</v>
      </c>
      <c r="R37" s="33" t="s">
        <v>23</v>
      </c>
      <c r="S37" s="33" t="s">
        <v>23</v>
      </c>
      <c r="T37" s="33" t="s">
        <v>23</v>
      </c>
    </row>
    <row r="38" customHeight="1" spans="1:20">
      <c r="A38" s="26">
        <v>10274446</v>
      </c>
      <c r="B38" s="26" t="s">
        <v>88</v>
      </c>
      <c r="C38" s="26" t="s">
        <v>20</v>
      </c>
      <c r="D38" s="26" t="s">
        <v>209</v>
      </c>
      <c r="E38" s="26" t="s">
        <v>22</v>
      </c>
      <c r="F38" s="26">
        <v>2</v>
      </c>
      <c r="G38" s="30">
        <v>0.375</v>
      </c>
      <c r="H38" s="34">
        <v>0.75</v>
      </c>
      <c r="I38" s="30">
        <v>0.375</v>
      </c>
      <c r="J38" s="34">
        <v>0.75</v>
      </c>
      <c r="K38" s="30">
        <v>0.375</v>
      </c>
      <c r="L38" s="34">
        <v>0.75</v>
      </c>
      <c r="M38" s="30">
        <v>0.375</v>
      </c>
      <c r="N38" s="34">
        <v>0.75</v>
      </c>
      <c r="O38" s="30">
        <v>0.375</v>
      </c>
      <c r="P38" s="34">
        <v>0.75</v>
      </c>
      <c r="Q38" s="33" t="s">
        <v>23</v>
      </c>
      <c r="R38" s="33" t="s">
        <v>23</v>
      </c>
      <c r="S38" s="33" t="s">
        <v>23</v>
      </c>
      <c r="T38" s="33" t="s">
        <v>23</v>
      </c>
    </row>
    <row r="39" customHeight="1" spans="1:20">
      <c r="A39" s="26">
        <v>10317943</v>
      </c>
      <c r="B39" s="26" t="s">
        <v>235</v>
      </c>
      <c r="C39" s="26" t="s">
        <v>20</v>
      </c>
      <c r="D39" s="26" t="s">
        <v>209</v>
      </c>
      <c r="E39" s="26" t="s">
        <v>22</v>
      </c>
      <c r="F39" s="26">
        <v>2</v>
      </c>
      <c r="G39" s="30">
        <v>0.375</v>
      </c>
      <c r="H39" s="34">
        <v>0.75</v>
      </c>
      <c r="I39" s="30">
        <v>0.375</v>
      </c>
      <c r="J39" s="34">
        <v>0.75</v>
      </c>
      <c r="K39" s="30">
        <v>0.375</v>
      </c>
      <c r="L39" s="34">
        <v>0.75</v>
      </c>
      <c r="M39" s="30">
        <v>0.375</v>
      </c>
      <c r="N39" s="34">
        <v>0.75</v>
      </c>
      <c r="O39" s="30">
        <v>0.375</v>
      </c>
      <c r="P39" s="34">
        <v>0.75</v>
      </c>
      <c r="Q39" s="36" t="s">
        <v>23</v>
      </c>
      <c r="R39" s="36" t="s">
        <v>23</v>
      </c>
      <c r="S39" s="36" t="s">
        <v>23</v>
      </c>
      <c r="T39" s="36" t="s">
        <v>23</v>
      </c>
    </row>
    <row r="40" customHeight="1" spans="1:20">
      <c r="A40" s="26">
        <v>10271545</v>
      </c>
      <c r="B40" s="26" t="s">
        <v>165</v>
      </c>
      <c r="C40" s="26" t="s">
        <v>166</v>
      </c>
      <c r="D40" s="38"/>
      <c r="E40" s="38"/>
      <c r="F40" s="38"/>
      <c r="G40" s="30">
        <v>0.375</v>
      </c>
      <c r="H40" s="34">
        <v>0.75</v>
      </c>
      <c r="I40" s="30">
        <v>0.375</v>
      </c>
      <c r="J40" s="34">
        <v>0.75</v>
      </c>
      <c r="K40" s="30">
        <v>0.375</v>
      </c>
      <c r="L40" s="34">
        <v>0.75</v>
      </c>
      <c r="M40" s="30">
        <v>0.375</v>
      </c>
      <c r="N40" s="34">
        <v>0.75</v>
      </c>
      <c r="O40" s="30">
        <v>0.375</v>
      </c>
      <c r="P40" s="34">
        <v>0.75</v>
      </c>
      <c r="Q40" s="42" t="s">
        <v>23</v>
      </c>
      <c r="R40" s="42" t="s">
        <v>23</v>
      </c>
      <c r="S40" s="42" t="s">
        <v>23</v>
      </c>
      <c r="T40" s="42" t="s">
        <v>23</v>
      </c>
    </row>
    <row r="41" customHeight="1" spans="1:20">
      <c r="A41" s="26">
        <v>10212362</v>
      </c>
      <c r="B41" s="26" t="s">
        <v>237</v>
      </c>
      <c r="C41" s="26" t="s">
        <v>166</v>
      </c>
      <c r="D41" s="38"/>
      <c r="E41" s="38"/>
      <c r="F41" s="38"/>
      <c r="G41" s="30">
        <v>0.375</v>
      </c>
      <c r="H41" s="34">
        <v>0.75</v>
      </c>
      <c r="I41" s="30">
        <v>0.375</v>
      </c>
      <c r="J41" s="34">
        <v>0.75</v>
      </c>
      <c r="K41" s="30">
        <v>0.375</v>
      </c>
      <c r="L41" s="34">
        <v>0.75</v>
      </c>
      <c r="M41" s="30">
        <v>0.375</v>
      </c>
      <c r="N41" s="34">
        <v>0.75</v>
      </c>
      <c r="O41" s="30">
        <v>0.375</v>
      </c>
      <c r="P41" s="34">
        <v>0.75</v>
      </c>
      <c r="Q41" s="42" t="s">
        <v>23</v>
      </c>
      <c r="R41" s="33" t="s">
        <v>23</v>
      </c>
      <c r="S41" s="42" t="s">
        <v>23</v>
      </c>
      <c r="T41" s="33" t="s">
        <v>23</v>
      </c>
    </row>
    <row r="42" customHeight="1" spans="1:20">
      <c r="A42" s="26">
        <v>10259973</v>
      </c>
      <c r="B42" s="26" t="s">
        <v>99</v>
      </c>
      <c r="C42" s="26" t="s">
        <v>236</v>
      </c>
      <c r="D42" s="38"/>
      <c r="E42" s="38"/>
      <c r="F42" s="38"/>
      <c r="G42" s="30">
        <v>0.375</v>
      </c>
      <c r="H42" s="34">
        <v>0.75</v>
      </c>
      <c r="I42" s="30">
        <v>0.375</v>
      </c>
      <c r="J42" s="34">
        <v>0.75</v>
      </c>
      <c r="K42" s="30">
        <v>0.375</v>
      </c>
      <c r="L42" s="34">
        <v>0.75</v>
      </c>
      <c r="M42" s="30">
        <v>0.375</v>
      </c>
      <c r="N42" s="34">
        <v>0.75</v>
      </c>
      <c r="O42" s="30">
        <v>0.375</v>
      </c>
      <c r="P42" s="34">
        <v>0.75</v>
      </c>
      <c r="Q42" s="33" t="s">
        <v>23</v>
      </c>
      <c r="R42" s="33" t="s">
        <v>23</v>
      </c>
      <c r="S42" s="33" t="s">
        <v>23</v>
      </c>
      <c r="T42" s="33" t="s">
        <v>23</v>
      </c>
    </row>
    <row r="43" customHeight="1" spans="1:20">
      <c r="A43" s="26">
        <v>10225640</v>
      </c>
      <c r="B43" s="26" t="s">
        <v>100</v>
      </c>
      <c r="C43" s="26" t="s">
        <v>162</v>
      </c>
      <c r="D43" s="26" t="s">
        <v>21</v>
      </c>
      <c r="E43" s="26" t="s">
        <v>22</v>
      </c>
      <c r="F43" s="26">
        <v>2</v>
      </c>
      <c r="G43" s="30">
        <v>0.375</v>
      </c>
      <c r="H43" s="34">
        <v>0.75</v>
      </c>
      <c r="I43" s="30">
        <v>0.375</v>
      </c>
      <c r="J43" s="34">
        <v>0.75</v>
      </c>
      <c r="K43" s="30">
        <v>0.375</v>
      </c>
      <c r="L43" s="34">
        <v>0.75</v>
      </c>
      <c r="M43" s="30">
        <v>0.375</v>
      </c>
      <c r="N43" s="34">
        <v>0.75</v>
      </c>
      <c r="O43" s="30">
        <v>0.375</v>
      </c>
      <c r="P43" s="34">
        <v>0.75</v>
      </c>
      <c r="Q43" s="33" t="s">
        <v>23</v>
      </c>
      <c r="R43" s="33" t="s">
        <v>23</v>
      </c>
      <c r="S43" s="33" t="s">
        <v>23</v>
      </c>
      <c r="T43" s="33" t="s">
        <v>23</v>
      </c>
    </row>
    <row r="44" customHeight="1" spans="1:20">
      <c r="A44" s="26">
        <v>10316835</v>
      </c>
      <c r="B44" s="26" t="s">
        <v>161</v>
      </c>
      <c r="C44" s="26" t="s">
        <v>162</v>
      </c>
      <c r="D44" s="26" t="s">
        <v>21</v>
      </c>
      <c r="E44" s="26" t="s">
        <v>22</v>
      </c>
      <c r="F44" s="27">
        <v>1</v>
      </c>
      <c r="G44" s="30">
        <v>0.375</v>
      </c>
      <c r="H44" s="29">
        <v>0.875</v>
      </c>
      <c r="I44" s="30">
        <v>0.375</v>
      </c>
      <c r="J44" s="29">
        <v>0.875</v>
      </c>
      <c r="K44" s="39">
        <v>0.416666666666667</v>
      </c>
      <c r="L44" s="29">
        <v>0.875</v>
      </c>
      <c r="M44" s="33" t="s">
        <v>23</v>
      </c>
      <c r="N44" s="33" t="s">
        <v>23</v>
      </c>
      <c r="O44" s="33" t="s">
        <v>23</v>
      </c>
      <c r="P44" s="33" t="s">
        <v>23</v>
      </c>
      <c r="Q44" s="40">
        <v>0.458333333333333</v>
      </c>
      <c r="R44" s="41">
        <v>0.666666666666667</v>
      </c>
      <c r="S44" s="40">
        <v>0.458333333333333</v>
      </c>
      <c r="T44" s="41">
        <v>0.666666666666667</v>
      </c>
    </row>
  </sheetData>
  <mergeCells count="20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A1:A3"/>
    <mergeCell ref="B1:B3"/>
    <mergeCell ref="C1:C3"/>
    <mergeCell ref="D1:D3"/>
    <mergeCell ref="E1:E3"/>
    <mergeCell ref="F1:F3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00FF"/>
    <outlinePr summaryBelow="0" summaryRight="0"/>
  </sheetPr>
  <dimension ref="A1:BX1600"/>
  <sheetViews>
    <sheetView workbookViewId="0">
      <selection activeCell="A1" sqref="A1:A3"/>
    </sheetView>
  </sheetViews>
  <sheetFormatPr defaultColWidth="12.6272727272727" defaultRowHeight="15.75" customHeight="1"/>
  <cols>
    <col min="1" max="1" width="10.1272727272727" customWidth="1"/>
    <col min="2" max="2" width="18.7545454545455" customWidth="1"/>
    <col min="3" max="3" width="7.12727272727273" customWidth="1"/>
    <col min="4" max="4" width="11.1272727272727" customWidth="1"/>
    <col min="5" max="6" width="4.75454545454545" customWidth="1"/>
    <col min="7" max="66" width="9.88181818181818" customWidth="1"/>
    <col min="67" max="76" width="12.8818181818182" customWidth="1"/>
  </cols>
  <sheetData>
    <row r="1" customHeight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>
        <v>45628</v>
      </c>
      <c r="H1" s="14"/>
      <c r="I1" s="3">
        <v>45629</v>
      </c>
      <c r="J1" s="14"/>
      <c r="K1" s="3">
        <v>45630</v>
      </c>
      <c r="L1" s="14"/>
      <c r="M1" s="3">
        <v>45631</v>
      </c>
      <c r="N1" s="14"/>
      <c r="O1" s="3">
        <v>45632</v>
      </c>
      <c r="P1" s="14"/>
      <c r="Q1" s="3">
        <v>45633</v>
      </c>
      <c r="R1" s="14"/>
      <c r="S1" s="3">
        <v>45634</v>
      </c>
      <c r="T1" s="14"/>
      <c r="U1" s="18">
        <v>45635</v>
      </c>
      <c r="W1" s="18">
        <v>45636</v>
      </c>
      <c r="Y1" s="18">
        <v>45637</v>
      </c>
      <c r="AA1" s="18">
        <v>45638</v>
      </c>
      <c r="AC1" s="18">
        <v>45639</v>
      </c>
      <c r="AE1" s="18">
        <v>45640</v>
      </c>
      <c r="AG1" s="18">
        <v>45641</v>
      </c>
      <c r="AI1" s="18">
        <v>45642</v>
      </c>
      <c r="AK1" s="18">
        <v>45643</v>
      </c>
      <c r="AM1" s="18">
        <v>45644</v>
      </c>
      <c r="AO1" s="18">
        <v>45645</v>
      </c>
      <c r="AQ1" s="18">
        <v>45646</v>
      </c>
      <c r="AS1" s="18">
        <v>45647</v>
      </c>
      <c r="AU1" s="18">
        <v>45648</v>
      </c>
      <c r="AW1" s="18">
        <v>45649</v>
      </c>
      <c r="AY1" s="18">
        <v>45650</v>
      </c>
      <c r="BA1" s="18">
        <v>45651</v>
      </c>
      <c r="BC1" s="18">
        <v>45652</v>
      </c>
      <c r="BE1" s="18">
        <v>45653</v>
      </c>
      <c r="BG1" s="18">
        <v>45654</v>
      </c>
      <c r="BI1" s="18">
        <v>45655</v>
      </c>
      <c r="BK1" s="18">
        <v>45656</v>
      </c>
      <c r="BM1" s="18">
        <v>45657</v>
      </c>
      <c r="BO1" s="17"/>
      <c r="BP1" s="17"/>
      <c r="BQ1" s="17"/>
      <c r="BR1" s="17"/>
      <c r="BS1" s="17"/>
      <c r="BT1" s="17"/>
      <c r="BU1" s="17"/>
      <c r="BV1" s="17"/>
      <c r="BW1" s="17"/>
      <c r="BX1" s="17"/>
    </row>
    <row r="2" customHeight="1" spans="1:76">
      <c r="A2" s="15"/>
      <c r="B2" s="15"/>
      <c r="C2" s="15"/>
      <c r="D2" s="15"/>
      <c r="E2" s="15"/>
      <c r="F2" s="15"/>
      <c r="G2" s="16" t="s">
        <v>80</v>
      </c>
      <c r="H2" s="16" t="s">
        <v>81</v>
      </c>
      <c r="I2" s="16" t="s">
        <v>80</v>
      </c>
      <c r="J2" s="16" t="s">
        <v>81</v>
      </c>
      <c r="K2" s="16" t="s">
        <v>80</v>
      </c>
      <c r="L2" s="16" t="s">
        <v>81</v>
      </c>
      <c r="M2" s="16" t="s">
        <v>80</v>
      </c>
      <c r="N2" s="16" t="s">
        <v>81</v>
      </c>
      <c r="O2" s="16" t="s">
        <v>80</v>
      </c>
      <c r="P2" s="16" t="s">
        <v>81</v>
      </c>
      <c r="Q2" s="16" t="s">
        <v>80</v>
      </c>
      <c r="R2" s="16" t="s">
        <v>81</v>
      </c>
      <c r="S2" s="16" t="s">
        <v>80</v>
      </c>
      <c r="T2" s="16" t="s">
        <v>81</v>
      </c>
      <c r="U2" s="19" t="s">
        <v>80</v>
      </c>
      <c r="V2" s="19" t="s">
        <v>81</v>
      </c>
      <c r="W2" s="19" t="s">
        <v>80</v>
      </c>
      <c r="X2" s="19" t="s">
        <v>81</v>
      </c>
      <c r="Y2" s="19" t="s">
        <v>80</v>
      </c>
      <c r="Z2" s="19" t="s">
        <v>81</v>
      </c>
      <c r="AA2" s="19" t="s">
        <v>80</v>
      </c>
      <c r="AB2" s="19" t="s">
        <v>81</v>
      </c>
      <c r="AC2" s="19" t="s">
        <v>80</v>
      </c>
      <c r="AD2" s="19" t="s">
        <v>81</v>
      </c>
      <c r="AE2" s="19" t="s">
        <v>80</v>
      </c>
      <c r="AF2" s="19" t="s">
        <v>81</v>
      </c>
      <c r="AG2" s="19" t="s">
        <v>80</v>
      </c>
      <c r="AH2" s="19" t="s">
        <v>81</v>
      </c>
      <c r="AI2" s="19" t="s">
        <v>80</v>
      </c>
      <c r="AJ2" s="19" t="s">
        <v>81</v>
      </c>
      <c r="AK2" s="19" t="s">
        <v>80</v>
      </c>
      <c r="AL2" s="19" t="s">
        <v>81</v>
      </c>
      <c r="AM2" s="19" t="s">
        <v>80</v>
      </c>
      <c r="AN2" s="19" t="s">
        <v>81</v>
      </c>
      <c r="AO2" s="19" t="s">
        <v>80</v>
      </c>
      <c r="AP2" s="19" t="s">
        <v>81</v>
      </c>
      <c r="AQ2" s="19" t="s">
        <v>80</v>
      </c>
      <c r="AR2" s="19" t="s">
        <v>81</v>
      </c>
      <c r="AS2" s="19" t="s">
        <v>80</v>
      </c>
      <c r="AT2" s="19" t="s">
        <v>81</v>
      </c>
      <c r="AU2" s="19" t="s">
        <v>80</v>
      </c>
      <c r="AV2" s="19" t="s">
        <v>81</v>
      </c>
      <c r="AW2" s="19" t="s">
        <v>80</v>
      </c>
      <c r="AX2" s="19" t="s">
        <v>81</v>
      </c>
      <c r="AY2" s="19" t="s">
        <v>80</v>
      </c>
      <c r="AZ2" s="19" t="s">
        <v>81</v>
      </c>
      <c r="BA2" s="19" t="s">
        <v>80</v>
      </c>
      <c r="BB2" s="19" t="s">
        <v>81</v>
      </c>
      <c r="BC2" s="19" t="s">
        <v>80</v>
      </c>
      <c r="BD2" s="19" t="s">
        <v>81</v>
      </c>
      <c r="BE2" s="19" t="s">
        <v>80</v>
      </c>
      <c r="BF2" s="19" t="s">
        <v>81</v>
      </c>
      <c r="BG2" s="19" t="s">
        <v>80</v>
      </c>
      <c r="BH2" s="19" t="s">
        <v>81</v>
      </c>
      <c r="BI2" s="19" t="s">
        <v>80</v>
      </c>
      <c r="BJ2" s="19" t="s">
        <v>81</v>
      </c>
      <c r="BK2" s="19" t="s">
        <v>80</v>
      </c>
      <c r="BL2" s="19" t="s">
        <v>81</v>
      </c>
      <c r="BM2" s="19" t="s">
        <v>80</v>
      </c>
      <c r="BN2" s="19" t="s">
        <v>81</v>
      </c>
      <c r="BO2" s="17"/>
      <c r="BP2" s="17"/>
      <c r="BQ2" s="17"/>
      <c r="BR2" s="17"/>
      <c r="BS2" s="17"/>
      <c r="BT2" s="17"/>
      <c r="BU2" s="17"/>
      <c r="BV2" s="17"/>
      <c r="BW2" s="17"/>
      <c r="BX2" s="17"/>
    </row>
    <row r="3" customHeight="1" spans="1:76">
      <c r="A3" s="5"/>
      <c r="B3" s="5"/>
      <c r="C3" s="5"/>
      <c r="D3" s="5"/>
      <c r="E3" s="5"/>
      <c r="F3" s="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7"/>
      <c r="BP3" s="17"/>
      <c r="BQ3" s="17"/>
      <c r="BR3" s="17"/>
      <c r="BS3" s="17"/>
      <c r="BT3" s="17"/>
      <c r="BU3" s="17"/>
      <c r="BV3" s="17"/>
      <c r="BW3" s="17"/>
      <c r="BX3" s="17"/>
    </row>
    <row r="4" customHeight="1" spans="1:76">
      <c r="A4" s="7">
        <v>10320410</v>
      </c>
      <c r="B4" s="7" t="s">
        <v>58</v>
      </c>
      <c r="C4" s="7" t="str">
        <f t="array" ref="C4">_xlfn.XLOOKUP($A4,'WK 48'!$A:$A,'WK 48'!C:C,"")</f>
        <v>CSR</v>
      </c>
      <c r="D4" s="7" t="str">
        <f t="array" ref="D4">_xlfn.XLOOKUP($A4,'WK 48'!$A:$A,'WK 48'!D:D,"")</f>
        <v>Production</v>
      </c>
      <c r="E4" s="8" t="str">
        <f t="array" ref="E4">_xlfn.XLOOKUP($A4,'WK 48'!$A:$A,'WK 48'!E:E,"")</f>
        <v>FT</v>
      </c>
      <c r="F4" s="9">
        <f t="array" ref="F4">_xlfn.XLOOKUP($A4,'WK 48'!$A:$A,'WK 48'!F:F,"")</f>
        <v>3</v>
      </c>
      <c r="G4" s="8">
        <v>0.5</v>
      </c>
      <c r="H4" s="8">
        <v>0.875</v>
      </c>
      <c r="I4" s="8">
        <v>0.5</v>
      </c>
      <c r="J4" s="8">
        <v>0.875</v>
      </c>
      <c r="K4" s="8">
        <v>0.5</v>
      </c>
      <c r="L4" s="8">
        <v>0.875</v>
      </c>
      <c r="M4" s="8">
        <v>0.5</v>
      </c>
      <c r="N4" s="8">
        <v>0.875</v>
      </c>
      <c r="O4" s="8">
        <v>0.5</v>
      </c>
      <c r="P4" s="8">
        <v>0.875</v>
      </c>
      <c r="Q4" s="7" t="s">
        <v>23</v>
      </c>
      <c r="R4" s="7" t="s">
        <v>23</v>
      </c>
      <c r="S4" s="7" t="s">
        <v>23</v>
      </c>
      <c r="T4" s="7" t="s">
        <v>23</v>
      </c>
      <c r="U4" s="20">
        <v>0.375</v>
      </c>
      <c r="V4" s="20">
        <v>0.75</v>
      </c>
      <c r="W4" s="20">
        <v>0.375</v>
      </c>
      <c r="X4" s="20">
        <v>0.75</v>
      </c>
      <c r="Y4" s="20">
        <v>0.375</v>
      </c>
      <c r="Z4" s="20">
        <v>0.75</v>
      </c>
      <c r="AA4" s="20">
        <v>0.375</v>
      </c>
      <c r="AB4" s="20">
        <v>0.75</v>
      </c>
      <c r="AC4" s="20">
        <v>0.375</v>
      </c>
      <c r="AD4" s="20">
        <v>0.75</v>
      </c>
      <c r="AE4" s="17" t="s">
        <v>23</v>
      </c>
      <c r="AF4" s="17" t="s">
        <v>23</v>
      </c>
      <c r="AG4" s="17" t="s">
        <v>23</v>
      </c>
      <c r="AH4" s="17" t="s">
        <v>23</v>
      </c>
      <c r="AI4" s="20">
        <v>0.5</v>
      </c>
      <c r="AJ4" s="20">
        <v>0.875</v>
      </c>
      <c r="AK4" s="20">
        <v>0.5</v>
      </c>
      <c r="AL4" s="20">
        <v>0.875</v>
      </c>
      <c r="AM4" s="20">
        <v>0.5</v>
      </c>
      <c r="AN4" s="20">
        <v>0.875</v>
      </c>
      <c r="AO4" s="20">
        <v>0.5</v>
      </c>
      <c r="AP4" s="20">
        <v>0.875</v>
      </c>
      <c r="AQ4" s="20">
        <v>0.5</v>
      </c>
      <c r="AR4" s="20">
        <v>0.875</v>
      </c>
      <c r="AS4" s="17" t="s">
        <v>23</v>
      </c>
      <c r="AT4" s="17" t="s">
        <v>23</v>
      </c>
      <c r="AU4" s="17" t="s">
        <v>23</v>
      </c>
      <c r="AV4" s="17" t="s">
        <v>23</v>
      </c>
      <c r="AW4" s="20">
        <v>0.375</v>
      </c>
      <c r="AX4" s="20">
        <v>0.75</v>
      </c>
      <c r="AY4" s="20">
        <v>0.375</v>
      </c>
      <c r="AZ4" s="20">
        <v>0.75</v>
      </c>
      <c r="BA4" s="20">
        <v>0.375</v>
      </c>
      <c r="BB4" s="20">
        <v>0.75</v>
      </c>
      <c r="BC4" s="20">
        <v>0.375</v>
      </c>
      <c r="BD4" s="20">
        <v>0.75</v>
      </c>
      <c r="BE4" s="20">
        <v>0.375</v>
      </c>
      <c r="BF4" s="20">
        <v>0.75</v>
      </c>
      <c r="BG4" s="17" t="s">
        <v>23</v>
      </c>
      <c r="BH4" s="17" t="s">
        <v>23</v>
      </c>
      <c r="BI4" s="17" t="s">
        <v>23</v>
      </c>
      <c r="BJ4" s="17" t="s">
        <v>23</v>
      </c>
      <c r="BK4" s="20">
        <v>0.5</v>
      </c>
      <c r="BL4" s="20">
        <v>0.875</v>
      </c>
      <c r="BM4" s="20">
        <v>0.5</v>
      </c>
      <c r="BN4" s="20">
        <v>0.875</v>
      </c>
      <c r="BO4" s="21">
        <f>IFERROR(__xludf.DUMMYFUNCTION("TO_PURE_NUMBER(SUM(FILTER(G4:BN4, ISEVEN(COLUMN(G4:BN4))))-SUM(FILTER(G4:BN4, ISODD(COLUMN(G4:BN4)))))*24"),198)</f>
        <v>198</v>
      </c>
      <c r="BP4" s="17"/>
      <c r="BQ4" s="17"/>
      <c r="BR4" s="17"/>
      <c r="BS4" s="17"/>
      <c r="BT4" s="17"/>
      <c r="BU4" s="17"/>
      <c r="BV4" s="17"/>
      <c r="BW4" s="17"/>
      <c r="BX4" s="17"/>
    </row>
    <row r="5" customHeight="1" spans="1:76">
      <c r="A5" s="7">
        <v>10320415</v>
      </c>
      <c r="B5" s="7" t="s">
        <v>63</v>
      </c>
      <c r="C5" s="7" t="str">
        <f t="array" ref="C5">_xlfn.XLOOKUP($A5,'WK 48'!A:A,'WK 48'!C:C,"")</f>
        <v>CSR</v>
      </c>
      <c r="D5" s="7" t="str">
        <f t="array" ref="D5">_xlfn.XLOOKUP($A5,'WK 48'!$A:$A,'WK 48'!D:D,"")</f>
        <v>Production</v>
      </c>
      <c r="E5" s="8" t="str">
        <f t="array" ref="E5">_xlfn.XLOOKUP($A5,'WK 48'!$A:$A,'WK 48'!E:E,"")</f>
        <v>FT</v>
      </c>
      <c r="F5" s="9">
        <f t="array" ref="F5">_xlfn.XLOOKUP($A5,'WK 48'!$A:$A,'WK 48'!F:F,"")</f>
        <v>3</v>
      </c>
      <c r="G5" s="8">
        <v>0.375</v>
      </c>
      <c r="H5" s="8">
        <v>0.75</v>
      </c>
      <c r="I5" s="8">
        <v>0.375</v>
      </c>
      <c r="J5" s="8">
        <v>0.75</v>
      </c>
      <c r="K5" s="8">
        <v>0.375</v>
      </c>
      <c r="L5" s="8">
        <v>0.75</v>
      </c>
      <c r="M5" s="8">
        <v>0.375</v>
      </c>
      <c r="N5" s="8">
        <v>0.75</v>
      </c>
      <c r="O5" s="8">
        <v>0.375</v>
      </c>
      <c r="P5" s="8">
        <v>0.75</v>
      </c>
      <c r="Q5" s="7" t="s">
        <v>23</v>
      </c>
      <c r="R5" s="7" t="s">
        <v>23</v>
      </c>
      <c r="S5" s="7" t="s">
        <v>23</v>
      </c>
      <c r="T5" s="7" t="s">
        <v>23</v>
      </c>
      <c r="U5" s="20">
        <v>0.458333333332121</v>
      </c>
      <c r="V5" s="20">
        <v>0.875</v>
      </c>
      <c r="W5" s="20">
        <v>0.458333333332121</v>
      </c>
      <c r="X5" s="20">
        <v>0.875</v>
      </c>
      <c r="Y5" s="20">
        <v>0.458333333332121</v>
      </c>
      <c r="Z5" s="20">
        <v>0.875</v>
      </c>
      <c r="AA5" s="20">
        <v>0.458333333332121</v>
      </c>
      <c r="AB5" s="20">
        <v>0.875</v>
      </c>
      <c r="AC5" s="17" t="s">
        <v>23</v>
      </c>
      <c r="AD5" s="17" t="s">
        <v>23</v>
      </c>
      <c r="AE5" s="17" t="s">
        <v>23</v>
      </c>
      <c r="AF5" s="17" t="s">
        <v>23</v>
      </c>
      <c r="AG5" s="20">
        <v>0.458333333332121</v>
      </c>
      <c r="AH5" s="20">
        <v>0.666666666667879</v>
      </c>
      <c r="AI5" s="20">
        <v>0.375</v>
      </c>
      <c r="AJ5" s="20">
        <v>0.791666666667879</v>
      </c>
      <c r="AK5" s="20">
        <v>0.375</v>
      </c>
      <c r="AL5" s="20">
        <v>0.791666666667879</v>
      </c>
      <c r="AM5" s="20">
        <v>0.375</v>
      </c>
      <c r="AN5" s="20">
        <v>0.791666666667879</v>
      </c>
      <c r="AO5" s="20">
        <v>0.375</v>
      </c>
      <c r="AP5" s="20">
        <v>0.791666666667879</v>
      </c>
      <c r="AQ5" s="17" t="s">
        <v>23</v>
      </c>
      <c r="AR5" s="17" t="s">
        <v>23</v>
      </c>
      <c r="AS5" s="17" t="s">
        <v>23</v>
      </c>
      <c r="AT5" s="17" t="s">
        <v>23</v>
      </c>
      <c r="AU5" s="20">
        <v>0.458333333332121</v>
      </c>
      <c r="AV5" s="20">
        <v>0.666666666667879</v>
      </c>
      <c r="AW5" s="20">
        <v>0.5</v>
      </c>
      <c r="AX5" s="20">
        <v>0.875</v>
      </c>
      <c r="AY5" s="20">
        <v>0.5</v>
      </c>
      <c r="AZ5" s="20">
        <v>0.875</v>
      </c>
      <c r="BA5" s="20">
        <v>0.5</v>
      </c>
      <c r="BB5" s="20">
        <v>0.875</v>
      </c>
      <c r="BC5" s="20">
        <v>0.5</v>
      </c>
      <c r="BD5" s="20">
        <v>0.875</v>
      </c>
      <c r="BE5" s="20">
        <v>0.5</v>
      </c>
      <c r="BF5" s="20">
        <v>0.875</v>
      </c>
      <c r="BG5" s="17" t="s">
        <v>23</v>
      </c>
      <c r="BH5" s="17" t="s">
        <v>23</v>
      </c>
      <c r="BI5" s="17" t="s">
        <v>23</v>
      </c>
      <c r="BJ5" s="17" t="s">
        <v>23</v>
      </c>
      <c r="BK5" s="20">
        <v>0.375</v>
      </c>
      <c r="BL5" s="20">
        <v>0.791666666667879</v>
      </c>
      <c r="BM5" s="20">
        <v>0.375</v>
      </c>
      <c r="BN5" s="20">
        <v>0.791666666667879</v>
      </c>
      <c r="BO5" s="21">
        <f>IFERROR(__xludf.DUMMYFUNCTION("TO_PURE_NUMBER(SUM(FILTER(G5:BN5, ISEVEN(COLUMN(G5:BN5))))-SUM(FILTER(G5:BN5, ISODD(COLUMN(G5:BN5)))))*24"),200.000000000407)</f>
        <v>200.000000000407</v>
      </c>
      <c r="BP5" s="17"/>
      <c r="BQ5" s="17"/>
      <c r="BR5" s="17"/>
      <c r="BS5" s="17"/>
      <c r="BT5" s="17"/>
      <c r="BU5" s="17"/>
      <c r="BV5" s="17"/>
      <c r="BW5" s="17"/>
      <c r="BX5" s="17"/>
    </row>
    <row r="6" customHeight="1" spans="1:76">
      <c r="A6" s="7">
        <v>10317522</v>
      </c>
      <c r="B6" s="7" t="s">
        <v>31</v>
      </c>
      <c r="C6" s="7" t="str">
        <f t="array" ref="C6">_xlfn.XLOOKUP($A6,'WK 48'!A:A,'WK 48'!C:C,"")</f>
        <v>CSR</v>
      </c>
      <c r="D6" s="7" t="str">
        <f t="array" ref="D6">_xlfn.XLOOKUP($A6,'WK 48'!$A:$A,'WK 48'!D:D,"")</f>
        <v>Production</v>
      </c>
      <c r="E6" s="8" t="str">
        <f t="array" ref="E6">_xlfn.XLOOKUP($A6,'WK 48'!$A:$A,'WK 48'!E:E,"")</f>
        <v>FT</v>
      </c>
      <c r="F6" s="9">
        <f t="array" ref="F6">_xlfn.XLOOKUP($A6,'WK 48'!$A:$A,'WK 48'!F:F,"")</f>
        <v>2</v>
      </c>
      <c r="G6" s="8">
        <v>0.375</v>
      </c>
      <c r="H6" s="8">
        <v>0.791666666667879</v>
      </c>
      <c r="I6" s="8">
        <v>0.375</v>
      </c>
      <c r="J6" s="8">
        <v>0.791666666667879</v>
      </c>
      <c r="K6" s="8">
        <v>0.375</v>
      </c>
      <c r="L6" s="8">
        <v>0.791666666667879</v>
      </c>
      <c r="M6" s="8">
        <v>0.375</v>
      </c>
      <c r="N6" s="8">
        <v>0.791666666667879</v>
      </c>
      <c r="O6" s="7" t="s">
        <v>23</v>
      </c>
      <c r="P6" s="7" t="s">
        <v>23</v>
      </c>
      <c r="Q6" s="7" t="s">
        <v>23</v>
      </c>
      <c r="R6" s="7" t="s">
        <v>23</v>
      </c>
      <c r="S6" s="8">
        <v>0.458333333332121</v>
      </c>
      <c r="T6" s="8">
        <v>0.666666666667879</v>
      </c>
      <c r="U6" s="20">
        <v>0.458333333332121</v>
      </c>
      <c r="V6" s="20">
        <v>0.875</v>
      </c>
      <c r="W6" s="20">
        <v>0.458333333332121</v>
      </c>
      <c r="X6" s="20">
        <v>0.875</v>
      </c>
      <c r="Y6" s="20">
        <v>0.458333333332121</v>
      </c>
      <c r="Z6" s="20">
        <v>0.875</v>
      </c>
      <c r="AA6" s="20">
        <v>0.458333333332121</v>
      </c>
      <c r="AB6" s="20">
        <v>0.875</v>
      </c>
      <c r="AC6" s="17" t="s">
        <v>23</v>
      </c>
      <c r="AD6" s="17" t="s">
        <v>23</v>
      </c>
      <c r="AE6" s="17" t="s">
        <v>23</v>
      </c>
      <c r="AF6" s="17" t="s">
        <v>23</v>
      </c>
      <c r="AG6" s="20">
        <v>0.458333333332121</v>
      </c>
      <c r="AH6" s="20">
        <v>0.666666666667879</v>
      </c>
      <c r="AI6" s="20">
        <v>0.416666666667879</v>
      </c>
      <c r="AJ6" s="20">
        <v>0.833333333332121</v>
      </c>
      <c r="AK6" s="20">
        <v>0.416666666667879</v>
      </c>
      <c r="AL6" s="20">
        <v>0.833333333332121</v>
      </c>
      <c r="AM6" s="20">
        <v>0.416666666667879</v>
      </c>
      <c r="AN6" s="20">
        <v>0.833333333332121</v>
      </c>
      <c r="AO6" s="20">
        <v>0.416666666667879</v>
      </c>
      <c r="AP6" s="20">
        <v>0.833333333332121</v>
      </c>
      <c r="AQ6" s="17" t="s">
        <v>23</v>
      </c>
      <c r="AR6" s="17" t="s">
        <v>23</v>
      </c>
      <c r="AS6" s="17" t="s">
        <v>23</v>
      </c>
      <c r="AT6" s="17" t="s">
        <v>23</v>
      </c>
      <c r="AU6" s="20">
        <v>0.458333333332121</v>
      </c>
      <c r="AV6" s="20">
        <v>0.666666666667879</v>
      </c>
      <c r="AW6" s="20">
        <v>0.5</v>
      </c>
      <c r="AX6" s="20">
        <v>0.875</v>
      </c>
      <c r="AY6" s="20">
        <v>0.5</v>
      </c>
      <c r="AZ6" s="20">
        <v>0.875</v>
      </c>
      <c r="BA6" s="20">
        <v>0.5</v>
      </c>
      <c r="BB6" s="20">
        <v>0.875</v>
      </c>
      <c r="BC6" s="20">
        <v>0.5</v>
      </c>
      <c r="BD6" s="20">
        <v>0.875</v>
      </c>
      <c r="BE6" s="20">
        <v>0.5</v>
      </c>
      <c r="BF6" s="20">
        <v>0.875</v>
      </c>
      <c r="BG6" s="17" t="s">
        <v>23</v>
      </c>
      <c r="BH6" s="17" t="s">
        <v>23</v>
      </c>
      <c r="BI6" s="17" t="s">
        <v>23</v>
      </c>
      <c r="BJ6" s="17" t="s">
        <v>23</v>
      </c>
      <c r="BK6" s="20">
        <v>0.375</v>
      </c>
      <c r="BL6" s="20">
        <v>0.75</v>
      </c>
      <c r="BM6" s="20">
        <v>0.375</v>
      </c>
      <c r="BN6" s="20">
        <v>0.75</v>
      </c>
      <c r="BO6" s="21">
        <f>IFERROR(__xludf.DUMMYFUNCTION("TO_PURE_NUMBER(SUM(FILTER(G6:BN6, ISEVEN(COLUMN(G6:BN6))))-SUM(FILTER(G6:BN6, ISODD(COLUMN(G6:BN6)))))*24"),198.000000000174)</f>
        <v>198.000000000174</v>
      </c>
      <c r="BP6" s="17"/>
      <c r="BQ6" s="17"/>
      <c r="BR6" s="17"/>
      <c r="BS6" s="17"/>
      <c r="BT6" s="17"/>
      <c r="BU6" s="17"/>
      <c r="BV6" s="17"/>
      <c r="BW6" s="17"/>
      <c r="BX6" s="17"/>
    </row>
    <row r="7" customHeight="1" spans="1:76">
      <c r="A7" s="7">
        <v>10316549</v>
      </c>
      <c r="B7" s="7" t="s">
        <v>19</v>
      </c>
      <c r="C7" s="7" t="str">
        <f t="array" ref="C7">_xlfn.XLOOKUP($A7,'WK 48'!A:A,'WK 48'!C:C,"")</f>
        <v>CSR</v>
      </c>
      <c r="D7" s="7" t="str">
        <f t="array" ref="D7">_xlfn.XLOOKUP($A7,'WK 48'!$A:$A,'WK 48'!D:D,"")</f>
        <v>B2B</v>
      </c>
      <c r="E7" s="8" t="str">
        <f t="array" ref="E7">_xlfn.XLOOKUP($A7,'WK 48'!$A:$A,'WK 48'!E:E,"")</f>
        <v>FT</v>
      </c>
      <c r="F7" s="9">
        <f t="array" ref="F7">_xlfn.XLOOKUP($A7,'WK 48'!$A:$A,'WK 48'!F:F,"")</f>
        <v>1</v>
      </c>
      <c r="G7" s="8">
        <v>0.375</v>
      </c>
      <c r="H7" s="8">
        <v>0.75</v>
      </c>
      <c r="I7" s="8">
        <v>0.375</v>
      </c>
      <c r="J7" s="8">
        <v>0.75</v>
      </c>
      <c r="K7" s="8">
        <v>0.375</v>
      </c>
      <c r="L7" s="8">
        <v>0.75</v>
      </c>
      <c r="M7" s="8">
        <v>0.375</v>
      </c>
      <c r="N7" s="8">
        <v>0.75</v>
      </c>
      <c r="O7" s="8">
        <v>0.375</v>
      </c>
      <c r="P7" s="8">
        <v>0.75</v>
      </c>
      <c r="Q7" s="7" t="s">
        <v>23</v>
      </c>
      <c r="R7" s="7" t="s">
        <v>23</v>
      </c>
      <c r="S7" s="7" t="s">
        <v>23</v>
      </c>
      <c r="T7" s="7" t="s">
        <v>23</v>
      </c>
      <c r="U7" s="20">
        <v>0.5</v>
      </c>
      <c r="V7" s="20">
        <v>0.875</v>
      </c>
      <c r="W7" s="20">
        <v>0.5</v>
      </c>
      <c r="X7" s="20">
        <v>0.875</v>
      </c>
      <c r="Y7" s="20">
        <v>0.5</v>
      </c>
      <c r="Z7" s="20">
        <v>0.875</v>
      </c>
      <c r="AA7" s="20">
        <v>0.5</v>
      </c>
      <c r="AB7" s="20">
        <v>0.875</v>
      </c>
      <c r="AC7" s="20">
        <v>0.5</v>
      </c>
      <c r="AD7" s="20">
        <v>0.875</v>
      </c>
      <c r="AE7" s="17" t="s">
        <v>23</v>
      </c>
      <c r="AF7" s="17" t="s">
        <v>23</v>
      </c>
      <c r="AG7" s="17" t="s">
        <v>23</v>
      </c>
      <c r="AH7" s="17" t="s">
        <v>23</v>
      </c>
      <c r="AI7" s="20">
        <v>0.375</v>
      </c>
      <c r="AJ7" s="20">
        <v>0.75</v>
      </c>
      <c r="AK7" s="20">
        <v>0.375</v>
      </c>
      <c r="AL7" s="20">
        <v>0.75</v>
      </c>
      <c r="AM7" s="20">
        <v>0.375</v>
      </c>
      <c r="AN7" s="20">
        <v>0.75</v>
      </c>
      <c r="AO7" s="20">
        <v>0.375</v>
      </c>
      <c r="AP7" s="20">
        <v>0.75</v>
      </c>
      <c r="AQ7" s="20">
        <v>0.375</v>
      </c>
      <c r="AR7" s="20">
        <v>0.75</v>
      </c>
      <c r="AS7" s="17" t="s">
        <v>23</v>
      </c>
      <c r="AT7" s="17" t="s">
        <v>23</v>
      </c>
      <c r="AU7" s="17" t="s">
        <v>23</v>
      </c>
      <c r="AV7" s="17" t="s">
        <v>23</v>
      </c>
      <c r="AW7" s="20">
        <v>0.5</v>
      </c>
      <c r="AX7" s="20">
        <v>0.875</v>
      </c>
      <c r="AY7" s="20">
        <v>0.5</v>
      </c>
      <c r="AZ7" s="20">
        <v>0.875</v>
      </c>
      <c r="BA7" s="20">
        <v>0.5</v>
      </c>
      <c r="BB7" s="20">
        <v>0.875</v>
      </c>
      <c r="BC7" s="20">
        <v>0.5</v>
      </c>
      <c r="BD7" s="20">
        <v>0.875</v>
      </c>
      <c r="BE7" s="20">
        <v>0.5</v>
      </c>
      <c r="BF7" s="20">
        <v>0.875</v>
      </c>
      <c r="BG7" s="17" t="s">
        <v>23</v>
      </c>
      <c r="BH7" s="17" t="s">
        <v>23</v>
      </c>
      <c r="BI7" s="17" t="s">
        <v>23</v>
      </c>
      <c r="BJ7" s="17" t="s">
        <v>23</v>
      </c>
      <c r="BK7" s="20">
        <v>0.375</v>
      </c>
      <c r="BL7" s="20">
        <v>0.75</v>
      </c>
      <c r="BM7" s="20">
        <v>0.375</v>
      </c>
      <c r="BN7" s="20">
        <v>0.75</v>
      </c>
      <c r="BO7" s="21">
        <f>IFERROR(__xludf.DUMMYFUNCTION("TO_PURE_NUMBER(SUM(FILTER(G7:BN7, ISEVEN(COLUMN(G7:BN7))))-SUM(FILTER(G7:BN7, ISODD(COLUMN(G7:BN7)))))*24"),198)</f>
        <v>198</v>
      </c>
      <c r="BP7" s="17"/>
      <c r="BQ7" s="17"/>
      <c r="BR7" s="17"/>
      <c r="BS7" s="17"/>
      <c r="BT7" s="17"/>
      <c r="BU7" s="17"/>
      <c r="BV7" s="17"/>
      <c r="BW7" s="17"/>
      <c r="BX7" s="17"/>
    </row>
    <row r="8" customHeight="1" spans="1:76">
      <c r="A8" s="7">
        <v>10320413</v>
      </c>
      <c r="B8" s="7" t="s">
        <v>60</v>
      </c>
      <c r="C8" s="7" t="str">
        <f t="array" ref="C8">_xlfn.XLOOKUP($A8,'WK 48'!A:A,'WK 48'!C:C,"")</f>
        <v>CSR</v>
      </c>
      <c r="D8" s="7" t="str">
        <f t="array" ref="D8">_xlfn.XLOOKUP($A8,'WK 48'!$A:$A,'WK 48'!D:D,"")</f>
        <v>Production</v>
      </c>
      <c r="E8" s="8" t="str">
        <f t="array" ref="E8">_xlfn.XLOOKUP($A8,'WK 48'!$A:$A,'WK 48'!E:E,"")</f>
        <v>FT</v>
      </c>
      <c r="F8" s="9">
        <f t="array" ref="F8">_xlfn.XLOOKUP($A8,'WK 48'!$A:$A,'WK 48'!F:F,"")</f>
        <v>3</v>
      </c>
      <c r="G8" s="8">
        <v>0.375</v>
      </c>
      <c r="H8" s="8">
        <v>0.791666666667879</v>
      </c>
      <c r="I8" s="8">
        <v>0.375</v>
      </c>
      <c r="J8" s="8">
        <v>0.791666666667879</v>
      </c>
      <c r="K8" s="8">
        <v>0.375</v>
      </c>
      <c r="L8" s="8">
        <v>0.791666666667879</v>
      </c>
      <c r="M8" s="8">
        <v>0.375</v>
      </c>
      <c r="N8" s="8">
        <v>0.791666666667879</v>
      </c>
      <c r="O8" s="7" t="s">
        <v>23</v>
      </c>
      <c r="P8" s="7" t="s">
        <v>23</v>
      </c>
      <c r="Q8" s="7" t="s">
        <v>23</v>
      </c>
      <c r="R8" s="7" t="s">
        <v>23</v>
      </c>
      <c r="S8" s="8">
        <v>0.458333333332121</v>
      </c>
      <c r="T8" s="8">
        <v>0.666666666667879</v>
      </c>
      <c r="U8" s="20">
        <v>0.5</v>
      </c>
      <c r="V8" s="20">
        <v>0.875</v>
      </c>
      <c r="W8" s="20">
        <v>0.5</v>
      </c>
      <c r="X8" s="20">
        <v>0.875</v>
      </c>
      <c r="Y8" s="20">
        <v>0.5</v>
      </c>
      <c r="Z8" s="20">
        <v>0.875</v>
      </c>
      <c r="AA8" s="20">
        <v>0.5</v>
      </c>
      <c r="AB8" s="20">
        <v>0.875</v>
      </c>
      <c r="AC8" s="20">
        <v>0.5</v>
      </c>
      <c r="AD8" s="20">
        <v>0.875</v>
      </c>
      <c r="AE8" s="17" t="s">
        <v>23</v>
      </c>
      <c r="AF8" s="17" t="s">
        <v>23</v>
      </c>
      <c r="AG8" s="17" t="s">
        <v>23</v>
      </c>
      <c r="AH8" s="17" t="s">
        <v>23</v>
      </c>
      <c r="AI8" s="20">
        <v>0.375</v>
      </c>
      <c r="AJ8" s="20">
        <v>0.791666666667879</v>
      </c>
      <c r="AK8" s="20">
        <v>0.375</v>
      </c>
      <c r="AL8" s="20">
        <v>0.791666666667879</v>
      </c>
      <c r="AM8" s="20">
        <v>0.375</v>
      </c>
      <c r="AN8" s="20">
        <v>0.791666666667879</v>
      </c>
      <c r="AO8" s="20">
        <v>0.375</v>
      </c>
      <c r="AP8" s="20">
        <v>0.791666666667879</v>
      </c>
      <c r="AQ8" s="17" t="s">
        <v>23</v>
      </c>
      <c r="AR8" s="17" t="s">
        <v>23</v>
      </c>
      <c r="AS8" s="17" t="s">
        <v>23</v>
      </c>
      <c r="AT8" s="17" t="s">
        <v>23</v>
      </c>
      <c r="AU8" s="20">
        <v>0.458333333332121</v>
      </c>
      <c r="AV8" s="20">
        <v>0.666666666667879</v>
      </c>
      <c r="AW8" s="20">
        <v>0.458333333332121</v>
      </c>
      <c r="AX8" s="20">
        <v>0.875</v>
      </c>
      <c r="AY8" s="20">
        <v>0.458333333332121</v>
      </c>
      <c r="AZ8" s="20">
        <v>0.875</v>
      </c>
      <c r="BA8" s="20">
        <v>0.458333333332121</v>
      </c>
      <c r="BB8" s="20">
        <v>0.875</v>
      </c>
      <c r="BC8" s="20">
        <v>0.458333333332121</v>
      </c>
      <c r="BD8" s="20">
        <v>0.875</v>
      </c>
      <c r="BE8" s="17" t="s">
        <v>23</v>
      </c>
      <c r="BF8" s="17" t="s">
        <v>23</v>
      </c>
      <c r="BG8" s="17" t="s">
        <v>23</v>
      </c>
      <c r="BH8" s="17" t="s">
        <v>23</v>
      </c>
      <c r="BI8" s="20">
        <v>0.458333333332121</v>
      </c>
      <c r="BJ8" s="20">
        <v>0.666666666667879</v>
      </c>
      <c r="BK8" s="20">
        <v>0.375</v>
      </c>
      <c r="BL8" s="20">
        <v>0.75</v>
      </c>
      <c r="BM8" s="20">
        <v>0.375</v>
      </c>
      <c r="BN8" s="20">
        <v>0.75</v>
      </c>
      <c r="BO8" s="21">
        <f>IFERROR(__xludf.DUMMYFUNCTION("TO_PURE_NUMBER(SUM(FILTER(G8:BN8, ISEVEN(COLUMN(G8:BN8))))-SUM(FILTER(G8:BN8, ISODD(COLUMN(G8:BN8)))))*24"),198.000000000523)</f>
        <v>198.000000000523</v>
      </c>
      <c r="BP8" s="17"/>
      <c r="BQ8" s="17"/>
      <c r="BR8" s="17"/>
      <c r="BS8" s="17"/>
      <c r="BT8" s="17"/>
      <c r="BU8" s="17"/>
      <c r="BV8" s="17"/>
      <c r="BW8" s="17"/>
      <c r="BX8" s="17"/>
    </row>
    <row r="9" customHeight="1" spans="1:76">
      <c r="A9" s="7">
        <v>10320408</v>
      </c>
      <c r="B9" s="7" t="s">
        <v>56</v>
      </c>
      <c r="C9" s="7" t="str">
        <f t="array" ref="C9">_xlfn.XLOOKUP($A9,'WK 48'!A:A,'WK 48'!C:C,"")</f>
        <v>CSR</v>
      </c>
      <c r="D9" s="7" t="str">
        <f t="array" ref="D9">_xlfn.XLOOKUP($A9,'WK 48'!$A:$A,'WK 48'!D:D,"")</f>
        <v>Production</v>
      </c>
      <c r="E9" s="8" t="str">
        <f t="array" ref="E9">_xlfn.XLOOKUP($A9,'WK 48'!$A:$A,'WK 48'!E:E,"")</f>
        <v>FT</v>
      </c>
      <c r="F9" s="9">
        <f t="array" ref="F9">_xlfn.XLOOKUP($A9,'WK 48'!$A:$A,'WK 48'!F:F,"")</f>
        <v>3</v>
      </c>
      <c r="G9" s="8">
        <v>0.666666666667879</v>
      </c>
      <c r="H9" s="8">
        <v>0.875</v>
      </c>
      <c r="I9" s="7" t="s">
        <v>23</v>
      </c>
      <c r="J9" s="7" t="s">
        <v>23</v>
      </c>
      <c r="K9" s="7" t="s">
        <v>23</v>
      </c>
      <c r="L9" s="7" t="s">
        <v>23</v>
      </c>
      <c r="M9" s="8">
        <v>0.666666666667879</v>
      </c>
      <c r="N9" s="8">
        <v>0.875</v>
      </c>
      <c r="O9" s="8">
        <v>0.666666666667879</v>
      </c>
      <c r="P9" s="8">
        <v>0.875</v>
      </c>
      <c r="Q9" s="8">
        <v>0.458333333332121</v>
      </c>
      <c r="R9" s="8">
        <v>0.666666666667879</v>
      </c>
      <c r="S9" s="8">
        <v>0.458333333332121</v>
      </c>
      <c r="T9" s="8">
        <v>0.666666666667879</v>
      </c>
      <c r="U9" s="20">
        <v>0.375</v>
      </c>
      <c r="V9" s="20">
        <v>0.583333333332121</v>
      </c>
      <c r="W9" s="17" t="s">
        <v>23</v>
      </c>
      <c r="X9" s="17" t="s">
        <v>23</v>
      </c>
      <c r="Y9" s="17" t="s">
        <v>23</v>
      </c>
      <c r="Z9" s="17" t="s">
        <v>23</v>
      </c>
      <c r="AA9" s="20">
        <v>0.375</v>
      </c>
      <c r="AB9" s="20">
        <v>0.583333333332121</v>
      </c>
      <c r="AC9" s="20">
        <v>0.375</v>
      </c>
      <c r="AD9" s="20">
        <v>0.583333333332121</v>
      </c>
      <c r="AE9" s="20">
        <v>0.458333333332121</v>
      </c>
      <c r="AF9" s="20">
        <v>0.666666666667879</v>
      </c>
      <c r="AG9" s="20">
        <v>0.458333333332121</v>
      </c>
      <c r="AH9" s="20">
        <v>0.666666666667879</v>
      </c>
      <c r="AI9" s="20">
        <v>0.666666666667879</v>
      </c>
      <c r="AJ9" s="20">
        <v>0.875</v>
      </c>
      <c r="AK9" s="17" t="s">
        <v>23</v>
      </c>
      <c r="AL9" s="17" t="s">
        <v>23</v>
      </c>
      <c r="AM9" s="17" t="s">
        <v>23</v>
      </c>
      <c r="AN9" s="17" t="s">
        <v>23</v>
      </c>
      <c r="AO9" s="20">
        <v>0.666666666667879</v>
      </c>
      <c r="AP9" s="20">
        <v>0.875</v>
      </c>
      <c r="AQ9" s="20">
        <v>0.666666666667879</v>
      </c>
      <c r="AR9" s="20">
        <v>0.875</v>
      </c>
      <c r="AS9" s="20">
        <v>0.458333333332121</v>
      </c>
      <c r="AT9" s="20">
        <v>0.666666666667879</v>
      </c>
      <c r="AU9" s="20">
        <v>0.458333333332121</v>
      </c>
      <c r="AV9" s="20">
        <v>0.666666666667879</v>
      </c>
      <c r="AW9" s="20">
        <v>0.375</v>
      </c>
      <c r="AX9" s="20">
        <v>0.583333333332121</v>
      </c>
      <c r="AY9" s="17" t="s">
        <v>23</v>
      </c>
      <c r="AZ9" s="17" t="s">
        <v>23</v>
      </c>
      <c r="BA9" s="17" t="s">
        <v>23</v>
      </c>
      <c r="BB9" s="17" t="s">
        <v>23</v>
      </c>
      <c r="BC9" s="20">
        <v>0.375</v>
      </c>
      <c r="BD9" s="20">
        <v>0.583333333332121</v>
      </c>
      <c r="BE9" s="20">
        <v>0.375</v>
      </c>
      <c r="BF9" s="20">
        <v>0.583333333332121</v>
      </c>
      <c r="BG9" s="20">
        <v>0.458333333332121</v>
      </c>
      <c r="BH9" s="20">
        <v>0.666666666667879</v>
      </c>
      <c r="BI9" s="20">
        <v>0.458333333332121</v>
      </c>
      <c r="BJ9" s="20">
        <v>0.666666666667879</v>
      </c>
      <c r="BK9" s="20">
        <v>0.666666666667879</v>
      </c>
      <c r="BL9" s="20">
        <v>0.875</v>
      </c>
      <c r="BM9" s="17" t="s">
        <v>23</v>
      </c>
      <c r="BN9" s="17" t="s">
        <v>23</v>
      </c>
      <c r="BO9" s="21">
        <f>IFERROR(__xludf.DUMMYFUNCTION("TO_PURE_NUMBER(SUM(FILTER(G9:BN9, ISEVEN(COLUMN(G9:BN9))))-SUM(FILTER(G9:BN9, ISODD(COLUMN(G9:BN9)))))*24"),105.000000000087)</f>
        <v>105.000000000087</v>
      </c>
      <c r="BP9" s="17"/>
      <c r="BQ9" s="17"/>
      <c r="BR9" s="17"/>
      <c r="BS9" s="17"/>
      <c r="BT9" s="17"/>
      <c r="BU9" s="17"/>
      <c r="BV9" s="17"/>
      <c r="BW9" s="17"/>
      <c r="BX9" s="17"/>
    </row>
    <row r="10" customHeight="1" spans="1:76">
      <c r="A10" s="7">
        <v>10317147</v>
      </c>
      <c r="B10" s="7" t="s">
        <v>24</v>
      </c>
      <c r="C10" s="7" t="str">
        <f t="array" ref="C10">_xlfn.XLOOKUP($A10,'WK 48'!A:A,'WK 48'!C:C,"")</f>
        <v>CSR</v>
      </c>
      <c r="D10" s="7" t="str">
        <f t="array" ref="D10">_xlfn.XLOOKUP($A10,'WK 48'!$A:$A,'WK 48'!D:D,"")</f>
        <v>Production</v>
      </c>
      <c r="E10" s="8" t="str">
        <f t="array" ref="E10">_xlfn.XLOOKUP($A10,'WK 48'!$A:$A,'WK 48'!E:E,"")</f>
        <v>FT</v>
      </c>
      <c r="F10" s="9">
        <f t="array" ref="F10">_xlfn.XLOOKUP($A10,'WK 48'!$A:$A,'WK 48'!F:F,"")</f>
        <v>1</v>
      </c>
      <c r="G10" s="7" t="s">
        <v>23</v>
      </c>
      <c r="H10" s="7" t="s">
        <v>23</v>
      </c>
      <c r="I10" s="8">
        <v>0.375</v>
      </c>
      <c r="J10" s="8">
        <v>0.791666666667879</v>
      </c>
      <c r="K10" s="8">
        <v>0.375</v>
      </c>
      <c r="L10" s="8">
        <v>0.791666666667879</v>
      </c>
      <c r="M10" s="8">
        <v>0.375</v>
      </c>
      <c r="N10" s="8">
        <v>0.791666666667879</v>
      </c>
      <c r="O10" s="8">
        <v>0.375</v>
      </c>
      <c r="P10" s="8">
        <v>0.791666666667879</v>
      </c>
      <c r="Q10" s="8">
        <v>0.458333333332121</v>
      </c>
      <c r="R10" s="8">
        <v>0.666666666667879</v>
      </c>
      <c r="S10" s="7" t="s">
        <v>23</v>
      </c>
      <c r="T10" s="7" t="s">
        <v>23</v>
      </c>
      <c r="U10" s="17" t="s">
        <v>23</v>
      </c>
      <c r="V10" s="17" t="s">
        <v>23</v>
      </c>
      <c r="W10" s="20">
        <v>0.458333333332121</v>
      </c>
      <c r="X10" s="20">
        <v>0.875</v>
      </c>
      <c r="Y10" s="20">
        <v>0.458333333332121</v>
      </c>
      <c r="Z10" s="20">
        <v>0.875</v>
      </c>
      <c r="AA10" s="20">
        <v>0.458333333332121</v>
      </c>
      <c r="AB10" s="20">
        <v>0.875</v>
      </c>
      <c r="AC10" s="20">
        <v>0.458333333332121</v>
      </c>
      <c r="AD10" s="20">
        <v>0.875</v>
      </c>
      <c r="AE10" s="20">
        <v>0.458333333332121</v>
      </c>
      <c r="AF10" s="20">
        <v>0.666666666667879</v>
      </c>
      <c r="AG10" s="17" t="s">
        <v>23</v>
      </c>
      <c r="AH10" s="17" t="s">
        <v>23</v>
      </c>
      <c r="AI10" s="17" t="s">
        <v>23</v>
      </c>
      <c r="AJ10" s="17" t="s">
        <v>23</v>
      </c>
      <c r="AK10" s="20">
        <v>0.375</v>
      </c>
      <c r="AL10" s="20">
        <v>0.791666666667879</v>
      </c>
      <c r="AM10" s="20">
        <v>0.375</v>
      </c>
      <c r="AN10" s="20">
        <v>0.791666666667879</v>
      </c>
      <c r="AO10" s="20">
        <v>0.375</v>
      </c>
      <c r="AP10" s="20">
        <v>0.791666666667879</v>
      </c>
      <c r="AQ10" s="20">
        <v>0.375</v>
      </c>
      <c r="AR10" s="20">
        <v>0.791666666667879</v>
      </c>
      <c r="AS10" s="20">
        <v>0.458333333332121</v>
      </c>
      <c r="AT10" s="20">
        <v>0.666666666667879</v>
      </c>
      <c r="AU10" s="17" t="s">
        <v>23</v>
      </c>
      <c r="AV10" s="17" t="s">
        <v>23</v>
      </c>
      <c r="AW10" s="17" t="s">
        <v>23</v>
      </c>
      <c r="AX10" s="17" t="s">
        <v>23</v>
      </c>
      <c r="AY10" s="20">
        <v>0.458333333332121</v>
      </c>
      <c r="AZ10" s="20">
        <v>0.875</v>
      </c>
      <c r="BA10" s="20">
        <v>0.458333333332121</v>
      </c>
      <c r="BB10" s="20">
        <v>0.875</v>
      </c>
      <c r="BC10" s="20">
        <v>0.458333333332121</v>
      </c>
      <c r="BD10" s="20">
        <v>0.875</v>
      </c>
      <c r="BE10" s="20">
        <v>0.458333333332121</v>
      </c>
      <c r="BF10" s="20">
        <v>0.875</v>
      </c>
      <c r="BG10" s="20">
        <v>0.458333333332121</v>
      </c>
      <c r="BH10" s="20">
        <v>0.666666666667879</v>
      </c>
      <c r="BI10" s="17" t="s">
        <v>23</v>
      </c>
      <c r="BJ10" s="17" t="s">
        <v>23</v>
      </c>
      <c r="BK10" s="17" t="s">
        <v>23</v>
      </c>
      <c r="BL10" s="17" t="s">
        <v>23</v>
      </c>
      <c r="BM10" s="20">
        <v>0.375</v>
      </c>
      <c r="BN10" s="20">
        <v>0.791666666667879</v>
      </c>
      <c r="BO10" s="21">
        <f>IFERROR(__xludf.DUMMYFUNCTION("TO_PURE_NUMBER(SUM(FILTER(G10:BN10, ISEVEN(COLUMN(G10:BN10))))-SUM(FILTER(G10:BN10, ISODD(COLUMN(G10:BN10)))))*24"),190.000000000727)</f>
        <v>190.000000000727</v>
      </c>
      <c r="BP10" s="17"/>
      <c r="BQ10" s="17"/>
      <c r="BR10" s="17"/>
      <c r="BS10" s="17"/>
      <c r="BT10" s="17"/>
      <c r="BU10" s="17"/>
      <c r="BV10" s="17"/>
      <c r="BW10" s="17"/>
      <c r="BX10" s="17"/>
    </row>
    <row r="11" customHeight="1" spans="1:76">
      <c r="A11" s="7">
        <v>10272259</v>
      </c>
      <c r="B11" s="7" t="s">
        <v>32</v>
      </c>
      <c r="C11" s="7" t="str">
        <f t="array" ref="C11">_xlfn.XLOOKUP($A11,'WK 48'!A:A,'WK 48'!C:C,"")</f>
        <v>CSR</v>
      </c>
      <c r="D11" s="7" t="str">
        <f t="array" ref="D11">_xlfn.XLOOKUP($A11,'WK 48'!$A:$A,'WK 48'!D:D,"")</f>
        <v>Production</v>
      </c>
      <c r="E11" s="8" t="str">
        <f t="array" ref="E11">_xlfn.XLOOKUP($A11,'WK 48'!$A:$A,'WK 48'!E:E,"")</f>
        <v>FT</v>
      </c>
      <c r="F11" s="9">
        <f t="array" ref="F11">_xlfn.XLOOKUP($A11,'WK 48'!$A:$A,'WK 48'!F:F,"")</f>
        <v>2</v>
      </c>
      <c r="G11" s="8">
        <v>0.375</v>
      </c>
      <c r="H11" s="8">
        <v>0.75</v>
      </c>
      <c r="I11" s="7" t="s">
        <v>23</v>
      </c>
      <c r="J11" s="7" t="s">
        <v>23</v>
      </c>
      <c r="K11" s="7" t="s">
        <v>23</v>
      </c>
      <c r="L11" s="7" t="s">
        <v>23</v>
      </c>
      <c r="M11" s="8">
        <v>0.375</v>
      </c>
      <c r="N11" s="8">
        <v>0.75</v>
      </c>
      <c r="O11" s="8">
        <v>0.375</v>
      </c>
      <c r="P11" s="8">
        <v>0.75</v>
      </c>
      <c r="Q11" s="8">
        <v>0.458333333332121</v>
      </c>
      <c r="R11" s="8">
        <v>0.666666666667879</v>
      </c>
      <c r="S11" s="8">
        <v>0.458333333332121</v>
      </c>
      <c r="T11" s="8">
        <v>0.666666666667879</v>
      </c>
      <c r="U11" s="20">
        <v>0.5</v>
      </c>
      <c r="V11" s="20">
        <v>0.875</v>
      </c>
      <c r="W11" s="17" t="s">
        <v>23</v>
      </c>
      <c r="X11" s="17" t="s">
        <v>23</v>
      </c>
      <c r="Y11" s="17" t="s">
        <v>23</v>
      </c>
      <c r="Z11" s="17" t="s">
        <v>23</v>
      </c>
      <c r="AA11" s="20">
        <v>0.5</v>
      </c>
      <c r="AB11" s="20">
        <v>0.875</v>
      </c>
      <c r="AC11" s="20">
        <v>0.5</v>
      </c>
      <c r="AD11" s="20">
        <v>0.875</v>
      </c>
      <c r="AE11" s="20">
        <v>0.458333333332121</v>
      </c>
      <c r="AF11" s="20">
        <v>0.666666666667879</v>
      </c>
      <c r="AG11" s="20">
        <v>0.458333333332121</v>
      </c>
      <c r="AH11" s="20">
        <v>0.666666666667879</v>
      </c>
      <c r="AI11" s="20">
        <v>0.375</v>
      </c>
      <c r="AJ11" s="20">
        <v>0.75</v>
      </c>
      <c r="AK11" s="17" t="s">
        <v>23</v>
      </c>
      <c r="AL11" s="17" t="s">
        <v>23</v>
      </c>
      <c r="AM11" s="17" t="s">
        <v>23</v>
      </c>
      <c r="AN11" s="17" t="s">
        <v>23</v>
      </c>
      <c r="AO11" s="20">
        <v>0.375</v>
      </c>
      <c r="AP11" s="20">
        <v>0.75</v>
      </c>
      <c r="AQ11" s="20">
        <v>0.375</v>
      </c>
      <c r="AR11" s="20">
        <v>0.75</v>
      </c>
      <c r="AS11" s="20">
        <v>0.458333333332121</v>
      </c>
      <c r="AT11" s="20">
        <v>0.666666666667879</v>
      </c>
      <c r="AU11" s="20">
        <v>0.458333333332121</v>
      </c>
      <c r="AV11" s="20">
        <v>0.666666666667879</v>
      </c>
      <c r="AW11" s="20">
        <v>0.5</v>
      </c>
      <c r="AX11" s="20">
        <v>0.875</v>
      </c>
      <c r="AY11" s="17" t="s">
        <v>23</v>
      </c>
      <c r="AZ11" s="17" t="s">
        <v>23</v>
      </c>
      <c r="BA11" s="17" t="s">
        <v>23</v>
      </c>
      <c r="BB11" s="17" t="s">
        <v>23</v>
      </c>
      <c r="BC11" s="20">
        <v>0.5</v>
      </c>
      <c r="BD11" s="20">
        <v>0.875</v>
      </c>
      <c r="BE11" s="20">
        <v>0.5</v>
      </c>
      <c r="BF11" s="20">
        <v>0.875</v>
      </c>
      <c r="BG11" s="20">
        <v>0.458333333332121</v>
      </c>
      <c r="BH11" s="20">
        <v>0.666666666667879</v>
      </c>
      <c r="BI11" s="20">
        <v>0.458333333332121</v>
      </c>
      <c r="BJ11" s="20">
        <v>0.666666666667879</v>
      </c>
      <c r="BK11" s="20">
        <v>0.375</v>
      </c>
      <c r="BL11" s="20">
        <v>0.75</v>
      </c>
      <c r="BM11" s="17" t="s">
        <v>23</v>
      </c>
      <c r="BN11" s="17" t="s">
        <v>23</v>
      </c>
      <c r="BO11" s="21">
        <f>IFERROR(__xludf.DUMMYFUNCTION("TO_PURE_NUMBER(SUM(FILTER(G11:BN11, ISEVEN(COLUMN(G11:BN11))))-SUM(FILTER(G11:BN11, ISODD(COLUMN(G11:BN11)))))*24"),157.000000000465)</f>
        <v>157.000000000465</v>
      </c>
      <c r="BP11" s="17"/>
      <c r="BQ11" s="17"/>
      <c r="BR11" s="17"/>
      <c r="BS11" s="17"/>
      <c r="BT11" s="17"/>
      <c r="BU11" s="17"/>
      <c r="BV11" s="17"/>
      <c r="BW11" s="17"/>
      <c r="BX11" s="17"/>
    </row>
    <row r="12" customHeight="1" spans="1:76">
      <c r="A12" s="7">
        <v>10320412</v>
      </c>
      <c r="B12" s="7" t="s">
        <v>59</v>
      </c>
      <c r="C12" s="7" t="str">
        <f t="array" ref="C12">_xlfn.XLOOKUP($A12,'WK 48'!A:A,'WK 48'!C:C,"")</f>
        <v>CSR</v>
      </c>
      <c r="D12" s="7" t="str">
        <f t="array" ref="D12">_xlfn.XLOOKUP($A12,'WK 48'!$A:$A,'WK 48'!D:D,"")</f>
        <v>Production</v>
      </c>
      <c r="E12" s="8" t="str">
        <f t="array" ref="E12">_xlfn.XLOOKUP($A12,'WK 48'!$A:$A,'WK 48'!E:E,"")</f>
        <v>FT</v>
      </c>
      <c r="F12" s="9">
        <f t="array" ref="F12">_xlfn.XLOOKUP($A12,'WK 48'!$A:$A,'WK 48'!F:F,"")</f>
        <v>3</v>
      </c>
      <c r="G12" s="8">
        <v>0.375</v>
      </c>
      <c r="H12" s="8">
        <v>0.75</v>
      </c>
      <c r="I12" s="8">
        <v>0.375</v>
      </c>
      <c r="J12" s="8">
        <v>0.75</v>
      </c>
      <c r="K12" s="8">
        <v>0.375</v>
      </c>
      <c r="L12" s="8">
        <v>0.75</v>
      </c>
      <c r="M12" s="8">
        <v>0.375</v>
      </c>
      <c r="N12" s="8">
        <v>0.75</v>
      </c>
      <c r="O12" s="8">
        <v>0.375</v>
      </c>
      <c r="P12" s="8">
        <v>0.75</v>
      </c>
      <c r="Q12" s="7" t="s">
        <v>23</v>
      </c>
      <c r="R12" s="7" t="s">
        <v>23</v>
      </c>
      <c r="S12" s="7" t="s">
        <v>23</v>
      </c>
      <c r="T12" s="7" t="s">
        <v>23</v>
      </c>
      <c r="U12" s="20">
        <v>0.5</v>
      </c>
      <c r="V12" s="20">
        <v>0.875</v>
      </c>
      <c r="W12" s="20">
        <v>0.5</v>
      </c>
      <c r="X12" s="20">
        <v>0.875</v>
      </c>
      <c r="Y12" s="20">
        <v>0.5</v>
      </c>
      <c r="Z12" s="20">
        <v>0.875</v>
      </c>
      <c r="AA12" s="20">
        <v>0.5</v>
      </c>
      <c r="AB12" s="20">
        <v>0.875</v>
      </c>
      <c r="AC12" s="20">
        <v>0.5</v>
      </c>
      <c r="AD12" s="20">
        <v>0.875</v>
      </c>
      <c r="AE12" s="17" t="s">
        <v>23</v>
      </c>
      <c r="AF12" s="17" t="s">
        <v>23</v>
      </c>
      <c r="AG12" s="17" t="s">
        <v>23</v>
      </c>
      <c r="AH12" s="17" t="s">
        <v>23</v>
      </c>
      <c r="AI12" s="20">
        <v>0.375</v>
      </c>
      <c r="AJ12" s="20">
        <v>0.75</v>
      </c>
      <c r="AK12" s="20">
        <v>0.375</v>
      </c>
      <c r="AL12" s="20">
        <v>0.75</v>
      </c>
      <c r="AM12" s="20">
        <v>0.375</v>
      </c>
      <c r="AN12" s="20">
        <v>0.75</v>
      </c>
      <c r="AO12" s="20">
        <v>0.375</v>
      </c>
      <c r="AP12" s="20">
        <v>0.75</v>
      </c>
      <c r="AQ12" s="20">
        <v>0.375</v>
      </c>
      <c r="AR12" s="20">
        <v>0.75</v>
      </c>
      <c r="AS12" s="17" t="s">
        <v>23</v>
      </c>
      <c r="AT12" s="17" t="s">
        <v>23</v>
      </c>
      <c r="AU12" s="17" t="s">
        <v>23</v>
      </c>
      <c r="AV12" s="17" t="s">
        <v>23</v>
      </c>
      <c r="AW12" s="20">
        <v>0.5</v>
      </c>
      <c r="AX12" s="20">
        <v>0.875</v>
      </c>
      <c r="AY12" s="20">
        <v>0.5</v>
      </c>
      <c r="AZ12" s="20">
        <v>0.875</v>
      </c>
      <c r="BA12" s="20">
        <v>0.5</v>
      </c>
      <c r="BB12" s="20">
        <v>0.875</v>
      </c>
      <c r="BC12" s="20">
        <v>0.5</v>
      </c>
      <c r="BD12" s="20">
        <v>0.875</v>
      </c>
      <c r="BE12" s="20">
        <v>0.5</v>
      </c>
      <c r="BF12" s="20">
        <v>0.875</v>
      </c>
      <c r="BG12" s="17" t="s">
        <v>23</v>
      </c>
      <c r="BH12" s="17" t="s">
        <v>23</v>
      </c>
      <c r="BI12" s="17" t="s">
        <v>23</v>
      </c>
      <c r="BJ12" s="17" t="s">
        <v>23</v>
      </c>
      <c r="BK12" s="20">
        <v>0.375</v>
      </c>
      <c r="BL12" s="20">
        <v>0.75</v>
      </c>
      <c r="BM12" s="20">
        <v>0.375</v>
      </c>
      <c r="BN12" s="20">
        <v>0.75</v>
      </c>
      <c r="BO12" s="21">
        <f>IFERROR(__xludf.DUMMYFUNCTION("TO_PURE_NUMBER(SUM(FILTER(G12:BN12, ISEVEN(COLUMN(G12:BN12))))-SUM(FILTER(G12:BN12, ISODD(COLUMN(G12:BN12)))))*24"),198)</f>
        <v>198</v>
      </c>
      <c r="BP12" s="17"/>
      <c r="BQ12" s="17"/>
      <c r="BR12" s="17"/>
      <c r="BS12" s="17"/>
      <c r="BT12" s="17"/>
      <c r="BU12" s="17"/>
      <c r="BV12" s="17"/>
      <c r="BW12" s="17"/>
      <c r="BX12" s="17"/>
    </row>
    <row r="13" customHeight="1" spans="1:76">
      <c r="A13" s="7">
        <v>10320418</v>
      </c>
      <c r="B13" s="7" t="s">
        <v>68</v>
      </c>
      <c r="C13" s="7" t="str">
        <f t="array" ref="C13">_xlfn.XLOOKUP($A13,'WK 48'!A:A,'WK 48'!C:C,"")</f>
        <v>CSR</v>
      </c>
      <c r="D13" s="7" t="str">
        <f t="array" ref="D13">_xlfn.XLOOKUP($A13,'WK 48'!$A:$A,'WK 48'!D:D,"")</f>
        <v>Production</v>
      </c>
      <c r="E13" s="8" t="str">
        <f t="array" ref="E13">_xlfn.XLOOKUP($A13,'WK 48'!$A:$A,'WK 48'!E:E,"")</f>
        <v>FT</v>
      </c>
      <c r="F13" s="9">
        <f t="array" ref="F13">_xlfn.XLOOKUP($A13,'WK 48'!$A:$A,'WK 48'!F:F,"")</f>
        <v>3</v>
      </c>
      <c r="G13" s="8">
        <v>0.5</v>
      </c>
      <c r="H13" s="8">
        <v>0.875</v>
      </c>
      <c r="I13" s="8">
        <v>0.5</v>
      </c>
      <c r="J13" s="8">
        <v>0.875</v>
      </c>
      <c r="K13" s="8">
        <v>0.5</v>
      </c>
      <c r="L13" s="8">
        <v>0.875</v>
      </c>
      <c r="M13" s="8">
        <v>0.5</v>
      </c>
      <c r="N13" s="8">
        <v>0.875</v>
      </c>
      <c r="O13" s="7" t="s">
        <v>23</v>
      </c>
      <c r="P13" s="7" t="s">
        <v>23</v>
      </c>
      <c r="Q13" s="7" t="s">
        <v>23</v>
      </c>
      <c r="R13" s="7" t="s">
        <v>23</v>
      </c>
      <c r="S13" s="8">
        <v>0.458333333332121</v>
      </c>
      <c r="T13" s="8">
        <v>0.666666666667879</v>
      </c>
      <c r="U13" s="20">
        <v>0.375</v>
      </c>
      <c r="V13" s="20">
        <v>0.75</v>
      </c>
      <c r="W13" s="20">
        <v>0.375</v>
      </c>
      <c r="X13" s="20">
        <v>0.75</v>
      </c>
      <c r="Y13" s="20">
        <v>0.375</v>
      </c>
      <c r="Z13" s="20">
        <v>0.75</v>
      </c>
      <c r="AA13" s="20">
        <v>0.375</v>
      </c>
      <c r="AB13" s="20">
        <v>0.75</v>
      </c>
      <c r="AC13" s="17" t="s">
        <v>23</v>
      </c>
      <c r="AD13" s="17" t="s">
        <v>23</v>
      </c>
      <c r="AE13" s="17" t="s">
        <v>23</v>
      </c>
      <c r="AF13" s="17" t="s">
        <v>23</v>
      </c>
      <c r="AG13" s="20">
        <v>0.458333333332121</v>
      </c>
      <c r="AH13" s="20">
        <v>0.666666666667879</v>
      </c>
      <c r="AI13" s="20">
        <v>0.5</v>
      </c>
      <c r="AJ13" s="20">
        <v>0.875</v>
      </c>
      <c r="AK13" s="20">
        <v>0.5</v>
      </c>
      <c r="AL13" s="20">
        <v>0.875</v>
      </c>
      <c r="AM13" s="20">
        <v>0.5</v>
      </c>
      <c r="AN13" s="20">
        <v>0.875</v>
      </c>
      <c r="AO13" s="20">
        <v>0.5</v>
      </c>
      <c r="AP13" s="20">
        <v>0.875</v>
      </c>
      <c r="AQ13" s="17" t="s">
        <v>23</v>
      </c>
      <c r="AR13" s="17" t="s">
        <v>23</v>
      </c>
      <c r="AS13" s="17" t="s">
        <v>23</v>
      </c>
      <c r="AT13" s="17" t="s">
        <v>23</v>
      </c>
      <c r="AU13" s="20">
        <v>0.458333333332121</v>
      </c>
      <c r="AV13" s="20">
        <v>0.666666666667879</v>
      </c>
      <c r="AW13" s="20">
        <v>0.375</v>
      </c>
      <c r="AX13" s="20">
        <v>0.75</v>
      </c>
      <c r="AY13" s="20">
        <v>0.375</v>
      </c>
      <c r="AZ13" s="20">
        <v>0.75</v>
      </c>
      <c r="BA13" s="20">
        <v>0.375</v>
      </c>
      <c r="BB13" s="20">
        <v>0.75</v>
      </c>
      <c r="BC13" s="20">
        <v>0.375</v>
      </c>
      <c r="BD13" s="20">
        <v>0.75</v>
      </c>
      <c r="BE13" s="17" t="s">
        <v>23</v>
      </c>
      <c r="BF13" s="17" t="s">
        <v>23</v>
      </c>
      <c r="BG13" s="17" t="s">
        <v>23</v>
      </c>
      <c r="BH13" s="17" t="s">
        <v>23</v>
      </c>
      <c r="BI13" s="20">
        <v>0.458333333332121</v>
      </c>
      <c r="BJ13" s="20">
        <v>0.666666666667879</v>
      </c>
      <c r="BK13" s="20">
        <v>0.5</v>
      </c>
      <c r="BL13" s="20">
        <v>0.875</v>
      </c>
      <c r="BM13" s="20">
        <v>0.5</v>
      </c>
      <c r="BN13" s="20">
        <v>0.875</v>
      </c>
      <c r="BO13" s="21">
        <f>IFERROR(__xludf.DUMMYFUNCTION("TO_PURE_NUMBER(SUM(FILTER(G13:BN13, ISEVEN(COLUMN(G13:BN13))))-SUM(FILTER(G13:BN13, ISODD(COLUMN(G13:BN13)))))*24"),182.000000000232)</f>
        <v>182.000000000232</v>
      </c>
      <c r="BP13" s="17"/>
      <c r="BQ13" s="17"/>
      <c r="BR13" s="17"/>
      <c r="BS13" s="17"/>
      <c r="BT13" s="17"/>
      <c r="BU13" s="17"/>
      <c r="BV13" s="17"/>
      <c r="BW13" s="17"/>
      <c r="BX13" s="17"/>
    </row>
    <row r="14" customHeight="1" spans="1:76">
      <c r="A14" s="7">
        <v>10316618</v>
      </c>
      <c r="B14" s="7" t="s">
        <v>33</v>
      </c>
      <c r="C14" s="7" t="str">
        <f t="array" ref="C14">_xlfn.XLOOKUP($A14,'WK 48'!A:A,'WK 48'!C:C,"")</f>
        <v>CSR</v>
      </c>
      <c r="D14" s="7" t="str">
        <f t="array" ref="D14">_xlfn.XLOOKUP($A14,'WK 48'!$A:$A,'WK 48'!D:D,"")</f>
        <v>B2B</v>
      </c>
      <c r="E14" s="8" t="str">
        <f t="array" ref="E14">_xlfn.XLOOKUP($A14,'WK 48'!$A:$A,'WK 48'!E:E,"")</f>
        <v>FT</v>
      </c>
      <c r="F14" s="9">
        <f t="array" ref="F14">_xlfn.XLOOKUP($A14,'WK 48'!$A:$A,'WK 48'!F:F,"")</f>
        <v>1</v>
      </c>
      <c r="G14" s="8">
        <v>0.5</v>
      </c>
      <c r="H14" s="8">
        <v>0.875</v>
      </c>
      <c r="I14" s="8">
        <v>0.5</v>
      </c>
      <c r="J14" s="8">
        <v>0.875</v>
      </c>
      <c r="K14" s="8">
        <v>0.5</v>
      </c>
      <c r="L14" s="8">
        <v>0.875</v>
      </c>
      <c r="M14" s="8">
        <v>0.5</v>
      </c>
      <c r="N14" s="8">
        <v>0.875</v>
      </c>
      <c r="O14" s="8">
        <v>0.5</v>
      </c>
      <c r="P14" s="8">
        <v>0.875</v>
      </c>
      <c r="Q14" s="7" t="s">
        <v>23</v>
      </c>
      <c r="R14" s="7" t="s">
        <v>23</v>
      </c>
      <c r="S14" s="7" t="s">
        <v>23</v>
      </c>
      <c r="T14" s="7" t="s">
        <v>23</v>
      </c>
      <c r="U14" s="20">
        <v>0.375</v>
      </c>
      <c r="V14" s="20">
        <v>0.75</v>
      </c>
      <c r="W14" s="20">
        <v>0.375</v>
      </c>
      <c r="X14" s="20">
        <v>0.75</v>
      </c>
      <c r="Y14" s="20">
        <v>0.375</v>
      </c>
      <c r="Z14" s="20">
        <v>0.75</v>
      </c>
      <c r="AA14" s="20">
        <v>0.375</v>
      </c>
      <c r="AB14" s="20">
        <v>0.75</v>
      </c>
      <c r="AC14" s="20">
        <v>0.375</v>
      </c>
      <c r="AD14" s="20">
        <v>0.75</v>
      </c>
      <c r="AE14" s="17" t="s">
        <v>23</v>
      </c>
      <c r="AF14" s="17" t="s">
        <v>23</v>
      </c>
      <c r="AG14" s="17" t="s">
        <v>23</v>
      </c>
      <c r="AH14" s="17" t="s">
        <v>23</v>
      </c>
      <c r="AI14" s="20">
        <v>0.5</v>
      </c>
      <c r="AJ14" s="20">
        <v>0.875</v>
      </c>
      <c r="AK14" s="20">
        <v>0.5</v>
      </c>
      <c r="AL14" s="20">
        <v>0.875</v>
      </c>
      <c r="AM14" s="20">
        <v>0.5</v>
      </c>
      <c r="AN14" s="20">
        <v>0.875</v>
      </c>
      <c r="AO14" s="20">
        <v>0.5</v>
      </c>
      <c r="AP14" s="20">
        <v>0.875</v>
      </c>
      <c r="AQ14" s="20">
        <v>0.5</v>
      </c>
      <c r="AR14" s="20">
        <v>0.875</v>
      </c>
      <c r="AS14" s="17" t="s">
        <v>23</v>
      </c>
      <c r="AT14" s="17" t="s">
        <v>23</v>
      </c>
      <c r="AU14" s="17" t="s">
        <v>23</v>
      </c>
      <c r="AV14" s="17" t="s">
        <v>23</v>
      </c>
      <c r="AW14" s="20">
        <v>0.375</v>
      </c>
      <c r="AX14" s="20">
        <v>0.75</v>
      </c>
      <c r="AY14" s="20">
        <v>0.375</v>
      </c>
      <c r="AZ14" s="20">
        <v>0.75</v>
      </c>
      <c r="BA14" s="20">
        <v>0.375</v>
      </c>
      <c r="BB14" s="20">
        <v>0.75</v>
      </c>
      <c r="BC14" s="20">
        <v>0.375</v>
      </c>
      <c r="BD14" s="20">
        <v>0.75</v>
      </c>
      <c r="BE14" s="20">
        <v>0.375</v>
      </c>
      <c r="BF14" s="20">
        <v>0.75</v>
      </c>
      <c r="BG14" s="17" t="s">
        <v>23</v>
      </c>
      <c r="BH14" s="17" t="s">
        <v>23</v>
      </c>
      <c r="BI14" s="17" t="s">
        <v>23</v>
      </c>
      <c r="BJ14" s="17" t="s">
        <v>23</v>
      </c>
      <c r="BK14" s="20">
        <v>0.5</v>
      </c>
      <c r="BL14" s="20">
        <v>0.875</v>
      </c>
      <c r="BM14" s="20">
        <v>0.5</v>
      </c>
      <c r="BN14" s="20">
        <v>0.875</v>
      </c>
      <c r="BO14" s="21">
        <f>IFERROR(__xludf.DUMMYFUNCTION("TO_PURE_NUMBER(SUM(FILTER(G14:BN14, ISEVEN(COLUMN(G14:BN14))))-SUM(FILTER(G14:BN14, ISODD(COLUMN(G14:BN14)))))*24"),198)</f>
        <v>198</v>
      </c>
      <c r="BP14" s="17"/>
      <c r="BQ14" s="17"/>
      <c r="BR14" s="17"/>
      <c r="BS14" s="17"/>
      <c r="BT14" s="17"/>
      <c r="BU14" s="17"/>
      <c r="BV14" s="17"/>
      <c r="BW14" s="17"/>
      <c r="BX14" s="17"/>
    </row>
    <row r="15" customHeight="1" spans="1:76">
      <c r="A15" s="7">
        <v>10250963</v>
      </c>
      <c r="B15" s="7" t="s">
        <v>25</v>
      </c>
      <c r="C15" s="7" t="str">
        <f t="array" ref="C15">_xlfn.XLOOKUP($A15,'WK 48'!A:A,'WK 48'!C:C,"")</f>
        <v>CSR</v>
      </c>
      <c r="D15" s="7" t="str">
        <f t="array" ref="D15">_xlfn.XLOOKUP($A15,'WK 48'!$A:$A,'WK 48'!D:D,"")</f>
        <v>Production</v>
      </c>
      <c r="E15" s="8" t="str">
        <f t="array" ref="E15">_xlfn.XLOOKUP($A15,'WK 48'!$A:$A,'WK 48'!E:E,"")</f>
        <v>FT</v>
      </c>
      <c r="F15" s="9">
        <f t="array" ref="F15">_xlfn.XLOOKUP($A15,'WK 48'!$A:$A,'WK 48'!F:F,"")</f>
        <v>1</v>
      </c>
      <c r="G15" s="7" t="s">
        <v>23</v>
      </c>
      <c r="H15" s="7" t="s">
        <v>23</v>
      </c>
      <c r="I15" s="8">
        <v>0.375</v>
      </c>
      <c r="J15" s="8">
        <v>0.791666666667879</v>
      </c>
      <c r="K15" s="8">
        <v>0.375</v>
      </c>
      <c r="L15" s="8">
        <v>0.791666666667879</v>
      </c>
      <c r="M15" s="8">
        <v>0.375</v>
      </c>
      <c r="N15" s="8">
        <v>0.791666666667879</v>
      </c>
      <c r="O15" s="8">
        <v>0.375</v>
      </c>
      <c r="P15" s="8">
        <v>0.791666666667879</v>
      </c>
      <c r="Q15" s="8">
        <v>0.458333333332121</v>
      </c>
      <c r="R15" s="8">
        <v>0.666666666667879</v>
      </c>
      <c r="S15" s="7" t="s">
        <v>23</v>
      </c>
      <c r="T15" s="7" t="s">
        <v>23</v>
      </c>
      <c r="U15" s="17" t="s">
        <v>23</v>
      </c>
      <c r="V15" s="17" t="s">
        <v>23</v>
      </c>
      <c r="W15" s="20">
        <v>0.458333333332121</v>
      </c>
      <c r="X15" s="20">
        <v>0.875</v>
      </c>
      <c r="Y15" s="20">
        <v>0.458333333332121</v>
      </c>
      <c r="Z15" s="20">
        <v>0.875</v>
      </c>
      <c r="AA15" s="20">
        <v>0.458333333332121</v>
      </c>
      <c r="AB15" s="20">
        <v>0.875</v>
      </c>
      <c r="AC15" s="20">
        <v>0.458333333332121</v>
      </c>
      <c r="AD15" s="20">
        <v>0.875</v>
      </c>
      <c r="AE15" s="20">
        <v>0.458333333332121</v>
      </c>
      <c r="AF15" s="20">
        <v>0.666666666667879</v>
      </c>
      <c r="AG15" s="17" t="s">
        <v>23</v>
      </c>
      <c r="AH15" s="17" t="s">
        <v>23</v>
      </c>
      <c r="AI15" s="17" t="s">
        <v>23</v>
      </c>
      <c r="AJ15" s="17" t="s">
        <v>23</v>
      </c>
      <c r="AK15" s="20">
        <v>0.375</v>
      </c>
      <c r="AL15" s="20">
        <v>0.791666666667879</v>
      </c>
      <c r="AM15" s="20">
        <v>0.375</v>
      </c>
      <c r="AN15" s="20">
        <v>0.791666666667879</v>
      </c>
      <c r="AO15" s="20">
        <v>0.375</v>
      </c>
      <c r="AP15" s="20">
        <v>0.791666666667879</v>
      </c>
      <c r="AQ15" s="20">
        <v>0.375</v>
      </c>
      <c r="AR15" s="20">
        <v>0.791666666667879</v>
      </c>
      <c r="AS15" s="20">
        <v>0.458333333332121</v>
      </c>
      <c r="AT15" s="20">
        <v>0.666666666667879</v>
      </c>
      <c r="AU15" s="17" t="s">
        <v>23</v>
      </c>
      <c r="AV15" s="17" t="s">
        <v>23</v>
      </c>
      <c r="AW15" s="17" t="s">
        <v>23</v>
      </c>
      <c r="AX15" s="17" t="s">
        <v>23</v>
      </c>
      <c r="AY15" s="20">
        <v>0.458333333332121</v>
      </c>
      <c r="AZ15" s="20">
        <v>0.875</v>
      </c>
      <c r="BA15" s="20">
        <v>0.458333333332121</v>
      </c>
      <c r="BB15" s="20">
        <v>0.875</v>
      </c>
      <c r="BC15" s="20">
        <v>0.458333333332121</v>
      </c>
      <c r="BD15" s="20">
        <v>0.875</v>
      </c>
      <c r="BE15" s="20">
        <v>0.458333333332121</v>
      </c>
      <c r="BF15" s="20">
        <v>0.875</v>
      </c>
      <c r="BG15" s="20">
        <v>0.458333333332121</v>
      </c>
      <c r="BH15" s="20">
        <v>0.666666666667879</v>
      </c>
      <c r="BI15" s="17" t="s">
        <v>23</v>
      </c>
      <c r="BJ15" s="17" t="s">
        <v>23</v>
      </c>
      <c r="BK15" s="17" t="s">
        <v>23</v>
      </c>
      <c r="BL15" s="17" t="s">
        <v>23</v>
      </c>
      <c r="BM15" s="20">
        <v>0.416666666667879</v>
      </c>
      <c r="BN15" s="20">
        <v>0.833333333332121</v>
      </c>
      <c r="BO15" s="21">
        <f>IFERROR(__xludf.DUMMYFUNCTION("TO_PURE_NUMBER(SUM(FILTER(G15:BN15, ISEVEN(COLUMN(G15:BN15))))-SUM(FILTER(G15:BN15, ISODD(COLUMN(G15:BN15)))))*24"),190.00000000064)</f>
        <v>190.00000000064</v>
      </c>
      <c r="BP15" s="17"/>
      <c r="BQ15" s="17"/>
      <c r="BR15" s="17"/>
      <c r="BS15" s="17"/>
      <c r="BT15" s="17"/>
      <c r="BU15" s="17"/>
      <c r="BV15" s="17"/>
      <c r="BW15" s="17"/>
      <c r="BX15" s="17"/>
    </row>
    <row r="16" customHeight="1" spans="1:76">
      <c r="A16" s="7">
        <v>10295555</v>
      </c>
      <c r="B16" s="7" t="s">
        <v>34</v>
      </c>
      <c r="C16" s="7" t="str">
        <f t="array" ref="C16">_xlfn.XLOOKUP($A16,'WK 48'!A:A,'WK 48'!C:C,"")</f>
        <v>CSR</v>
      </c>
      <c r="D16" s="7" t="str">
        <f t="array" ref="D16">_xlfn.XLOOKUP($A16,'WK 48'!$A:$A,'WK 48'!D:D,"")</f>
        <v>Production</v>
      </c>
      <c r="E16" s="8" t="str">
        <f t="array" ref="E16">_xlfn.XLOOKUP($A16,'WK 48'!$A:$A,'WK 48'!E:E,"")</f>
        <v>PT</v>
      </c>
      <c r="F16" s="9">
        <f t="array" ref="F16">_xlfn.XLOOKUP($A16,'WK 48'!$A:$A,'WK 48'!F:F,"")</f>
        <v>2</v>
      </c>
      <c r="G16" s="8">
        <v>0.666666666667879</v>
      </c>
      <c r="H16" s="8">
        <v>0.875</v>
      </c>
      <c r="I16" s="8">
        <v>0.666666666667879</v>
      </c>
      <c r="J16" s="8">
        <v>0.875</v>
      </c>
      <c r="K16" s="8">
        <v>0.666666666667879</v>
      </c>
      <c r="L16" s="8">
        <v>0.875</v>
      </c>
      <c r="M16" s="7" t="s">
        <v>23</v>
      </c>
      <c r="N16" s="7" t="s">
        <v>23</v>
      </c>
      <c r="O16" s="7" t="s">
        <v>23</v>
      </c>
      <c r="P16" s="7" t="s">
        <v>23</v>
      </c>
      <c r="Q16" s="8">
        <v>0.458333333332121</v>
      </c>
      <c r="R16" s="8">
        <v>0.666666666667879</v>
      </c>
      <c r="S16" s="8">
        <v>0.458333333332121</v>
      </c>
      <c r="T16" s="8">
        <v>0.666666666667879</v>
      </c>
      <c r="U16" s="20">
        <v>0.375</v>
      </c>
      <c r="V16" s="20">
        <v>0.583333333332121</v>
      </c>
      <c r="W16" s="20">
        <v>0.375</v>
      </c>
      <c r="X16" s="20">
        <v>0.583333333332121</v>
      </c>
      <c r="Y16" s="20">
        <v>0.375</v>
      </c>
      <c r="Z16" s="20">
        <v>0.583333333332121</v>
      </c>
      <c r="AA16" s="17" t="s">
        <v>23</v>
      </c>
      <c r="AB16" s="17" t="s">
        <v>23</v>
      </c>
      <c r="AC16" s="17" t="s">
        <v>23</v>
      </c>
      <c r="AD16" s="17" t="s">
        <v>23</v>
      </c>
      <c r="AE16" s="20">
        <v>0.458333333332121</v>
      </c>
      <c r="AF16" s="20">
        <v>0.666666666667879</v>
      </c>
      <c r="AG16" s="20">
        <v>0.458333333332121</v>
      </c>
      <c r="AH16" s="20">
        <v>0.666666666667879</v>
      </c>
      <c r="AI16" s="20">
        <v>0.666666666667879</v>
      </c>
      <c r="AJ16" s="20">
        <v>0.875</v>
      </c>
      <c r="AK16" s="20">
        <v>0.666666666667879</v>
      </c>
      <c r="AL16" s="20">
        <v>0.875</v>
      </c>
      <c r="AM16" s="20">
        <v>0.666666666667879</v>
      </c>
      <c r="AN16" s="20">
        <v>0.875</v>
      </c>
      <c r="AO16" s="17" t="s">
        <v>23</v>
      </c>
      <c r="AP16" s="17" t="s">
        <v>23</v>
      </c>
      <c r="AQ16" s="17" t="s">
        <v>23</v>
      </c>
      <c r="AR16" s="17" t="s">
        <v>23</v>
      </c>
      <c r="AS16" s="20">
        <v>0.458333333332121</v>
      </c>
      <c r="AT16" s="20">
        <v>0.666666666667879</v>
      </c>
      <c r="AU16" s="20">
        <v>0.458333333332121</v>
      </c>
      <c r="AV16" s="20">
        <v>0.666666666667879</v>
      </c>
      <c r="AW16" s="20">
        <v>0.375</v>
      </c>
      <c r="AX16" s="20">
        <v>0.583333333332121</v>
      </c>
      <c r="AY16" s="20">
        <v>0.375</v>
      </c>
      <c r="AZ16" s="20">
        <v>0.583333333332121</v>
      </c>
      <c r="BA16" s="17" t="s">
        <v>23</v>
      </c>
      <c r="BB16" s="17" t="s">
        <v>23</v>
      </c>
      <c r="BC16" s="17" t="s">
        <v>23</v>
      </c>
      <c r="BD16" s="17" t="s">
        <v>23</v>
      </c>
      <c r="BE16" s="20">
        <v>0.375</v>
      </c>
      <c r="BF16" s="20">
        <v>0.583333333332121</v>
      </c>
      <c r="BG16" s="20">
        <v>0.458333333332121</v>
      </c>
      <c r="BH16" s="20">
        <v>0.666666666667879</v>
      </c>
      <c r="BI16" s="20">
        <v>0.458333333332121</v>
      </c>
      <c r="BJ16" s="20">
        <v>0.666666666667879</v>
      </c>
      <c r="BK16" s="20">
        <v>0.666666666667879</v>
      </c>
      <c r="BL16" s="20">
        <v>0.875</v>
      </c>
      <c r="BM16" s="17" t="s">
        <v>23</v>
      </c>
      <c r="BN16" s="17" t="s">
        <v>23</v>
      </c>
      <c r="BO16" s="21">
        <f>IFERROR(__xludf.DUMMYFUNCTION("TO_PURE_NUMBER(SUM(FILTER(G16:BN16, ISEVEN(COLUMN(G16:BN16))))-SUM(FILTER(G16:BN16, ISODD(COLUMN(G16:BN16)))))*24"),105.000000000087)</f>
        <v>105.000000000087</v>
      </c>
      <c r="BP16" s="17"/>
      <c r="BQ16" s="17"/>
      <c r="BR16" s="17"/>
      <c r="BS16" s="17"/>
      <c r="BT16" s="17"/>
      <c r="BU16" s="17"/>
      <c r="BV16" s="17"/>
      <c r="BW16" s="17"/>
      <c r="BX16" s="17"/>
    </row>
    <row r="17" customHeight="1" spans="1:76">
      <c r="A17" s="7">
        <v>10317520</v>
      </c>
      <c r="B17" s="7" t="s">
        <v>37</v>
      </c>
      <c r="C17" s="7" t="str">
        <f t="array" ref="C17">_xlfn.XLOOKUP($A17,'WK 48'!A:A,'WK 48'!C:C,"")</f>
        <v>CSR</v>
      </c>
      <c r="D17" s="7" t="str">
        <f t="array" ref="D17">_xlfn.XLOOKUP($A17,'WK 48'!$A:$A,'WK 48'!D:D,"")</f>
        <v>Production</v>
      </c>
      <c r="E17" s="8" t="str">
        <f t="array" ref="E17">_xlfn.XLOOKUP($A17,'WK 48'!$A:$A,'WK 48'!E:E,"")</f>
        <v>FT</v>
      </c>
      <c r="F17" s="9">
        <f t="array" ref="F17">_xlfn.XLOOKUP($A17,'WK 48'!$A:$A,'WK 48'!F:F,"")</f>
        <v>2</v>
      </c>
      <c r="G17" s="7" t="s">
        <v>23</v>
      </c>
      <c r="H17" s="7" t="s">
        <v>23</v>
      </c>
      <c r="I17" s="8">
        <v>0.333333333332121</v>
      </c>
      <c r="J17" s="8">
        <v>0.75</v>
      </c>
      <c r="K17" s="8">
        <v>0.333333333332121</v>
      </c>
      <c r="L17" s="8">
        <v>0.75</v>
      </c>
      <c r="M17" s="8">
        <v>0.333333333332121</v>
      </c>
      <c r="N17" s="8">
        <v>0.75</v>
      </c>
      <c r="O17" s="8">
        <v>0.375</v>
      </c>
      <c r="P17" s="8">
        <v>0.791666666667879</v>
      </c>
      <c r="Q17" s="8">
        <v>0.416666666667879</v>
      </c>
      <c r="R17" s="8">
        <v>0.625</v>
      </c>
      <c r="S17" s="7" t="s">
        <v>23</v>
      </c>
      <c r="T17" s="7" t="s">
        <v>23</v>
      </c>
      <c r="U17" s="17" t="s">
        <v>23</v>
      </c>
      <c r="V17" s="17" t="s">
        <v>23</v>
      </c>
      <c r="W17" s="20">
        <v>0.333333333332121</v>
      </c>
      <c r="X17" s="20">
        <v>0.75</v>
      </c>
      <c r="Y17" s="20">
        <v>0.333333333332121</v>
      </c>
      <c r="Z17" s="20">
        <v>0.75</v>
      </c>
      <c r="AA17" s="20">
        <v>0.333333333332121</v>
      </c>
      <c r="AB17" s="20">
        <v>0.75</v>
      </c>
      <c r="AC17" s="20">
        <v>0.333333333332121</v>
      </c>
      <c r="AD17" s="20">
        <v>0.75</v>
      </c>
      <c r="AE17" s="20">
        <v>0.416666666667879</v>
      </c>
      <c r="AF17" s="20">
        <v>0.625</v>
      </c>
      <c r="AG17" s="17" t="s">
        <v>23</v>
      </c>
      <c r="AH17" s="17" t="s">
        <v>23</v>
      </c>
      <c r="AI17" s="17" t="s">
        <v>23</v>
      </c>
      <c r="AJ17" s="17" t="s">
        <v>23</v>
      </c>
      <c r="AK17" s="20">
        <v>0.333333333332121</v>
      </c>
      <c r="AL17" s="20">
        <v>0.75</v>
      </c>
      <c r="AM17" s="20">
        <v>0.333333333332121</v>
      </c>
      <c r="AN17" s="20">
        <v>0.75</v>
      </c>
      <c r="AO17" s="20">
        <v>0.333333333332121</v>
      </c>
      <c r="AP17" s="20">
        <v>0.75</v>
      </c>
      <c r="AQ17" s="20">
        <v>0.333333333332121</v>
      </c>
      <c r="AR17" s="20">
        <v>0.75</v>
      </c>
      <c r="AS17" s="20">
        <v>0.416666666667879</v>
      </c>
      <c r="AT17" s="20">
        <v>0.625</v>
      </c>
      <c r="AU17" s="17" t="s">
        <v>23</v>
      </c>
      <c r="AV17" s="17" t="s">
        <v>23</v>
      </c>
      <c r="AW17" s="17" t="s">
        <v>23</v>
      </c>
      <c r="AX17" s="17" t="s">
        <v>23</v>
      </c>
      <c r="AY17" s="20">
        <v>0.375</v>
      </c>
      <c r="AZ17" s="20">
        <v>0.791666666667879</v>
      </c>
      <c r="BA17" s="20">
        <v>0.375</v>
      </c>
      <c r="BB17" s="20">
        <v>0.791666666667879</v>
      </c>
      <c r="BC17" s="20">
        <v>0.375</v>
      </c>
      <c r="BD17" s="20">
        <v>0.791666666667879</v>
      </c>
      <c r="BE17" s="20">
        <v>0.333333333332121</v>
      </c>
      <c r="BF17" s="20">
        <v>0.75</v>
      </c>
      <c r="BG17" s="20">
        <v>0.416666666667879</v>
      </c>
      <c r="BH17" s="20">
        <v>0.625</v>
      </c>
      <c r="BI17" s="17" t="s">
        <v>23</v>
      </c>
      <c r="BJ17" s="17" t="s">
        <v>23</v>
      </c>
      <c r="BK17" s="17" t="s">
        <v>23</v>
      </c>
      <c r="BL17" s="17" t="s">
        <v>23</v>
      </c>
      <c r="BM17" s="20">
        <v>0.375</v>
      </c>
      <c r="BN17" s="20">
        <v>0.791666666667879</v>
      </c>
      <c r="BO17" s="21">
        <f>IFERROR(__xludf.DUMMYFUNCTION("TO_PURE_NUMBER(SUM(FILTER(G17:BN17, ISEVEN(COLUMN(G17:BN17))))-SUM(FILTER(G17:BN17, ISODD(COLUMN(G17:BN17)))))*24"),190.000000000378)</f>
        <v>190.000000000378</v>
      </c>
      <c r="BP17" s="17"/>
      <c r="BQ17" s="17"/>
      <c r="BR17" s="17"/>
      <c r="BS17" s="17"/>
      <c r="BT17" s="17"/>
      <c r="BU17" s="17"/>
      <c r="BV17" s="17"/>
      <c r="BW17" s="17"/>
      <c r="BX17" s="17"/>
    </row>
    <row r="18" customHeight="1" spans="1:76">
      <c r="A18" s="7">
        <v>10320414</v>
      </c>
      <c r="B18" s="7" t="s">
        <v>62</v>
      </c>
      <c r="C18" s="7" t="str">
        <f t="array" ref="C18">_xlfn.XLOOKUP($A18,'WK 48'!A:A,'WK 48'!C:C,"")</f>
        <v>CSR</v>
      </c>
      <c r="D18" s="7" t="str">
        <f t="array" ref="D18">_xlfn.XLOOKUP($A18,'WK 48'!$A:$A,'WK 48'!D:D,"")</f>
        <v>Production</v>
      </c>
      <c r="E18" s="8" t="str">
        <f t="array" ref="E18">_xlfn.XLOOKUP($A18,'WK 48'!$A:$A,'WK 48'!E:E,"")</f>
        <v>FT</v>
      </c>
      <c r="F18" s="9">
        <f t="array" ref="F18">_xlfn.XLOOKUP($A18,'WK 48'!$A:$A,'WK 48'!F:F,"")</f>
        <v>3</v>
      </c>
      <c r="G18" s="7" t="s">
        <v>23</v>
      </c>
      <c r="H18" s="7" t="s">
        <v>23</v>
      </c>
      <c r="I18" s="8">
        <v>0.458333333332121</v>
      </c>
      <c r="J18" s="8">
        <v>0.875</v>
      </c>
      <c r="K18" s="8">
        <v>0.458333333332121</v>
      </c>
      <c r="L18" s="8">
        <v>0.875</v>
      </c>
      <c r="M18" s="8">
        <v>0.458333333332121</v>
      </c>
      <c r="N18" s="8">
        <v>0.875</v>
      </c>
      <c r="O18" s="8">
        <v>0.458333333332121</v>
      </c>
      <c r="P18" s="8">
        <v>0.875</v>
      </c>
      <c r="Q18" s="8">
        <v>0.458333333332121</v>
      </c>
      <c r="R18" s="8">
        <v>0.666666666667879</v>
      </c>
      <c r="S18" s="7" t="s">
        <v>23</v>
      </c>
      <c r="T18" s="7" t="s">
        <v>23</v>
      </c>
      <c r="U18" s="17" t="s">
        <v>23</v>
      </c>
      <c r="V18" s="17" t="s">
        <v>23</v>
      </c>
      <c r="W18" s="20">
        <v>0.375</v>
      </c>
      <c r="X18" s="20">
        <v>0.791666666667879</v>
      </c>
      <c r="Y18" s="20">
        <v>0.375</v>
      </c>
      <c r="Z18" s="20">
        <v>0.791666666667879</v>
      </c>
      <c r="AA18" s="20">
        <v>0.375</v>
      </c>
      <c r="AB18" s="20">
        <v>0.791666666667879</v>
      </c>
      <c r="AC18" s="20">
        <v>0.375</v>
      </c>
      <c r="AD18" s="20">
        <v>0.791666666667879</v>
      </c>
      <c r="AE18" s="20">
        <v>0.458333333332121</v>
      </c>
      <c r="AF18" s="20">
        <v>0.666666666667879</v>
      </c>
      <c r="AG18" s="17" t="s">
        <v>23</v>
      </c>
      <c r="AH18" s="17" t="s">
        <v>23</v>
      </c>
      <c r="AI18" s="17" t="s">
        <v>23</v>
      </c>
      <c r="AJ18" s="17" t="s">
        <v>23</v>
      </c>
      <c r="AK18" s="20">
        <v>0.458333333332121</v>
      </c>
      <c r="AL18" s="20">
        <v>0.875</v>
      </c>
      <c r="AM18" s="20">
        <v>0.458333333332121</v>
      </c>
      <c r="AN18" s="20">
        <v>0.875</v>
      </c>
      <c r="AO18" s="20">
        <v>0.458333333332121</v>
      </c>
      <c r="AP18" s="20">
        <v>0.875</v>
      </c>
      <c r="AQ18" s="20">
        <v>0.458333333332121</v>
      </c>
      <c r="AR18" s="20">
        <v>0.875</v>
      </c>
      <c r="AS18" s="20">
        <v>0.458333333332121</v>
      </c>
      <c r="AT18" s="20">
        <v>0.666666666667879</v>
      </c>
      <c r="AU18" s="17" t="s">
        <v>23</v>
      </c>
      <c r="AV18" s="17" t="s">
        <v>23</v>
      </c>
      <c r="AW18" s="17" t="s">
        <v>23</v>
      </c>
      <c r="AX18" s="17" t="s">
        <v>23</v>
      </c>
      <c r="AY18" s="20">
        <v>0.375</v>
      </c>
      <c r="AZ18" s="20">
        <v>0.791666666667879</v>
      </c>
      <c r="BA18" s="20">
        <v>0.375</v>
      </c>
      <c r="BB18" s="20">
        <v>0.791666666667879</v>
      </c>
      <c r="BC18" s="20">
        <v>0.375</v>
      </c>
      <c r="BD18" s="20">
        <v>0.791666666667879</v>
      </c>
      <c r="BE18" s="20">
        <v>0.375</v>
      </c>
      <c r="BF18" s="20">
        <v>0.791666666667879</v>
      </c>
      <c r="BG18" s="20">
        <v>0.458333333332121</v>
      </c>
      <c r="BH18" s="20">
        <v>0.666666666667879</v>
      </c>
      <c r="BI18" s="17" t="s">
        <v>23</v>
      </c>
      <c r="BJ18" s="17" t="s">
        <v>23</v>
      </c>
      <c r="BK18" s="17" t="s">
        <v>23</v>
      </c>
      <c r="BL18" s="17" t="s">
        <v>23</v>
      </c>
      <c r="BM18" s="20">
        <v>0.458333333332121</v>
      </c>
      <c r="BN18" s="20">
        <v>0.875</v>
      </c>
      <c r="BO18" s="21">
        <f>IFERROR(__xludf.DUMMYFUNCTION("TO_PURE_NUMBER(SUM(FILTER(G18:BN18, ISEVEN(COLUMN(G18:BN18))))-SUM(FILTER(G18:BN18, ISODD(COLUMN(G18:BN18)))))*24"),190.000000000727)</f>
        <v>190.000000000727</v>
      </c>
      <c r="BP18" s="17"/>
      <c r="BQ18" s="17"/>
      <c r="BR18" s="17"/>
      <c r="BS18" s="17"/>
      <c r="BT18" s="17"/>
      <c r="BU18" s="17"/>
      <c r="BV18" s="17"/>
      <c r="BW18" s="17"/>
      <c r="BX18" s="17"/>
    </row>
    <row r="19" customHeight="1" spans="1:76">
      <c r="A19" s="7">
        <v>10316681</v>
      </c>
      <c r="B19" s="7" t="s">
        <v>38</v>
      </c>
      <c r="C19" s="7" t="str">
        <f t="array" ref="C19">_xlfn.XLOOKUP($A19,'WK 48'!A:A,'WK 48'!C:C,"")</f>
        <v>Esc Mgr</v>
      </c>
      <c r="D19" s="7" t="str">
        <f t="array" ref="D19">_xlfn.XLOOKUP($A19,'WK 48'!$A:$A,'WK 48'!D:D,"")</f>
        <v>Production</v>
      </c>
      <c r="E19" s="8" t="str">
        <f t="array" ref="E19">_xlfn.XLOOKUP($A19,'WK 48'!$A:$A,'WK 48'!E:E,"")</f>
        <v>FT</v>
      </c>
      <c r="F19" s="9">
        <f t="array" ref="F19">_xlfn.XLOOKUP($A19,'WK 48'!$A:$A,'WK 48'!F:F,"")</f>
        <v>1</v>
      </c>
      <c r="G19" s="8">
        <v>0.5</v>
      </c>
      <c r="H19" s="8">
        <v>0.875</v>
      </c>
      <c r="I19" s="8">
        <v>0.5</v>
      </c>
      <c r="J19" s="8">
        <v>0.875</v>
      </c>
      <c r="K19" s="8">
        <v>0.5</v>
      </c>
      <c r="L19" s="8">
        <v>0.875</v>
      </c>
      <c r="M19" s="8">
        <v>0.5</v>
      </c>
      <c r="N19" s="8">
        <v>0.875</v>
      </c>
      <c r="O19" s="8">
        <v>0.5</v>
      </c>
      <c r="P19" s="8">
        <v>0.875</v>
      </c>
      <c r="Q19" s="7" t="s">
        <v>23</v>
      </c>
      <c r="R19" s="7" t="s">
        <v>23</v>
      </c>
      <c r="S19" s="7" t="s">
        <v>23</v>
      </c>
      <c r="T19" s="7" t="s">
        <v>23</v>
      </c>
      <c r="U19" s="20">
        <v>0.375</v>
      </c>
      <c r="V19" s="20">
        <v>0.75</v>
      </c>
      <c r="W19" s="20">
        <v>0.375</v>
      </c>
      <c r="X19" s="20">
        <v>0.75</v>
      </c>
      <c r="Y19" s="20">
        <v>0.375</v>
      </c>
      <c r="Z19" s="20">
        <v>0.75</v>
      </c>
      <c r="AA19" s="20">
        <v>0.375</v>
      </c>
      <c r="AB19" s="20">
        <v>0.75</v>
      </c>
      <c r="AC19" s="20">
        <v>0.375</v>
      </c>
      <c r="AD19" s="20">
        <v>0.75</v>
      </c>
      <c r="AE19" s="17" t="s">
        <v>23</v>
      </c>
      <c r="AF19" s="17" t="s">
        <v>23</v>
      </c>
      <c r="AG19" s="17" t="s">
        <v>23</v>
      </c>
      <c r="AH19" s="17" t="s">
        <v>23</v>
      </c>
      <c r="AI19" s="20">
        <v>0.5</v>
      </c>
      <c r="AJ19" s="20">
        <v>0.875</v>
      </c>
      <c r="AK19" s="20">
        <v>0.5</v>
      </c>
      <c r="AL19" s="20">
        <v>0.875</v>
      </c>
      <c r="AM19" s="20">
        <v>0.5</v>
      </c>
      <c r="AN19" s="20">
        <v>0.875</v>
      </c>
      <c r="AO19" s="20">
        <v>0.5</v>
      </c>
      <c r="AP19" s="20">
        <v>0.875</v>
      </c>
      <c r="AQ19" s="20">
        <v>0.5</v>
      </c>
      <c r="AR19" s="20">
        <v>0.875</v>
      </c>
      <c r="AS19" s="17" t="s">
        <v>23</v>
      </c>
      <c r="AT19" s="17" t="s">
        <v>23</v>
      </c>
      <c r="AU19" s="17" t="s">
        <v>23</v>
      </c>
      <c r="AV19" s="17" t="s">
        <v>23</v>
      </c>
      <c r="AW19" s="20">
        <v>0.375</v>
      </c>
      <c r="AX19" s="20">
        <v>0.75</v>
      </c>
      <c r="AY19" s="20">
        <v>0.375</v>
      </c>
      <c r="AZ19" s="20">
        <v>0.75</v>
      </c>
      <c r="BA19" s="20">
        <v>0.375</v>
      </c>
      <c r="BB19" s="20">
        <v>0.75</v>
      </c>
      <c r="BC19" s="20">
        <v>0.375</v>
      </c>
      <c r="BD19" s="20">
        <v>0.75</v>
      </c>
      <c r="BE19" s="20">
        <v>0.375</v>
      </c>
      <c r="BF19" s="20">
        <v>0.75</v>
      </c>
      <c r="BG19" s="17" t="s">
        <v>23</v>
      </c>
      <c r="BH19" s="17" t="s">
        <v>23</v>
      </c>
      <c r="BI19" s="17" t="s">
        <v>23</v>
      </c>
      <c r="BJ19" s="17" t="s">
        <v>23</v>
      </c>
      <c r="BK19" s="20">
        <v>0.5</v>
      </c>
      <c r="BL19" s="20">
        <v>0.875</v>
      </c>
      <c r="BM19" s="20">
        <v>0.5</v>
      </c>
      <c r="BN19" s="20">
        <v>0.875</v>
      </c>
      <c r="BO19" s="21">
        <f>IFERROR(__xludf.DUMMYFUNCTION("TO_PURE_NUMBER(SUM(FILTER(G19:BN19, ISEVEN(COLUMN(G19:BN19))))-SUM(FILTER(G19:BN19, ISODD(COLUMN(G19:BN19)))))*24"),198)</f>
        <v>198</v>
      </c>
      <c r="BP19" s="17"/>
      <c r="BQ19" s="17"/>
      <c r="BR19" s="17"/>
      <c r="BS19" s="17"/>
      <c r="BT19" s="17"/>
      <c r="BU19" s="17"/>
      <c r="BV19" s="17"/>
      <c r="BW19" s="17"/>
      <c r="BX19" s="17"/>
    </row>
    <row r="20" customHeight="1" spans="1:76">
      <c r="A20" s="7">
        <v>10316650</v>
      </c>
      <c r="B20" s="7" t="s">
        <v>39</v>
      </c>
      <c r="C20" s="7" t="str">
        <f t="array" ref="C20">_xlfn.XLOOKUP($A20,'WK 48'!A:A,'WK 48'!C:C,"")</f>
        <v>CSR</v>
      </c>
      <c r="D20" s="7" t="str">
        <f t="array" ref="D20">_xlfn.XLOOKUP($A20,'WK 48'!$A:$A,'WK 48'!D:D,"")</f>
        <v>Production</v>
      </c>
      <c r="E20" s="8" t="str">
        <f t="array" ref="E20">_xlfn.XLOOKUP($A20,'WK 48'!$A:$A,'WK 48'!E:E,"")</f>
        <v>FT</v>
      </c>
      <c r="F20" s="9">
        <f t="array" ref="F20">_xlfn.XLOOKUP($A20,'WK 48'!$A:$A,'WK 48'!F:F,"")</f>
        <v>2</v>
      </c>
      <c r="G20" s="8">
        <v>0.5</v>
      </c>
      <c r="H20" s="8">
        <v>0.875</v>
      </c>
      <c r="I20" s="8">
        <v>0.5</v>
      </c>
      <c r="J20" s="8">
        <v>0.875</v>
      </c>
      <c r="K20" s="8">
        <v>0.5</v>
      </c>
      <c r="L20" s="8">
        <v>0.875</v>
      </c>
      <c r="M20" s="8">
        <v>0.5</v>
      </c>
      <c r="N20" s="8">
        <v>0.875</v>
      </c>
      <c r="O20" s="8">
        <v>0.5</v>
      </c>
      <c r="P20" s="8">
        <v>0.875</v>
      </c>
      <c r="Q20" s="7" t="s">
        <v>23</v>
      </c>
      <c r="R20" s="7" t="s">
        <v>23</v>
      </c>
      <c r="S20" s="7" t="s">
        <v>23</v>
      </c>
      <c r="T20" s="7" t="s">
        <v>23</v>
      </c>
      <c r="U20" s="20">
        <v>0.375</v>
      </c>
      <c r="V20" s="20">
        <v>0.791666666667879</v>
      </c>
      <c r="W20" s="20">
        <v>0.375</v>
      </c>
      <c r="X20" s="20">
        <v>0.791666666667879</v>
      </c>
      <c r="Y20" s="20">
        <v>0.375</v>
      </c>
      <c r="Z20" s="20">
        <v>0.791666666667879</v>
      </c>
      <c r="AA20" s="20">
        <v>0.375</v>
      </c>
      <c r="AB20" s="20">
        <v>0.791666666667879</v>
      </c>
      <c r="AC20" s="17" t="s">
        <v>23</v>
      </c>
      <c r="AD20" s="17" t="s">
        <v>23</v>
      </c>
      <c r="AE20" s="17" t="s">
        <v>23</v>
      </c>
      <c r="AF20" s="17" t="s">
        <v>23</v>
      </c>
      <c r="AG20" s="20">
        <v>0.458333333332121</v>
      </c>
      <c r="AH20" s="20">
        <v>0.666666666667879</v>
      </c>
      <c r="AI20" s="20">
        <v>0.5</v>
      </c>
      <c r="AJ20" s="20">
        <v>0.875</v>
      </c>
      <c r="AK20" s="20">
        <v>0.5</v>
      </c>
      <c r="AL20" s="20">
        <v>0.875</v>
      </c>
      <c r="AM20" s="20">
        <v>0.5</v>
      </c>
      <c r="AN20" s="20">
        <v>0.875</v>
      </c>
      <c r="AO20" s="20">
        <v>0.5</v>
      </c>
      <c r="AP20" s="20">
        <v>0.875</v>
      </c>
      <c r="AQ20" s="20">
        <v>0.5</v>
      </c>
      <c r="AR20" s="20">
        <v>0.875</v>
      </c>
      <c r="AS20" s="17" t="s">
        <v>23</v>
      </c>
      <c r="AT20" s="17" t="s">
        <v>23</v>
      </c>
      <c r="AU20" s="17" t="s">
        <v>23</v>
      </c>
      <c r="AV20" s="17" t="s">
        <v>23</v>
      </c>
      <c r="AW20" s="20">
        <v>0.375</v>
      </c>
      <c r="AX20" s="20">
        <v>0.791666666667879</v>
      </c>
      <c r="AY20" s="20">
        <v>0.375</v>
      </c>
      <c r="AZ20" s="20">
        <v>0.791666666667879</v>
      </c>
      <c r="BA20" s="20">
        <v>0.375</v>
      </c>
      <c r="BB20" s="20">
        <v>0.791666666667879</v>
      </c>
      <c r="BC20" s="20">
        <v>0.375</v>
      </c>
      <c r="BD20" s="20">
        <v>0.791666666667879</v>
      </c>
      <c r="BE20" s="17" t="s">
        <v>23</v>
      </c>
      <c r="BF20" s="17" t="s">
        <v>23</v>
      </c>
      <c r="BG20" s="17" t="s">
        <v>23</v>
      </c>
      <c r="BH20" s="17" t="s">
        <v>23</v>
      </c>
      <c r="BI20" s="20">
        <v>0.458333333332121</v>
      </c>
      <c r="BJ20" s="20">
        <v>0.666666666667879</v>
      </c>
      <c r="BK20" s="20">
        <v>0.5</v>
      </c>
      <c r="BL20" s="20">
        <v>0.875</v>
      </c>
      <c r="BM20" s="20">
        <v>0.5</v>
      </c>
      <c r="BN20" s="20">
        <v>0.875</v>
      </c>
      <c r="BO20" s="21">
        <f>IFERROR(__xludf.DUMMYFUNCTION("TO_PURE_NUMBER(SUM(FILTER(G20:BN20, ISEVEN(COLUMN(G20:BN20))))-SUM(FILTER(G20:BN20, ISODD(COLUMN(G20:BN20)))))*24"),198.000000000349)</f>
        <v>198.000000000349</v>
      </c>
      <c r="BP20" s="17"/>
      <c r="BQ20" s="17"/>
      <c r="BR20" s="17"/>
      <c r="BS20" s="17"/>
      <c r="BT20" s="17"/>
      <c r="BU20" s="17"/>
      <c r="BV20" s="17"/>
      <c r="BW20" s="17"/>
      <c r="BX20" s="17"/>
    </row>
    <row r="21" customHeight="1" spans="1:76">
      <c r="A21" s="7">
        <v>10320416</v>
      </c>
      <c r="B21" s="7" t="s">
        <v>66</v>
      </c>
      <c r="C21" s="7" t="str">
        <f t="array" ref="C21">_xlfn.XLOOKUP($A21,'WK 48'!A:A,'WK 48'!C:C,"")</f>
        <v>CSR</v>
      </c>
      <c r="D21" s="7" t="str">
        <f t="array" ref="D21">_xlfn.XLOOKUP($A21,'WK 48'!$A:$A,'WK 48'!D:D,"")</f>
        <v>Production</v>
      </c>
      <c r="E21" s="8" t="str">
        <f t="array" ref="E21">_xlfn.XLOOKUP($A21,'WK 48'!$A:$A,'WK 48'!E:E,"")</f>
        <v>FT</v>
      </c>
      <c r="F21" s="9">
        <f t="array" ref="F21">_xlfn.XLOOKUP($A21,'WK 48'!$A:$A,'WK 48'!F:F,"")</f>
        <v>3</v>
      </c>
      <c r="G21" s="8">
        <v>0.375</v>
      </c>
      <c r="H21" s="8">
        <v>0.75</v>
      </c>
      <c r="I21" s="8">
        <v>0.375</v>
      </c>
      <c r="J21" s="8">
        <v>0.75</v>
      </c>
      <c r="K21" s="8">
        <v>0.375</v>
      </c>
      <c r="L21" s="8">
        <v>0.75</v>
      </c>
      <c r="M21" s="8">
        <v>0.375</v>
      </c>
      <c r="N21" s="8">
        <v>0.75</v>
      </c>
      <c r="O21" s="8">
        <v>0.375</v>
      </c>
      <c r="P21" s="8">
        <v>0.75</v>
      </c>
      <c r="Q21" s="7" t="s">
        <v>23</v>
      </c>
      <c r="R21" s="7" t="s">
        <v>23</v>
      </c>
      <c r="S21" s="7" t="s">
        <v>23</v>
      </c>
      <c r="T21" s="7" t="s">
        <v>23</v>
      </c>
      <c r="U21" s="20">
        <v>0.5</v>
      </c>
      <c r="V21" s="20">
        <v>0.875</v>
      </c>
      <c r="W21" s="20">
        <v>0.5</v>
      </c>
      <c r="X21" s="20">
        <v>0.875</v>
      </c>
      <c r="Y21" s="20">
        <v>0.5</v>
      </c>
      <c r="Z21" s="20">
        <v>0.875</v>
      </c>
      <c r="AA21" s="20">
        <v>0.5</v>
      </c>
      <c r="AB21" s="20">
        <v>0.875</v>
      </c>
      <c r="AC21" s="20">
        <v>0.5</v>
      </c>
      <c r="AD21" s="20">
        <v>0.875</v>
      </c>
      <c r="AE21" s="17" t="s">
        <v>23</v>
      </c>
      <c r="AF21" s="17" t="s">
        <v>23</v>
      </c>
      <c r="AG21" s="17" t="s">
        <v>23</v>
      </c>
      <c r="AH21" s="17" t="s">
        <v>23</v>
      </c>
      <c r="AI21" s="20">
        <v>0.375</v>
      </c>
      <c r="AJ21" s="20">
        <v>0.75</v>
      </c>
      <c r="AK21" s="20">
        <v>0.375</v>
      </c>
      <c r="AL21" s="20">
        <v>0.75</v>
      </c>
      <c r="AM21" s="20">
        <v>0.375</v>
      </c>
      <c r="AN21" s="20">
        <v>0.75</v>
      </c>
      <c r="AO21" s="20">
        <v>0.375</v>
      </c>
      <c r="AP21" s="20">
        <v>0.75</v>
      </c>
      <c r="AQ21" s="20">
        <v>0.375</v>
      </c>
      <c r="AR21" s="20">
        <v>0.75</v>
      </c>
      <c r="AS21" s="17" t="s">
        <v>23</v>
      </c>
      <c r="AT21" s="17" t="s">
        <v>23</v>
      </c>
      <c r="AU21" s="17" t="s">
        <v>23</v>
      </c>
      <c r="AV21" s="17" t="s">
        <v>23</v>
      </c>
      <c r="AW21" s="20">
        <v>0.5</v>
      </c>
      <c r="AX21" s="20">
        <v>0.875</v>
      </c>
      <c r="AY21" s="20">
        <v>0.5</v>
      </c>
      <c r="AZ21" s="20">
        <v>0.875</v>
      </c>
      <c r="BA21" s="20">
        <v>0.5</v>
      </c>
      <c r="BB21" s="20">
        <v>0.875</v>
      </c>
      <c r="BC21" s="20">
        <v>0.5</v>
      </c>
      <c r="BD21" s="20">
        <v>0.875</v>
      </c>
      <c r="BE21" s="20">
        <v>0.5</v>
      </c>
      <c r="BF21" s="20">
        <v>0.875</v>
      </c>
      <c r="BG21" s="17" t="s">
        <v>23</v>
      </c>
      <c r="BH21" s="17" t="s">
        <v>23</v>
      </c>
      <c r="BI21" s="17" t="s">
        <v>23</v>
      </c>
      <c r="BJ21" s="17" t="s">
        <v>23</v>
      </c>
      <c r="BK21" s="20">
        <v>0.375</v>
      </c>
      <c r="BL21" s="20">
        <v>0.75</v>
      </c>
      <c r="BM21" s="20">
        <v>0.375</v>
      </c>
      <c r="BN21" s="20">
        <v>0.75</v>
      </c>
      <c r="BO21" s="21">
        <f>IFERROR(__xludf.DUMMYFUNCTION("TO_PURE_NUMBER(SUM(FILTER(G21:BN21, ISEVEN(COLUMN(G21:BN21))))-SUM(FILTER(G21:BN21, ISODD(COLUMN(G21:BN21)))))*24"),198)</f>
        <v>198</v>
      </c>
      <c r="BP21" s="17"/>
      <c r="BQ21" s="17"/>
      <c r="BR21" s="17"/>
      <c r="BS21" s="17"/>
      <c r="BT21" s="17"/>
      <c r="BU21" s="17"/>
      <c r="BV21" s="17"/>
      <c r="BW21" s="17"/>
      <c r="BX21" s="17"/>
    </row>
    <row r="22" customHeight="1" spans="1:76">
      <c r="A22" s="7">
        <v>10316530</v>
      </c>
      <c r="B22" s="7" t="s">
        <v>26</v>
      </c>
      <c r="C22" s="7" t="str">
        <f t="array" ref="C22">_xlfn.XLOOKUP($A22,'WK 48'!A:A,'WK 48'!C:C,"")</f>
        <v>CSR</v>
      </c>
      <c r="D22" s="7" t="str">
        <f t="array" ref="D22">_xlfn.XLOOKUP($A22,'WK 48'!$A:$A,'WK 48'!D:D,"")</f>
        <v>Production</v>
      </c>
      <c r="E22" s="8" t="str">
        <f t="array" ref="E22">_xlfn.XLOOKUP($A22,'WK 48'!$A:$A,'WK 48'!E:E,"")</f>
        <v>FT</v>
      </c>
      <c r="F22" s="9">
        <f t="array" ref="F22">_xlfn.XLOOKUP($A22,'WK 48'!$A:$A,'WK 48'!F:F,"")</f>
        <v>1</v>
      </c>
      <c r="G22" s="7" t="s">
        <v>23</v>
      </c>
      <c r="H22" s="7" t="s">
        <v>23</v>
      </c>
      <c r="I22" s="8">
        <v>0.375</v>
      </c>
      <c r="J22" s="8">
        <v>0.791666666667879</v>
      </c>
      <c r="K22" s="8">
        <v>0.375</v>
      </c>
      <c r="L22" s="8">
        <v>0.791666666667879</v>
      </c>
      <c r="M22" s="8">
        <v>0.375</v>
      </c>
      <c r="N22" s="8">
        <v>0.791666666667879</v>
      </c>
      <c r="O22" s="8">
        <v>0.375</v>
      </c>
      <c r="P22" s="8">
        <v>0.791666666667879</v>
      </c>
      <c r="Q22" s="8">
        <v>0.458333333332121</v>
      </c>
      <c r="R22" s="8">
        <v>0.666666666667879</v>
      </c>
      <c r="S22" s="7" t="s">
        <v>23</v>
      </c>
      <c r="T22" s="7" t="s">
        <v>23</v>
      </c>
      <c r="U22" s="17" t="s">
        <v>23</v>
      </c>
      <c r="V22" s="17" t="s">
        <v>23</v>
      </c>
      <c r="W22" s="20">
        <v>0.458333333332121</v>
      </c>
      <c r="X22" s="20">
        <v>0.875</v>
      </c>
      <c r="Y22" s="20">
        <v>0.458333333332121</v>
      </c>
      <c r="Z22" s="20">
        <v>0.875</v>
      </c>
      <c r="AA22" s="20">
        <v>0.458333333332121</v>
      </c>
      <c r="AB22" s="20">
        <v>0.875</v>
      </c>
      <c r="AC22" s="20">
        <v>0.458333333332121</v>
      </c>
      <c r="AD22" s="20">
        <v>0.875</v>
      </c>
      <c r="AE22" s="20">
        <v>0.458333333332121</v>
      </c>
      <c r="AF22" s="20">
        <v>0.666666666667879</v>
      </c>
      <c r="AG22" s="17" t="s">
        <v>23</v>
      </c>
      <c r="AH22" s="17" t="s">
        <v>23</v>
      </c>
      <c r="AI22" s="17" t="s">
        <v>23</v>
      </c>
      <c r="AJ22" s="17" t="s">
        <v>23</v>
      </c>
      <c r="AK22" s="20">
        <v>0.375</v>
      </c>
      <c r="AL22" s="20">
        <v>0.791666666667879</v>
      </c>
      <c r="AM22" s="20">
        <v>0.375</v>
      </c>
      <c r="AN22" s="20">
        <v>0.791666666667879</v>
      </c>
      <c r="AO22" s="20">
        <v>0.375</v>
      </c>
      <c r="AP22" s="20">
        <v>0.791666666667879</v>
      </c>
      <c r="AQ22" s="20">
        <v>0.375</v>
      </c>
      <c r="AR22" s="20">
        <v>0.791666666667879</v>
      </c>
      <c r="AS22" s="20">
        <v>0.458333333332121</v>
      </c>
      <c r="AT22" s="20">
        <v>0.666666666667879</v>
      </c>
      <c r="AU22" s="17" t="s">
        <v>23</v>
      </c>
      <c r="AV22" s="17" t="s">
        <v>23</v>
      </c>
      <c r="AW22" s="17" t="s">
        <v>23</v>
      </c>
      <c r="AX22" s="17" t="s">
        <v>23</v>
      </c>
      <c r="AY22" s="20">
        <v>0.458333333332121</v>
      </c>
      <c r="AZ22" s="20">
        <v>0.875</v>
      </c>
      <c r="BA22" s="20">
        <v>0.458333333332121</v>
      </c>
      <c r="BB22" s="20">
        <v>0.875</v>
      </c>
      <c r="BC22" s="20">
        <v>0.458333333332121</v>
      </c>
      <c r="BD22" s="20">
        <v>0.875</v>
      </c>
      <c r="BE22" s="20">
        <v>0.458333333332121</v>
      </c>
      <c r="BF22" s="20">
        <v>0.875</v>
      </c>
      <c r="BG22" s="20">
        <v>0.458333333332121</v>
      </c>
      <c r="BH22" s="20">
        <v>0.666666666667879</v>
      </c>
      <c r="BI22" s="17" t="s">
        <v>23</v>
      </c>
      <c r="BJ22" s="17" t="s">
        <v>23</v>
      </c>
      <c r="BK22" s="17" t="s">
        <v>23</v>
      </c>
      <c r="BL22" s="17" t="s">
        <v>23</v>
      </c>
      <c r="BM22" s="20">
        <v>0.375</v>
      </c>
      <c r="BN22" s="20">
        <v>0.791666666667879</v>
      </c>
      <c r="BO22" s="21">
        <f>IFERROR(__xludf.DUMMYFUNCTION("TO_PURE_NUMBER(SUM(FILTER(G22:BN22, ISEVEN(COLUMN(G22:BN22))))-SUM(FILTER(G22:BN22, ISODD(COLUMN(G22:BN22)))))*24"),190.000000000727)</f>
        <v>190.000000000727</v>
      </c>
      <c r="BP22" s="17"/>
      <c r="BQ22" s="17"/>
      <c r="BR22" s="17"/>
      <c r="BS22" s="17"/>
      <c r="BT22" s="17"/>
      <c r="BU22" s="17"/>
      <c r="BV22" s="17"/>
      <c r="BW22" s="17"/>
      <c r="BX22" s="17"/>
    </row>
    <row r="23" customHeight="1" spans="1:76">
      <c r="A23" s="7">
        <v>10316680</v>
      </c>
      <c r="B23" s="7" t="s">
        <v>40</v>
      </c>
      <c r="C23" s="7" t="str">
        <f t="array" ref="C23">_xlfn.XLOOKUP($A23,'WK 48'!A:A,'WK 48'!C:C,"")</f>
        <v>CSR</v>
      </c>
      <c r="D23" s="7" t="str">
        <f t="array" ref="D23">_xlfn.XLOOKUP($A23,'WK 48'!$A:$A,'WK 48'!D:D,"")</f>
        <v>Production</v>
      </c>
      <c r="E23" s="8" t="str">
        <f t="array" ref="E23">_xlfn.XLOOKUP($A23,'WK 48'!$A:$A,'WK 48'!E:E,"")</f>
        <v>FT</v>
      </c>
      <c r="F23" s="9">
        <f t="array" ref="F23">_xlfn.XLOOKUP($A23,'WK 48'!$A:$A,'WK 48'!F:F,"")</f>
        <v>1</v>
      </c>
      <c r="G23" s="8">
        <v>0.375</v>
      </c>
      <c r="H23" s="8">
        <v>0.75</v>
      </c>
      <c r="I23" s="8">
        <v>0.375</v>
      </c>
      <c r="J23" s="8">
        <v>0.75</v>
      </c>
      <c r="K23" s="8">
        <v>0.375</v>
      </c>
      <c r="L23" s="8">
        <v>0.75</v>
      </c>
      <c r="M23" s="8">
        <v>0.375</v>
      </c>
      <c r="N23" s="8">
        <v>0.75</v>
      </c>
      <c r="O23" s="8">
        <v>0.375</v>
      </c>
      <c r="P23" s="8">
        <v>0.75</v>
      </c>
      <c r="Q23" s="7" t="s">
        <v>23</v>
      </c>
      <c r="R23" s="7" t="s">
        <v>23</v>
      </c>
      <c r="S23" s="7" t="s">
        <v>23</v>
      </c>
      <c r="T23" s="7" t="s">
        <v>23</v>
      </c>
      <c r="U23" s="20">
        <v>0.5</v>
      </c>
      <c r="V23" s="20">
        <v>0.875</v>
      </c>
      <c r="W23" s="20">
        <v>0.5</v>
      </c>
      <c r="X23" s="20">
        <v>0.875</v>
      </c>
      <c r="Y23" s="20">
        <v>0.5</v>
      </c>
      <c r="Z23" s="20">
        <v>0.875</v>
      </c>
      <c r="AA23" s="20">
        <v>0.5</v>
      </c>
      <c r="AB23" s="20">
        <v>0.875</v>
      </c>
      <c r="AC23" s="20">
        <v>0.5</v>
      </c>
      <c r="AD23" s="20">
        <v>0.875</v>
      </c>
      <c r="AE23" s="17" t="s">
        <v>23</v>
      </c>
      <c r="AF23" s="17" t="s">
        <v>23</v>
      </c>
      <c r="AG23" s="17" t="s">
        <v>23</v>
      </c>
      <c r="AH23" s="17" t="s">
        <v>23</v>
      </c>
      <c r="AI23" s="20">
        <v>0.375</v>
      </c>
      <c r="AJ23" s="20">
        <v>0.75</v>
      </c>
      <c r="AK23" s="20">
        <v>0.375</v>
      </c>
      <c r="AL23" s="20">
        <v>0.75</v>
      </c>
      <c r="AM23" s="20">
        <v>0.375</v>
      </c>
      <c r="AN23" s="20">
        <v>0.75</v>
      </c>
      <c r="AO23" s="20">
        <v>0.375</v>
      </c>
      <c r="AP23" s="20">
        <v>0.75</v>
      </c>
      <c r="AQ23" s="20">
        <v>0.375</v>
      </c>
      <c r="AR23" s="20">
        <v>0.75</v>
      </c>
      <c r="AS23" s="17" t="s">
        <v>23</v>
      </c>
      <c r="AT23" s="17" t="s">
        <v>23</v>
      </c>
      <c r="AU23" s="17" t="s">
        <v>23</v>
      </c>
      <c r="AV23" s="17" t="s">
        <v>23</v>
      </c>
      <c r="AW23" s="20">
        <v>0.5</v>
      </c>
      <c r="AX23" s="20">
        <v>0.875</v>
      </c>
      <c r="AY23" s="20">
        <v>0.5</v>
      </c>
      <c r="AZ23" s="20">
        <v>0.875</v>
      </c>
      <c r="BA23" s="20">
        <v>0.5</v>
      </c>
      <c r="BB23" s="20">
        <v>0.875</v>
      </c>
      <c r="BC23" s="20">
        <v>0.5</v>
      </c>
      <c r="BD23" s="20">
        <v>0.875</v>
      </c>
      <c r="BE23" s="20">
        <v>0.5</v>
      </c>
      <c r="BF23" s="20">
        <v>0.875</v>
      </c>
      <c r="BG23" s="17" t="s">
        <v>23</v>
      </c>
      <c r="BH23" s="17" t="s">
        <v>23</v>
      </c>
      <c r="BI23" s="17" t="s">
        <v>23</v>
      </c>
      <c r="BJ23" s="17" t="s">
        <v>23</v>
      </c>
      <c r="BK23" s="20">
        <v>0.375</v>
      </c>
      <c r="BL23" s="20">
        <v>0.75</v>
      </c>
      <c r="BM23" s="20">
        <v>0.375</v>
      </c>
      <c r="BN23" s="20">
        <v>0.75</v>
      </c>
      <c r="BO23" s="21">
        <f>IFERROR(__xludf.DUMMYFUNCTION("TO_PURE_NUMBER(SUM(FILTER(G23:BN23, ISEVEN(COLUMN(G23:BN23))))-SUM(FILTER(G23:BN23, ISODD(COLUMN(G23:BN23)))))*24"),198)</f>
        <v>198</v>
      </c>
      <c r="BP23" s="17"/>
      <c r="BQ23" s="17"/>
      <c r="BR23" s="17"/>
      <c r="BS23" s="17"/>
      <c r="BT23" s="17"/>
      <c r="BU23" s="17"/>
      <c r="BV23" s="17"/>
      <c r="BW23" s="17"/>
      <c r="BX23" s="17"/>
    </row>
    <row r="24" customHeight="1" spans="1:76">
      <c r="A24" s="7">
        <v>10317943</v>
      </c>
      <c r="B24" s="7" t="s">
        <v>27</v>
      </c>
      <c r="C24" s="7" t="str">
        <f t="array" ref="C24">_xlfn.XLOOKUP($A24,'WK 48'!A:A,'WK 48'!C:C,"")</f>
        <v>CSR</v>
      </c>
      <c r="D24" s="7" t="str">
        <f t="array" ref="D24">_xlfn.XLOOKUP($A24,'WK 48'!$A:$A,'WK 48'!D:D,"")</f>
        <v>Production</v>
      </c>
      <c r="E24" s="8" t="str">
        <f t="array" ref="E24">_xlfn.XLOOKUP($A24,'WK 48'!$A:$A,'WK 48'!E:E,"")</f>
        <v>FT</v>
      </c>
      <c r="F24" s="9">
        <f t="array" ref="F24">_xlfn.XLOOKUP($A24,'WK 48'!$A:$A,'WK 48'!F:F,"")</f>
        <v>2</v>
      </c>
      <c r="G24" s="8">
        <v>0.375</v>
      </c>
      <c r="H24" s="8">
        <v>0.75</v>
      </c>
      <c r="I24" s="8">
        <v>0.375</v>
      </c>
      <c r="J24" s="8">
        <v>0.75</v>
      </c>
      <c r="K24" s="8">
        <v>0.375</v>
      </c>
      <c r="L24" s="8">
        <v>0.75</v>
      </c>
      <c r="M24" s="8">
        <v>0.375</v>
      </c>
      <c r="N24" s="8">
        <v>0.75</v>
      </c>
      <c r="O24" s="8">
        <v>0.375</v>
      </c>
      <c r="P24" s="8">
        <v>0.75</v>
      </c>
      <c r="Q24" s="7" t="s">
        <v>23</v>
      </c>
      <c r="R24" s="7" t="s">
        <v>23</v>
      </c>
      <c r="S24" s="7" t="s">
        <v>23</v>
      </c>
      <c r="T24" s="7" t="s">
        <v>23</v>
      </c>
      <c r="U24" s="20">
        <v>0.458333333332121</v>
      </c>
      <c r="V24" s="20">
        <v>0.875</v>
      </c>
      <c r="W24" s="20">
        <v>0.458333333332121</v>
      </c>
      <c r="X24" s="20">
        <v>0.875</v>
      </c>
      <c r="Y24" s="20">
        <v>0.458333333332121</v>
      </c>
      <c r="Z24" s="20">
        <v>0.875</v>
      </c>
      <c r="AA24" s="20">
        <v>0.458333333332121</v>
      </c>
      <c r="AB24" s="20">
        <v>0.875</v>
      </c>
      <c r="AC24" s="17" t="s">
        <v>23</v>
      </c>
      <c r="AD24" s="17" t="s">
        <v>23</v>
      </c>
      <c r="AE24" s="17" t="s">
        <v>23</v>
      </c>
      <c r="AF24" s="17" t="s">
        <v>23</v>
      </c>
      <c r="AG24" s="20">
        <v>0.458333333332121</v>
      </c>
      <c r="AH24" s="20">
        <v>0.666666666667879</v>
      </c>
      <c r="AI24" s="20">
        <v>0.375</v>
      </c>
      <c r="AJ24" s="20">
        <v>0.791666666667879</v>
      </c>
      <c r="AK24" s="20">
        <v>0.375</v>
      </c>
      <c r="AL24" s="20">
        <v>0.791666666667879</v>
      </c>
      <c r="AM24" s="20">
        <v>0.375</v>
      </c>
      <c r="AN24" s="20">
        <v>0.791666666667879</v>
      </c>
      <c r="AO24" s="20">
        <v>0.375</v>
      </c>
      <c r="AP24" s="20">
        <v>0.791666666667879</v>
      </c>
      <c r="AQ24" s="17" t="s">
        <v>23</v>
      </c>
      <c r="AR24" s="17" t="s">
        <v>23</v>
      </c>
      <c r="AS24" s="17" t="s">
        <v>23</v>
      </c>
      <c r="AT24" s="17" t="s">
        <v>23</v>
      </c>
      <c r="AU24" s="20">
        <v>0.458333333332121</v>
      </c>
      <c r="AV24" s="20">
        <v>0.666666666667879</v>
      </c>
      <c r="AW24" s="20">
        <v>0.5</v>
      </c>
      <c r="AX24" s="20">
        <v>0.875</v>
      </c>
      <c r="AY24" s="20">
        <v>0.5</v>
      </c>
      <c r="AZ24" s="20">
        <v>0.875</v>
      </c>
      <c r="BA24" s="20">
        <v>0.5</v>
      </c>
      <c r="BB24" s="20">
        <v>0.875</v>
      </c>
      <c r="BC24" s="20">
        <v>0.5</v>
      </c>
      <c r="BD24" s="20">
        <v>0.875</v>
      </c>
      <c r="BE24" s="20">
        <v>0.5</v>
      </c>
      <c r="BF24" s="20">
        <v>0.875</v>
      </c>
      <c r="BG24" s="17" t="s">
        <v>23</v>
      </c>
      <c r="BH24" s="17" t="s">
        <v>23</v>
      </c>
      <c r="BI24" s="17" t="s">
        <v>23</v>
      </c>
      <c r="BJ24" s="17" t="s">
        <v>23</v>
      </c>
      <c r="BK24" s="20">
        <v>0.416666666667879</v>
      </c>
      <c r="BL24" s="20">
        <v>0.833333333332121</v>
      </c>
      <c r="BM24" s="20">
        <v>0.416666666667879</v>
      </c>
      <c r="BN24" s="20">
        <v>0.833333333332121</v>
      </c>
      <c r="BO24" s="21">
        <f>IFERROR(__xludf.DUMMYFUNCTION("TO_PURE_NUMBER(SUM(FILTER(G24:BN24, ISEVEN(COLUMN(G24:BN24))))-SUM(FILTER(G24:BN24, ISODD(COLUMN(G24:BN24)))))*24"),200.000000000232)</f>
        <v>200.000000000232</v>
      </c>
      <c r="BP24" s="17"/>
      <c r="BQ24" s="17"/>
      <c r="BR24" s="17"/>
      <c r="BS24" s="17"/>
      <c r="BT24" s="17"/>
      <c r="BU24" s="17"/>
      <c r="BV24" s="17"/>
      <c r="BW24" s="17"/>
      <c r="BX24" s="17"/>
    </row>
    <row r="25" customHeight="1" spans="1:76">
      <c r="A25" s="7">
        <v>10250966</v>
      </c>
      <c r="B25" s="7" t="s">
        <v>61</v>
      </c>
      <c r="C25" s="7" t="str">
        <f t="array" ref="C25">_xlfn.XLOOKUP($A25,'WK 48'!A:A,'WK 48'!C:C,"")</f>
        <v>CSR</v>
      </c>
      <c r="D25" s="7" t="str">
        <f t="array" ref="D25">_xlfn.XLOOKUP($A25,'WK 48'!$A:$A,'WK 48'!D:D,"")</f>
        <v>Production</v>
      </c>
      <c r="E25" s="8" t="str">
        <f t="array" ref="E25">_xlfn.XLOOKUP($A25,'WK 48'!$A:$A,'WK 48'!E:E,"")</f>
        <v>FT</v>
      </c>
      <c r="F25" s="9">
        <f t="array" ref="F25">_xlfn.XLOOKUP($A25,'WK 48'!$A:$A,'WK 48'!F:F,"")</f>
        <v>3</v>
      </c>
      <c r="G25" s="8">
        <v>0.375</v>
      </c>
      <c r="H25" s="8">
        <v>0.791666666667879</v>
      </c>
      <c r="I25" s="8">
        <v>0.375</v>
      </c>
      <c r="J25" s="8">
        <v>0.791666666667879</v>
      </c>
      <c r="K25" s="8">
        <v>0.375</v>
      </c>
      <c r="L25" s="8">
        <v>0.791666666667879</v>
      </c>
      <c r="M25" s="8">
        <v>0.375</v>
      </c>
      <c r="N25" s="8">
        <v>0.791666666667879</v>
      </c>
      <c r="O25" s="7" t="s">
        <v>23</v>
      </c>
      <c r="P25" s="7" t="s">
        <v>23</v>
      </c>
      <c r="Q25" s="7" t="s">
        <v>23</v>
      </c>
      <c r="R25" s="7" t="s">
        <v>23</v>
      </c>
      <c r="S25" s="8">
        <v>0.458333333332121</v>
      </c>
      <c r="T25" s="8">
        <v>0.666666666667879</v>
      </c>
      <c r="U25" s="20">
        <v>0.5</v>
      </c>
      <c r="V25" s="20">
        <v>0.875</v>
      </c>
      <c r="W25" s="20">
        <v>0.5</v>
      </c>
      <c r="X25" s="20">
        <v>0.875</v>
      </c>
      <c r="Y25" s="20">
        <v>0.5</v>
      </c>
      <c r="Z25" s="20">
        <v>0.875</v>
      </c>
      <c r="AA25" s="20">
        <v>0.5</v>
      </c>
      <c r="AB25" s="20">
        <v>0.875</v>
      </c>
      <c r="AC25" s="20">
        <v>0.5</v>
      </c>
      <c r="AD25" s="20">
        <v>0.875</v>
      </c>
      <c r="AE25" s="17" t="s">
        <v>23</v>
      </c>
      <c r="AF25" s="17" t="s">
        <v>23</v>
      </c>
      <c r="AG25" s="17" t="s">
        <v>23</v>
      </c>
      <c r="AH25" s="17" t="s">
        <v>23</v>
      </c>
      <c r="AI25" s="20">
        <v>0.375</v>
      </c>
      <c r="AJ25" s="20">
        <v>0.791666666667879</v>
      </c>
      <c r="AK25" s="20">
        <v>0.375</v>
      </c>
      <c r="AL25" s="20">
        <v>0.791666666667879</v>
      </c>
      <c r="AM25" s="20">
        <v>0.375</v>
      </c>
      <c r="AN25" s="20">
        <v>0.791666666667879</v>
      </c>
      <c r="AO25" s="20">
        <v>0.375</v>
      </c>
      <c r="AP25" s="20">
        <v>0.791666666667879</v>
      </c>
      <c r="AQ25" s="17" t="s">
        <v>23</v>
      </c>
      <c r="AR25" s="17" t="s">
        <v>23</v>
      </c>
      <c r="AS25" s="17" t="s">
        <v>23</v>
      </c>
      <c r="AT25" s="17" t="s">
        <v>23</v>
      </c>
      <c r="AU25" s="20">
        <v>0.458333333332121</v>
      </c>
      <c r="AV25" s="20">
        <v>0.666666666667879</v>
      </c>
      <c r="AW25" s="20">
        <v>0.5</v>
      </c>
      <c r="AX25" s="20">
        <v>0.875</v>
      </c>
      <c r="AY25" s="20">
        <v>0.5</v>
      </c>
      <c r="AZ25" s="20">
        <v>0.875</v>
      </c>
      <c r="BA25" s="20">
        <v>0.5</v>
      </c>
      <c r="BB25" s="20">
        <v>0.875</v>
      </c>
      <c r="BC25" s="20">
        <v>0.5</v>
      </c>
      <c r="BD25" s="20">
        <v>0.875</v>
      </c>
      <c r="BE25" s="20">
        <v>0.5</v>
      </c>
      <c r="BF25" s="20">
        <v>0.875</v>
      </c>
      <c r="BG25" s="17" t="s">
        <v>23</v>
      </c>
      <c r="BH25" s="17" t="s">
        <v>23</v>
      </c>
      <c r="BI25" s="17" t="s">
        <v>23</v>
      </c>
      <c r="BJ25" s="17" t="s">
        <v>23</v>
      </c>
      <c r="BK25" s="20">
        <v>0.375</v>
      </c>
      <c r="BL25" s="20">
        <v>0.791666666667879</v>
      </c>
      <c r="BM25" s="20">
        <v>0.375</v>
      </c>
      <c r="BN25" s="20">
        <v>0.791666666667879</v>
      </c>
      <c r="BO25" s="21">
        <f>IFERROR(__xludf.DUMMYFUNCTION("TO_PURE_NUMBER(SUM(FILTER(G25:BN25, ISEVEN(COLUMN(G25:BN25))))-SUM(FILTER(G25:BN25, ISODD(COLUMN(G25:BN25)))))*24"),200.000000000407)</f>
        <v>200.000000000407</v>
      </c>
      <c r="BP25" s="17"/>
      <c r="BQ25" s="17"/>
      <c r="BR25" s="17"/>
      <c r="BS25" s="17"/>
      <c r="BT25" s="17"/>
      <c r="BU25" s="17"/>
      <c r="BV25" s="17"/>
      <c r="BW25" s="17"/>
      <c r="BX25" s="17"/>
    </row>
    <row r="26" customHeight="1" spans="1:76">
      <c r="A26" s="7">
        <v>10316543</v>
      </c>
      <c r="B26" s="7" t="s">
        <v>41</v>
      </c>
      <c r="C26" s="7" t="str">
        <f t="array" ref="C26">_xlfn.XLOOKUP($A26,'WK 48'!A:A,'WK 48'!C:C,"")</f>
        <v>CSR</v>
      </c>
      <c r="D26" s="7" t="str">
        <f t="array" ref="D26">_xlfn.XLOOKUP($A26,'WK 48'!$A:$A,'WK 48'!D:D,"")</f>
        <v>Production</v>
      </c>
      <c r="E26" s="8" t="str">
        <f t="array" ref="E26">_xlfn.XLOOKUP($A26,'WK 48'!$A:$A,'WK 48'!E:E,"")</f>
        <v>FT</v>
      </c>
      <c r="F26" s="9">
        <f t="array" ref="F26">_xlfn.XLOOKUP($A26,'WK 48'!$A:$A,'WK 48'!F:F,"")</f>
        <v>1</v>
      </c>
      <c r="G26" s="8">
        <v>0.375</v>
      </c>
      <c r="H26" s="8">
        <v>0.75</v>
      </c>
      <c r="I26" s="8">
        <v>0.375</v>
      </c>
      <c r="J26" s="8">
        <v>0.75</v>
      </c>
      <c r="K26" s="8">
        <v>0.375</v>
      </c>
      <c r="L26" s="8">
        <v>0.75</v>
      </c>
      <c r="M26" s="7" t="s">
        <v>23</v>
      </c>
      <c r="N26" s="7" t="s">
        <v>23</v>
      </c>
      <c r="O26" s="7" t="s">
        <v>23</v>
      </c>
      <c r="P26" s="7" t="s">
        <v>23</v>
      </c>
      <c r="Q26" s="8">
        <v>0.458333333332121</v>
      </c>
      <c r="R26" s="8">
        <v>0.666666666667879</v>
      </c>
      <c r="S26" s="8">
        <v>0.458333333332121</v>
      </c>
      <c r="T26" s="8">
        <v>0.666666666667879</v>
      </c>
      <c r="U26" s="20">
        <v>0.5</v>
      </c>
      <c r="V26" s="20">
        <v>0.875</v>
      </c>
      <c r="W26" s="20">
        <v>0.5</v>
      </c>
      <c r="X26" s="20">
        <v>0.875</v>
      </c>
      <c r="Y26" s="20">
        <v>0.5</v>
      </c>
      <c r="Z26" s="20">
        <v>0.875</v>
      </c>
      <c r="AA26" s="17" t="s">
        <v>23</v>
      </c>
      <c r="AB26" s="17" t="s">
        <v>23</v>
      </c>
      <c r="AC26" s="17" t="s">
        <v>23</v>
      </c>
      <c r="AD26" s="17" t="s">
        <v>23</v>
      </c>
      <c r="AE26" s="20">
        <v>0.458333333332121</v>
      </c>
      <c r="AF26" s="20">
        <v>0.666666666667879</v>
      </c>
      <c r="AG26" s="20">
        <v>0.458333333332121</v>
      </c>
      <c r="AH26" s="20">
        <v>0.666666666667879</v>
      </c>
      <c r="AI26" s="20">
        <v>0.375</v>
      </c>
      <c r="AJ26" s="20">
        <v>0.75</v>
      </c>
      <c r="AK26" s="20">
        <v>0.375</v>
      </c>
      <c r="AL26" s="20">
        <v>0.75</v>
      </c>
      <c r="AM26" s="20">
        <v>0.375</v>
      </c>
      <c r="AN26" s="20">
        <v>0.75</v>
      </c>
      <c r="AO26" s="17" t="s">
        <v>23</v>
      </c>
      <c r="AP26" s="17" t="s">
        <v>23</v>
      </c>
      <c r="AQ26" s="17" t="s">
        <v>23</v>
      </c>
      <c r="AR26" s="17" t="s">
        <v>23</v>
      </c>
      <c r="AS26" s="20">
        <v>0.458333333332121</v>
      </c>
      <c r="AT26" s="20">
        <v>0.666666666667879</v>
      </c>
      <c r="AU26" s="20">
        <v>0.458333333332121</v>
      </c>
      <c r="AV26" s="20">
        <v>0.666666666667879</v>
      </c>
      <c r="AW26" s="20">
        <v>0.5</v>
      </c>
      <c r="AX26" s="20">
        <v>0.875</v>
      </c>
      <c r="AY26" s="20">
        <v>0.5</v>
      </c>
      <c r="AZ26" s="20">
        <v>0.875</v>
      </c>
      <c r="BA26" s="17" t="s">
        <v>23</v>
      </c>
      <c r="BB26" s="17" t="s">
        <v>23</v>
      </c>
      <c r="BC26" s="17" t="s">
        <v>23</v>
      </c>
      <c r="BD26" s="17" t="s">
        <v>23</v>
      </c>
      <c r="BE26" s="20">
        <v>0.5</v>
      </c>
      <c r="BF26" s="20">
        <v>0.875</v>
      </c>
      <c r="BG26" s="20">
        <v>0.458333333332121</v>
      </c>
      <c r="BH26" s="20">
        <v>0.666666666667879</v>
      </c>
      <c r="BI26" s="20">
        <v>0.458333333332121</v>
      </c>
      <c r="BJ26" s="20">
        <v>0.666666666667879</v>
      </c>
      <c r="BK26" s="20">
        <v>0.375</v>
      </c>
      <c r="BL26" s="20">
        <v>0.75</v>
      </c>
      <c r="BM26" s="17" t="s">
        <v>23</v>
      </c>
      <c r="BN26" s="17" t="s">
        <v>23</v>
      </c>
      <c r="BO26" s="21">
        <f>IFERROR(__xludf.DUMMYFUNCTION("TO_PURE_NUMBER(SUM(FILTER(G26:BN26, ISEVEN(COLUMN(G26:BN26))))-SUM(FILTER(G26:BN26, ISODD(COLUMN(G26:BN26)))))*24"),157.000000000465)</f>
        <v>157.000000000465</v>
      </c>
      <c r="BP26" s="17"/>
      <c r="BQ26" s="17"/>
      <c r="BR26" s="17"/>
      <c r="BS26" s="17"/>
      <c r="BT26" s="17"/>
      <c r="BU26" s="17"/>
      <c r="BV26" s="17"/>
      <c r="BW26" s="17"/>
      <c r="BX26" s="17"/>
    </row>
    <row r="27" customHeight="1" spans="1:76">
      <c r="A27" s="7">
        <v>10317153</v>
      </c>
      <c r="B27" s="7" t="s">
        <v>42</v>
      </c>
      <c r="C27" s="7" t="str">
        <f t="array" ref="C27">_xlfn.XLOOKUP($A27,'WK 48'!A:A,'WK 48'!C:C,"")</f>
        <v>CSR</v>
      </c>
      <c r="D27" s="7" t="str">
        <f t="array" ref="D27">_xlfn.XLOOKUP($A27,'WK 48'!$A:$A,'WK 48'!D:D,"")</f>
        <v>Production</v>
      </c>
      <c r="E27" s="8" t="str">
        <f t="array" ref="E27">_xlfn.XLOOKUP($A27,'WK 48'!$A:$A,'WK 48'!E:E,"")</f>
        <v>FT</v>
      </c>
      <c r="F27" s="9">
        <f t="array" ref="F27">_xlfn.XLOOKUP($A27,'WK 48'!$A:$A,'WK 48'!F:F,"")</f>
        <v>1</v>
      </c>
      <c r="G27" s="7" t="s">
        <v>23</v>
      </c>
      <c r="H27" s="7" t="s">
        <v>23</v>
      </c>
      <c r="I27" s="8">
        <v>0.458333333332121</v>
      </c>
      <c r="J27" s="8">
        <v>0.875</v>
      </c>
      <c r="K27" s="8">
        <v>0.458333333332121</v>
      </c>
      <c r="L27" s="8">
        <v>0.875</v>
      </c>
      <c r="M27" s="8">
        <v>0.458333333332121</v>
      </c>
      <c r="N27" s="8">
        <v>0.875</v>
      </c>
      <c r="O27" s="8">
        <v>0.458333333332121</v>
      </c>
      <c r="P27" s="8">
        <v>0.875</v>
      </c>
      <c r="Q27" s="8">
        <v>0.458333333332121</v>
      </c>
      <c r="R27" s="8">
        <v>0.666666666667879</v>
      </c>
      <c r="S27" s="7" t="s">
        <v>23</v>
      </c>
      <c r="T27" s="7" t="s">
        <v>23</v>
      </c>
      <c r="U27" s="17" t="s">
        <v>23</v>
      </c>
      <c r="V27" s="17" t="s">
        <v>23</v>
      </c>
      <c r="W27" s="20">
        <v>0.375</v>
      </c>
      <c r="X27" s="20">
        <v>0.791666666667879</v>
      </c>
      <c r="Y27" s="20">
        <v>0.375</v>
      </c>
      <c r="Z27" s="20">
        <v>0.791666666667879</v>
      </c>
      <c r="AA27" s="20">
        <v>0.375</v>
      </c>
      <c r="AB27" s="20">
        <v>0.791666666667879</v>
      </c>
      <c r="AC27" s="20">
        <v>0.375</v>
      </c>
      <c r="AD27" s="20">
        <v>0.791666666667879</v>
      </c>
      <c r="AE27" s="20">
        <v>0.458333333332121</v>
      </c>
      <c r="AF27" s="20">
        <v>0.666666666667879</v>
      </c>
      <c r="AG27" s="17" t="s">
        <v>23</v>
      </c>
      <c r="AH27" s="17" t="s">
        <v>23</v>
      </c>
      <c r="AI27" s="17" t="s">
        <v>23</v>
      </c>
      <c r="AJ27" s="17" t="s">
        <v>23</v>
      </c>
      <c r="AK27" s="20">
        <v>0.458333333332121</v>
      </c>
      <c r="AL27" s="20">
        <v>0.875</v>
      </c>
      <c r="AM27" s="20">
        <v>0.458333333332121</v>
      </c>
      <c r="AN27" s="20">
        <v>0.875</v>
      </c>
      <c r="AO27" s="20">
        <v>0.458333333332121</v>
      </c>
      <c r="AP27" s="20">
        <v>0.875</v>
      </c>
      <c r="AQ27" s="20">
        <v>0.458333333332121</v>
      </c>
      <c r="AR27" s="20">
        <v>0.875</v>
      </c>
      <c r="AS27" s="20">
        <v>0.458333333332121</v>
      </c>
      <c r="AT27" s="20">
        <v>0.666666666667879</v>
      </c>
      <c r="AU27" s="17" t="s">
        <v>23</v>
      </c>
      <c r="AV27" s="17" t="s">
        <v>23</v>
      </c>
      <c r="AW27" s="17" t="s">
        <v>23</v>
      </c>
      <c r="AX27" s="17" t="s">
        <v>23</v>
      </c>
      <c r="AY27" s="20">
        <v>0.375</v>
      </c>
      <c r="AZ27" s="20">
        <v>0.791666666667879</v>
      </c>
      <c r="BA27" s="20">
        <v>0.375</v>
      </c>
      <c r="BB27" s="20">
        <v>0.791666666667879</v>
      </c>
      <c r="BC27" s="20">
        <v>0.375</v>
      </c>
      <c r="BD27" s="20">
        <v>0.791666666667879</v>
      </c>
      <c r="BE27" s="20">
        <v>0.375</v>
      </c>
      <c r="BF27" s="20">
        <v>0.791666666667879</v>
      </c>
      <c r="BG27" s="20">
        <v>0.458333333332121</v>
      </c>
      <c r="BH27" s="20">
        <v>0.666666666667879</v>
      </c>
      <c r="BI27" s="17" t="s">
        <v>23</v>
      </c>
      <c r="BJ27" s="17" t="s">
        <v>23</v>
      </c>
      <c r="BK27" s="17" t="s">
        <v>23</v>
      </c>
      <c r="BL27" s="17" t="s">
        <v>23</v>
      </c>
      <c r="BM27" s="20">
        <v>0.458333333332121</v>
      </c>
      <c r="BN27" s="20">
        <v>0.875</v>
      </c>
      <c r="BO27" s="21">
        <f>IFERROR(__xludf.DUMMYFUNCTION("TO_PURE_NUMBER(SUM(FILTER(G27:BN27, ISEVEN(COLUMN(G27:BN27))))-SUM(FILTER(G27:BN27, ISODD(COLUMN(G27:BN27)))))*24"),190.000000000727)</f>
        <v>190.000000000727</v>
      </c>
      <c r="BP27" s="17"/>
      <c r="BQ27" s="17"/>
      <c r="BR27" s="17"/>
      <c r="BS27" s="17"/>
      <c r="BT27" s="17"/>
      <c r="BU27" s="17"/>
      <c r="BV27" s="17"/>
      <c r="BW27" s="17"/>
      <c r="BX27" s="17"/>
    </row>
    <row r="28" customHeight="1" spans="1:76">
      <c r="A28" s="7">
        <v>10317521</v>
      </c>
      <c r="B28" s="7" t="s">
        <v>28</v>
      </c>
      <c r="C28" s="7" t="str">
        <f t="array" ref="C28">_xlfn.XLOOKUP($A28,'WK 48'!A:A,'WK 48'!C:C,"")</f>
        <v>CSR</v>
      </c>
      <c r="D28" s="7" t="str">
        <f t="array" ref="D28">_xlfn.XLOOKUP($A28,'WK 48'!$A:$A,'WK 48'!D:D,"")</f>
        <v>Production</v>
      </c>
      <c r="E28" s="8" t="str">
        <f t="array" ref="E28">_xlfn.XLOOKUP($A28,'WK 48'!$A:$A,'WK 48'!E:E,"")</f>
        <v>FT</v>
      </c>
      <c r="F28" s="9">
        <f t="array" ref="F28">_xlfn.XLOOKUP($A28,'WK 48'!$A:$A,'WK 48'!F:F,"")</f>
        <v>2</v>
      </c>
      <c r="G28" s="7" t="s">
        <v>23</v>
      </c>
      <c r="H28" s="7" t="s">
        <v>23</v>
      </c>
      <c r="I28" s="8">
        <v>0.333333333332121</v>
      </c>
      <c r="J28" s="8">
        <v>0.75</v>
      </c>
      <c r="K28" s="8">
        <v>0.333333333332121</v>
      </c>
      <c r="L28" s="8">
        <v>0.75</v>
      </c>
      <c r="M28" s="8">
        <v>0.333333333332121</v>
      </c>
      <c r="N28" s="8">
        <v>0.75</v>
      </c>
      <c r="O28" s="8">
        <v>0.375</v>
      </c>
      <c r="P28" s="8">
        <v>0.791666666667879</v>
      </c>
      <c r="Q28" s="8">
        <v>0.416666666667879</v>
      </c>
      <c r="R28" s="8">
        <v>0.625</v>
      </c>
      <c r="S28" s="7" t="s">
        <v>23</v>
      </c>
      <c r="T28" s="7" t="s">
        <v>23</v>
      </c>
      <c r="U28" s="17" t="s">
        <v>23</v>
      </c>
      <c r="V28" s="17" t="s">
        <v>23</v>
      </c>
      <c r="W28" s="20">
        <v>0.333333333332121</v>
      </c>
      <c r="X28" s="20">
        <v>0.75</v>
      </c>
      <c r="Y28" s="20">
        <v>0.333333333332121</v>
      </c>
      <c r="Z28" s="20">
        <v>0.75</v>
      </c>
      <c r="AA28" s="20">
        <v>0.333333333332121</v>
      </c>
      <c r="AB28" s="20">
        <v>0.75</v>
      </c>
      <c r="AC28" s="20">
        <v>0.333333333332121</v>
      </c>
      <c r="AD28" s="20">
        <v>0.75</v>
      </c>
      <c r="AE28" s="20">
        <v>0.416666666667879</v>
      </c>
      <c r="AF28" s="20">
        <v>0.625</v>
      </c>
      <c r="AG28" s="17" t="s">
        <v>23</v>
      </c>
      <c r="AH28" s="17" t="s">
        <v>23</v>
      </c>
      <c r="AI28" s="17" t="s">
        <v>23</v>
      </c>
      <c r="AJ28" s="17" t="s">
        <v>23</v>
      </c>
      <c r="AK28" s="20">
        <v>0.333333333332121</v>
      </c>
      <c r="AL28" s="20">
        <v>0.75</v>
      </c>
      <c r="AM28" s="20">
        <v>0.333333333332121</v>
      </c>
      <c r="AN28" s="20">
        <v>0.75</v>
      </c>
      <c r="AO28" s="20">
        <v>0.333333333332121</v>
      </c>
      <c r="AP28" s="20">
        <v>0.75</v>
      </c>
      <c r="AQ28" s="20">
        <v>0.333333333332121</v>
      </c>
      <c r="AR28" s="20">
        <v>0.75</v>
      </c>
      <c r="AS28" s="20">
        <v>0.416666666667879</v>
      </c>
      <c r="AT28" s="20">
        <v>0.625</v>
      </c>
      <c r="AU28" s="17" t="s">
        <v>23</v>
      </c>
      <c r="AV28" s="17" t="s">
        <v>23</v>
      </c>
      <c r="AW28" s="17" t="s">
        <v>23</v>
      </c>
      <c r="AX28" s="17" t="s">
        <v>23</v>
      </c>
      <c r="AY28" s="20">
        <v>0.375</v>
      </c>
      <c r="AZ28" s="20">
        <v>0.791666666667879</v>
      </c>
      <c r="BA28" s="20">
        <v>0.375</v>
      </c>
      <c r="BB28" s="20">
        <v>0.791666666667879</v>
      </c>
      <c r="BC28" s="20">
        <v>0.375</v>
      </c>
      <c r="BD28" s="20">
        <v>0.791666666667879</v>
      </c>
      <c r="BE28" s="20">
        <v>0.333333333332121</v>
      </c>
      <c r="BF28" s="20">
        <v>0.75</v>
      </c>
      <c r="BG28" s="20">
        <v>0.416666666667879</v>
      </c>
      <c r="BH28" s="20">
        <v>0.625</v>
      </c>
      <c r="BI28" s="17" t="s">
        <v>23</v>
      </c>
      <c r="BJ28" s="17" t="s">
        <v>23</v>
      </c>
      <c r="BK28" s="17" t="s">
        <v>23</v>
      </c>
      <c r="BL28" s="17" t="s">
        <v>23</v>
      </c>
      <c r="BM28" s="20">
        <v>0.375</v>
      </c>
      <c r="BN28" s="20">
        <v>0.791666666667879</v>
      </c>
      <c r="BO28" s="21">
        <f>IFERROR(__xludf.DUMMYFUNCTION("TO_PURE_NUMBER(SUM(FILTER(G28:BN28, ISEVEN(COLUMN(G28:BN28))))-SUM(FILTER(G28:BN28, ISODD(COLUMN(G28:BN28)))))*24"),190.000000000378)</f>
        <v>190.000000000378</v>
      </c>
      <c r="BP28" s="17"/>
      <c r="BQ28" s="17"/>
      <c r="BR28" s="17"/>
      <c r="BS28" s="17"/>
      <c r="BT28" s="17"/>
      <c r="BU28" s="17"/>
      <c r="BV28" s="17"/>
      <c r="BW28" s="17"/>
      <c r="BX28" s="17"/>
    </row>
    <row r="29" customHeight="1" spans="1:76">
      <c r="A29" s="7">
        <v>10317517</v>
      </c>
      <c r="B29" s="7" t="s">
        <v>29</v>
      </c>
      <c r="C29" s="7" t="str">
        <f t="array" ref="C29">_xlfn.XLOOKUP($A29,'WK 48'!A:A,'WK 48'!C:C,"")</f>
        <v>CSR</v>
      </c>
      <c r="D29" s="7" t="str">
        <f t="array" ref="D29">_xlfn.XLOOKUP($A29,'WK 48'!$A:$A,'WK 48'!D:D,"")</f>
        <v>Production</v>
      </c>
      <c r="E29" s="8" t="str">
        <f t="array" ref="E29">_xlfn.XLOOKUP($A29,'WK 48'!$A:$A,'WK 48'!E:E,"")</f>
        <v>FT</v>
      </c>
      <c r="F29" s="9">
        <f t="array" ref="F29">_xlfn.XLOOKUP($A29,'WK 48'!$A:$A,'WK 48'!F:F,"")</f>
        <v>2</v>
      </c>
      <c r="G29" s="7" t="s">
        <v>23</v>
      </c>
      <c r="H29" s="7" t="s">
        <v>23</v>
      </c>
      <c r="I29" s="8">
        <v>0.458333333332121</v>
      </c>
      <c r="J29" s="8">
        <v>0.875</v>
      </c>
      <c r="K29" s="8">
        <v>0.458333333332121</v>
      </c>
      <c r="L29" s="8">
        <v>0.875</v>
      </c>
      <c r="M29" s="8">
        <v>0.458333333332121</v>
      </c>
      <c r="N29" s="8">
        <v>0.875</v>
      </c>
      <c r="O29" s="8">
        <v>0.458333333332121</v>
      </c>
      <c r="P29" s="8">
        <v>0.875</v>
      </c>
      <c r="Q29" s="8">
        <v>0.458333333332121</v>
      </c>
      <c r="R29" s="8">
        <v>0.666666666667879</v>
      </c>
      <c r="S29" s="7" t="s">
        <v>23</v>
      </c>
      <c r="T29" s="7" t="s">
        <v>23</v>
      </c>
      <c r="U29" s="17" t="s">
        <v>23</v>
      </c>
      <c r="V29" s="17" t="s">
        <v>23</v>
      </c>
      <c r="W29" s="20">
        <v>0.375</v>
      </c>
      <c r="X29" s="20">
        <v>0.791666666667879</v>
      </c>
      <c r="Y29" s="20">
        <v>0.375</v>
      </c>
      <c r="Z29" s="20">
        <v>0.791666666667879</v>
      </c>
      <c r="AA29" s="20">
        <v>0.375</v>
      </c>
      <c r="AB29" s="20">
        <v>0.791666666667879</v>
      </c>
      <c r="AC29" s="20">
        <v>0.375</v>
      </c>
      <c r="AD29" s="20">
        <v>0.791666666667879</v>
      </c>
      <c r="AE29" s="20">
        <v>0.458333333332121</v>
      </c>
      <c r="AF29" s="20">
        <v>0.666666666667879</v>
      </c>
      <c r="AG29" s="17" t="s">
        <v>23</v>
      </c>
      <c r="AH29" s="17" t="s">
        <v>23</v>
      </c>
      <c r="AI29" s="17" t="s">
        <v>23</v>
      </c>
      <c r="AJ29" s="17" t="s">
        <v>23</v>
      </c>
      <c r="AK29" s="20">
        <v>0.458333333332121</v>
      </c>
      <c r="AL29" s="20">
        <v>0.875</v>
      </c>
      <c r="AM29" s="20">
        <v>0.458333333332121</v>
      </c>
      <c r="AN29" s="20">
        <v>0.875</v>
      </c>
      <c r="AO29" s="20">
        <v>0.458333333332121</v>
      </c>
      <c r="AP29" s="20">
        <v>0.875</v>
      </c>
      <c r="AQ29" s="20">
        <v>0.458333333332121</v>
      </c>
      <c r="AR29" s="20">
        <v>0.875</v>
      </c>
      <c r="AS29" s="20">
        <v>0.458333333332121</v>
      </c>
      <c r="AT29" s="20">
        <v>0.666666666667879</v>
      </c>
      <c r="AU29" s="17" t="s">
        <v>23</v>
      </c>
      <c r="AV29" s="17" t="s">
        <v>23</v>
      </c>
      <c r="AW29" s="17" t="s">
        <v>23</v>
      </c>
      <c r="AX29" s="17" t="s">
        <v>23</v>
      </c>
      <c r="AY29" s="20">
        <v>0.375</v>
      </c>
      <c r="AZ29" s="20">
        <v>0.791666666667879</v>
      </c>
      <c r="BA29" s="20">
        <v>0.375</v>
      </c>
      <c r="BB29" s="20">
        <v>0.791666666667879</v>
      </c>
      <c r="BC29" s="20">
        <v>0.375</v>
      </c>
      <c r="BD29" s="20">
        <v>0.791666666667879</v>
      </c>
      <c r="BE29" s="20">
        <v>0.375</v>
      </c>
      <c r="BF29" s="20">
        <v>0.791666666667879</v>
      </c>
      <c r="BG29" s="20">
        <v>0.458333333332121</v>
      </c>
      <c r="BH29" s="20">
        <v>0.666666666667879</v>
      </c>
      <c r="BI29" s="17" t="s">
        <v>23</v>
      </c>
      <c r="BJ29" s="17" t="s">
        <v>23</v>
      </c>
      <c r="BK29" s="17" t="s">
        <v>23</v>
      </c>
      <c r="BL29" s="17" t="s">
        <v>23</v>
      </c>
      <c r="BM29" s="20">
        <v>0.458333333332121</v>
      </c>
      <c r="BN29" s="20">
        <v>0.875</v>
      </c>
      <c r="BO29" s="21">
        <f>IFERROR(__xludf.DUMMYFUNCTION("TO_PURE_NUMBER(SUM(FILTER(G29:BN29, ISEVEN(COLUMN(G29:BN29))))-SUM(FILTER(G29:BN29, ISODD(COLUMN(G29:BN29)))))*24"),190.000000000727)</f>
        <v>190.000000000727</v>
      </c>
      <c r="BP29" s="17"/>
      <c r="BQ29" s="17"/>
      <c r="BR29" s="17"/>
      <c r="BS29" s="17"/>
      <c r="BT29" s="17"/>
      <c r="BU29" s="17"/>
      <c r="BV29" s="17"/>
      <c r="BW29" s="17"/>
      <c r="BX29" s="17"/>
    </row>
    <row r="30" customHeight="1" spans="1:76">
      <c r="A30" s="7">
        <v>10252106</v>
      </c>
      <c r="B30" s="7" t="s">
        <v>43</v>
      </c>
      <c r="C30" s="7" t="str">
        <f t="array" ref="C30">_xlfn.XLOOKUP($A30,'WK 48'!A:A,'WK 48'!C:C,"")</f>
        <v>CSR</v>
      </c>
      <c r="D30" s="7" t="str">
        <f t="array" ref="D30">_xlfn.XLOOKUP($A30,'WK 48'!$A:$A,'WK 48'!D:D,"")</f>
        <v>Production</v>
      </c>
      <c r="E30" s="8" t="str">
        <f t="array" ref="E30">_xlfn.XLOOKUP($A30,'WK 48'!$A:$A,'WK 48'!E:E,"")</f>
        <v>FT</v>
      </c>
      <c r="F30" s="9">
        <f t="array" ref="F30">_xlfn.XLOOKUP($A30,'WK 48'!$A:$A,'WK 48'!F:F,"")</f>
        <v>2</v>
      </c>
      <c r="G30" s="8">
        <v>0.5</v>
      </c>
      <c r="H30" s="8">
        <v>0.875</v>
      </c>
      <c r="I30" s="7" t="s">
        <v>23</v>
      </c>
      <c r="J30" s="7" t="s">
        <v>23</v>
      </c>
      <c r="K30" s="7" t="s">
        <v>23</v>
      </c>
      <c r="L30" s="7" t="s">
        <v>23</v>
      </c>
      <c r="M30" s="8">
        <v>0.5</v>
      </c>
      <c r="N30" s="8">
        <v>0.875</v>
      </c>
      <c r="O30" s="8">
        <v>0.5</v>
      </c>
      <c r="P30" s="8">
        <v>0.875</v>
      </c>
      <c r="Q30" s="8">
        <v>0.458333333332121</v>
      </c>
      <c r="R30" s="8">
        <v>0.666666666667879</v>
      </c>
      <c r="S30" s="8">
        <v>0.458333333332121</v>
      </c>
      <c r="T30" s="8">
        <v>0.666666666667879</v>
      </c>
      <c r="U30" s="20">
        <v>0.375</v>
      </c>
      <c r="V30" s="20">
        <v>0.75</v>
      </c>
      <c r="W30" s="17" t="s">
        <v>23</v>
      </c>
      <c r="X30" s="17" t="s">
        <v>23</v>
      </c>
      <c r="Y30" s="17" t="s">
        <v>23</v>
      </c>
      <c r="Z30" s="17" t="s">
        <v>23</v>
      </c>
      <c r="AA30" s="20">
        <v>0.375</v>
      </c>
      <c r="AB30" s="20">
        <v>0.75</v>
      </c>
      <c r="AC30" s="20">
        <v>0.375</v>
      </c>
      <c r="AD30" s="20">
        <v>0.75</v>
      </c>
      <c r="AE30" s="20">
        <v>0.458333333332121</v>
      </c>
      <c r="AF30" s="20">
        <v>0.666666666667879</v>
      </c>
      <c r="AG30" s="20">
        <v>0.458333333332121</v>
      </c>
      <c r="AH30" s="20">
        <v>0.666666666667879</v>
      </c>
      <c r="AI30" s="20">
        <v>0.5</v>
      </c>
      <c r="AJ30" s="20">
        <v>0.875</v>
      </c>
      <c r="AK30" s="17" t="s">
        <v>23</v>
      </c>
      <c r="AL30" s="17" t="s">
        <v>23</v>
      </c>
      <c r="AM30" s="17" t="s">
        <v>23</v>
      </c>
      <c r="AN30" s="17" t="s">
        <v>23</v>
      </c>
      <c r="AO30" s="20">
        <v>0.5</v>
      </c>
      <c r="AP30" s="20">
        <v>0.875</v>
      </c>
      <c r="AQ30" s="20">
        <v>0.5</v>
      </c>
      <c r="AR30" s="20">
        <v>0.875</v>
      </c>
      <c r="AS30" s="20">
        <v>0.458333333332121</v>
      </c>
      <c r="AT30" s="20">
        <v>0.666666666667879</v>
      </c>
      <c r="AU30" s="20">
        <v>0.458333333332121</v>
      </c>
      <c r="AV30" s="20">
        <v>0.666666666667879</v>
      </c>
      <c r="AW30" s="20">
        <v>0.375</v>
      </c>
      <c r="AX30" s="20">
        <v>0.75</v>
      </c>
      <c r="AY30" s="17" t="s">
        <v>23</v>
      </c>
      <c r="AZ30" s="17" t="s">
        <v>23</v>
      </c>
      <c r="BA30" s="17" t="s">
        <v>23</v>
      </c>
      <c r="BB30" s="17" t="s">
        <v>23</v>
      </c>
      <c r="BC30" s="20">
        <v>0.375</v>
      </c>
      <c r="BD30" s="20">
        <v>0.75</v>
      </c>
      <c r="BE30" s="20">
        <v>0.375</v>
      </c>
      <c r="BF30" s="20">
        <v>0.75</v>
      </c>
      <c r="BG30" s="20">
        <v>0.458333333332121</v>
      </c>
      <c r="BH30" s="20">
        <v>0.666666666667879</v>
      </c>
      <c r="BI30" s="20">
        <v>0.458333333332121</v>
      </c>
      <c r="BJ30" s="20">
        <v>0.666666666667879</v>
      </c>
      <c r="BK30" s="20">
        <v>0.5</v>
      </c>
      <c r="BL30" s="20">
        <v>0.875</v>
      </c>
      <c r="BM30" s="17" t="s">
        <v>23</v>
      </c>
      <c r="BN30" s="17" t="s">
        <v>23</v>
      </c>
      <c r="BO30" s="21">
        <f>IFERROR(__xludf.DUMMYFUNCTION("TO_PURE_NUMBER(SUM(FILTER(G30:BN30, ISEVEN(COLUMN(G30:BN30))))-SUM(FILTER(G30:BN30, ISODD(COLUMN(G30:BN30)))))*24"),157.000000000465)</f>
        <v>157.000000000465</v>
      </c>
      <c r="BP30" s="17"/>
      <c r="BQ30" s="17"/>
      <c r="BR30" s="17"/>
      <c r="BS30" s="17"/>
      <c r="BT30" s="17"/>
      <c r="BU30" s="17"/>
      <c r="BV30" s="17"/>
      <c r="BW30" s="17"/>
      <c r="BX30" s="17"/>
    </row>
    <row r="31" customHeight="1" spans="1:76">
      <c r="A31" s="7">
        <v>10320407</v>
      </c>
      <c r="B31" s="7" t="s">
        <v>55</v>
      </c>
      <c r="C31" s="7" t="str">
        <f t="array" ref="C31">_xlfn.XLOOKUP($A31,'WK 48'!A:A,'WK 48'!C:C,"")</f>
        <v>CSR</v>
      </c>
      <c r="D31" s="7" t="str">
        <f t="array" ref="D31">_xlfn.XLOOKUP($A31,'WK 48'!$A:$A,'WK 48'!D:D,"")</f>
        <v>Production</v>
      </c>
      <c r="E31" s="8" t="str">
        <f t="array" ref="E31">_xlfn.XLOOKUP($A31,'WK 48'!$A:$A,'WK 48'!E:E,"")</f>
        <v>FT</v>
      </c>
      <c r="F31" s="9">
        <f t="array" ref="F31">_xlfn.XLOOKUP($A31,'WK 48'!$A:$A,'WK 48'!F:F,"")</f>
        <v>3</v>
      </c>
      <c r="G31" s="7" t="s">
        <v>23</v>
      </c>
      <c r="H31" s="7" t="s">
        <v>23</v>
      </c>
      <c r="I31" s="8">
        <v>0.458333333332121</v>
      </c>
      <c r="J31" s="8">
        <v>0.875</v>
      </c>
      <c r="K31" s="8">
        <v>0.458333333332121</v>
      </c>
      <c r="L31" s="8">
        <v>0.875</v>
      </c>
      <c r="M31" s="8">
        <v>0.458333333332121</v>
      </c>
      <c r="N31" s="8">
        <v>0.875</v>
      </c>
      <c r="O31" s="8">
        <v>0.458333333332121</v>
      </c>
      <c r="P31" s="8">
        <v>0.875</v>
      </c>
      <c r="Q31" s="8">
        <v>0.458333333332121</v>
      </c>
      <c r="R31" s="8">
        <v>0.666666666667879</v>
      </c>
      <c r="S31" s="7" t="s">
        <v>23</v>
      </c>
      <c r="T31" s="7" t="s">
        <v>23</v>
      </c>
      <c r="U31" s="17" t="s">
        <v>23</v>
      </c>
      <c r="V31" s="17" t="s">
        <v>23</v>
      </c>
      <c r="W31" s="20">
        <v>0.375</v>
      </c>
      <c r="X31" s="20">
        <v>0.791666666667879</v>
      </c>
      <c r="Y31" s="20">
        <v>0.375</v>
      </c>
      <c r="Z31" s="20">
        <v>0.791666666667879</v>
      </c>
      <c r="AA31" s="20">
        <v>0.375</v>
      </c>
      <c r="AB31" s="20">
        <v>0.791666666667879</v>
      </c>
      <c r="AC31" s="20">
        <v>0.375</v>
      </c>
      <c r="AD31" s="20">
        <v>0.791666666667879</v>
      </c>
      <c r="AE31" s="20">
        <v>0.458333333332121</v>
      </c>
      <c r="AF31" s="20">
        <v>0.666666666667879</v>
      </c>
      <c r="AG31" s="17" t="s">
        <v>23</v>
      </c>
      <c r="AH31" s="17" t="s">
        <v>23</v>
      </c>
      <c r="AI31" s="17" t="s">
        <v>23</v>
      </c>
      <c r="AJ31" s="17" t="s">
        <v>23</v>
      </c>
      <c r="AK31" s="20">
        <v>0.458333333332121</v>
      </c>
      <c r="AL31" s="20">
        <v>0.875</v>
      </c>
      <c r="AM31" s="20">
        <v>0.458333333332121</v>
      </c>
      <c r="AN31" s="20">
        <v>0.875</v>
      </c>
      <c r="AO31" s="20">
        <v>0.458333333332121</v>
      </c>
      <c r="AP31" s="20">
        <v>0.875</v>
      </c>
      <c r="AQ31" s="20">
        <v>0.458333333332121</v>
      </c>
      <c r="AR31" s="20">
        <v>0.875</v>
      </c>
      <c r="AS31" s="20">
        <v>0.458333333332121</v>
      </c>
      <c r="AT31" s="20">
        <v>0.666666666667879</v>
      </c>
      <c r="AU31" s="17" t="s">
        <v>23</v>
      </c>
      <c r="AV31" s="17" t="s">
        <v>23</v>
      </c>
      <c r="AW31" s="17" t="s">
        <v>23</v>
      </c>
      <c r="AX31" s="17" t="s">
        <v>23</v>
      </c>
      <c r="AY31" s="20">
        <v>0.375</v>
      </c>
      <c r="AZ31" s="20">
        <v>0.791666666667879</v>
      </c>
      <c r="BA31" s="20">
        <v>0.375</v>
      </c>
      <c r="BB31" s="20">
        <v>0.791666666667879</v>
      </c>
      <c r="BC31" s="20">
        <v>0.375</v>
      </c>
      <c r="BD31" s="20">
        <v>0.791666666667879</v>
      </c>
      <c r="BE31" s="20">
        <v>0.375</v>
      </c>
      <c r="BF31" s="20">
        <v>0.791666666667879</v>
      </c>
      <c r="BG31" s="20">
        <v>0.458333333332121</v>
      </c>
      <c r="BH31" s="20">
        <v>0.666666666667879</v>
      </c>
      <c r="BI31" s="17" t="s">
        <v>23</v>
      </c>
      <c r="BJ31" s="17" t="s">
        <v>23</v>
      </c>
      <c r="BK31" s="17" t="s">
        <v>23</v>
      </c>
      <c r="BL31" s="17" t="s">
        <v>23</v>
      </c>
      <c r="BM31" s="20">
        <v>0.458333333332121</v>
      </c>
      <c r="BN31" s="20">
        <v>0.875</v>
      </c>
      <c r="BO31" s="21">
        <f>IFERROR(__xludf.DUMMYFUNCTION("TO_PURE_NUMBER(SUM(FILTER(G31:BN31, ISEVEN(COLUMN(G31:BN31))))-SUM(FILTER(G31:BN31, ISODD(COLUMN(G31:BN31)))))*24"),190.000000000727)</f>
        <v>190.000000000727</v>
      </c>
      <c r="BP31" s="17"/>
      <c r="BQ31" s="17"/>
      <c r="BR31" s="17"/>
      <c r="BS31" s="17"/>
      <c r="BT31" s="17"/>
      <c r="BU31" s="17"/>
      <c r="BV31" s="17"/>
      <c r="BW31" s="17"/>
      <c r="BX31" s="17"/>
    </row>
    <row r="32" customHeight="1" spans="1:76">
      <c r="A32" s="7">
        <v>10320417</v>
      </c>
      <c r="B32" s="7" t="s">
        <v>67</v>
      </c>
      <c r="C32" s="7" t="str">
        <f t="array" ref="C32">_xlfn.XLOOKUP($A32,'WK 48'!A:A,'WK 48'!C:C,"")</f>
        <v>CSR</v>
      </c>
      <c r="D32" s="7" t="str">
        <f t="array" ref="D32">_xlfn.XLOOKUP($A32,'WK 48'!$A:$A,'WK 48'!D:D,"")</f>
        <v>Production</v>
      </c>
      <c r="E32" s="8" t="str">
        <f t="array" ref="E32">_xlfn.XLOOKUP($A32,'WK 48'!$A:$A,'WK 48'!E:E,"")</f>
        <v>FT</v>
      </c>
      <c r="F32" s="9">
        <f t="array" ref="F32">_xlfn.XLOOKUP($A32,'WK 48'!$A:$A,'WK 48'!F:F,"")</f>
        <v>3</v>
      </c>
      <c r="G32" s="8">
        <v>0.458333333332121</v>
      </c>
      <c r="H32" s="8">
        <v>0.875</v>
      </c>
      <c r="I32" s="8">
        <v>0.458333333332121</v>
      </c>
      <c r="J32" s="8">
        <v>0.875</v>
      </c>
      <c r="K32" s="8">
        <v>0.458333333332121</v>
      </c>
      <c r="L32" s="8">
        <v>0.875</v>
      </c>
      <c r="M32" s="8">
        <v>0.458333333332121</v>
      </c>
      <c r="N32" s="8">
        <v>0.875</v>
      </c>
      <c r="O32" s="7" t="s">
        <v>23</v>
      </c>
      <c r="P32" s="7" t="s">
        <v>23</v>
      </c>
      <c r="Q32" s="7" t="s">
        <v>23</v>
      </c>
      <c r="R32" s="7" t="s">
        <v>23</v>
      </c>
      <c r="S32" s="8">
        <v>0.458333333332121</v>
      </c>
      <c r="T32" s="8">
        <v>0.666666666667879</v>
      </c>
      <c r="U32" s="20">
        <v>0.375</v>
      </c>
      <c r="V32" s="20">
        <v>0.791666666667879</v>
      </c>
      <c r="W32" s="20">
        <v>0.375</v>
      </c>
      <c r="X32" s="20">
        <v>0.791666666667879</v>
      </c>
      <c r="Y32" s="20">
        <v>0.375</v>
      </c>
      <c r="Z32" s="20">
        <v>0.791666666667879</v>
      </c>
      <c r="AA32" s="20">
        <v>0.375</v>
      </c>
      <c r="AB32" s="20">
        <v>0.791666666667879</v>
      </c>
      <c r="AC32" s="17" t="s">
        <v>23</v>
      </c>
      <c r="AD32" s="17" t="s">
        <v>23</v>
      </c>
      <c r="AE32" s="17" t="s">
        <v>23</v>
      </c>
      <c r="AF32" s="17" t="s">
        <v>23</v>
      </c>
      <c r="AG32" s="20">
        <v>0.458333333332121</v>
      </c>
      <c r="AH32" s="20">
        <v>0.666666666667879</v>
      </c>
      <c r="AI32" s="20">
        <v>0.5</v>
      </c>
      <c r="AJ32" s="20">
        <v>0.875</v>
      </c>
      <c r="AK32" s="20">
        <v>0.5</v>
      </c>
      <c r="AL32" s="20">
        <v>0.875</v>
      </c>
      <c r="AM32" s="20">
        <v>0.5</v>
      </c>
      <c r="AN32" s="20">
        <v>0.875</v>
      </c>
      <c r="AO32" s="20">
        <v>0.5</v>
      </c>
      <c r="AP32" s="20">
        <v>0.875</v>
      </c>
      <c r="AQ32" s="20">
        <v>0.5</v>
      </c>
      <c r="AR32" s="20">
        <v>0.875</v>
      </c>
      <c r="AS32" s="17" t="s">
        <v>23</v>
      </c>
      <c r="AT32" s="17" t="s">
        <v>23</v>
      </c>
      <c r="AU32" s="17" t="s">
        <v>23</v>
      </c>
      <c r="AV32" s="17" t="s">
        <v>23</v>
      </c>
      <c r="AW32" s="20">
        <v>0.375</v>
      </c>
      <c r="AX32" s="20">
        <v>0.791666666667879</v>
      </c>
      <c r="AY32" s="20">
        <v>0.375</v>
      </c>
      <c r="AZ32" s="20">
        <v>0.791666666667879</v>
      </c>
      <c r="BA32" s="20">
        <v>0.375</v>
      </c>
      <c r="BB32" s="20">
        <v>0.791666666667879</v>
      </c>
      <c r="BC32" s="20">
        <v>0.375</v>
      </c>
      <c r="BD32" s="20">
        <v>0.791666666667879</v>
      </c>
      <c r="BE32" s="17" t="s">
        <v>23</v>
      </c>
      <c r="BF32" s="17" t="s">
        <v>23</v>
      </c>
      <c r="BG32" s="17" t="s">
        <v>23</v>
      </c>
      <c r="BH32" s="17" t="s">
        <v>23</v>
      </c>
      <c r="BI32" s="20">
        <v>0.458333333332121</v>
      </c>
      <c r="BJ32" s="20">
        <v>0.666666666667879</v>
      </c>
      <c r="BK32" s="20">
        <v>0.458333333332121</v>
      </c>
      <c r="BL32" s="20">
        <v>0.875</v>
      </c>
      <c r="BM32" s="20">
        <v>0.458333333332121</v>
      </c>
      <c r="BN32" s="20">
        <v>0.875</v>
      </c>
      <c r="BO32" s="21">
        <f>IFERROR(__xludf.DUMMYFUNCTION("TO_PURE_NUMBER(SUM(FILTER(G32:BN32, ISEVEN(COLUMN(G32:BN32))))-SUM(FILTER(G32:BN32, ISODD(COLUMN(G32:BN32)))))*24"),200.000000000582)</f>
        <v>200.000000000582</v>
      </c>
      <c r="BP32" s="17"/>
      <c r="BQ32" s="17"/>
      <c r="BR32" s="17"/>
      <c r="BS32" s="17"/>
      <c r="BT32" s="17"/>
      <c r="BU32" s="17"/>
      <c r="BV32" s="17"/>
      <c r="BW32" s="17"/>
      <c r="BX32" s="17"/>
    </row>
    <row r="33" customHeight="1" spans="1:76">
      <c r="A33" s="7">
        <v>10317154</v>
      </c>
      <c r="B33" s="7" t="s">
        <v>70</v>
      </c>
      <c r="C33" s="7" t="str">
        <f t="array" ref="C33">_xlfn.XLOOKUP($A33,'WK 48'!A:A,'WK 48'!C:C,"")</f>
        <v>CSR</v>
      </c>
      <c r="D33" s="7" t="str">
        <f t="array" ref="D33">_xlfn.XLOOKUP($A33,'WK 48'!$A:$A,'WK 48'!D:D,"")</f>
        <v>Production</v>
      </c>
      <c r="E33" s="8" t="str">
        <f t="array" ref="E33">_xlfn.XLOOKUP($A33,'WK 48'!$A:$A,'WK 48'!E:E,"")</f>
        <v>FT</v>
      </c>
      <c r="F33" s="9">
        <f t="array" ref="F33">_xlfn.XLOOKUP($A33,'WK 48'!$A:$A,'WK 48'!F:F,"")</f>
        <v>3</v>
      </c>
      <c r="G33" s="8">
        <v>0.458333333332121</v>
      </c>
      <c r="H33" s="8">
        <v>0.833333333332121</v>
      </c>
      <c r="I33" s="8">
        <v>0.458333333332121</v>
      </c>
      <c r="J33" s="8">
        <v>0.833333333332121</v>
      </c>
      <c r="K33" s="8">
        <v>0.458333333332121</v>
      </c>
      <c r="L33" s="8">
        <v>0.833333333332121</v>
      </c>
      <c r="M33" s="8">
        <v>0.458333333332121</v>
      </c>
      <c r="N33" s="8">
        <v>0.833333333332121</v>
      </c>
      <c r="O33" s="8">
        <v>0.458333333332121</v>
      </c>
      <c r="P33" s="8">
        <v>0.833333333332121</v>
      </c>
      <c r="Q33" s="7" t="s">
        <v>23</v>
      </c>
      <c r="R33" s="7" t="s">
        <v>23</v>
      </c>
      <c r="S33" s="7" t="s">
        <v>23</v>
      </c>
      <c r="T33" s="7" t="s">
        <v>23</v>
      </c>
      <c r="U33" s="20">
        <v>0.333333333332121</v>
      </c>
      <c r="V33" s="20">
        <v>0.75</v>
      </c>
      <c r="W33" s="20">
        <v>0.333333333332121</v>
      </c>
      <c r="X33" s="20">
        <v>0.75</v>
      </c>
      <c r="Y33" s="20">
        <v>0.333333333332121</v>
      </c>
      <c r="Z33" s="20">
        <v>0.75</v>
      </c>
      <c r="AA33" s="20">
        <v>0.333333333332121</v>
      </c>
      <c r="AB33" s="20">
        <v>0.75</v>
      </c>
      <c r="AC33" s="17" t="s">
        <v>23</v>
      </c>
      <c r="AD33" s="17" t="s">
        <v>23</v>
      </c>
      <c r="AE33" s="17" t="s">
        <v>23</v>
      </c>
      <c r="AF33" s="17" t="s">
        <v>23</v>
      </c>
      <c r="AG33" s="20">
        <v>0.416666666667879</v>
      </c>
      <c r="AH33" s="20">
        <v>0.625</v>
      </c>
      <c r="AI33" s="20">
        <v>0.458333333332121</v>
      </c>
      <c r="AJ33" s="20">
        <v>0.833333333332121</v>
      </c>
      <c r="AK33" s="20">
        <v>0.458333333332121</v>
      </c>
      <c r="AL33" s="20">
        <v>0.833333333332121</v>
      </c>
      <c r="AM33" s="20">
        <v>0.458333333332121</v>
      </c>
      <c r="AN33" s="20">
        <v>0.833333333332121</v>
      </c>
      <c r="AO33" s="20">
        <v>0.458333333332121</v>
      </c>
      <c r="AP33" s="20">
        <v>0.833333333332121</v>
      </c>
      <c r="AQ33" s="20">
        <v>0.458333333332121</v>
      </c>
      <c r="AR33" s="20">
        <v>0.833333333332121</v>
      </c>
      <c r="AS33" s="17" t="s">
        <v>23</v>
      </c>
      <c r="AT33" s="17" t="s">
        <v>23</v>
      </c>
      <c r="AU33" s="17" t="s">
        <v>23</v>
      </c>
      <c r="AV33" s="17" t="s">
        <v>23</v>
      </c>
      <c r="AW33" s="20">
        <v>0.333333333332121</v>
      </c>
      <c r="AX33" s="20">
        <v>0.75</v>
      </c>
      <c r="AY33" s="20">
        <v>0.333333333332121</v>
      </c>
      <c r="AZ33" s="20">
        <v>0.75</v>
      </c>
      <c r="BA33" s="20">
        <v>0.333333333332121</v>
      </c>
      <c r="BB33" s="20">
        <v>0.75</v>
      </c>
      <c r="BC33" s="20">
        <v>0.333333333332121</v>
      </c>
      <c r="BD33" s="20">
        <v>0.75</v>
      </c>
      <c r="BE33" s="17" t="s">
        <v>23</v>
      </c>
      <c r="BF33" s="17" t="s">
        <v>23</v>
      </c>
      <c r="BG33" s="17" t="s">
        <v>23</v>
      </c>
      <c r="BH33" s="17" t="s">
        <v>23</v>
      </c>
      <c r="BI33" s="20">
        <v>0.416666666667879</v>
      </c>
      <c r="BJ33" s="20">
        <v>0.625</v>
      </c>
      <c r="BK33" s="20">
        <v>0.416666666667879</v>
      </c>
      <c r="BL33" s="20">
        <v>0.833333333332121</v>
      </c>
      <c r="BM33" s="20">
        <v>0.416666666667879</v>
      </c>
      <c r="BN33" s="20">
        <v>0.833333333332121</v>
      </c>
      <c r="BO33" s="21">
        <f>IFERROR(__xludf.DUMMYFUNCTION("TO_PURE_NUMBER(SUM(FILTER(G33:BN33, ISEVEN(COLUMN(G33:BN33))))-SUM(FILTER(G33:BN33, ISODD(COLUMN(G33:BN33)))))*24"),200.000000000058)</f>
        <v>200.000000000058</v>
      </c>
      <c r="BP33" s="17"/>
      <c r="BQ33" s="17"/>
      <c r="BR33" s="17"/>
      <c r="BS33" s="17"/>
      <c r="BT33" s="17"/>
      <c r="BU33" s="17"/>
      <c r="BV33" s="17"/>
      <c r="BW33" s="17"/>
      <c r="BX33" s="17"/>
    </row>
    <row r="34" customHeight="1" spans="1:76">
      <c r="A34" s="7">
        <v>10320436</v>
      </c>
      <c r="B34" s="7" t="s">
        <v>90</v>
      </c>
      <c r="C34" s="7" t="str">
        <f t="array" ref="C34">_xlfn.XLOOKUP($A34,'WK 48'!A:A,'WK 48'!C:C,"")</f>
        <v>CSR</v>
      </c>
      <c r="D34" s="7" t="str">
        <f t="array" ref="D34">_xlfn.XLOOKUP($A34,'WK 48'!$A:$A,'WK 48'!D:D,"")</f>
        <v>Production</v>
      </c>
      <c r="E34" s="8" t="str">
        <f t="array" ref="E34">_xlfn.XLOOKUP($A34,'WK 48'!$A:$A,'WK 48'!E:E,"")</f>
        <v>FT</v>
      </c>
      <c r="F34" s="9">
        <f t="array" ref="F34">_xlfn.XLOOKUP($A34,'WK 48'!$A:$A,'WK 48'!F:F,"")</f>
        <v>3</v>
      </c>
      <c r="G34" s="8">
        <v>0.458333333332121</v>
      </c>
      <c r="H34" s="8">
        <v>0.875</v>
      </c>
      <c r="I34" s="8">
        <v>0.458333333332121</v>
      </c>
      <c r="J34" s="8">
        <v>0.875</v>
      </c>
      <c r="K34" s="8">
        <v>0.458333333332121</v>
      </c>
      <c r="L34" s="8">
        <v>0.875</v>
      </c>
      <c r="M34" s="8">
        <v>0.458333333332121</v>
      </c>
      <c r="N34" s="8">
        <v>0.875</v>
      </c>
      <c r="O34" s="7" t="s">
        <v>23</v>
      </c>
      <c r="P34" s="7" t="s">
        <v>23</v>
      </c>
      <c r="Q34" s="7" t="s">
        <v>23</v>
      </c>
      <c r="R34" s="7" t="s">
        <v>23</v>
      </c>
      <c r="S34" s="8">
        <v>0.458333333332121</v>
      </c>
      <c r="T34" s="8">
        <v>0.666666666667879</v>
      </c>
      <c r="U34" s="20">
        <v>0.375</v>
      </c>
      <c r="V34" s="20">
        <v>0.791666666667879</v>
      </c>
      <c r="W34" s="20">
        <v>0.375</v>
      </c>
      <c r="X34" s="20">
        <v>0.791666666667879</v>
      </c>
      <c r="Y34" s="20">
        <v>0.375</v>
      </c>
      <c r="Z34" s="20">
        <v>0.791666666667879</v>
      </c>
      <c r="AA34" s="20">
        <v>0.375</v>
      </c>
      <c r="AB34" s="20">
        <v>0.791666666667879</v>
      </c>
      <c r="AC34" s="17" t="s">
        <v>23</v>
      </c>
      <c r="AD34" s="17" t="s">
        <v>23</v>
      </c>
      <c r="AE34" s="17" t="s">
        <v>23</v>
      </c>
      <c r="AF34" s="17" t="s">
        <v>23</v>
      </c>
      <c r="AG34" s="20">
        <v>0.458333333332121</v>
      </c>
      <c r="AH34" s="20">
        <v>0.666666666667879</v>
      </c>
      <c r="AI34" s="20">
        <v>0.458333333332121</v>
      </c>
      <c r="AJ34" s="20">
        <v>0.875</v>
      </c>
      <c r="AK34" s="20">
        <v>0.458333333332121</v>
      </c>
      <c r="AL34" s="20">
        <v>0.875</v>
      </c>
      <c r="AM34" s="20">
        <v>0.458333333332121</v>
      </c>
      <c r="AN34" s="20">
        <v>0.875</v>
      </c>
      <c r="AO34" s="20">
        <v>0.458333333332121</v>
      </c>
      <c r="AP34" s="20">
        <v>0.875</v>
      </c>
      <c r="AQ34" s="17" t="s">
        <v>23</v>
      </c>
      <c r="AR34" s="17" t="s">
        <v>23</v>
      </c>
      <c r="AS34" s="17" t="s">
        <v>23</v>
      </c>
      <c r="AT34" s="17" t="s">
        <v>23</v>
      </c>
      <c r="AU34" s="20">
        <v>0.458333333332121</v>
      </c>
      <c r="AV34" s="20">
        <v>0.666666666667879</v>
      </c>
      <c r="AW34" s="20">
        <v>0.375</v>
      </c>
      <c r="AX34" s="20">
        <v>0.75</v>
      </c>
      <c r="AY34" s="20">
        <v>0.375</v>
      </c>
      <c r="AZ34" s="20">
        <v>0.75</v>
      </c>
      <c r="BA34" s="20">
        <v>0.375</v>
      </c>
      <c r="BB34" s="20">
        <v>0.75</v>
      </c>
      <c r="BC34" s="20">
        <v>0.375</v>
      </c>
      <c r="BD34" s="20">
        <v>0.75</v>
      </c>
      <c r="BE34" s="20">
        <v>0.375</v>
      </c>
      <c r="BF34" s="20">
        <v>0.75</v>
      </c>
      <c r="BG34" s="17" t="s">
        <v>23</v>
      </c>
      <c r="BH34" s="17" t="s">
        <v>23</v>
      </c>
      <c r="BI34" s="17" t="s">
        <v>23</v>
      </c>
      <c r="BJ34" s="17" t="s">
        <v>23</v>
      </c>
      <c r="BK34" s="20">
        <v>0.458333333332121</v>
      </c>
      <c r="BL34" s="20">
        <v>0.875</v>
      </c>
      <c r="BM34" s="20">
        <v>0.458333333332121</v>
      </c>
      <c r="BN34" s="20">
        <v>0.875</v>
      </c>
      <c r="BO34" s="21">
        <f>IFERROR(__xludf.DUMMYFUNCTION("TO_PURE_NUMBER(SUM(FILTER(G34:BN34, ISEVEN(COLUMN(G34:BN34))))-SUM(FILTER(G34:BN34, ISODD(COLUMN(G34:BN34)))))*24"),200.000000000582)</f>
        <v>200.000000000582</v>
      </c>
      <c r="BP34" s="17"/>
      <c r="BQ34" s="17"/>
      <c r="BR34" s="17"/>
      <c r="BS34" s="17"/>
      <c r="BT34" s="17"/>
      <c r="BU34" s="17"/>
      <c r="BV34" s="17"/>
      <c r="BW34" s="17"/>
      <c r="BX34" s="17"/>
    </row>
    <row r="35" customHeight="1" spans="1:76">
      <c r="A35" s="7">
        <v>10316538</v>
      </c>
      <c r="B35" s="7" t="s">
        <v>44</v>
      </c>
      <c r="C35" s="7" t="str">
        <f t="array" ref="C35">_xlfn.XLOOKUP($A35,'WK 48'!A:A,'WK 48'!C:C,"")</f>
        <v>CSR</v>
      </c>
      <c r="D35" s="7" t="str">
        <f t="array" ref="D35">_xlfn.XLOOKUP($A35,'WK 48'!$A:$A,'WK 48'!D:D,"")</f>
        <v>Production</v>
      </c>
      <c r="E35" s="8" t="str">
        <f t="array" ref="E35">_xlfn.XLOOKUP($A35,'WK 48'!$A:$A,'WK 48'!E:E,"")</f>
        <v>FT</v>
      </c>
      <c r="F35" s="9">
        <f t="array" ref="F35">_xlfn.XLOOKUP($A35,'WK 48'!$A:$A,'WK 48'!F:F,"")</f>
        <v>1</v>
      </c>
      <c r="G35" s="8">
        <v>0.375</v>
      </c>
      <c r="H35" s="8">
        <v>0.75</v>
      </c>
      <c r="I35" s="8">
        <v>0.375</v>
      </c>
      <c r="J35" s="8">
        <v>0.75</v>
      </c>
      <c r="K35" s="8">
        <v>0.375</v>
      </c>
      <c r="L35" s="8">
        <v>0.75</v>
      </c>
      <c r="M35" s="7" t="s">
        <v>23</v>
      </c>
      <c r="N35" s="7" t="s">
        <v>23</v>
      </c>
      <c r="O35" s="7" t="s">
        <v>23</v>
      </c>
      <c r="P35" s="7" t="s">
        <v>23</v>
      </c>
      <c r="Q35" s="8">
        <v>0.458333333332121</v>
      </c>
      <c r="R35" s="8">
        <v>0.666666666667879</v>
      </c>
      <c r="S35" s="8">
        <v>0.458333333332121</v>
      </c>
      <c r="T35" s="8">
        <v>0.666666666667879</v>
      </c>
      <c r="U35" s="20">
        <v>0.5</v>
      </c>
      <c r="V35" s="20">
        <v>0.875</v>
      </c>
      <c r="W35" s="20">
        <v>0.5</v>
      </c>
      <c r="X35" s="20">
        <v>0.875</v>
      </c>
      <c r="Y35" s="20">
        <v>0.5</v>
      </c>
      <c r="Z35" s="20">
        <v>0.875</v>
      </c>
      <c r="AA35" s="17" t="s">
        <v>23</v>
      </c>
      <c r="AB35" s="17" t="s">
        <v>23</v>
      </c>
      <c r="AC35" s="17" t="s">
        <v>23</v>
      </c>
      <c r="AD35" s="17" t="s">
        <v>23</v>
      </c>
      <c r="AE35" s="20">
        <v>0.458333333332121</v>
      </c>
      <c r="AF35" s="20">
        <v>0.666666666667879</v>
      </c>
      <c r="AG35" s="20">
        <v>0.458333333332121</v>
      </c>
      <c r="AH35" s="20">
        <v>0.666666666667879</v>
      </c>
      <c r="AI35" s="20">
        <v>0.375</v>
      </c>
      <c r="AJ35" s="20">
        <v>0.75</v>
      </c>
      <c r="AK35" s="17" t="s">
        <v>23</v>
      </c>
      <c r="AL35" s="17" t="s">
        <v>23</v>
      </c>
      <c r="AM35" s="17" t="s">
        <v>23</v>
      </c>
      <c r="AN35" s="17" t="s">
        <v>23</v>
      </c>
      <c r="AO35" s="20">
        <v>0.375</v>
      </c>
      <c r="AP35" s="20">
        <v>0.75</v>
      </c>
      <c r="AQ35" s="20">
        <v>0.375</v>
      </c>
      <c r="AR35" s="20">
        <v>0.75</v>
      </c>
      <c r="AS35" s="20">
        <v>0.458333333332121</v>
      </c>
      <c r="AT35" s="20">
        <v>0.666666666667879</v>
      </c>
      <c r="AU35" s="20">
        <v>0.458333333332121</v>
      </c>
      <c r="AV35" s="20">
        <v>0.666666666667879</v>
      </c>
      <c r="AW35" s="20">
        <v>0.5</v>
      </c>
      <c r="AX35" s="20">
        <v>0.875</v>
      </c>
      <c r="AY35" s="20">
        <v>0.5</v>
      </c>
      <c r="AZ35" s="20">
        <v>0.875</v>
      </c>
      <c r="BA35" s="17" t="s">
        <v>23</v>
      </c>
      <c r="BB35" s="17" t="s">
        <v>23</v>
      </c>
      <c r="BC35" s="17" t="s">
        <v>23</v>
      </c>
      <c r="BD35" s="17" t="s">
        <v>23</v>
      </c>
      <c r="BE35" s="20">
        <v>0.5</v>
      </c>
      <c r="BF35" s="20">
        <v>0.875</v>
      </c>
      <c r="BG35" s="20">
        <v>0.458333333332121</v>
      </c>
      <c r="BH35" s="20">
        <v>0.666666666667879</v>
      </c>
      <c r="BI35" s="20">
        <v>0.458333333332121</v>
      </c>
      <c r="BJ35" s="20">
        <v>0.666666666667879</v>
      </c>
      <c r="BK35" s="20">
        <v>0.375</v>
      </c>
      <c r="BL35" s="20">
        <v>0.75</v>
      </c>
      <c r="BM35" s="17" t="s">
        <v>23</v>
      </c>
      <c r="BN35" s="17" t="s">
        <v>23</v>
      </c>
      <c r="BO35" s="21">
        <f>IFERROR(__xludf.DUMMYFUNCTION("TO_PURE_NUMBER(SUM(FILTER(G35:BN35, ISEVEN(COLUMN(G35:BN35))))-SUM(FILTER(G35:BN35, ISODD(COLUMN(G35:BN35)))))*24"),157.000000000465)</f>
        <v>157.000000000465</v>
      </c>
      <c r="BP35" s="17"/>
      <c r="BQ35" s="17"/>
      <c r="BR35" s="17"/>
      <c r="BS35" s="17"/>
      <c r="BT35" s="17"/>
      <c r="BU35" s="17"/>
      <c r="BV35" s="17"/>
      <c r="BW35" s="17"/>
      <c r="BX35" s="17"/>
    </row>
    <row r="36" customHeight="1" spans="1:76">
      <c r="A36" s="7">
        <v>10293607</v>
      </c>
      <c r="B36" s="7" t="s">
        <v>65</v>
      </c>
      <c r="C36" s="7" t="str">
        <f t="array" ref="C36">_xlfn.XLOOKUP($A36,'WK 48'!A:A,'WK 48'!C:C,"")</f>
        <v>CSR</v>
      </c>
      <c r="D36" s="7" t="str">
        <f t="array" ref="D36">_xlfn.XLOOKUP($A36,'WK 48'!$A:$A,'WK 48'!D:D,"")</f>
        <v>Production</v>
      </c>
      <c r="E36" s="8" t="str">
        <f t="array" ref="E36">_xlfn.XLOOKUP($A36,'WK 48'!$A:$A,'WK 48'!E:E,"")</f>
        <v>FT</v>
      </c>
      <c r="F36" s="9">
        <f t="array" ref="F36">_xlfn.XLOOKUP($A36,'WK 48'!$A:$A,'WK 48'!F:F,"")</f>
        <v>3</v>
      </c>
      <c r="G36" s="8">
        <v>0.375</v>
      </c>
      <c r="H36" s="8">
        <v>0.791666666667879</v>
      </c>
      <c r="I36" s="8">
        <v>0.375</v>
      </c>
      <c r="J36" s="8">
        <v>0.791666666667879</v>
      </c>
      <c r="K36" s="8">
        <v>0.375</v>
      </c>
      <c r="L36" s="8">
        <v>0.791666666667879</v>
      </c>
      <c r="M36" s="8">
        <v>0.375</v>
      </c>
      <c r="N36" s="8">
        <v>0.791666666667879</v>
      </c>
      <c r="O36" s="7" t="s">
        <v>23</v>
      </c>
      <c r="P36" s="7" t="s">
        <v>23</v>
      </c>
      <c r="Q36" s="7" t="s">
        <v>23</v>
      </c>
      <c r="R36" s="7" t="s">
        <v>23</v>
      </c>
      <c r="S36" s="8">
        <v>0.458333333332121</v>
      </c>
      <c r="T36" s="8">
        <v>0.666666666667879</v>
      </c>
      <c r="U36" s="20">
        <v>0.5</v>
      </c>
      <c r="V36" s="20">
        <v>0.875</v>
      </c>
      <c r="W36" s="20">
        <v>0.5</v>
      </c>
      <c r="X36" s="20">
        <v>0.875</v>
      </c>
      <c r="Y36" s="20">
        <v>0.5</v>
      </c>
      <c r="Z36" s="20">
        <v>0.875</v>
      </c>
      <c r="AA36" s="20">
        <v>0.5</v>
      </c>
      <c r="AB36" s="20">
        <v>0.875</v>
      </c>
      <c r="AC36" s="20">
        <v>0.5</v>
      </c>
      <c r="AD36" s="20">
        <v>0.875</v>
      </c>
      <c r="AE36" s="17" t="s">
        <v>23</v>
      </c>
      <c r="AF36" s="17" t="s">
        <v>23</v>
      </c>
      <c r="AG36" s="17" t="s">
        <v>23</v>
      </c>
      <c r="AH36" s="17" t="s">
        <v>23</v>
      </c>
      <c r="AI36" s="20">
        <v>0.375</v>
      </c>
      <c r="AJ36" s="20">
        <v>0.75</v>
      </c>
      <c r="AK36" s="20">
        <v>0.375</v>
      </c>
      <c r="AL36" s="20">
        <v>0.75</v>
      </c>
      <c r="AM36" s="20">
        <v>0.375</v>
      </c>
      <c r="AN36" s="20">
        <v>0.75</v>
      </c>
      <c r="AO36" s="20">
        <v>0.375</v>
      </c>
      <c r="AP36" s="20">
        <v>0.75</v>
      </c>
      <c r="AQ36" s="20">
        <v>0.375</v>
      </c>
      <c r="AR36" s="20">
        <v>0.75</v>
      </c>
      <c r="AS36" s="17" t="s">
        <v>23</v>
      </c>
      <c r="AT36" s="17" t="s">
        <v>23</v>
      </c>
      <c r="AU36" s="17" t="s">
        <v>23</v>
      </c>
      <c r="AV36" s="17" t="s">
        <v>23</v>
      </c>
      <c r="AW36" s="20">
        <v>0.458333333332121</v>
      </c>
      <c r="AX36" s="20">
        <v>0.875</v>
      </c>
      <c r="AY36" s="20">
        <v>0.458333333332121</v>
      </c>
      <c r="AZ36" s="20">
        <v>0.875</v>
      </c>
      <c r="BA36" s="20">
        <v>0.458333333332121</v>
      </c>
      <c r="BB36" s="20">
        <v>0.875</v>
      </c>
      <c r="BC36" s="20">
        <v>0.458333333332121</v>
      </c>
      <c r="BD36" s="20">
        <v>0.875</v>
      </c>
      <c r="BE36" s="17" t="s">
        <v>23</v>
      </c>
      <c r="BF36" s="17" t="s">
        <v>23</v>
      </c>
      <c r="BG36" s="17" t="s">
        <v>23</v>
      </c>
      <c r="BH36" s="17" t="s">
        <v>23</v>
      </c>
      <c r="BI36" s="20">
        <v>0.458333333332121</v>
      </c>
      <c r="BJ36" s="20">
        <v>0.666666666667879</v>
      </c>
      <c r="BK36" s="20">
        <v>0.375</v>
      </c>
      <c r="BL36" s="20">
        <v>0.791666666667879</v>
      </c>
      <c r="BM36" s="20">
        <v>0.375</v>
      </c>
      <c r="BN36" s="20">
        <v>0.791666666667879</v>
      </c>
      <c r="BO36" s="21">
        <f>IFERROR(__xludf.DUMMYFUNCTION("TO_PURE_NUMBER(SUM(FILTER(G36:BN36, ISEVEN(COLUMN(G36:BN36))))-SUM(FILTER(G36:BN36, ISODD(COLUMN(G36:BN36)))))*24"),200.000000000407)</f>
        <v>200.000000000407</v>
      </c>
      <c r="BP36" s="17"/>
      <c r="BQ36" s="17"/>
      <c r="BR36" s="17"/>
      <c r="BS36" s="17"/>
      <c r="BT36" s="17"/>
      <c r="BU36" s="17"/>
      <c r="BV36" s="17"/>
      <c r="BW36" s="17"/>
      <c r="BX36" s="17"/>
    </row>
    <row r="37" customHeight="1" spans="1:76">
      <c r="A37" s="7">
        <v>10316545</v>
      </c>
      <c r="B37" s="7" t="s">
        <v>45</v>
      </c>
      <c r="C37" s="7" t="str">
        <f t="array" ref="C37">_xlfn.XLOOKUP($A37,'WK 48'!A:A,'WK 48'!C:C,"")</f>
        <v>CSR</v>
      </c>
      <c r="D37" s="7" t="str">
        <f t="array" ref="D37">_xlfn.XLOOKUP($A37,'WK 48'!$A:$A,'WK 48'!D:D,"")</f>
        <v>Production</v>
      </c>
      <c r="E37" s="8" t="str">
        <f t="array" ref="E37">_xlfn.XLOOKUP($A37,'WK 48'!$A:$A,'WK 48'!E:E,"")</f>
        <v>FT</v>
      </c>
      <c r="F37" s="9">
        <f t="array" ref="F37">_xlfn.XLOOKUP($A37,'WK 48'!$A:$A,'WK 48'!F:F,"")</f>
        <v>1</v>
      </c>
      <c r="G37" s="8">
        <v>0.5</v>
      </c>
      <c r="H37" s="8">
        <v>0.875</v>
      </c>
      <c r="I37" s="8">
        <v>0.5</v>
      </c>
      <c r="J37" s="8">
        <v>0.875</v>
      </c>
      <c r="K37" s="8">
        <v>0.5</v>
      </c>
      <c r="L37" s="8">
        <v>0.875</v>
      </c>
      <c r="M37" s="8">
        <v>0.5</v>
      </c>
      <c r="N37" s="8">
        <v>0.875</v>
      </c>
      <c r="O37" s="8">
        <v>0.5</v>
      </c>
      <c r="P37" s="8">
        <v>0.875</v>
      </c>
      <c r="Q37" s="7" t="s">
        <v>23</v>
      </c>
      <c r="R37" s="7" t="s">
        <v>23</v>
      </c>
      <c r="S37" s="7" t="s">
        <v>23</v>
      </c>
      <c r="T37" s="7" t="s">
        <v>23</v>
      </c>
      <c r="U37" s="20">
        <v>0.375</v>
      </c>
      <c r="V37" s="20">
        <v>0.75</v>
      </c>
      <c r="W37" s="20">
        <v>0.375</v>
      </c>
      <c r="X37" s="20">
        <v>0.75</v>
      </c>
      <c r="Y37" s="20">
        <v>0.375</v>
      </c>
      <c r="Z37" s="20">
        <v>0.75</v>
      </c>
      <c r="AA37" s="20">
        <v>0.375</v>
      </c>
      <c r="AB37" s="20">
        <v>0.75</v>
      </c>
      <c r="AC37" s="20">
        <v>0.375</v>
      </c>
      <c r="AD37" s="20">
        <v>0.75</v>
      </c>
      <c r="AE37" s="17" t="s">
        <v>23</v>
      </c>
      <c r="AF37" s="17" t="s">
        <v>23</v>
      </c>
      <c r="AG37" s="17" t="s">
        <v>23</v>
      </c>
      <c r="AH37" s="17" t="s">
        <v>23</v>
      </c>
      <c r="AI37" s="20">
        <v>0.5</v>
      </c>
      <c r="AJ37" s="20">
        <v>0.875</v>
      </c>
      <c r="AK37" s="20">
        <v>0.5</v>
      </c>
      <c r="AL37" s="20">
        <v>0.875</v>
      </c>
      <c r="AM37" s="20">
        <v>0.5</v>
      </c>
      <c r="AN37" s="20">
        <v>0.875</v>
      </c>
      <c r="AO37" s="20">
        <v>0.5</v>
      </c>
      <c r="AP37" s="20">
        <v>0.875</v>
      </c>
      <c r="AQ37" s="20">
        <v>0.5</v>
      </c>
      <c r="AR37" s="20">
        <v>0.875</v>
      </c>
      <c r="AS37" s="17" t="s">
        <v>23</v>
      </c>
      <c r="AT37" s="17" t="s">
        <v>23</v>
      </c>
      <c r="AU37" s="17" t="s">
        <v>23</v>
      </c>
      <c r="AV37" s="17" t="s">
        <v>23</v>
      </c>
      <c r="AW37" s="20">
        <v>0.375</v>
      </c>
      <c r="AX37" s="20">
        <v>0.75</v>
      </c>
      <c r="AY37" s="20">
        <v>0.375</v>
      </c>
      <c r="AZ37" s="20">
        <v>0.75</v>
      </c>
      <c r="BA37" s="20">
        <v>0.375</v>
      </c>
      <c r="BB37" s="20">
        <v>0.75</v>
      </c>
      <c r="BC37" s="20">
        <v>0.375</v>
      </c>
      <c r="BD37" s="20">
        <v>0.75</v>
      </c>
      <c r="BE37" s="20">
        <v>0.375</v>
      </c>
      <c r="BF37" s="20">
        <v>0.75</v>
      </c>
      <c r="BG37" s="17" t="s">
        <v>23</v>
      </c>
      <c r="BH37" s="17" t="s">
        <v>23</v>
      </c>
      <c r="BI37" s="17" t="s">
        <v>23</v>
      </c>
      <c r="BJ37" s="17" t="s">
        <v>23</v>
      </c>
      <c r="BK37" s="20">
        <v>0.5</v>
      </c>
      <c r="BL37" s="20">
        <v>0.875</v>
      </c>
      <c r="BM37" s="20">
        <v>0.5</v>
      </c>
      <c r="BN37" s="20">
        <v>0.875</v>
      </c>
      <c r="BO37" s="21">
        <f>IFERROR(__xludf.DUMMYFUNCTION("TO_PURE_NUMBER(SUM(FILTER(G37:BN37, ISEVEN(COLUMN(G37:BN37))))-SUM(FILTER(G37:BN37, ISODD(COLUMN(G37:BN37)))))*24"),198)</f>
        <v>198</v>
      </c>
      <c r="BP37" s="17"/>
      <c r="BQ37" s="17"/>
      <c r="BR37" s="17"/>
      <c r="BS37" s="17"/>
      <c r="BT37" s="17"/>
      <c r="BU37" s="17"/>
      <c r="BV37" s="17"/>
      <c r="BW37" s="17"/>
      <c r="BX37" s="17"/>
    </row>
    <row r="38" customHeight="1" spans="1:76">
      <c r="A38" s="7">
        <v>10316572</v>
      </c>
      <c r="B38" s="7" t="s">
        <v>46</v>
      </c>
      <c r="C38" s="7" t="str">
        <f t="array" ref="C38">_xlfn.XLOOKUP($A38,'WK 48'!A:A,'WK 48'!C:C,"")</f>
        <v>CSR</v>
      </c>
      <c r="D38" s="7" t="str">
        <f t="array" ref="D38">_xlfn.XLOOKUP($A38,'WK 48'!$A:$A,'WK 48'!D:D,"")</f>
        <v>Production</v>
      </c>
      <c r="E38" s="8" t="str">
        <f t="array" ref="E38">_xlfn.XLOOKUP($A38,'WK 48'!$A:$A,'WK 48'!E:E,"")</f>
        <v>FT</v>
      </c>
      <c r="F38" s="9">
        <f t="array" ref="F38">_xlfn.XLOOKUP($A38,'WK 48'!$A:$A,'WK 48'!F:F,"")</f>
        <v>2</v>
      </c>
      <c r="G38" s="8">
        <v>0.333333333332121</v>
      </c>
      <c r="H38" s="8">
        <v>0.75</v>
      </c>
      <c r="I38" s="8">
        <v>0.375</v>
      </c>
      <c r="J38" s="8">
        <v>0.791666666667879</v>
      </c>
      <c r="K38" s="8">
        <v>0.375</v>
      </c>
      <c r="L38" s="8">
        <v>0.791666666667879</v>
      </c>
      <c r="M38" s="8">
        <v>0.375</v>
      </c>
      <c r="N38" s="8">
        <v>0.791666666667879</v>
      </c>
      <c r="O38" s="7" t="s">
        <v>23</v>
      </c>
      <c r="P38" s="7" t="s">
        <v>23</v>
      </c>
      <c r="Q38" s="7" t="s">
        <v>23</v>
      </c>
      <c r="R38" s="7" t="s">
        <v>23</v>
      </c>
      <c r="S38" s="8">
        <v>0.416666666667879</v>
      </c>
      <c r="T38" s="8">
        <v>0.625</v>
      </c>
      <c r="U38" s="20">
        <v>0.333333333332121</v>
      </c>
      <c r="V38" s="20">
        <v>0.75</v>
      </c>
      <c r="W38" s="20">
        <v>0.375</v>
      </c>
      <c r="X38" s="20">
        <v>0.791666666667879</v>
      </c>
      <c r="Y38" s="20">
        <v>0.375</v>
      </c>
      <c r="Z38" s="20">
        <v>0.791666666667879</v>
      </c>
      <c r="AA38" s="20">
        <v>0.375</v>
      </c>
      <c r="AB38" s="20">
        <v>0.791666666667879</v>
      </c>
      <c r="AC38" s="17" t="s">
        <v>23</v>
      </c>
      <c r="AD38" s="17" t="s">
        <v>23</v>
      </c>
      <c r="AE38" s="17" t="s">
        <v>23</v>
      </c>
      <c r="AF38" s="17" t="s">
        <v>23</v>
      </c>
      <c r="AG38" s="20">
        <v>0.416666666667879</v>
      </c>
      <c r="AH38" s="20">
        <v>0.625</v>
      </c>
      <c r="AI38" s="20">
        <v>0.333333333332121</v>
      </c>
      <c r="AJ38" s="20">
        <v>0.75</v>
      </c>
      <c r="AK38" s="20">
        <v>0.375</v>
      </c>
      <c r="AL38" s="20">
        <v>0.791666666667879</v>
      </c>
      <c r="AM38" s="20">
        <v>0.375</v>
      </c>
      <c r="AN38" s="20">
        <v>0.791666666667879</v>
      </c>
      <c r="AO38" s="20">
        <v>0.375</v>
      </c>
      <c r="AP38" s="20">
        <v>0.791666666667879</v>
      </c>
      <c r="AQ38" s="17" t="s">
        <v>23</v>
      </c>
      <c r="AR38" s="17" t="s">
        <v>23</v>
      </c>
      <c r="AS38" s="17" t="s">
        <v>23</v>
      </c>
      <c r="AT38" s="17" t="s">
        <v>23</v>
      </c>
      <c r="AU38" s="20">
        <v>0.416666666667879</v>
      </c>
      <c r="AV38" s="20">
        <v>0.625</v>
      </c>
      <c r="AW38" s="20">
        <v>0.333333333332121</v>
      </c>
      <c r="AX38" s="20">
        <v>0.75</v>
      </c>
      <c r="AY38" s="20">
        <v>0.375</v>
      </c>
      <c r="AZ38" s="20">
        <v>0.791666666667879</v>
      </c>
      <c r="BA38" s="20">
        <v>0.375</v>
      </c>
      <c r="BB38" s="20">
        <v>0.791666666667879</v>
      </c>
      <c r="BC38" s="20">
        <v>0.375</v>
      </c>
      <c r="BD38" s="20">
        <v>0.791666666667879</v>
      </c>
      <c r="BE38" s="17" t="s">
        <v>23</v>
      </c>
      <c r="BF38" s="17" t="s">
        <v>23</v>
      </c>
      <c r="BG38" s="17" t="s">
        <v>23</v>
      </c>
      <c r="BH38" s="17" t="s">
        <v>23</v>
      </c>
      <c r="BI38" s="20">
        <v>0.416666666667879</v>
      </c>
      <c r="BJ38" s="20">
        <v>0.625</v>
      </c>
      <c r="BK38" s="20">
        <v>0.333333333332121</v>
      </c>
      <c r="BL38" s="20">
        <v>0.75</v>
      </c>
      <c r="BM38" s="20">
        <v>0.375</v>
      </c>
      <c r="BN38" s="20">
        <v>0.791666666667879</v>
      </c>
      <c r="BO38" s="21">
        <f>IFERROR(__xludf.DUMMYFUNCTION("TO_PURE_NUMBER(SUM(FILTER(G38:BN38, ISEVEN(COLUMN(G38:BN38))))-SUM(FILTER(G38:BN38, ISODD(COLUMN(G38:BN38)))))*24"),200.000000000407)</f>
        <v>200.000000000407</v>
      </c>
      <c r="BP38" s="17"/>
      <c r="BQ38" s="17"/>
      <c r="BR38" s="17"/>
      <c r="BS38" s="17"/>
      <c r="BT38" s="17"/>
      <c r="BU38" s="17"/>
      <c r="BV38" s="17"/>
      <c r="BW38" s="17"/>
      <c r="BX38" s="17"/>
    </row>
    <row r="39" customHeight="1" spans="1:76">
      <c r="A39" s="7">
        <v>10316685</v>
      </c>
      <c r="B39" s="7" t="s">
        <v>47</v>
      </c>
      <c r="C39" s="7" t="str">
        <f t="array" ref="C39">_xlfn.XLOOKUP($A39,'WK 48'!A:A,'WK 48'!C:C,"")</f>
        <v>Esc Mgr</v>
      </c>
      <c r="D39" s="7" t="str">
        <f t="array" ref="D39">_xlfn.XLOOKUP($A39,'WK 48'!$A:$A,'WK 48'!D:D,"")</f>
        <v>Production</v>
      </c>
      <c r="E39" s="8" t="str">
        <f t="array" ref="E39">_xlfn.XLOOKUP($A39,'WK 48'!$A:$A,'WK 48'!E:E,"")</f>
        <v>FT</v>
      </c>
      <c r="F39" s="9">
        <f t="array" ref="F39">_xlfn.XLOOKUP($A39,'WK 48'!$A:$A,'WK 48'!F:F,"")</f>
        <v>1</v>
      </c>
      <c r="G39" s="8">
        <v>0.375</v>
      </c>
      <c r="H39" s="8">
        <v>0.75</v>
      </c>
      <c r="I39" s="8">
        <v>0.375</v>
      </c>
      <c r="J39" s="8">
        <v>0.75</v>
      </c>
      <c r="K39" s="8">
        <v>0.375</v>
      </c>
      <c r="L39" s="8">
        <v>0.75</v>
      </c>
      <c r="M39" s="8">
        <v>0.375</v>
      </c>
      <c r="N39" s="8">
        <v>0.75</v>
      </c>
      <c r="O39" s="8">
        <v>0.375</v>
      </c>
      <c r="P39" s="8">
        <v>0.75</v>
      </c>
      <c r="Q39" s="7" t="s">
        <v>23</v>
      </c>
      <c r="R39" s="7" t="s">
        <v>23</v>
      </c>
      <c r="S39" s="7" t="s">
        <v>23</v>
      </c>
      <c r="T39" s="7" t="s">
        <v>23</v>
      </c>
      <c r="U39" s="20">
        <v>0.5</v>
      </c>
      <c r="V39" s="20">
        <v>0.875</v>
      </c>
      <c r="W39" s="20">
        <v>0.5</v>
      </c>
      <c r="X39" s="20">
        <v>0.875</v>
      </c>
      <c r="Y39" s="20">
        <v>0.5</v>
      </c>
      <c r="Z39" s="20">
        <v>0.875</v>
      </c>
      <c r="AA39" s="20">
        <v>0.5</v>
      </c>
      <c r="AB39" s="20">
        <v>0.875</v>
      </c>
      <c r="AC39" s="20">
        <v>0.5</v>
      </c>
      <c r="AD39" s="20">
        <v>0.875</v>
      </c>
      <c r="AE39" s="17" t="s">
        <v>23</v>
      </c>
      <c r="AF39" s="17" t="s">
        <v>23</v>
      </c>
      <c r="AG39" s="17" t="s">
        <v>23</v>
      </c>
      <c r="AH39" s="17" t="s">
        <v>23</v>
      </c>
      <c r="AI39" s="20">
        <v>0.375</v>
      </c>
      <c r="AJ39" s="20">
        <v>0.75</v>
      </c>
      <c r="AK39" s="20">
        <v>0.375</v>
      </c>
      <c r="AL39" s="20">
        <v>0.75</v>
      </c>
      <c r="AM39" s="20">
        <v>0.375</v>
      </c>
      <c r="AN39" s="20">
        <v>0.75</v>
      </c>
      <c r="AO39" s="20">
        <v>0.375</v>
      </c>
      <c r="AP39" s="20">
        <v>0.75</v>
      </c>
      <c r="AQ39" s="20">
        <v>0.375</v>
      </c>
      <c r="AR39" s="20">
        <v>0.75</v>
      </c>
      <c r="AS39" s="17" t="s">
        <v>23</v>
      </c>
      <c r="AT39" s="17" t="s">
        <v>23</v>
      </c>
      <c r="AU39" s="17" t="s">
        <v>23</v>
      </c>
      <c r="AV39" s="17" t="s">
        <v>23</v>
      </c>
      <c r="AW39" s="20">
        <v>0.5</v>
      </c>
      <c r="AX39" s="20">
        <v>0.875</v>
      </c>
      <c r="AY39" s="20">
        <v>0.5</v>
      </c>
      <c r="AZ39" s="20">
        <v>0.875</v>
      </c>
      <c r="BA39" s="20">
        <v>0.5</v>
      </c>
      <c r="BB39" s="20">
        <v>0.875</v>
      </c>
      <c r="BC39" s="20">
        <v>0.5</v>
      </c>
      <c r="BD39" s="20">
        <v>0.875</v>
      </c>
      <c r="BE39" s="20">
        <v>0.5</v>
      </c>
      <c r="BF39" s="20">
        <v>0.875</v>
      </c>
      <c r="BG39" s="17" t="s">
        <v>23</v>
      </c>
      <c r="BH39" s="17" t="s">
        <v>23</v>
      </c>
      <c r="BI39" s="17" t="s">
        <v>23</v>
      </c>
      <c r="BJ39" s="17" t="s">
        <v>23</v>
      </c>
      <c r="BK39" s="20">
        <v>0.375</v>
      </c>
      <c r="BL39" s="20">
        <v>0.75</v>
      </c>
      <c r="BM39" s="20">
        <v>0.375</v>
      </c>
      <c r="BN39" s="20">
        <v>0.75</v>
      </c>
      <c r="BO39" s="21">
        <f>IFERROR(__xludf.DUMMYFUNCTION("TO_PURE_NUMBER(SUM(FILTER(G39:BN39, ISEVEN(COLUMN(G39:BN39))))-SUM(FILTER(G39:BN39, ISODD(COLUMN(G39:BN39)))))*24"),198)</f>
        <v>198</v>
      </c>
      <c r="BP39" s="17"/>
      <c r="BQ39" s="17"/>
      <c r="BR39" s="17"/>
      <c r="BS39" s="17"/>
      <c r="BT39" s="17"/>
      <c r="BU39" s="17"/>
      <c r="BV39" s="17"/>
      <c r="BW39" s="17"/>
      <c r="BX39" s="17"/>
    </row>
    <row r="40" customHeight="1" spans="1:76">
      <c r="A40" s="7">
        <v>10274446</v>
      </c>
      <c r="B40" s="7" t="s">
        <v>88</v>
      </c>
      <c r="C40" s="7" t="str">
        <f t="array" ref="C40">_xlfn.XLOOKUP($A40,'WK 48'!A:A,'WK 48'!C:C,"")</f>
        <v>CSR</v>
      </c>
      <c r="D40" s="7" t="str">
        <f t="array" ref="D40">_xlfn.XLOOKUP($A40,'WK 48'!$A:$A,'WK 48'!D:D,"")</f>
        <v>Production</v>
      </c>
      <c r="E40" s="8" t="str">
        <f t="array" ref="E40">_xlfn.XLOOKUP($A40,'WK 48'!$A:$A,'WK 48'!E:E,"")</f>
        <v>FT</v>
      </c>
      <c r="F40" s="9">
        <f t="array" ref="F40">_xlfn.XLOOKUP($A40,'WK 48'!$A:$A,'WK 48'!F:F,"")</f>
        <v>2</v>
      </c>
      <c r="G40" s="8">
        <v>0.5</v>
      </c>
      <c r="H40" s="8">
        <v>0.875</v>
      </c>
      <c r="I40" s="8">
        <v>0.5</v>
      </c>
      <c r="J40" s="8">
        <v>0.875</v>
      </c>
      <c r="K40" s="8">
        <v>0.5</v>
      </c>
      <c r="L40" s="8">
        <v>0.875</v>
      </c>
      <c r="M40" s="7" t="s">
        <v>23</v>
      </c>
      <c r="N40" s="7" t="s">
        <v>23</v>
      </c>
      <c r="O40" s="7" t="s">
        <v>23</v>
      </c>
      <c r="P40" s="7" t="s">
        <v>23</v>
      </c>
      <c r="Q40" s="8">
        <v>0.458333333332121</v>
      </c>
      <c r="R40" s="8">
        <v>0.666666666667879</v>
      </c>
      <c r="S40" s="8">
        <v>0.458333333332121</v>
      </c>
      <c r="T40" s="8">
        <v>0.666666666667879</v>
      </c>
      <c r="U40" s="20">
        <v>0.375</v>
      </c>
      <c r="V40" s="20">
        <v>0.75</v>
      </c>
      <c r="W40" s="20">
        <v>0.375</v>
      </c>
      <c r="X40" s="20">
        <v>0.75</v>
      </c>
      <c r="Y40" s="20">
        <v>0.375</v>
      </c>
      <c r="Z40" s="20">
        <v>0.75</v>
      </c>
      <c r="AA40" s="17" t="s">
        <v>23</v>
      </c>
      <c r="AB40" s="17" t="s">
        <v>23</v>
      </c>
      <c r="AC40" s="17" t="s">
        <v>23</v>
      </c>
      <c r="AD40" s="17" t="s">
        <v>23</v>
      </c>
      <c r="AE40" s="20">
        <v>0.458333333332121</v>
      </c>
      <c r="AF40" s="20">
        <v>0.666666666667879</v>
      </c>
      <c r="AG40" s="20">
        <v>0.458333333332121</v>
      </c>
      <c r="AH40" s="20">
        <v>0.666666666667879</v>
      </c>
      <c r="AI40" s="20">
        <v>0.5</v>
      </c>
      <c r="AJ40" s="20">
        <v>0.875</v>
      </c>
      <c r="AK40" s="20">
        <v>0.5</v>
      </c>
      <c r="AL40" s="20">
        <v>0.875</v>
      </c>
      <c r="AM40" s="20">
        <v>0.5</v>
      </c>
      <c r="AN40" s="20">
        <v>0.875</v>
      </c>
      <c r="AO40" s="17" t="s">
        <v>23</v>
      </c>
      <c r="AP40" s="17" t="s">
        <v>23</v>
      </c>
      <c r="AQ40" s="17" t="s">
        <v>23</v>
      </c>
      <c r="AR40" s="17" t="s">
        <v>23</v>
      </c>
      <c r="AS40" s="20">
        <v>0.458333333332121</v>
      </c>
      <c r="AT40" s="20">
        <v>0.666666666667879</v>
      </c>
      <c r="AU40" s="20">
        <v>0.458333333332121</v>
      </c>
      <c r="AV40" s="20">
        <v>0.666666666667879</v>
      </c>
      <c r="AW40" s="20">
        <v>0.375</v>
      </c>
      <c r="AX40" s="20">
        <v>0.75</v>
      </c>
      <c r="AY40" s="20">
        <v>0.375</v>
      </c>
      <c r="AZ40" s="20">
        <v>0.75</v>
      </c>
      <c r="BA40" s="17" t="s">
        <v>23</v>
      </c>
      <c r="BB40" s="17" t="s">
        <v>23</v>
      </c>
      <c r="BC40" s="17" t="s">
        <v>23</v>
      </c>
      <c r="BD40" s="17" t="s">
        <v>23</v>
      </c>
      <c r="BE40" s="20">
        <v>0.375</v>
      </c>
      <c r="BF40" s="20">
        <v>0.75</v>
      </c>
      <c r="BG40" s="20">
        <v>0.458333333332121</v>
      </c>
      <c r="BH40" s="20">
        <v>0.666666666667879</v>
      </c>
      <c r="BI40" s="20">
        <v>0.458333333332121</v>
      </c>
      <c r="BJ40" s="20">
        <v>0.666666666667879</v>
      </c>
      <c r="BK40" s="20">
        <v>0.5</v>
      </c>
      <c r="BL40" s="20">
        <v>0.875</v>
      </c>
      <c r="BM40" s="17" t="s">
        <v>23</v>
      </c>
      <c r="BN40" s="17" t="s">
        <v>23</v>
      </c>
      <c r="BO40" s="21">
        <f>IFERROR(__xludf.DUMMYFUNCTION("TO_PURE_NUMBER(SUM(FILTER(G40:BN40, ISEVEN(COLUMN(G40:BN40))))-SUM(FILTER(G40:BN40, ISODD(COLUMN(G40:BN40)))))*24"),157.000000000465)</f>
        <v>157.000000000465</v>
      </c>
      <c r="BP40" s="17"/>
      <c r="BQ40" s="17"/>
      <c r="BR40" s="17"/>
      <c r="BS40" s="17"/>
      <c r="BT40" s="17"/>
      <c r="BU40" s="17"/>
      <c r="BV40" s="17"/>
      <c r="BW40" s="17"/>
      <c r="BX40" s="17"/>
    </row>
    <row r="41" customHeight="1" spans="1:76">
      <c r="A41" s="7">
        <v>10276839</v>
      </c>
      <c r="B41" s="7" t="s">
        <v>54</v>
      </c>
      <c r="C41" s="7" t="str">
        <f t="array" ref="C41">_xlfn.XLOOKUP($A41,'WK 48'!A:A,'WK 48'!C:C,"")</f>
        <v>CSR</v>
      </c>
      <c r="D41" s="7" t="str">
        <f t="array" ref="D41">_xlfn.XLOOKUP($A41,'WK 48'!$A:$A,'WK 48'!D:D,"")</f>
        <v>Production</v>
      </c>
      <c r="E41" s="8" t="str">
        <f t="array" ref="E41">_xlfn.XLOOKUP($A41,'WK 48'!$A:$A,'WK 48'!E:E,"")</f>
        <v>FT</v>
      </c>
      <c r="F41" s="9">
        <f t="array" ref="F41">_xlfn.XLOOKUP($A41,'WK 48'!$A:$A,'WK 48'!F:F,"")</f>
        <v>2</v>
      </c>
      <c r="G41" s="8">
        <v>0.458333333332121</v>
      </c>
      <c r="H41" s="8">
        <v>0.875</v>
      </c>
      <c r="I41" s="8">
        <v>0.458333333332121</v>
      </c>
      <c r="J41" s="8">
        <v>0.875</v>
      </c>
      <c r="K41" s="8">
        <v>0.458333333332121</v>
      </c>
      <c r="L41" s="8">
        <v>0.875</v>
      </c>
      <c r="M41" s="8">
        <v>0.458333333332121</v>
      </c>
      <c r="N41" s="8">
        <v>0.875</v>
      </c>
      <c r="O41" s="7" t="s">
        <v>23</v>
      </c>
      <c r="P41" s="7" t="s">
        <v>23</v>
      </c>
      <c r="Q41" s="7" t="s">
        <v>23</v>
      </c>
      <c r="R41" s="7" t="s">
        <v>23</v>
      </c>
      <c r="S41" s="8">
        <v>0.458333333332121</v>
      </c>
      <c r="T41" s="8">
        <v>0.666666666667879</v>
      </c>
      <c r="U41" s="20">
        <v>0.416666666667879</v>
      </c>
      <c r="V41" s="20">
        <v>0.833333333332121</v>
      </c>
      <c r="W41" s="20">
        <v>0.416666666667879</v>
      </c>
      <c r="X41" s="20">
        <v>0.833333333332121</v>
      </c>
      <c r="Y41" s="20">
        <v>0.416666666667879</v>
      </c>
      <c r="Z41" s="20">
        <v>0.833333333332121</v>
      </c>
      <c r="AA41" s="20">
        <v>0.416666666667879</v>
      </c>
      <c r="AB41" s="20">
        <v>0.833333333332121</v>
      </c>
      <c r="AC41" s="17" t="s">
        <v>23</v>
      </c>
      <c r="AD41" s="17" t="s">
        <v>23</v>
      </c>
      <c r="AE41" s="17" t="s">
        <v>23</v>
      </c>
      <c r="AF41" s="17" t="s">
        <v>23</v>
      </c>
      <c r="AG41" s="20">
        <v>0.458333333332121</v>
      </c>
      <c r="AH41" s="20">
        <v>0.666666666667879</v>
      </c>
      <c r="AI41" s="20">
        <v>0.5</v>
      </c>
      <c r="AJ41" s="20">
        <v>0.875</v>
      </c>
      <c r="AK41" s="20">
        <v>0.5</v>
      </c>
      <c r="AL41" s="20">
        <v>0.875</v>
      </c>
      <c r="AM41" s="20">
        <v>0.5</v>
      </c>
      <c r="AN41" s="20">
        <v>0.875</v>
      </c>
      <c r="AO41" s="20">
        <v>0.5</v>
      </c>
      <c r="AP41" s="20">
        <v>0.875</v>
      </c>
      <c r="AQ41" s="20">
        <v>0.5</v>
      </c>
      <c r="AR41" s="20">
        <v>0.875</v>
      </c>
      <c r="AS41" s="17" t="s">
        <v>23</v>
      </c>
      <c r="AT41" s="17" t="s">
        <v>23</v>
      </c>
      <c r="AU41" s="17" t="s">
        <v>23</v>
      </c>
      <c r="AV41" s="17" t="s">
        <v>23</v>
      </c>
      <c r="AW41" s="20">
        <v>0.375</v>
      </c>
      <c r="AX41" s="20">
        <v>0.791666666667879</v>
      </c>
      <c r="AY41" s="20">
        <v>0.375</v>
      </c>
      <c r="AZ41" s="20">
        <v>0.791666666667879</v>
      </c>
      <c r="BA41" s="20">
        <v>0.375</v>
      </c>
      <c r="BB41" s="20">
        <v>0.791666666667879</v>
      </c>
      <c r="BC41" s="20">
        <v>0.375</v>
      </c>
      <c r="BD41" s="20">
        <v>0.791666666667879</v>
      </c>
      <c r="BE41" s="17" t="s">
        <v>23</v>
      </c>
      <c r="BF41" s="17" t="s">
        <v>23</v>
      </c>
      <c r="BG41" s="17" t="s">
        <v>23</v>
      </c>
      <c r="BH41" s="17" t="s">
        <v>23</v>
      </c>
      <c r="BI41" s="20">
        <v>0.458333333332121</v>
      </c>
      <c r="BJ41" s="20">
        <v>0.666666666667879</v>
      </c>
      <c r="BK41" s="20">
        <v>0.458333333332121</v>
      </c>
      <c r="BL41" s="20">
        <v>0.875</v>
      </c>
      <c r="BM41" s="20">
        <v>0.458333333332121</v>
      </c>
      <c r="BN41" s="20">
        <v>0.875</v>
      </c>
      <c r="BO41" s="21">
        <f>IFERROR(__xludf.DUMMYFUNCTION("TO_PURE_NUMBER(SUM(FILTER(G41:BN41, ISEVEN(COLUMN(G41:BN41))))-SUM(FILTER(G41:BN41, ISODD(COLUMN(G41:BN41)))))*24"),200.000000000232)</f>
        <v>200.000000000232</v>
      </c>
      <c r="BP41" s="17"/>
      <c r="BQ41" s="17"/>
      <c r="BR41" s="17"/>
      <c r="BS41" s="17"/>
      <c r="BT41" s="17"/>
      <c r="BU41" s="17"/>
      <c r="BV41" s="17"/>
      <c r="BW41" s="17"/>
      <c r="BX41" s="17"/>
    </row>
    <row r="42" customHeight="1" spans="1:76">
      <c r="A42" s="7">
        <v>10320419</v>
      </c>
      <c r="B42" s="7" t="s">
        <v>69</v>
      </c>
      <c r="C42" s="7" t="str">
        <f t="array" ref="C42">_xlfn.XLOOKUP($A42,'WK 48'!A:A,'WK 48'!C:C,"")</f>
        <v>CSR</v>
      </c>
      <c r="D42" s="7" t="str">
        <f t="array" ref="D42">_xlfn.XLOOKUP($A42,'WK 48'!$A:$A,'WK 48'!D:D,"")</f>
        <v>Production</v>
      </c>
      <c r="E42" s="8" t="str">
        <f t="array" ref="E42">_xlfn.XLOOKUP($A42,'WK 48'!$A:$A,'WK 48'!E:E,"")</f>
        <v>FT</v>
      </c>
      <c r="F42" s="9">
        <f t="array" ref="F42">_xlfn.XLOOKUP($A42,'WK 48'!$A:$A,'WK 48'!F:F,"")</f>
        <v>3</v>
      </c>
      <c r="G42" s="7" t="s">
        <v>23</v>
      </c>
      <c r="H42" s="7" t="s">
        <v>23</v>
      </c>
      <c r="I42" s="8">
        <v>0.458333333332121</v>
      </c>
      <c r="J42" s="8">
        <v>0.875</v>
      </c>
      <c r="K42" s="8">
        <v>0.458333333332121</v>
      </c>
      <c r="L42" s="8">
        <v>0.875</v>
      </c>
      <c r="M42" s="8">
        <v>0.458333333332121</v>
      </c>
      <c r="N42" s="8">
        <v>0.875</v>
      </c>
      <c r="O42" s="8">
        <v>0.458333333332121</v>
      </c>
      <c r="P42" s="8">
        <v>0.875</v>
      </c>
      <c r="Q42" s="8">
        <v>0.458333333332121</v>
      </c>
      <c r="R42" s="8">
        <v>0.666666666667879</v>
      </c>
      <c r="S42" s="7" t="s">
        <v>23</v>
      </c>
      <c r="T42" s="7" t="s">
        <v>23</v>
      </c>
      <c r="U42" s="17" t="s">
        <v>23</v>
      </c>
      <c r="V42" s="17" t="s">
        <v>23</v>
      </c>
      <c r="W42" s="20">
        <v>0.375</v>
      </c>
      <c r="X42" s="20">
        <v>0.791666666667879</v>
      </c>
      <c r="Y42" s="20">
        <v>0.375</v>
      </c>
      <c r="Z42" s="20">
        <v>0.791666666667879</v>
      </c>
      <c r="AA42" s="20">
        <v>0.375</v>
      </c>
      <c r="AB42" s="20">
        <v>0.791666666667879</v>
      </c>
      <c r="AC42" s="20">
        <v>0.375</v>
      </c>
      <c r="AD42" s="20">
        <v>0.791666666667879</v>
      </c>
      <c r="AE42" s="20">
        <v>0.458333333332121</v>
      </c>
      <c r="AF42" s="20">
        <v>0.666666666667879</v>
      </c>
      <c r="AG42" s="17" t="s">
        <v>23</v>
      </c>
      <c r="AH42" s="17" t="s">
        <v>23</v>
      </c>
      <c r="AI42" s="17" t="s">
        <v>23</v>
      </c>
      <c r="AJ42" s="17" t="s">
        <v>23</v>
      </c>
      <c r="AK42" s="20">
        <v>0.458333333332121</v>
      </c>
      <c r="AL42" s="20">
        <v>0.875</v>
      </c>
      <c r="AM42" s="20">
        <v>0.458333333332121</v>
      </c>
      <c r="AN42" s="20">
        <v>0.875</v>
      </c>
      <c r="AO42" s="20">
        <v>0.458333333332121</v>
      </c>
      <c r="AP42" s="20">
        <v>0.875</v>
      </c>
      <c r="AQ42" s="20">
        <v>0.458333333332121</v>
      </c>
      <c r="AR42" s="20">
        <v>0.875</v>
      </c>
      <c r="AS42" s="20">
        <v>0.458333333332121</v>
      </c>
      <c r="AT42" s="20">
        <v>0.666666666667879</v>
      </c>
      <c r="AU42" s="17" t="s">
        <v>23</v>
      </c>
      <c r="AV42" s="17" t="s">
        <v>23</v>
      </c>
      <c r="AW42" s="17" t="s">
        <v>23</v>
      </c>
      <c r="AX42" s="17" t="s">
        <v>23</v>
      </c>
      <c r="AY42" s="20">
        <v>0.375</v>
      </c>
      <c r="AZ42" s="20">
        <v>0.791666666667879</v>
      </c>
      <c r="BA42" s="20">
        <v>0.375</v>
      </c>
      <c r="BB42" s="20">
        <v>0.791666666667879</v>
      </c>
      <c r="BC42" s="20">
        <v>0.375</v>
      </c>
      <c r="BD42" s="20">
        <v>0.791666666667879</v>
      </c>
      <c r="BE42" s="20">
        <v>0.375</v>
      </c>
      <c r="BF42" s="20">
        <v>0.791666666667879</v>
      </c>
      <c r="BG42" s="20">
        <v>0.458333333332121</v>
      </c>
      <c r="BH42" s="20">
        <v>0.666666666667879</v>
      </c>
      <c r="BI42" s="17" t="s">
        <v>23</v>
      </c>
      <c r="BJ42" s="17" t="s">
        <v>23</v>
      </c>
      <c r="BK42" s="17" t="s">
        <v>23</v>
      </c>
      <c r="BL42" s="17" t="s">
        <v>23</v>
      </c>
      <c r="BM42" s="20">
        <v>0.458333333332121</v>
      </c>
      <c r="BN42" s="20">
        <v>0.875</v>
      </c>
      <c r="BO42" s="21">
        <f>IFERROR(__xludf.DUMMYFUNCTION("TO_PURE_NUMBER(SUM(FILTER(G42:BN42, ISEVEN(COLUMN(G42:BN42))))-SUM(FILTER(G42:BN42, ISODD(COLUMN(G42:BN42)))))*24"),190.000000000727)</f>
        <v>190.000000000727</v>
      </c>
      <c r="BP42" s="17"/>
      <c r="BQ42" s="17"/>
      <c r="BR42" s="17"/>
      <c r="BS42" s="17"/>
      <c r="BT42" s="17"/>
      <c r="BU42" s="17"/>
      <c r="BV42" s="17"/>
      <c r="BW42" s="17"/>
      <c r="BX42" s="17"/>
    </row>
    <row r="43" customHeight="1" spans="1:76">
      <c r="A43" s="7">
        <v>10316546</v>
      </c>
      <c r="B43" s="7" t="s">
        <v>49</v>
      </c>
      <c r="C43" s="7" t="str">
        <f t="array" ref="C43">_xlfn.XLOOKUP($A43,'WK 48'!A:A,'WK 48'!C:C,"")</f>
        <v>CSR</v>
      </c>
      <c r="D43" s="7" t="str">
        <f t="array" ref="D43">_xlfn.XLOOKUP($A43,'WK 48'!$A:$A,'WK 48'!D:D,"")</f>
        <v>Production</v>
      </c>
      <c r="E43" s="8" t="str">
        <f t="array" ref="E43">_xlfn.XLOOKUP($A43,'WK 48'!$A:$A,'WK 48'!E:E,"")</f>
        <v>FT</v>
      </c>
      <c r="F43" s="9">
        <f t="array" ref="F43">_xlfn.XLOOKUP($A43,'WK 48'!$A:$A,'WK 48'!F:F,"")</f>
        <v>1</v>
      </c>
      <c r="G43" s="8">
        <v>0.375</v>
      </c>
      <c r="H43" s="8">
        <v>0.75</v>
      </c>
      <c r="I43" s="8">
        <v>0.375</v>
      </c>
      <c r="J43" s="8">
        <v>0.75</v>
      </c>
      <c r="K43" s="8">
        <v>0.375</v>
      </c>
      <c r="L43" s="8">
        <v>0.75</v>
      </c>
      <c r="M43" s="7" t="s">
        <v>23</v>
      </c>
      <c r="N43" s="7" t="s">
        <v>23</v>
      </c>
      <c r="O43" s="7" t="s">
        <v>23</v>
      </c>
      <c r="P43" s="7" t="s">
        <v>23</v>
      </c>
      <c r="Q43" s="8">
        <v>0.458333333332121</v>
      </c>
      <c r="R43" s="8">
        <v>0.666666666667879</v>
      </c>
      <c r="S43" s="8">
        <v>0.458333333332121</v>
      </c>
      <c r="T43" s="8">
        <v>0.666666666667879</v>
      </c>
      <c r="U43" s="20">
        <v>0.5</v>
      </c>
      <c r="V43" s="20">
        <v>0.875</v>
      </c>
      <c r="W43" s="20">
        <v>0.5</v>
      </c>
      <c r="X43" s="20">
        <v>0.875</v>
      </c>
      <c r="Y43" s="20">
        <v>0.5</v>
      </c>
      <c r="Z43" s="20">
        <v>0.875</v>
      </c>
      <c r="AA43" s="17" t="s">
        <v>23</v>
      </c>
      <c r="AB43" s="17" t="s">
        <v>23</v>
      </c>
      <c r="AC43" s="17" t="s">
        <v>23</v>
      </c>
      <c r="AD43" s="17" t="s">
        <v>23</v>
      </c>
      <c r="AE43" s="20">
        <v>0.458333333332121</v>
      </c>
      <c r="AF43" s="20">
        <v>0.666666666667879</v>
      </c>
      <c r="AG43" s="20">
        <v>0.458333333332121</v>
      </c>
      <c r="AH43" s="20">
        <v>0.666666666667879</v>
      </c>
      <c r="AI43" s="20">
        <v>0.375</v>
      </c>
      <c r="AJ43" s="20">
        <v>0.75</v>
      </c>
      <c r="AK43" s="20">
        <v>0.375</v>
      </c>
      <c r="AL43" s="20">
        <v>0.75</v>
      </c>
      <c r="AM43" s="20">
        <v>0.375</v>
      </c>
      <c r="AN43" s="20">
        <v>0.75</v>
      </c>
      <c r="AO43" s="17" t="s">
        <v>23</v>
      </c>
      <c r="AP43" s="17" t="s">
        <v>23</v>
      </c>
      <c r="AQ43" s="17" t="s">
        <v>23</v>
      </c>
      <c r="AR43" s="17" t="s">
        <v>23</v>
      </c>
      <c r="AS43" s="20">
        <v>0.458333333332121</v>
      </c>
      <c r="AT43" s="20">
        <v>0.666666666667879</v>
      </c>
      <c r="AU43" s="20">
        <v>0.458333333332121</v>
      </c>
      <c r="AV43" s="20">
        <v>0.666666666667879</v>
      </c>
      <c r="AW43" s="20">
        <v>0.5</v>
      </c>
      <c r="AX43" s="20">
        <v>0.875</v>
      </c>
      <c r="AY43" s="20">
        <v>0.5</v>
      </c>
      <c r="AZ43" s="20">
        <v>0.875</v>
      </c>
      <c r="BA43" s="17" t="s">
        <v>23</v>
      </c>
      <c r="BB43" s="17" t="s">
        <v>23</v>
      </c>
      <c r="BC43" s="17" t="s">
        <v>23</v>
      </c>
      <c r="BD43" s="17" t="s">
        <v>23</v>
      </c>
      <c r="BE43" s="20">
        <v>0.5</v>
      </c>
      <c r="BF43" s="20">
        <v>0.875</v>
      </c>
      <c r="BG43" s="20">
        <v>0.458333333332121</v>
      </c>
      <c r="BH43" s="20">
        <v>0.666666666667879</v>
      </c>
      <c r="BI43" s="20">
        <v>0.458333333332121</v>
      </c>
      <c r="BJ43" s="20">
        <v>0.666666666667879</v>
      </c>
      <c r="BK43" s="20">
        <v>0.375</v>
      </c>
      <c r="BL43" s="20">
        <v>0.75</v>
      </c>
      <c r="BM43" s="17" t="s">
        <v>23</v>
      </c>
      <c r="BN43" s="17" t="s">
        <v>23</v>
      </c>
      <c r="BO43" s="21">
        <f>IFERROR(__xludf.DUMMYFUNCTION("TO_PURE_NUMBER(SUM(FILTER(G43:BN43, ISEVEN(COLUMN(G43:BN43))))-SUM(FILTER(G43:BN43, ISODD(COLUMN(G43:BN43)))))*24"),157.000000000465)</f>
        <v>157.000000000465</v>
      </c>
      <c r="BP43" s="17"/>
      <c r="BQ43" s="17"/>
      <c r="BR43" s="17"/>
      <c r="BS43" s="17"/>
      <c r="BT43" s="17"/>
      <c r="BU43" s="17"/>
      <c r="BV43" s="17"/>
      <c r="BW43" s="17"/>
      <c r="BX43" s="17"/>
    </row>
    <row r="44" customHeight="1" spans="1:76">
      <c r="A44" s="7">
        <v>10316551</v>
      </c>
      <c r="B44" s="7" t="s">
        <v>87</v>
      </c>
      <c r="C44" s="7" t="str">
        <f t="array" ref="C44">_xlfn.XLOOKUP($A44,'WK 48'!A:A,'WK 48'!C:C,"")</f>
        <v>CSR</v>
      </c>
      <c r="D44" s="7" t="str">
        <f t="array" ref="D44">_xlfn.XLOOKUP($A44,'WK 48'!$A:$A,'WK 48'!D:D,"")</f>
        <v>Production</v>
      </c>
      <c r="E44" s="8" t="str">
        <f t="array" ref="E44">_xlfn.XLOOKUP($A44,'WK 48'!$A:$A,'WK 48'!E:E,"")</f>
        <v>FT</v>
      </c>
      <c r="F44" s="9">
        <f t="array" ref="F44">_xlfn.XLOOKUP($A44,'WK 48'!$A:$A,'WK 48'!F:F,"")</f>
        <v>1</v>
      </c>
      <c r="G44" s="8">
        <v>0.375</v>
      </c>
      <c r="H44" s="8">
        <v>0.791666666667879</v>
      </c>
      <c r="I44" s="8">
        <v>0.375</v>
      </c>
      <c r="J44" s="8">
        <v>0.791666666667879</v>
      </c>
      <c r="K44" s="8">
        <v>0.375</v>
      </c>
      <c r="L44" s="8">
        <v>0.791666666667879</v>
      </c>
      <c r="M44" s="8">
        <v>0.375</v>
      </c>
      <c r="N44" s="8">
        <v>0.791666666667879</v>
      </c>
      <c r="O44" s="7" t="s">
        <v>23</v>
      </c>
      <c r="P44" s="7" t="s">
        <v>23</v>
      </c>
      <c r="Q44" s="7" t="s">
        <v>23</v>
      </c>
      <c r="R44" s="7" t="s">
        <v>23</v>
      </c>
      <c r="S44" s="8">
        <v>0.458333333332121</v>
      </c>
      <c r="T44" s="8">
        <v>0.666666666667879</v>
      </c>
      <c r="U44" s="20">
        <v>0.5</v>
      </c>
      <c r="V44" s="20">
        <v>0.875</v>
      </c>
      <c r="W44" s="20">
        <v>0.5</v>
      </c>
      <c r="X44" s="20">
        <v>0.875</v>
      </c>
      <c r="Y44" s="20">
        <v>0.5</v>
      </c>
      <c r="Z44" s="20">
        <v>0.875</v>
      </c>
      <c r="AA44" s="20">
        <v>0.5</v>
      </c>
      <c r="AB44" s="20">
        <v>0.875</v>
      </c>
      <c r="AC44" s="20">
        <v>0.5</v>
      </c>
      <c r="AD44" s="20">
        <v>0.875</v>
      </c>
      <c r="AE44" s="17" t="s">
        <v>23</v>
      </c>
      <c r="AF44" s="17" t="s">
        <v>23</v>
      </c>
      <c r="AG44" s="17" t="s">
        <v>23</v>
      </c>
      <c r="AH44" s="17" t="s">
        <v>23</v>
      </c>
      <c r="AI44" s="20">
        <v>0.375</v>
      </c>
      <c r="AJ44" s="20">
        <v>0.75</v>
      </c>
      <c r="AK44" s="20">
        <v>0.375</v>
      </c>
      <c r="AL44" s="20">
        <v>0.75</v>
      </c>
      <c r="AM44" s="20">
        <v>0.375</v>
      </c>
      <c r="AN44" s="20">
        <v>0.75</v>
      </c>
      <c r="AO44" s="20">
        <v>0.375</v>
      </c>
      <c r="AP44" s="20">
        <v>0.75</v>
      </c>
      <c r="AQ44" s="20">
        <v>0.375</v>
      </c>
      <c r="AR44" s="20">
        <v>0.75</v>
      </c>
      <c r="AS44" s="17" t="s">
        <v>23</v>
      </c>
      <c r="AT44" s="17" t="s">
        <v>23</v>
      </c>
      <c r="AU44" s="17" t="s">
        <v>23</v>
      </c>
      <c r="AV44" s="17" t="s">
        <v>23</v>
      </c>
      <c r="AW44" s="20">
        <v>0.458333333332121</v>
      </c>
      <c r="AX44" s="20">
        <v>0.875</v>
      </c>
      <c r="AY44" s="20">
        <v>0.458333333332121</v>
      </c>
      <c r="AZ44" s="20">
        <v>0.875</v>
      </c>
      <c r="BA44" s="20">
        <v>0.458333333332121</v>
      </c>
      <c r="BB44" s="20">
        <v>0.875</v>
      </c>
      <c r="BC44" s="20">
        <v>0.458333333332121</v>
      </c>
      <c r="BD44" s="20">
        <v>0.875</v>
      </c>
      <c r="BE44" s="17" t="s">
        <v>23</v>
      </c>
      <c r="BF44" s="17" t="s">
        <v>23</v>
      </c>
      <c r="BG44" s="17" t="s">
        <v>23</v>
      </c>
      <c r="BH44" s="17" t="s">
        <v>23</v>
      </c>
      <c r="BI44" s="20">
        <v>0.458333333332121</v>
      </c>
      <c r="BJ44" s="20">
        <v>0.666666666667879</v>
      </c>
      <c r="BK44" s="20">
        <v>0.375</v>
      </c>
      <c r="BL44" s="20">
        <v>0.791666666667879</v>
      </c>
      <c r="BM44" s="20">
        <v>0.375</v>
      </c>
      <c r="BN44" s="20">
        <v>0.791666666667879</v>
      </c>
      <c r="BO44" s="21">
        <f>IFERROR(__xludf.DUMMYFUNCTION("TO_PURE_NUMBER(SUM(FILTER(G44:BN44, ISEVEN(COLUMN(G44:BN44))))-SUM(FILTER(G44:BN44, ISODD(COLUMN(G44:BN44)))))*24"),200.000000000407)</f>
        <v>200.000000000407</v>
      </c>
      <c r="BP44" s="17"/>
      <c r="BQ44" s="17"/>
      <c r="BR44" s="17"/>
      <c r="BS44" s="17"/>
      <c r="BT44" s="17"/>
      <c r="BU44" s="17"/>
      <c r="BV44" s="17"/>
      <c r="BW44" s="17"/>
      <c r="BX44" s="17"/>
    </row>
    <row r="45" customHeight="1" spans="1:76">
      <c r="A45" s="7">
        <v>10320435</v>
      </c>
      <c r="B45" s="7" t="s">
        <v>71</v>
      </c>
      <c r="C45" s="7" t="str">
        <f t="array" ref="C45">_xlfn.XLOOKUP($A45,'WK 48'!A:A,'WK 48'!C:C,"")</f>
        <v>CSR</v>
      </c>
      <c r="D45" s="7" t="str">
        <f t="array" ref="D45">_xlfn.XLOOKUP($A45,'WK 48'!$A:$A,'WK 48'!D:D,"")</f>
        <v>Production</v>
      </c>
      <c r="E45" s="8" t="str">
        <f t="array" ref="E45">_xlfn.XLOOKUP($A45,'WK 48'!$A:$A,'WK 48'!E:E,"")</f>
        <v>FT</v>
      </c>
      <c r="F45" s="9">
        <f t="array" ref="F45">_xlfn.XLOOKUP($A45,'WK 48'!$A:$A,'WK 48'!F:F,"")</f>
        <v>3</v>
      </c>
      <c r="G45" s="8">
        <v>0.5</v>
      </c>
      <c r="H45" s="8">
        <v>0.875</v>
      </c>
      <c r="I45" s="8">
        <v>0.5</v>
      </c>
      <c r="J45" s="8">
        <v>0.875</v>
      </c>
      <c r="K45" s="8">
        <v>0.5</v>
      </c>
      <c r="L45" s="8">
        <v>0.875</v>
      </c>
      <c r="M45" s="8">
        <v>0.5</v>
      </c>
      <c r="N45" s="8">
        <v>0.875</v>
      </c>
      <c r="O45" s="8">
        <v>0.5</v>
      </c>
      <c r="P45" s="8">
        <v>0.875</v>
      </c>
      <c r="Q45" s="7" t="s">
        <v>23</v>
      </c>
      <c r="R45" s="7" t="s">
        <v>23</v>
      </c>
      <c r="S45" s="7" t="s">
        <v>23</v>
      </c>
      <c r="T45" s="7" t="s">
        <v>23</v>
      </c>
      <c r="U45" s="20">
        <v>0.375</v>
      </c>
      <c r="V45" s="20">
        <v>0.75</v>
      </c>
      <c r="W45" s="20">
        <v>0.375</v>
      </c>
      <c r="X45" s="20">
        <v>0.75</v>
      </c>
      <c r="Y45" s="20">
        <v>0.375</v>
      </c>
      <c r="Z45" s="20">
        <v>0.75</v>
      </c>
      <c r="AA45" s="20">
        <v>0.375</v>
      </c>
      <c r="AB45" s="20">
        <v>0.75</v>
      </c>
      <c r="AC45" s="20">
        <v>0.375</v>
      </c>
      <c r="AD45" s="20">
        <v>0.75</v>
      </c>
      <c r="AE45" s="17" t="s">
        <v>23</v>
      </c>
      <c r="AF45" s="17" t="s">
        <v>23</v>
      </c>
      <c r="AG45" s="17" t="s">
        <v>23</v>
      </c>
      <c r="AH45" s="17" t="s">
        <v>23</v>
      </c>
      <c r="AI45" s="20">
        <v>0.375</v>
      </c>
      <c r="AJ45" s="20">
        <v>0.75</v>
      </c>
      <c r="AK45" s="20">
        <v>0.375</v>
      </c>
      <c r="AL45" s="20">
        <v>0.75</v>
      </c>
      <c r="AM45" s="20">
        <v>0.375</v>
      </c>
      <c r="AN45" s="20">
        <v>0.75</v>
      </c>
      <c r="AO45" s="20">
        <v>0.375</v>
      </c>
      <c r="AP45" s="20">
        <v>0.75</v>
      </c>
      <c r="AQ45" s="20">
        <v>0.375</v>
      </c>
      <c r="AR45" s="20">
        <v>0.75</v>
      </c>
      <c r="AS45" s="17" t="s">
        <v>23</v>
      </c>
      <c r="AT45" s="17" t="s">
        <v>23</v>
      </c>
      <c r="AU45" s="17" t="s">
        <v>23</v>
      </c>
      <c r="AV45" s="17" t="s">
        <v>23</v>
      </c>
      <c r="AW45" s="20">
        <v>0.5</v>
      </c>
      <c r="AX45" s="20">
        <v>0.875</v>
      </c>
      <c r="AY45" s="20">
        <v>0.5</v>
      </c>
      <c r="AZ45" s="20">
        <v>0.875</v>
      </c>
      <c r="BA45" s="20">
        <v>0.5</v>
      </c>
      <c r="BB45" s="20">
        <v>0.875</v>
      </c>
      <c r="BC45" s="20">
        <v>0.5</v>
      </c>
      <c r="BD45" s="20">
        <v>0.875</v>
      </c>
      <c r="BE45" s="20">
        <v>0.5</v>
      </c>
      <c r="BF45" s="20">
        <v>0.875</v>
      </c>
      <c r="BG45" s="17" t="s">
        <v>23</v>
      </c>
      <c r="BH45" s="17" t="s">
        <v>23</v>
      </c>
      <c r="BI45" s="17" t="s">
        <v>23</v>
      </c>
      <c r="BJ45" s="17" t="s">
        <v>23</v>
      </c>
      <c r="BK45" s="20">
        <v>0.5</v>
      </c>
      <c r="BL45" s="20">
        <v>0.875</v>
      </c>
      <c r="BM45" s="20">
        <v>0.5</v>
      </c>
      <c r="BN45" s="20">
        <v>0.875</v>
      </c>
      <c r="BO45" s="21">
        <f>IFERROR(__xludf.DUMMYFUNCTION("TO_PURE_NUMBER(SUM(FILTER(G45:BN45, ISEVEN(COLUMN(G45:BN45))))-SUM(FILTER(G45:BN45, ISODD(COLUMN(G45:BN45)))))*24"),198)</f>
        <v>198</v>
      </c>
      <c r="BP45" s="17"/>
      <c r="BQ45" s="17"/>
      <c r="BR45" s="17"/>
      <c r="BS45" s="17"/>
      <c r="BT45" s="17"/>
      <c r="BU45" s="17"/>
      <c r="BV45" s="17"/>
      <c r="BW45" s="17"/>
      <c r="BX45" s="17"/>
    </row>
    <row r="46" customHeight="1" spans="1:76">
      <c r="A46" s="7">
        <v>10316683</v>
      </c>
      <c r="B46" s="7" t="s">
        <v>51</v>
      </c>
      <c r="C46" s="7" t="str">
        <f t="array" ref="C46">_xlfn.XLOOKUP($A46,'WK 48'!A:A,'WK 48'!C:C,"")</f>
        <v>CSR</v>
      </c>
      <c r="D46" s="7" t="str">
        <f t="array" ref="D46">_xlfn.XLOOKUP($A46,'WK 48'!$A:$A,'WK 48'!D:D,"")</f>
        <v>Production</v>
      </c>
      <c r="E46" s="8" t="str">
        <f t="array" ref="E46">_xlfn.XLOOKUP($A46,'WK 48'!$A:$A,'WK 48'!E:E,"")</f>
        <v>FT</v>
      </c>
      <c r="F46" s="9">
        <f t="array" ref="F46">_xlfn.XLOOKUP($A46,'WK 48'!$A:$A,'WK 48'!F:F,"")</f>
        <v>1</v>
      </c>
      <c r="G46" s="8">
        <v>0.5</v>
      </c>
      <c r="H46" s="8">
        <v>0.875</v>
      </c>
      <c r="I46" s="8">
        <v>0.5</v>
      </c>
      <c r="J46" s="8">
        <v>0.875</v>
      </c>
      <c r="K46" s="8">
        <v>0.5</v>
      </c>
      <c r="L46" s="8">
        <v>0.875</v>
      </c>
      <c r="M46" s="8">
        <v>0.5</v>
      </c>
      <c r="N46" s="8">
        <v>0.875</v>
      </c>
      <c r="O46" s="8">
        <v>0.5</v>
      </c>
      <c r="P46" s="8">
        <v>0.875</v>
      </c>
      <c r="Q46" s="7" t="s">
        <v>23</v>
      </c>
      <c r="R46" s="7" t="s">
        <v>23</v>
      </c>
      <c r="S46" s="7" t="s">
        <v>23</v>
      </c>
      <c r="T46" s="7" t="s">
        <v>23</v>
      </c>
      <c r="U46" s="20">
        <v>0.375</v>
      </c>
      <c r="V46" s="20">
        <v>0.75</v>
      </c>
      <c r="W46" s="20">
        <v>0.375</v>
      </c>
      <c r="X46" s="20">
        <v>0.75</v>
      </c>
      <c r="Y46" s="20">
        <v>0.375</v>
      </c>
      <c r="Z46" s="20">
        <v>0.75</v>
      </c>
      <c r="AA46" s="20">
        <v>0.375</v>
      </c>
      <c r="AB46" s="20">
        <v>0.75</v>
      </c>
      <c r="AC46" s="20">
        <v>0.375</v>
      </c>
      <c r="AD46" s="20">
        <v>0.75</v>
      </c>
      <c r="AE46" s="17" t="s">
        <v>23</v>
      </c>
      <c r="AF46" s="17" t="s">
        <v>23</v>
      </c>
      <c r="AG46" s="17" t="s">
        <v>23</v>
      </c>
      <c r="AH46" s="17" t="s">
        <v>23</v>
      </c>
      <c r="AI46" s="20">
        <v>0.5</v>
      </c>
      <c r="AJ46" s="20">
        <v>0.875</v>
      </c>
      <c r="AK46" s="20">
        <v>0.5</v>
      </c>
      <c r="AL46" s="20">
        <v>0.875</v>
      </c>
      <c r="AM46" s="20">
        <v>0.5</v>
      </c>
      <c r="AN46" s="20">
        <v>0.875</v>
      </c>
      <c r="AO46" s="20">
        <v>0.5</v>
      </c>
      <c r="AP46" s="20">
        <v>0.875</v>
      </c>
      <c r="AQ46" s="20">
        <v>0.5</v>
      </c>
      <c r="AR46" s="20">
        <v>0.875</v>
      </c>
      <c r="AS46" s="17" t="s">
        <v>23</v>
      </c>
      <c r="AT46" s="17" t="s">
        <v>23</v>
      </c>
      <c r="AU46" s="17" t="s">
        <v>23</v>
      </c>
      <c r="AV46" s="17" t="s">
        <v>23</v>
      </c>
      <c r="AW46" s="20">
        <v>0.375</v>
      </c>
      <c r="AX46" s="20">
        <v>0.75</v>
      </c>
      <c r="AY46" s="20">
        <v>0.375</v>
      </c>
      <c r="AZ46" s="20">
        <v>0.75</v>
      </c>
      <c r="BA46" s="20">
        <v>0.375</v>
      </c>
      <c r="BB46" s="20">
        <v>0.75</v>
      </c>
      <c r="BC46" s="20">
        <v>0.375</v>
      </c>
      <c r="BD46" s="20">
        <v>0.75</v>
      </c>
      <c r="BE46" s="20">
        <v>0.375</v>
      </c>
      <c r="BF46" s="20">
        <v>0.75</v>
      </c>
      <c r="BG46" s="17" t="s">
        <v>23</v>
      </c>
      <c r="BH46" s="17" t="s">
        <v>23</v>
      </c>
      <c r="BI46" s="17" t="s">
        <v>23</v>
      </c>
      <c r="BJ46" s="17" t="s">
        <v>23</v>
      </c>
      <c r="BK46" s="20">
        <v>0.5</v>
      </c>
      <c r="BL46" s="20">
        <v>0.875</v>
      </c>
      <c r="BM46" s="20">
        <v>0.5</v>
      </c>
      <c r="BN46" s="20">
        <v>0.875</v>
      </c>
      <c r="BO46" s="21">
        <f>IFERROR(__xludf.DUMMYFUNCTION("TO_PURE_NUMBER(SUM(FILTER(G46:BN46, ISEVEN(COLUMN(G46:BN46))))-SUM(FILTER(G46:BN46, ISODD(COLUMN(G46:BN46)))))*24"),198)</f>
        <v>198</v>
      </c>
      <c r="BP46" s="17"/>
      <c r="BQ46" s="17"/>
      <c r="BR46" s="17"/>
      <c r="BS46" s="17"/>
      <c r="BT46" s="17"/>
      <c r="BU46" s="17"/>
      <c r="BV46" s="17"/>
      <c r="BW46" s="17"/>
      <c r="BX46" s="17"/>
    </row>
    <row r="47" customHeight="1" spans="1:76">
      <c r="A47" s="7">
        <v>10316540</v>
      </c>
      <c r="B47" s="7" t="s">
        <v>30</v>
      </c>
      <c r="C47" s="7" t="str">
        <f t="array" ref="C47">_xlfn.XLOOKUP($A47,'WK 48'!A:A,'WK 48'!C:C,"")</f>
        <v>CSR</v>
      </c>
      <c r="D47" s="7" t="str">
        <f t="array" ref="D47">_xlfn.XLOOKUP($A47,'WK 48'!$A:$A,'WK 48'!D:D,"")</f>
        <v>B2B</v>
      </c>
      <c r="E47" s="8" t="str">
        <f t="array" ref="E47">_xlfn.XLOOKUP($A47,'WK 48'!$A:$A,'WK 48'!E:E,"")</f>
        <v>FT</v>
      </c>
      <c r="F47" s="9">
        <f t="array" ref="F47">_xlfn.XLOOKUP($A47,'WK 48'!$A:$A,'WK 48'!F:F,"")</f>
        <v>1</v>
      </c>
      <c r="G47" s="8">
        <v>0.5</v>
      </c>
      <c r="H47" s="8">
        <v>0.875</v>
      </c>
      <c r="I47" s="8">
        <v>0.5</v>
      </c>
      <c r="J47" s="8">
        <v>0.875</v>
      </c>
      <c r="K47" s="8">
        <v>0.5</v>
      </c>
      <c r="L47" s="8">
        <v>0.875</v>
      </c>
      <c r="M47" s="8">
        <v>0.5</v>
      </c>
      <c r="N47" s="8">
        <v>0.875</v>
      </c>
      <c r="O47" s="8">
        <v>0.5</v>
      </c>
      <c r="P47" s="8">
        <v>0.875</v>
      </c>
      <c r="Q47" s="7" t="s">
        <v>23</v>
      </c>
      <c r="R47" s="7" t="s">
        <v>23</v>
      </c>
      <c r="S47" s="7" t="s">
        <v>23</v>
      </c>
      <c r="T47" s="7" t="s">
        <v>23</v>
      </c>
      <c r="U47" s="20">
        <v>0.375</v>
      </c>
      <c r="V47" s="20">
        <v>0.75</v>
      </c>
      <c r="W47" s="20">
        <v>0.375</v>
      </c>
      <c r="X47" s="20">
        <v>0.75</v>
      </c>
      <c r="Y47" s="20">
        <v>0.375</v>
      </c>
      <c r="Z47" s="20">
        <v>0.75</v>
      </c>
      <c r="AA47" s="20">
        <v>0.375</v>
      </c>
      <c r="AB47" s="20">
        <v>0.75</v>
      </c>
      <c r="AC47" s="20">
        <v>0.375</v>
      </c>
      <c r="AD47" s="20">
        <v>0.75</v>
      </c>
      <c r="AE47" s="17" t="s">
        <v>23</v>
      </c>
      <c r="AF47" s="17" t="s">
        <v>23</v>
      </c>
      <c r="AG47" s="17" t="s">
        <v>23</v>
      </c>
      <c r="AH47" s="17" t="s">
        <v>23</v>
      </c>
      <c r="AI47" s="20">
        <v>0.5</v>
      </c>
      <c r="AJ47" s="20">
        <v>0.875</v>
      </c>
      <c r="AK47" s="20">
        <v>0.5</v>
      </c>
      <c r="AL47" s="20">
        <v>0.875</v>
      </c>
      <c r="AM47" s="20">
        <v>0.5</v>
      </c>
      <c r="AN47" s="20">
        <v>0.875</v>
      </c>
      <c r="AO47" s="20">
        <v>0.5</v>
      </c>
      <c r="AP47" s="20">
        <v>0.875</v>
      </c>
      <c r="AQ47" s="20">
        <v>0.5</v>
      </c>
      <c r="AR47" s="20">
        <v>0.875</v>
      </c>
      <c r="AS47" s="17" t="s">
        <v>23</v>
      </c>
      <c r="AT47" s="17" t="s">
        <v>23</v>
      </c>
      <c r="AU47" s="17" t="s">
        <v>23</v>
      </c>
      <c r="AV47" s="17" t="s">
        <v>23</v>
      </c>
      <c r="AW47" s="20">
        <v>0.375</v>
      </c>
      <c r="AX47" s="20">
        <v>0.75</v>
      </c>
      <c r="AY47" s="20">
        <v>0.375</v>
      </c>
      <c r="AZ47" s="20">
        <v>0.75</v>
      </c>
      <c r="BA47" s="20">
        <v>0.375</v>
      </c>
      <c r="BB47" s="20">
        <v>0.75</v>
      </c>
      <c r="BC47" s="20">
        <v>0.375</v>
      </c>
      <c r="BD47" s="20">
        <v>0.75</v>
      </c>
      <c r="BE47" s="20">
        <v>0.375</v>
      </c>
      <c r="BF47" s="20">
        <v>0.75</v>
      </c>
      <c r="BG47" s="17" t="s">
        <v>23</v>
      </c>
      <c r="BH47" s="17" t="s">
        <v>23</v>
      </c>
      <c r="BI47" s="17" t="s">
        <v>23</v>
      </c>
      <c r="BJ47" s="17" t="s">
        <v>23</v>
      </c>
      <c r="BK47" s="20">
        <v>0.5</v>
      </c>
      <c r="BL47" s="20">
        <v>0.875</v>
      </c>
      <c r="BM47" s="20">
        <v>0.5</v>
      </c>
      <c r="BN47" s="20">
        <v>0.875</v>
      </c>
      <c r="BO47" s="21">
        <f>IFERROR(__xludf.DUMMYFUNCTION("TO_PURE_NUMBER(SUM(FILTER(G47:BN47, ISEVEN(COLUMN(G47:BN47))))-SUM(FILTER(G47:BN47, ISODD(COLUMN(G47:BN47)))))*24"),198)</f>
        <v>198</v>
      </c>
      <c r="BP47" s="17"/>
      <c r="BQ47" s="17"/>
      <c r="BR47" s="17"/>
      <c r="BS47" s="17"/>
      <c r="BT47" s="17"/>
      <c r="BU47" s="17"/>
      <c r="BV47" s="17"/>
      <c r="BW47" s="17"/>
      <c r="BX47" s="17"/>
    </row>
    <row r="48" customHeight="1" spans="1:76">
      <c r="A48" s="7">
        <v>10293627</v>
      </c>
      <c r="B48" s="7" t="s">
        <v>92</v>
      </c>
      <c r="C48" s="7" t="str">
        <f t="array" ref="C48">_xlfn.XLOOKUP($A48,'WK 48'!A:A,'WK 48'!C:C,"")</f>
        <v>CSR</v>
      </c>
      <c r="D48" s="7" t="str">
        <f t="array" ref="D48">_xlfn.XLOOKUP($A48,'WK 48'!$A:$A,'WK 48'!D:D,"")</f>
        <v>Production</v>
      </c>
      <c r="E48" s="8" t="str">
        <f t="array" ref="E48">_xlfn.XLOOKUP($A48,'WK 48'!$A:$A,'WK 48'!E:E,"")</f>
        <v>FT</v>
      </c>
      <c r="F48" s="9">
        <f t="array" ref="F48">_xlfn.XLOOKUP($A48,'WK 48'!$A:$A,'WK 48'!F:F,"")</f>
        <v>3</v>
      </c>
      <c r="G48" s="8">
        <v>0.458333333332121</v>
      </c>
      <c r="H48" s="8">
        <v>0.875</v>
      </c>
      <c r="I48" s="8">
        <v>0.458333333332121</v>
      </c>
      <c r="J48" s="8">
        <v>0.875</v>
      </c>
      <c r="K48" s="8">
        <v>0.458333333332121</v>
      </c>
      <c r="L48" s="8">
        <v>0.875</v>
      </c>
      <c r="M48" s="8">
        <v>0.458333333332121</v>
      </c>
      <c r="N48" s="8">
        <v>0.875</v>
      </c>
      <c r="O48" s="7" t="s">
        <v>23</v>
      </c>
      <c r="P48" s="7" t="s">
        <v>23</v>
      </c>
      <c r="Q48" s="7" t="s">
        <v>23</v>
      </c>
      <c r="R48" s="7" t="s">
        <v>23</v>
      </c>
      <c r="S48" s="8">
        <v>0.458333333332121</v>
      </c>
      <c r="T48" s="8">
        <v>0.666666666667879</v>
      </c>
      <c r="U48" s="20">
        <v>0.375</v>
      </c>
      <c r="V48" s="20">
        <v>0.75</v>
      </c>
      <c r="W48" s="20">
        <v>0.375</v>
      </c>
      <c r="X48" s="20">
        <v>0.75</v>
      </c>
      <c r="Y48" s="20">
        <v>0.375</v>
      </c>
      <c r="Z48" s="20">
        <v>0.75</v>
      </c>
      <c r="AA48" s="20">
        <v>0.375</v>
      </c>
      <c r="AB48" s="20">
        <v>0.75</v>
      </c>
      <c r="AC48" s="20">
        <v>0.375</v>
      </c>
      <c r="AD48" s="20">
        <v>0.75</v>
      </c>
      <c r="AE48" s="17" t="s">
        <v>23</v>
      </c>
      <c r="AF48" s="17" t="s">
        <v>23</v>
      </c>
      <c r="AG48" s="17" t="s">
        <v>23</v>
      </c>
      <c r="AH48" s="17" t="s">
        <v>23</v>
      </c>
      <c r="AI48" s="20">
        <v>0.5</v>
      </c>
      <c r="AJ48" s="20">
        <v>0.875</v>
      </c>
      <c r="AK48" s="20">
        <v>0.5</v>
      </c>
      <c r="AL48" s="20">
        <v>0.875</v>
      </c>
      <c r="AM48" s="20">
        <v>0.5</v>
      </c>
      <c r="AN48" s="20">
        <v>0.875</v>
      </c>
      <c r="AO48" s="20">
        <v>0.5</v>
      </c>
      <c r="AP48" s="20">
        <v>0.875</v>
      </c>
      <c r="AQ48" s="20">
        <v>0.5</v>
      </c>
      <c r="AR48" s="20">
        <v>0.875</v>
      </c>
      <c r="AS48" s="17" t="s">
        <v>23</v>
      </c>
      <c r="AT48" s="17" t="s">
        <v>23</v>
      </c>
      <c r="AU48" s="17" t="s">
        <v>23</v>
      </c>
      <c r="AV48" s="17" t="s">
        <v>23</v>
      </c>
      <c r="AW48" s="20">
        <v>0.375</v>
      </c>
      <c r="AX48" s="20">
        <v>0.791666666667879</v>
      </c>
      <c r="AY48" s="20">
        <v>0.375</v>
      </c>
      <c r="AZ48" s="20">
        <v>0.791666666667879</v>
      </c>
      <c r="BA48" s="20">
        <v>0.375</v>
      </c>
      <c r="BB48" s="20">
        <v>0.791666666667879</v>
      </c>
      <c r="BC48" s="20">
        <v>0.375</v>
      </c>
      <c r="BD48" s="20">
        <v>0.791666666667879</v>
      </c>
      <c r="BE48" s="17" t="s">
        <v>23</v>
      </c>
      <c r="BF48" s="17" t="s">
        <v>23</v>
      </c>
      <c r="BG48" s="17" t="s">
        <v>23</v>
      </c>
      <c r="BH48" s="17" t="s">
        <v>23</v>
      </c>
      <c r="BI48" s="20">
        <v>0.458333333332121</v>
      </c>
      <c r="BJ48" s="20">
        <v>0.666666666667879</v>
      </c>
      <c r="BK48" s="20">
        <v>0.458333333332121</v>
      </c>
      <c r="BL48" s="20">
        <v>0.875</v>
      </c>
      <c r="BM48" s="20">
        <v>0.458333333332121</v>
      </c>
      <c r="BN48" s="20">
        <v>0.875</v>
      </c>
      <c r="BO48" s="21">
        <f>IFERROR(__xludf.DUMMYFUNCTION("TO_PURE_NUMBER(SUM(FILTER(G48:BN48, ISEVEN(COLUMN(G48:BN48))))-SUM(FILTER(G48:BN48, ISODD(COLUMN(G48:BN48)))))*24"),200.000000000407)</f>
        <v>200.000000000407</v>
      </c>
      <c r="BP48" s="17"/>
      <c r="BQ48" s="17"/>
      <c r="BR48" s="17"/>
      <c r="BS48" s="17"/>
      <c r="BT48" s="17"/>
      <c r="BU48" s="17"/>
      <c r="BV48" s="17"/>
      <c r="BW48" s="17"/>
      <c r="BX48" s="17"/>
    </row>
    <row r="49" customHeight="1" spans="1:76">
      <c r="A49" s="7">
        <v>10320409</v>
      </c>
      <c r="B49" s="7" t="s">
        <v>57</v>
      </c>
      <c r="C49" s="7" t="str">
        <f t="array" ref="C49">_xlfn.XLOOKUP($A49,'WK 48'!A:A,'WK 48'!C:C,"")</f>
        <v>CSR</v>
      </c>
      <c r="D49" s="7" t="str">
        <f t="array" ref="D49">_xlfn.XLOOKUP($A49,'WK 48'!$A:$A,'WK 48'!D:D,"")</f>
        <v>Production</v>
      </c>
      <c r="E49" s="8" t="str">
        <f t="array" ref="E49">_xlfn.XLOOKUP($A49,'WK 48'!$A:$A,'WK 48'!E:E,"")</f>
        <v>FT</v>
      </c>
      <c r="F49" s="9">
        <f t="array" ref="F49">_xlfn.XLOOKUP($A49,'WK 48'!$A:$A,'WK 48'!F:F,"")</f>
        <v>3</v>
      </c>
      <c r="G49" s="8">
        <v>0.5</v>
      </c>
      <c r="H49" s="8">
        <v>0.875</v>
      </c>
      <c r="I49" s="8">
        <v>0.5</v>
      </c>
      <c r="J49" s="8">
        <v>0.875</v>
      </c>
      <c r="K49" s="8">
        <v>0.5</v>
      </c>
      <c r="L49" s="8">
        <v>0.875</v>
      </c>
      <c r="M49" s="7" t="s">
        <v>23</v>
      </c>
      <c r="N49" s="7" t="s">
        <v>23</v>
      </c>
      <c r="O49" s="7" t="s">
        <v>23</v>
      </c>
      <c r="P49" s="7" t="s">
        <v>23</v>
      </c>
      <c r="Q49" s="8">
        <v>0.458333333332121</v>
      </c>
      <c r="R49" s="8">
        <v>0.666666666667879</v>
      </c>
      <c r="S49" s="8">
        <v>0.458333333332121</v>
      </c>
      <c r="T49" s="8">
        <v>0.666666666667879</v>
      </c>
      <c r="U49" s="20">
        <v>0.375</v>
      </c>
      <c r="V49" s="20">
        <v>0.75</v>
      </c>
      <c r="W49" s="20">
        <v>0.375</v>
      </c>
      <c r="X49" s="20">
        <v>0.75</v>
      </c>
      <c r="Y49" s="20">
        <v>0.375</v>
      </c>
      <c r="Z49" s="20">
        <v>0.75</v>
      </c>
      <c r="AA49" s="17" t="s">
        <v>23</v>
      </c>
      <c r="AB49" s="17" t="s">
        <v>23</v>
      </c>
      <c r="AC49" s="17" t="s">
        <v>23</v>
      </c>
      <c r="AD49" s="17" t="s">
        <v>23</v>
      </c>
      <c r="AE49" s="20">
        <v>0.458333333332121</v>
      </c>
      <c r="AF49" s="20">
        <v>0.666666666667879</v>
      </c>
      <c r="AG49" s="20">
        <v>0.458333333332121</v>
      </c>
      <c r="AH49" s="20">
        <v>0.666666666667879</v>
      </c>
      <c r="AI49" s="20">
        <v>0.5</v>
      </c>
      <c r="AJ49" s="20">
        <v>0.875</v>
      </c>
      <c r="AK49" s="20">
        <v>0.5</v>
      </c>
      <c r="AL49" s="20">
        <v>0.875</v>
      </c>
      <c r="AM49" s="20">
        <v>0.5</v>
      </c>
      <c r="AN49" s="20">
        <v>0.875</v>
      </c>
      <c r="AO49" s="17" t="s">
        <v>23</v>
      </c>
      <c r="AP49" s="17" t="s">
        <v>23</v>
      </c>
      <c r="AQ49" s="17" t="s">
        <v>23</v>
      </c>
      <c r="AR49" s="17" t="s">
        <v>23</v>
      </c>
      <c r="AS49" s="20">
        <v>0.458333333332121</v>
      </c>
      <c r="AT49" s="20">
        <v>0.666666666667879</v>
      </c>
      <c r="AU49" s="20">
        <v>0.458333333332121</v>
      </c>
      <c r="AV49" s="20">
        <v>0.666666666667879</v>
      </c>
      <c r="AW49" s="20">
        <v>0.375</v>
      </c>
      <c r="AX49" s="20">
        <v>0.75</v>
      </c>
      <c r="AY49" s="20">
        <v>0.375</v>
      </c>
      <c r="AZ49" s="20">
        <v>0.75</v>
      </c>
      <c r="BA49" s="17" t="s">
        <v>23</v>
      </c>
      <c r="BB49" s="17" t="s">
        <v>23</v>
      </c>
      <c r="BC49" s="17" t="s">
        <v>23</v>
      </c>
      <c r="BD49" s="17" t="s">
        <v>23</v>
      </c>
      <c r="BE49" s="20">
        <v>0.375</v>
      </c>
      <c r="BF49" s="20">
        <v>0.75</v>
      </c>
      <c r="BG49" s="20">
        <v>0.458333333332121</v>
      </c>
      <c r="BH49" s="20">
        <v>0.666666666667879</v>
      </c>
      <c r="BI49" s="20">
        <v>0.458333333332121</v>
      </c>
      <c r="BJ49" s="20">
        <v>0.666666666667879</v>
      </c>
      <c r="BK49" s="20">
        <v>0.5</v>
      </c>
      <c r="BL49" s="20">
        <v>0.875</v>
      </c>
      <c r="BM49" s="17" t="s">
        <v>23</v>
      </c>
      <c r="BN49" s="17" t="s">
        <v>23</v>
      </c>
      <c r="BO49" s="21">
        <f>IFERROR(__xludf.DUMMYFUNCTION("TO_PURE_NUMBER(SUM(FILTER(G49:BN49, ISEVEN(COLUMN(G49:BN49))))-SUM(FILTER(G49:BN49, ISODD(COLUMN(G49:BN49)))))*24"),157.000000000465)</f>
        <v>157.000000000465</v>
      </c>
      <c r="BP49" s="17"/>
      <c r="BQ49" s="17"/>
      <c r="BR49" s="17"/>
      <c r="BS49" s="17"/>
      <c r="BT49" s="17"/>
      <c r="BU49" s="17"/>
      <c r="BV49" s="17"/>
      <c r="BW49" s="17"/>
      <c r="BX49" s="17"/>
    </row>
    <row r="50" customHeight="1" spans="1:76">
      <c r="A50" s="7">
        <v>10317151</v>
      </c>
      <c r="B50" s="7" t="s">
        <v>52</v>
      </c>
      <c r="C50" s="7" t="str">
        <f t="array" ref="C50">_xlfn.XLOOKUP($A50,'WK 48'!A:A,'WK 48'!C:C,"")</f>
        <v>CSR</v>
      </c>
      <c r="D50" s="7" t="str">
        <f t="array" ref="D50">_xlfn.XLOOKUP($A50,'WK 48'!$A:$A,'WK 48'!D:D,"")</f>
        <v>B2B</v>
      </c>
      <c r="E50" s="8" t="str">
        <f t="array" ref="E50">_xlfn.XLOOKUP($A50,'WK 48'!$A:$A,'WK 48'!E:E,"")</f>
        <v>FT</v>
      </c>
      <c r="F50" s="9">
        <f t="array" ref="F50">_xlfn.XLOOKUP($A50,'WK 48'!$A:$A,'WK 48'!F:F,"")</f>
        <v>1</v>
      </c>
      <c r="G50" s="8">
        <v>0.375</v>
      </c>
      <c r="H50" s="8">
        <v>0.75</v>
      </c>
      <c r="I50" s="8">
        <v>0.375</v>
      </c>
      <c r="J50" s="8">
        <v>0.75</v>
      </c>
      <c r="K50" s="8">
        <v>0.375</v>
      </c>
      <c r="L50" s="8">
        <v>0.75</v>
      </c>
      <c r="M50" s="8">
        <v>0.375</v>
      </c>
      <c r="N50" s="8">
        <v>0.75</v>
      </c>
      <c r="O50" s="8">
        <v>0.375</v>
      </c>
      <c r="P50" s="8">
        <v>0.75</v>
      </c>
      <c r="Q50" s="7" t="s">
        <v>23</v>
      </c>
      <c r="R50" s="7" t="s">
        <v>23</v>
      </c>
      <c r="S50" s="7" t="s">
        <v>23</v>
      </c>
      <c r="T50" s="7" t="s">
        <v>23</v>
      </c>
      <c r="U50" s="20">
        <v>0.5</v>
      </c>
      <c r="V50" s="20">
        <v>0.875</v>
      </c>
      <c r="W50" s="20">
        <v>0.5</v>
      </c>
      <c r="X50" s="20">
        <v>0.875</v>
      </c>
      <c r="Y50" s="20">
        <v>0.5</v>
      </c>
      <c r="Z50" s="20">
        <v>0.875</v>
      </c>
      <c r="AA50" s="20">
        <v>0.5</v>
      </c>
      <c r="AB50" s="20">
        <v>0.875</v>
      </c>
      <c r="AC50" s="20">
        <v>0.5</v>
      </c>
      <c r="AD50" s="20">
        <v>0.875</v>
      </c>
      <c r="AE50" s="17" t="s">
        <v>23</v>
      </c>
      <c r="AF50" s="17" t="s">
        <v>23</v>
      </c>
      <c r="AG50" s="17" t="s">
        <v>23</v>
      </c>
      <c r="AH50" s="17" t="s">
        <v>23</v>
      </c>
      <c r="AI50" s="20">
        <v>0.375</v>
      </c>
      <c r="AJ50" s="20">
        <v>0.75</v>
      </c>
      <c r="AK50" s="20">
        <v>0.375</v>
      </c>
      <c r="AL50" s="20">
        <v>0.75</v>
      </c>
      <c r="AM50" s="20">
        <v>0.375</v>
      </c>
      <c r="AN50" s="20">
        <v>0.75</v>
      </c>
      <c r="AO50" s="20">
        <v>0.375</v>
      </c>
      <c r="AP50" s="20">
        <v>0.75</v>
      </c>
      <c r="AQ50" s="20">
        <v>0.375</v>
      </c>
      <c r="AR50" s="20">
        <v>0.75</v>
      </c>
      <c r="AS50" s="17" t="s">
        <v>23</v>
      </c>
      <c r="AT50" s="17" t="s">
        <v>23</v>
      </c>
      <c r="AU50" s="17" t="s">
        <v>23</v>
      </c>
      <c r="AV50" s="17" t="s">
        <v>23</v>
      </c>
      <c r="AW50" s="20">
        <v>0.5</v>
      </c>
      <c r="AX50" s="20">
        <v>0.875</v>
      </c>
      <c r="AY50" s="20">
        <v>0.5</v>
      </c>
      <c r="AZ50" s="20">
        <v>0.875</v>
      </c>
      <c r="BA50" s="20">
        <v>0.5</v>
      </c>
      <c r="BB50" s="20">
        <v>0.875</v>
      </c>
      <c r="BC50" s="20">
        <v>0.5</v>
      </c>
      <c r="BD50" s="20">
        <v>0.875</v>
      </c>
      <c r="BE50" s="20">
        <v>0.5</v>
      </c>
      <c r="BF50" s="20">
        <v>0.875</v>
      </c>
      <c r="BG50" s="17" t="s">
        <v>23</v>
      </c>
      <c r="BH50" s="17" t="s">
        <v>23</v>
      </c>
      <c r="BI50" s="17" t="s">
        <v>23</v>
      </c>
      <c r="BJ50" s="17" t="s">
        <v>23</v>
      </c>
      <c r="BK50" s="20">
        <v>0.375</v>
      </c>
      <c r="BL50" s="20">
        <v>0.75</v>
      </c>
      <c r="BM50" s="20">
        <v>0.375</v>
      </c>
      <c r="BN50" s="20">
        <v>0.75</v>
      </c>
      <c r="BO50" s="21">
        <f>IFERROR(__xludf.DUMMYFUNCTION("TO_PURE_NUMBER(SUM(FILTER(G50:BN50, ISEVEN(COLUMN(G50:BN50))))-SUM(FILTER(G50:BN50, ISODD(COLUMN(G50:BN50)))))*24"),198)</f>
        <v>198</v>
      </c>
      <c r="BP50" s="17"/>
      <c r="BQ50" s="17"/>
      <c r="BR50" s="17"/>
      <c r="BS50" s="17"/>
      <c r="BT50" s="17"/>
      <c r="BU50" s="17"/>
      <c r="BV50" s="17"/>
      <c r="BW50" s="17"/>
      <c r="BX50" s="17"/>
    </row>
    <row r="51" customHeight="1" spans="1:76">
      <c r="A51" s="7">
        <v>10317524</v>
      </c>
      <c r="B51" s="7" t="s">
        <v>53</v>
      </c>
      <c r="C51" s="7" t="str">
        <f t="array" ref="C51">_xlfn.XLOOKUP($A51,'WK 48'!A:A,'WK 48'!C:C,"")</f>
        <v>CSR</v>
      </c>
      <c r="D51" s="7" t="str">
        <f t="array" ref="D51">_xlfn.XLOOKUP($A51,'WK 48'!$A:$A,'WK 48'!D:D,"")</f>
        <v>Production</v>
      </c>
      <c r="E51" s="8" t="str">
        <f t="array" ref="E51">_xlfn.XLOOKUP($A51,'WK 48'!$A:$A,'WK 48'!E:E,"")</f>
        <v>FT</v>
      </c>
      <c r="F51" s="9">
        <f t="array" ref="F51">_xlfn.XLOOKUP($A51,'WK 48'!$A:$A,'WK 48'!F:F,"")</f>
        <v>2</v>
      </c>
      <c r="G51" s="7" t="s">
        <v>23</v>
      </c>
      <c r="H51" s="7" t="s">
        <v>23</v>
      </c>
      <c r="I51" s="8">
        <v>0.375</v>
      </c>
      <c r="J51" s="8">
        <v>0.791666666667879</v>
      </c>
      <c r="K51" s="8">
        <v>0.375</v>
      </c>
      <c r="L51" s="8">
        <v>0.791666666667879</v>
      </c>
      <c r="M51" s="8">
        <v>0.375</v>
      </c>
      <c r="N51" s="8">
        <v>0.791666666667879</v>
      </c>
      <c r="O51" s="8">
        <v>0.375</v>
      </c>
      <c r="P51" s="8">
        <v>0.791666666667879</v>
      </c>
      <c r="Q51" s="8">
        <v>0.458333333332121</v>
      </c>
      <c r="R51" s="8">
        <v>0.666666666667879</v>
      </c>
      <c r="S51" s="7" t="s">
        <v>23</v>
      </c>
      <c r="T51" s="7" t="s">
        <v>23</v>
      </c>
      <c r="U51" s="17" t="s">
        <v>23</v>
      </c>
      <c r="V51" s="17" t="s">
        <v>23</v>
      </c>
      <c r="W51" s="20">
        <v>0.458333333332121</v>
      </c>
      <c r="X51" s="20">
        <v>0.875</v>
      </c>
      <c r="Y51" s="20">
        <v>0.458333333332121</v>
      </c>
      <c r="Z51" s="20">
        <v>0.875</v>
      </c>
      <c r="AA51" s="20">
        <v>0.458333333332121</v>
      </c>
      <c r="AB51" s="20">
        <v>0.875</v>
      </c>
      <c r="AC51" s="20">
        <v>0.458333333332121</v>
      </c>
      <c r="AD51" s="20">
        <v>0.875</v>
      </c>
      <c r="AE51" s="20">
        <v>0.458333333332121</v>
      </c>
      <c r="AF51" s="20">
        <v>0.666666666667879</v>
      </c>
      <c r="AG51" s="17" t="s">
        <v>23</v>
      </c>
      <c r="AH51" s="17" t="s">
        <v>23</v>
      </c>
      <c r="AI51" s="17" t="s">
        <v>23</v>
      </c>
      <c r="AJ51" s="17" t="s">
        <v>23</v>
      </c>
      <c r="AK51" s="20">
        <v>0.375</v>
      </c>
      <c r="AL51" s="20">
        <v>0.791666666667879</v>
      </c>
      <c r="AM51" s="20">
        <v>0.375</v>
      </c>
      <c r="AN51" s="20">
        <v>0.791666666667879</v>
      </c>
      <c r="AO51" s="20">
        <v>0.375</v>
      </c>
      <c r="AP51" s="20">
        <v>0.791666666667879</v>
      </c>
      <c r="AQ51" s="20">
        <v>0.375</v>
      </c>
      <c r="AR51" s="20">
        <v>0.791666666667879</v>
      </c>
      <c r="AS51" s="20">
        <v>0.458333333332121</v>
      </c>
      <c r="AT51" s="20">
        <v>0.666666666667879</v>
      </c>
      <c r="AU51" s="17" t="s">
        <v>23</v>
      </c>
      <c r="AV51" s="17" t="s">
        <v>23</v>
      </c>
      <c r="AW51" s="17" t="s">
        <v>23</v>
      </c>
      <c r="AX51" s="17" t="s">
        <v>23</v>
      </c>
      <c r="AY51" s="20">
        <v>0.458333333332121</v>
      </c>
      <c r="AZ51" s="20">
        <v>0.875</v>
      </c>
      <c r="BA51" s="20">
        <v>0.458333333332121</v>
      </c>
      <c r="BB51" s="20">
        <v>0.875</v>
      </c>
      <c r="BC51" s="20">
        <v>0.458333333332121</v>
      </c>
      <c r="BD51" s="20">
        <v>0.875</v>
      </c>
      <c r="BE51" s="20">
        <v>0.458333333332121</v>
      </c>
      <c r="BF51" s="20">
        <v>0.875</v>
      </c>
      <c r="BG51" s="20">
        <v>0.458333333332121</v>
      </c>
      <c r="BH51" s="20">
        <v>0.666666666667879</v>
      </c>
      <c r="BI51" s="17" t="s">
        <v>23</v>
      </c>
      <c r="BJ51" s="17" t="s">
        <v>23</v>
      </c>
      <c r="BK51" s="17" t="s">
        <v>23</v>
      </c>
      <c r="BL51" s="17" t="s">
        <v>23</v>
      </c>
      <c r="BM51" s="20">
        <v>0.375</v>
      </c>
      <c r="BN51" s="20">
        <v>0.791666666667879</v>
      </c>
      <c r="BO51" s="21">
        <f>IFERROR(__xludf.DUMMYFUNCTION("TO_PURE_NUMBER(SUM(FILTER(G51:BN51, ISEVEN(COLUMN(G51:BN51))))-SUM(FILTER(G51:BN51, ISODD(COLUMN(G51:BN51)))))*24"),190.000000000727)</f>
        <v>190.000000000727</v>
      </c>
      <c r="BP51" s="17"/>
      <c r="BQ51" s="17"/>
      <c r="BR51" s="17"/>
      <c r="BS51" s="17"/>
      <c r="BT51" s="17"/>
      <c r="BU51" s="17"/>
      <c r="BV51" s="17"/>
      <c r="BW51" s="17"/>
      <c r="BX51" s="17"/>
    </row>
    <row r="52" customHeight="1" spans="1:76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>
        <f>SUM(BO2:BO51)</f>
        <v>8949.00000001605</v>
      </c>
      <c r="BP52" s="17"/>
      <c r="BQ52" s="17"/>
      <c r="BR52" s="17"/>
      <c r="BS52" s="17"/>
      <c r="BT52" s="17"/>
      <c r="BU52" s="17"/>
      <c r="BV52" s="17"/>
      <c r="BW52" s="17"/>
      <c r="BX52" s="17"/>
    </row>
    <row r="53" customHeight="1" spans="1:76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</row>
    <row r="54" customHeight="1" spans="1:76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</row>
    <row r="55" customHeight="1" spans="1:76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</row>
    <row r="56" customHeight="1" spans="1:7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</row>
    <row r="57" customHeight="1" spans="1:76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</row>
    <row r="58" customHeight="1" spans="1:76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</row>
    <row r="59" customHeight="1" spans="1:76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</row>
    <row r="60" customHeight="1" spans="1:76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</row>
    <row r="61" customHeight="1" spans="1:76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</row>
    <row r="62" customHeight="1" spans="1:76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</row>
    <row r="63" customHeight="1" spans="1:76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</row>
    <row r="64" customHeight="1" spans="1:76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</row>
    <row r="65" customHeight="1" spans="1:76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</row>
    <row r="66" customHeight="1" spans="1:7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</row>
    <row r="67" customHeight="1" spans="1:76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</row>
    <row r="68" customHeight="1" spans="1:76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</row>
    <row r="69" customHeight="1" spans="1:76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</row>
    <row r="70" customHeight="1" spans="1:76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</row>
    <row r="71" customHeight="1" spans="1:76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</row>
    <row r="72" customHeight="1" spans="1:76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</row>
    <row r="73" customHeight="1" spans="1:76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</row>
    <row r="74" customHeight="1" spans="1:76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</row>
    <row r="75" customHeight="1" spans="1:76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</row>
    <row r="76" customHeight="1" spans="1: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</row>
    <row r="77" customHeight="1" spans="1:76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</row>
    <row r="78" customHeight="1" spans="1:76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</row>
    <row r="79" customHeight="1" spans="1:76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</row>
    <row r="80" customHeight="1" spans="1:76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</row>
    <row r="81" customHeight="1" spans="1:76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</row>
    <row r="82" customHeight="1" spans="1:76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</row>
    <row r="83" customHeight="1" spans="1:76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</row>
    <row r="84" customHeight="1" spans="1:76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</row>
    <row r="85" customHeight="1" spans="1:76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</row>
    <row r="86" customHeight="1" spans="1:7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</row>
    <row r="87" customHeight="1" spans="1:76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</row>
    <row r="88" customHeight="1" spans="1:76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</row>
    <row r="89" customHeight="1" spans="1:76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</row>
    <row r="90" customHeight="1" spans="1:76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</row>
    <row r="91" customHeight="1" spans="1:76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</row>
    <row r="92" customHeight="1" spans="1:76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</row>
    <row r="93" customHeight="1" spans="1:76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</row>
    <row r="94" customHeight="1" spans="1:76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</row>
    <row r="95" customHeight="1" spans="1:76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</row>
    <row r="96" customHeight="1" spans="1:7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</row>
    <row r="97" customHeight="1" spans="1:76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</row>
    <row r="98" customHeight="1" spans="1:76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</row>
    <row r="99" customHeight="1" spans="1:76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</row>
    <row r="100" customHeight="1" spans="1:76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</row>
    <row r="101" customHeight="1" spans="1:76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</row>
    <row r="102" customHeight="1" spans="1:76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</row>
    <row r="103" customHeight="1" spans="1:76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</row>
    <row r="104" customHeight="1" spans="1:76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</row>
    <row r="105" customHeight="1" spans="1:76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</row>
    <row r="106" customHeight="1" spans="1:7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</row>
    <row r="107" customHeight="1" spans="1:76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</row>
    <row r="108" customHeight="1" spans="1:76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</row>
    <row r="109" customHeight="1" spans="1:76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</row>
    <row r="110" customHeight="1" spans="1:76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</row>
    <row r="111" customHeight="1" spans="1:76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</row>
    <row r="112" customHeight="1" spans="1:76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</row>
    <row r="113" customHeight="1" spans="1:76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</row>
    <row r="114" customHeight="1" spans="1:76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</row>
    <row r="115" customHeight="1" spans="1:76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</row>
    <row r="116" customHeight="1" spans="1:7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</row>
    <row r="117" customHeight="1" spans="1:76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</row>
    <row r="118" customHeight="1" spans="1:76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</row>
    <row r="119" customHeight="1" spans="1:76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</row>
    <row r="120" customHeight="1" spans="1:76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</row>
    <row r="121" customHeight="1" spans="1:76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</row>
    <row r="122" customHeight="1" spans="1:76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</row>
    <row r="123" customHeight="1" spans="1:76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</row>
    <row r="124" customHeight="1" spans="1:76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</row>
    <row r="125" customHeight="1" spans="1:76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</row>
    <row r="126" customHeight="1" spans="1:7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</row>
    <row r="127" customHeight="1" spans="1:76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</row>
    <row r="128" customHeight="1" spans="1:76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</row>
    <row r="129" customHeight="1" spans="1:76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</row>
    <row r="130" customHeight="1" spans="1:76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</row>
    <row r="131" customHeight="1" spans="1:76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</row>
    <row r="132" customHeight="1" spans="1:76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</row>
    <row r="133" customHeight="1" spans="1:76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</row>
    <row r="134" customHeight="1" spans="1:76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</row>
    <row r="135" customHeight="1" spans="1:76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</row>
    <row r="136" customHeight="1" spans="1:7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</row>
    <row r="137" customHeight="1" spans="1:76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</row>
    <row r="138" customHeight="1" spans="1:76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</row>
    <row r="139" customHeight="1" spans="1:76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</row>
    <row r="140" customHeight="1" spans="1:76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</row>
    <row r="141" customHeight="1" spans="1:76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</row>
    <row r="142" customHeight="1" spans="1:76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</row>
    <row r="143" customHeight="1" spans="1:76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</row>
    <row r="144" customHeight="1" spans="1:76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</row>
    <row r="145" customHeight="1" spans="1:76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</row>
    <row r="146" customHeight="1" spans="1:7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</row>
    <row r="147" customHeight="1" spans="1:76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</row>
    <row r="148" customHeight="1" spans="1:76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</row>
    <row r="149" customHeight="1" spans="1:76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</row>
    <row r="150" customHeight="1" spans="1:76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</row>
    <row r="151" customHeight="1" spans="1:76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</row>
    <row r="152" customHeight="1" spans="1:76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</row>
    <row r="153" customHeight="1" spans="1:76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</row>
    <row r="154" customHeight="1" spans="1:76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</row>
    <row r="155" customHeight="1" spans="1:76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</row>
    <row r="156" customHeight="1" spans="1:7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</row>
    <row r="157" customHeight="1" spans="1:76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</row>
    <row r="158" customHeight="1" spans="1:76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</row>
    <row r="159" customHeight="1" spans="1:76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</row>
    <row r="160" customHeight="1" spans="1:76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</row>
    <row r="161" customHeight="1" spans="1:76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</row>
    <row r="162" customHeight="1" spans="1:76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</row>
    <row r="163" customHeight="1" spans="1:76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</row>
    <row r="164" customHeight="1" spans="1:76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</row>
    <row r="165" customHeight="1" spans="1:76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</row>
    <row r="166" customHeight="1" spans="1:7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</row>
    <row r="167" customHeight="1" spans="1:76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</row>
    <row r="168" customHeight="1" spans="1:76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</row>
    <row r="169" customHeight="1" spans="1:76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</row>
    <row r="170" customHeight="1" spans="1:76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</row>
    <row r="171" customHeight="1" spans="1:76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</row>
    <row r="172" customHeight="1" spans="1:76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</row>
    <row r="173" customHeight="1" spans="1:76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</row>
    <row r="174" customHeight="1" spans="1:76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</row>
    <row r="175" customHeight="1" spans="1:76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</row>
    <row r="176" customHeight="1" spans="1: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</row>
    <row r="177" customHeight="1" spans="1:76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</row>
    <row r="178" customHeight="1" spans="1:76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</row>
    <row r="179" customHeight="1" spans="1:76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</row>
    <row r="180" customHeight="1" spans="1:76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</row>
    <row r="181" customHeight="1" spans="1:76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</row>
    <row r="182" customHeight="1" spans="1:76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</row>
    <row r="183" customHeight="1" spans="1:76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</row>
    <row r="184" customHeight="1" spans="1:76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</row>
    <row r="185" customHeight="1" spans="1:76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</row>
    <row r="186" customHeight="1" spans="1:7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</row>
    <row r="187" customHeight="1" spans="1:76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</row>
    <row r="188" customHeight="1" spans="1:76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</row>
    <row r="189" customHeight="1" spans="1:76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</row>
    <row r="190" customHeight="1" spans="1:76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</row>
    <row r="191" customHeight="1" spans="1:76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</row>
    <row r="192" customHeight="1" spans="1:76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</row>
    <row r="193" customHeight="1" spans="1:76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</row>
    <row r="194" customHeight="1" spans="1:76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</row>
    <row r="195" customHeight="1" spans="1:76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</row>
    <row r="196" customHeight="1" spans="1:7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</row>
    <row r="197" customHeight="1" spans="1:76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</row>
    <row r="198" customHeight="1" spans="1:76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</row>
    <row r="199" customHeight="1" spans="1:76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</row>
    <row r="200" customHeight="1" spans="1:76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</row>
    <row r="201" customHeight="1" spans="1:76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</row>
    <row r="202" customHeight="1" spans="1:76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</row>
    <row r="203" customHeight="1" spans="1:76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</row>
    <row r="204" customHeight="1" spans="1:76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</row>
    <row r="205" customHeight="1" spans="1:76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</row>
    <row r="206" customHeight="1" spans="1:7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</row>
    <row r="207" customHeight="1" spans="1:76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</row>
    <row r="208" customHeight="1" spans="1:76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</row>
    <row r="209" customHeight="1" spans="1:76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</row>
    <row r="210" customHeight="1" spans="1:76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</row>
    <row r="211" customHeight="1" spans="1:76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</row>
    <row r="212" customHeight="1" spans="1:76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</row>
    <row r="213" customHeight="1" spans="1:76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</row>
    <row r="214" customHeight="1" spans="1:76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</row>
    <row r="215" customHeight="1" spans="1:76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</row>
    <row r="216" customHeight="1" spans="1:7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</row>
    <row r="217" customHeight="1" spans="1:76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</row>
    <row r="218" customHeight="1" spans="1:76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</row>
    <row r="219" customHeight="1" spans="1:76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</row>
    <row r="220" customHeight="1" spans="1:76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</row>
    <row r="221" customHeight="1" spans="1:76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</row>
    <row r="222" customHeight="1" spans="1:76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</row>
    <row r="223" customHeight="1" spans="1:76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</row>
    <row r="224" customHeight="1" spans="1:76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</row>
    <row r="225" customHeight="1" spans="1:76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</row>
    <row r="226" customHeight="1" spans="1:7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</row>
    <row r="227" customHeight="1" spans="1:76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</row>
    <row r="228" customHeight="1" spans="1:76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</row>
    <row r="229" customHeight="1" spans="1:76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</row>
    <row r="230" customHeight="1" spans="1:76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</row>
    <row r="231" customHeight="1" spans="1:76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</row>
    <row r="232" customHeight="1" spans="1:76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</row>
    <row r="233" customHeight="1" spans="1:76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</row>
    <row r="234" customHeight="1" spans="1:76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</row>
    <row r="235" customHeight="1" spans="1:76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</row>
    <row r="236" customHeight="1" spans="1:7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</row>
    <row r="237" customHeight="1" spans="1:76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</row>
    <row r="238" customHeight="1" spans="1:76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</row>
    <row r="239" customHeight="1" spans="1:76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</row>
    <row r="240" customHeight="1" spans="1:76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</row>
    <row r="241" customHeight="1" spans="1:76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</row>
    <row r="242" customHeight="1" spans="1:76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</row>
    <row r="243" customHeight="1" spans="1:76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</row>
    <row r="244" customHeight="1" spans="1:76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</row>
    <row r="245" customHeight="1" spans="1:76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</row>
    <row r="246" customHeight="1" spans="1:7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</row>
    <row r="247" customHeight="1" spans="1:76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</row>
    <row r="248" customHeight="1" spans="1:76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</row>
    <row r="249" customHeight="1" spans="1:76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</row>
    <row r="250" customHeight="1" spans="1:76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</row>
    <row r="251" customHeight="1" spans="1:76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</row>
    <row r="252" customHeight="1" spans="1:76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</row>
    <row r="253" customHeight="1" spans="1:76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</row>
    <row r="254" customHeight="1" spans="1:76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</row>
    <row r="255" customHeight="1" spans="1:76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</row>
    <row r="256" customHeight="1" spans="1:7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</row>
    <row r="257" customHeight="1" spans="1:76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</row>
    <row r="258" customHeight="1" spans="1:76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</row>
    <row r="259" customHeight="1" spans="1:76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</row>
    <row r="260" customHeight="1" spans="1:76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</row>
    <row r="261" customHeight="1" spans="1:76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</row>
    <row r="262" customHeight="1" spans="1:76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</row>
    <row r="263" customHeight="1" spans="1:76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</row>
    <row r="264" customHeight="1" spans="1:76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</row>
    <row r="265" customHeight="1" spans="1:76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</row>
    <row r="266" customHeight="1" spans="1:7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</row>
    <row r="267" customHeight="1" spans="1:76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</row>
    <row r="268" customHeight="1" spans="1:76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</row>
    <row r="269" customHeight="1" spans="1:76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</row>
    <row r="270" customHeight="1" spans="1:76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</row>
    <row r="271" customHeight="1" spans="1:76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</row>
    <row r="272" customHeight="1" spans="1:76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</row>
    <row r="273" customHeight="1" spans="1:76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</row>
    <row r="274" customHeight="1" spans="1:76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</row>
    <row r="275" customHeight="1" spans="1:76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</row>
    <row r="276" customHeight="1" spans="1: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</row>
    <row r="277" customHeight="1" spans="1:76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</row>
    <row r="278" customHeight="1" spans="1:76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</row>
    <row r="279" customHeight="1" spans="1:76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</row>
    <row r="280" customHeight="1" spans="1:76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</row>
    <row r="281" customHeight="1" spans="1:76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</row>
    <row r="282" customHeight="1" spans="1:76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</row>
    <row r="283" customHeight="1" spans="1:76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</row>
    <row r="284" customHeight="1" spans="1:76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</row>
    <row r="285" customHeight="1" spans="1:76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</row>
    <row r="286" customHeight="1" spans="1:7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</row>
    <row r="287" customHeight="1" spans="1:76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</row>
    <row r="288" customHeight="1" spans="1:76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</row>
    <row r="289" customHeight="1" spans="1:76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</row>
    <row r="290" customHeight="1" spans="1:76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</row>
    <row r="291" customHeight="1" spans="1:76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</row>
    <row r="292" customHeight="1" spans="1:76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</row>
    <row r="293" customHeight="1" spans="1:76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</row>
    <row r="294" customHeight="1" spans="1:76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</row>
    <row r="295" customHeight="1" spans="1:76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</row>
    <row r="296" customHeight="1" spans="1:7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</row>
    <row r="297" customHeight="1" spans="1:76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</row>
    <row r="298" customHeight="1" spans="1:76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</row>
    <row r="299" customHeight="1" spans="1:76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</row>
    <row r="300" customHeight="1" spans="1:76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</row>
    <row r="301" customHeight="1" spans="1:76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</row>
    <row r="302" customHeight="1" spans="1:76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</row>
    <row r="303" customHeight="1" spans="1:76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</row>
    <row r="304" customHeight="1" spans="1:76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</row>
    <row r="305" customHeight="1" spans="1:76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</row>
    <row r="306" customHeight="1" spans="1:7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</row>
    <row r="307" customHeight="1" spans="1:76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</row>
    <row r="308" customHeight="1" spans="1:76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</row>
    <row r="309" customHeight="1" spans="1:76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</row>
    <row r="310" customHeight="1" spans="1:76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</row>
    <row r="311" customHeight="1" spans="1:76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</row>
    <row r="312" customHeight="1" spans="1:76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</row>
    <row r="313" customHeight="1" spans="1:76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</row>
    <row r="314" customHeight="1" spans="1:76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</row>
    <row r="315" customHeight="1" spans="1:76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</row>
    <row r="316" customHeight="1" spans="1:7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</row>
    <row r="317" customHeight="1" spans="1:76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</row>
    <row r="318" customHeight="1" spans="1:76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</row>
    <row r="319" customHeight="1" spans="1:76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</row>
    <row r="320" customHeight="1" spans="1:76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</row>
    <row r="321" customHeight="1" spans="1:76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</row>
    <row r="322" customHeight="1" spans="1:76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</row>
    <row r="323" customHeight="1" spans="1:76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</row>
    <row r="324" customHeight="1" spans="1:76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</row>
    <row r="325" customHeight="1" spans="1:76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</row>
    <row r="326" customHeight="1" spans="1:7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</row>
    <row r="327" customHeight="1" spans="1:76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</row>
    <row r="328" customHeight="1" spans="1:76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</row>
    <row r="329" customHeight="1" spans="1:76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</row>
    <row r="330" customHeight="1" spans="1:76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</row>
    <row r="331" customHeight="1" spans="1:76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</row>
    <row r="332" customHeight="1" spans="1:76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</row>
    <row r="333" customHeight="1" spans="1:76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</row>
    <row r="334" customHeight="1" spans="1:76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</row>
    <row r="335" customHeight="1" spans="1:76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</row>
    <row r="336" customHeight="1" spans="1:7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</row>
    <row r="337" customHeight="1" spans="1:76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</row>
    <row r="338" customHeight="1" spans="1:76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</row>
    <row r="339" customHeight="1" spans="1:76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</row>
    <row r="340" customHeight="1" spans="1:76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</row>
    <row r="341" customHeight="1" spans="1:76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</row>
    <row r="342" customHeight="1" spans="1:76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</row>
    <row r="343" customHeight="1" spans="1:76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</row>
    <row r="344" customHeight="1" spans="1:76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</row>
    <row r="345" customHeight="1" spans="1:76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</row>
    <row r="346" customHeight="1" spans="1:7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</row>
    <row r="347" customHeight="1" spans="1:76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</row>
    <row r="348" customHeight="1" spans="1:76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</row>
    <row r="349" customHeight="1" spans="1:76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</row>
    <row r="350" customHeight="1" spans="1:76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</row>
    <row r="351" customHeight="1" spans="1:76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</row>
    <row r="352" customHeight="1" spans="1:76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</row>
    <row r="353" customHeight="1" spans="1:76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</row>
    <row r="354" customHeight="1" spans="1:76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</row>
    <row r="355" customHeight="1" spans="1:76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</row>
    <row r="356" customHeight="1" spans="1:7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</row>
    <row r="357" customHeight="1" spans="1:76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</row>
    <row r="358" customHeight="1" spans="1:76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</row>
    <row r="359" customHeight="1" spans="1:76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</row>
    <row r="360" customHeight="1" spans="1:76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</row>
    <row r="361" customHeight="1" spans="1:76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</row>
    <row r="362" customHeight="1" spans="1:76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</row>
    <row r="363" customHeight="1" spans="1:76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</row>
    <row r="364" customHeight="1" spans="1:76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</row>
    <row r="365" customHeight="1" spans="1:76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</row>
    <row r="366" customHeight="1" spans="1:7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</row>
    <row r="367" customHeight="1" spans="1:76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</row>
    <row r="368" customHeight="1" spans="1:76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</row>
    <row r="369" customHeight="1" spans="1:76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</row>
    <row r="370" customHeight="1" spans="1:76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</row>
    <row r="371" customHeight="1" spans="1:76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</row>
    <row r="372" customHeight="1" spans="1:76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</row>
    <row r="373" customHeight="1" spans="1:76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</row>
    <row r="374" customHeight="1" spans="1:76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</row>
    <row r="375" customHeight="1" spans="1:76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</row>
    <row r="376" customHeight="1" spans="1: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</row>
    <row r="377" customHeight="1" spans="1:76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</row>
    <row r="378" customHeight="1" spans="1:76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</row>
    <row r="379" customHeight="1" spans="1:76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</row>
    <row r="380" customHeight="1" spans="1:76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</row>
    <row r="381" customHeight="1" spans="1:76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</row>
    <row r="382" customHeight="1" spans="1:76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</row>
    <row r="383" customHeight="1" spans="1:76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</row>
    <row r="384" customHeight="1" spans="1:76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</row>
    <row r="385" customHeight="1" spans="1:76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</row>
    <row r="386" customHeight="1" spans="1:7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</row>
    <row r="387" customHeight="1" spans="1:76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</row>
    <row r="388" customHeight="1" spans="1:76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</row>
    <row r="389" customHeight="1" spans="1:76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</row>
    <row r="390" customHeight="1" spans="1:76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</row>
    <row r="391" customHeight="1" spans="1:76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</row>
    <row r="392" customHeight="1" spans="1:76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</row>
    <row r="393" customHeight="1" spans="1:76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</row>
    <row r="394" customHeight="1" spans="1:76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</row>
    <row r="395" customHeight="1" spans="1:76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</row>
    <row r="396" customHeight="1" spans="1:7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</row>
    <row r="397" customHeight="1" spans="1:76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</row>
    <row r="398" customHeight="1" spans="1:76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</row>
    <row r="399" customHeight="1" spans="1:76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</row>
    <row r="400" customHeight="1" spans="1:76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</row>
    <row r="401" customHeight="1" spans="1:76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</row>
    <row r="402" customHeight="1" spans="1:76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</row>
    <row r="403" customHeight="1" spans="1:76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</row>
    <row r="404" customHeight="1" spans="1:76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</row>
    <row r="405" customHeight="1" spans="1:76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</row>
    <row r="406" customHeight="1" spans="1:7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</row>
    <row r="407" customHeight="1" spans="1:76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</row>
    <row r="408" customHeight="1" spans="1:76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</row>
    <row r="409" customHeight="1" spans="1:76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</row>
    <row r="410" customHeight="1" spans="1:76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</row>
    <row r="411" customHeight="1" spans="1:76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</row>
    <row r="412" customHeight="1" spans="1:76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</row>
    <row r="413" customHeight="1" spans="1:76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</row>
    <row r="414" customHeight="1" spans="1:76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</row>
    <row r="415" customHeight="1" spans="1:76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</row>
    <row r="416" customHeight="1" spans="1:7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</row>
    <row r="417" customHeight="1" spans="1:76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</row>
    <row r="418" customHeight="1" spans="1:76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</row>
    <row r="419" customHeight="1" spans="1:76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</row>
    <row r="420" customHeight="1" spans="1:76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</row>
    <row r="421" customHeight="1" spans="1:76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</row>
    <row r="422" customHeight="1" spans="1:76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</row>
    <row r="423" customHeight="1" spans="1:76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</row>
    <row r="424" customHeight="1" spans="1:76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</row>
    <row r="425" customHeight="1" spans="1:76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</row>
    <row r="426" customHeight="1" spans="1:7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</row>
    <row r="427" customHeight="1" spans="1:76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</row>
    <row r="428" customHeight="1" spans="1:76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</row>
    <row r="429" customHeight="1" spans="1:76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</row>
    <row r="430" customHeight="1" spans="1:76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</row>
    <row r="431" customHeight="1" spans="1:76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</row>
    <row r="432" customHeight="1" spans="1:76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</row>
    <row r="433" customHeight="1" spans="1:76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</row>
    <row r="434" customHeight="1" spans="1:76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</row>
    <row r="435" customHeight="1" spans="1:76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</row>
    <row r="436" customHeight="1" spans="1:7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</row>
    <row r="437" customHeight="1" spans="1:76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</row>
    <row r="438" customHeight="1" spans="1:76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</row>
    <row r="439" customHeight="1" spans="1:76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</row>
    <row r="440" customHeight="1" spans="1:76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</row>
    <row r="441" customHeight="1" spans="1:76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</row>
    <row r="442" customHeight="1" spans="1:76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</row>
    <row r="443" customHeight="1" spans="1:76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</row>
    <row r="444" customHeight="1" spans="1:76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</row>
    <row r="445" customHeight="1" spans="1:76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</row>
    <row r="446" customHeight="1" spans="1:7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</row>
    <row r="447" customHeight="1" spans="1:76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</row>
    <row r="448" customHeight="1" spans="1:76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</row>
    <row r="449" customHeight="1" spans="1:76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</row>
    <row r="450" customHeight="1" spans="1:76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</row>
    <row r="451" customHeight="1" spans="1:76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</row>
    <row r="452" customHeight="1" spans="1:76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</row>
    <row r="453" customHeight="1" spans="1:76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</row>
    <row r="454" customHeight="1" spans="1:76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</row>
    <row r="455" customHeight="1" spans="1:76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</row>
    <row r="456" customHeight="1" spans="1:7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</row>
    <row r="457" customHeight="1" spans="1:76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</row>
    <row r="458" customHeight="1" spans="1:76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</row>
    <row r="459" customHeight="1" spans="1:76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</row>
    <row r="460" customHeight="1" spans="1:76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</row>
    <row r="461" customHeight="1" spans="1:76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</row>
    <row r="462" customHeight="1" spans="1:76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</row>
    <row r="463" customHeight="1" spans="1:76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</row>
    <row r="464" customHeight="1" spans="1:76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</row>
    <row r="465" customHeight="1" spans="1:76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</row>
    <row r="466" customHeight="1" spans="1:7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</row>
    <row r="467" customHeight="1" spans="1:76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</row>
    <row r="468" customHeight="1" spans="1:76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</row>
    <row r="469" customHeight="1" spans="1:76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</row>
    <row r="470" customHeight="1" spans="1:76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</row>
    <row r="471" customHeight="1" spans="1:76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</row>
    <row r="472" customHeight="1" spans="1:76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</row>
    <row r="473" customHeight="1" spans="1:76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</row>
    <row r="474" customHeight="1" spans="1:76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</row>
    <row r="475" customHeight="1" spans="1:76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</row>
    <row r="476" customHeight="1" spans="1: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</row>
    <row r="477" customHeight="1" spans="1:76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</row>
    <row r="478" customHeight="1" spans="1:76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</row>
    <row r="479" customHeight="1" spans="1:76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</row>
    <row r="480" customHeight="1" spans="1:76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</row>
    <row r="481" customHeight="1" spans="1:76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</row>
    <row r="482" customHeight="1" spans="1:76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</row>
    <row r="483" customHeight="1" spans="1:76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</row>
    <row r="484" customHeight="1" spans="1:76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</row>
    <row r="485" customHeight="1" spans="1:76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</row>
    <row r="486" customHeight="1" spans="1:7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</row>
    <row r="487" customHeight="1" spans="1:76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</row>
    <row r="488" customHeight="1" spans="1:76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</row>
    <row r="489" customHeight="1" spans="1:76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</row>
    <row r="490" customHeight="1" spans="1:76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</row>
    <row r="491" customHeight="1" spans="1:76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</row>
    <row r="492" customHeight="1" spans="1:76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</row>
    <row r="493" customHeight="1" spans="1:76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</row>
    <row r="494" customHeight="1" spans="1:76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</row>
    <row r="495" customHeight="1" spans="1:76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</row>
    <row r="496" customHeight="1" spans="1:7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</row>
    <row r="497" customHeight="1" spans="1:76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</row>
    <row r="498" customHeight="1" spans="1:76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</row>
    <row r="499" customHeight="1" spans="1:76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</row>
    <row r="500" customHeight="1" spans="1:76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</row>
    <row r="501" customHeight="1" spans="1:76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</row>
    <row r="502" customHeight="1" spans="1:76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</row>
    <row r="503" customHeight="1" spans="1:76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</row>
    <row r="504" customHeight="1" spans="1:76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</row>
    <row r="505" customHeight="1" spans="1:76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</row>
    <row r="506" customHeight="1" spans="1:7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</row>
    <row r="507" customHeight="1" spans="1:76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</row>
    <row r="508" customHeight="1" spans="1:76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</row>
    <row r="509" customHeight="1" spans="1:76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</row>
    <row r="510" customHeight="1" spans="1:76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</row>
    <row r="511" customHeight="1" spans="1:76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</row>
    <row r="512" customHeight="1" spans="1:76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</row>
    <row r="513" customHeight="1" spans="1:76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</row>
    <row r="514" customHeight="1" spans="1:76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</row>
    <row r="515" customHeight="1" spans="1:76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</row>
    <row r="516" customHeight="1" spans="1:7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</row>
    <row r="517" customHeight="1" spans="1:76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</row>
    <row r="518" customHeight="1" spans="1:76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</row>
    <row r="519" customHeight="1" spans="1:76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</row>
    <row r="520" customHeight="1" spans="1:76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</row>
    <row r="521" customHeight="1" spans="1:76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</row>
    <row r="522" customHeight="1" spans="1:76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</row>
    <row r="523" customHeight="1" spans="1:76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</row>
    <row r="524" customHeight="1" spans="1:76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</row>
    <row r="525" customHeight="1" spans="1:76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</row>
    <row r="526" customHeight="1" spans="1:7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</row>
    <row r="527" customHeight="1" spans="1:76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</row>
    <row r="528" customHeight="1" spans="1:76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</row>
    <row r="529" customHeight="1" spans="1:76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</row>
    <row r="530" customHeight="1" spans="1:76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</row>
    <row r="531" customHeight="1" spans="1:76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</row>
    <row r="532" customHeight="1" spans="1:76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</row>
    <row r="533" customHeight="1" spans="1:76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</row>
    <row r="534" customHeight="1" spans="1:76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</row>
    <row r="535" customHeight="1" spans="1:76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</row>
    <row r="536" customHeight="1" spans="1:7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</row>
    <row r="537" customHeight="1" spans="1:76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</row>
    <row r="538" customHeight="1" spans="1:76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</row>
    <row r="539" customHeight="1" spans="1:76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</row>
    <row r="540" customHeight="1" spans="1:76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</row>
    <row r="541" customHeight="1" spans="1:76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</row>
    <row r="542" customHeight="1" spans="1:76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</row>
    <row r="543" customHeight="1" spans="1:76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</row>
    <row r="544" customHeight="1" spans="1:76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</row>
    <row r="545" customHeight="1" spans="1:76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</row>
    <row r="546" customHeight="1" spans="1:7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</row>
    <row r="547" customHeight="1" spans="1:76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</row>
    <row r="548" customHeight="1" spans="1:76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</row>
    <row r="549" customHeight="1" spans="1:76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</row>
    <row r="550" customHeight="1" spans="1:76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</row>
    <row r="551" customHeight="1" spans="1:76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</row>
    <row r="552" customHeight="1" spans="1:76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</row>
    <row r="553" customHeight="1" spans="1:76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</row>
    <row r="554" customHeight="1" spans="1:76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</row>
    <row r="555" customHeight="1" spans="1:76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</row>
    <row r="556" customHeight="1" spans="1:7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</row>
    <row r="557" customHeight="1" spans="1:76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</row>
    <row r="558" customHeight="1" spans="1:76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</row>
    <row r="559" customHeight="1" spans="1:76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</row>
    <row r="560" customHeight="1" spans="1:76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</row>
    <row r="561" customHeight="1" spans="1:76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</row>
    <row r="562" customHeight="1" spans="1:76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</row>
    <row r="563" customHeight="1" spans="1:76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</row>
    <row r="564" customHeight="1" spans="1:76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</row>
    <row r="565" customHeight="1" spans="1:76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</row>
    <row r="566" customHeight="1" spans="1:7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</row>
    <row r="567" customHeight="1" spans="1:76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</row>
    <row r="568" customHeight="1" spans="1:76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</row>
    <row r="569" customHeight="1" spans="1:76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</row>
    <row r="570" customHeight="1" spans="1:76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</row>
    <row r="571" customHeight="1" spans="1:76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</row>
    <row r="572" customHeight="1" spans="1:76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</row>
    <row r="573" customHeight="1" spans="1:76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</row>
    <row r="574" customHeight="1" spans="1:76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</row>
    <row r="575" customHeight="1" spans="1:76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</row>
    <row r="576" customHeight="1" spans="1: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</row>
    <row r="577" customHeight="1" spans="1:76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</row>
    <row r="578" customHeight="1" spans="1:76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</row>
    <row r="579" customHeight="1" spans="1:76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</row>
    <row r="580" customHeight="1" spans="1:76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</row>
    <row r="581" customHeight="1" spans="1:76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</row>
    <row r="582" customHeight="1" spans="1:76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</row>
    <row r="583" customHeight="1" spans="1:76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</row>
    <row r="584" customHeight="1" spans="1:76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</row>
    <row r="585" customHeight="1" spans="1:76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</row>
    <row r="586" customHeight="1" spans="1:7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</row>
    <row r="587" customHeight="1" spans="1:76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</row>
    <row r="588" customHeight="1" spans="1:76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</row>
    <row r="589" customHeight="1" spans="1:76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</row>
    <row r="590" customHeight="1" spans="1:76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</row>
    <row r="591" customHeight="1" spans="1:76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</row>
    <row r="592" customHeight="1" spans="1:76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</row>
    <row r="593" customHeight="1" spans="1:76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</row>
    <row r="594" customHeight="1" spans="1:76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</row>
    <row r="595" customHeight="1" spans="1:76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</row>
    <row r="596" customHeight="1" spans="1:7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</row>
    <row r="597" customHeight="1" spans="1:76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</row>
    <row r="598" customHeight="1" spans="1:76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</row>
    <row r="599" customHeight="1" spans="1:76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</row>
    <row r="600" customHeight="1" spans="1:76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</row>
    <row r="601" customHeight="1" spans="1:76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</row>
    <row r="602" customHeight="1" spans="1:76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</row>
    <row r="603" customHeight="1" spans="1:76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</row>
    <row r="604" customHeight="1" spans="1:76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</row>
    <row r="605" customHeight="1" spans="1:76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</row>
    <row r="606" customHeight="1" spans="1:7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</row>
    <row r="607" customHeight="1" spans="1:76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</row>
    <row r="608" customHeight="1" spans="1:76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</row>
    <row r="609" customHeight="1" spans="1:76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</row>
    <row r="610" customHeight="1" spans="1:76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</row>
    <row r="611" customHeight="1" spans="1:76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</row>
    <row r="612" customHeight="1" spans="1:76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</row>
    <row r="613" customHeight="1" spans="1:76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</row>
    <row r="614" customHeight="1" spans="1:76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</row>
    <row r="615" customHeight="1" spans="1:76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</row>
    <row r="616" customHeight="1" spans="1:7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</row>
    <row r="617" customHeight="1" spans="1:76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</row>
    <row r="618" customHeight="1" spans="1:76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</row>
    <row r="619" customHeight="1" spans="1:76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</row>
    <row r="620" customHeight="1" spans="1:76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</row>
    <row r="621" customHeight="1" spans="1:76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</row>
    <row r="622" customHeight="1" spans="1:76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</row>
    <row r="623" customHeight="1" spans="1:76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</row>
    <row r="624" customHeight="1" spans="1:76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</row>
    <row r="625" customHeight="1" spans="1:76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</row>
    <row r="626" customHeight="1" spans="1:7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</row>
    <row r="627" customHeight="1" spans="1:76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</row>
    <row r="628" customHeight="1" spans="1:76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</row>
    <row r="629" customHeight="1" spans="1:76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</row>
    <row r="630" customHeight="1" spans="1:76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</row>
    <row r="631" customHeight="1" spans="1:76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</row>
    <row r="632" customHeight="1" spans="1:76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</row>
    <row r="633" customHeight="1" spans="1:76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</row>
    <row r="634" customHeight="1" spans="1:76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</row>
    <row r="635" customHeight="1" spans="1:76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</row>
    <row r="636" customHeight="1" spans="1:7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</row>
    <row r="637" customHeight="1" spans="1:76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</row>
    <row r="638" customHeight="1" spans="1:76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</row>
    <row r="639" customHeight="1" spans="1:76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</row>
    <row r="640" customHeight="1" spans="1:76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</row>
    <row r="641" customHeight="1" spans="1:76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</row>
    <row r="642" customHeight="1" spans="1:76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</row>
    <row r="643" customHeight="1" spans="1:76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</row>
    <row r="644" customHeight="1" spans="1:76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</row>
    <row r="645" customHeight="1" spans="1:76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</row>
    <row r="646" customHeight="1" spans="1:7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</row>
    <row r="647" customHeight="1" spans="1:76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</row>
    <row r="648" customHeight="1" spans="1:76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</row>
    <row r="649" customHeight="1" spans="1:76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</row>
    <row r="650" customHeight="1" spans="1:76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</row>
    <row r="651" customHeight="1" spans="1:76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</row>
    <row r="652" customHeight="1" spans="1:76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</row>
    <row r="653" customHeight="1" spans="1:76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</row>
    <row r="654" customHeight="1" spans="1:76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</row>
    <row r="655" customHeight="1" spans="1:76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</row>
    <row r="656" customHeight="1" spans="1:7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</row>
    <row r="657" customHeight="1" spans="1:76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</row>
    <row r="658" customHeight="1" spans="1:76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</row>
    <row r="659" customHeight="1" spans="1:76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</row>
    <row r="660" customHeight="1" spans="1:76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</row>
    <row r="661" customHeight="1" spans="1:76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</row>
    <row r="662" customHeight="1" spans="1:76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</row>
    <row r="663" customHeight="1" spans="1:76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</row>
    <row r="664" customHeight="1" spans="1:76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</row>
    <row r="665" customHeight="1" spans="1:76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</row>
    <row r="666" customHeight="1" spans="1:7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</row>
    <row r="667" customHeight="1" spans="1:76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</row>
    <row r="668" customHeight="1" spans="1:76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</row>
    <row r="669" customHeight="1" spans="1:76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</row>
    <row r="670" customHeight="1" spans="1:76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</row>
    <row r="671" customHeight="1" spans="1:76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</row>
    <row r="672" customHeight="1" spans="1:76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</row>
    <row r="673" customHeight="1" spans="1:76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</row>
    <row r="674" customHeight="1" spans="1:76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</row>
    <row r="675" customHeight="1" spans="1:76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</row>
    <row r="676" customHeight="1" spans="1: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</row>
    <row r="677" customHeight="1" spans="1:76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</row>
    <row r="678" customHeight="1" spans="1:76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</row>
    <row r="679" customHeight="1" spans="1:76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</row>
    <row r="680" customHeight="1" spans="1:76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</row>
    <row r="681" customHeight="1" spans="1:76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</row>
    <row r="682" customHeight="1" spans="1:76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</row>
    <row r="683" customHeight="1" spans="1:76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</row>
    <row r="684" customHeight="1" spans="1:76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</row>
    <row r="685" customHeight="1" spans="1:76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</row>
    <row r="686" customHeight="1" spans="1:7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</row>
    <row r="687" customHeight="1" spans="1:76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</row>
    <row r="688" customHeight="1" spans="1:76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</row>
    <row r="689" customHeight="1" spans="1:76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</row>
    <row r="690" customHeight="1" spans="1:76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</row>
    <row r="691" customHeight="1" spans="1:76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</row>
    <row r="692" customHeight="1" spans="1:76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</row>
    <row r="693" customHeight="1" spans="1:76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</row>
    <row r="694" customHeight="1" spans="1:76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</row>
    <row r="695" customHeight="1" spans="1:76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</row>
    <row r="696" customHeight="1" spans="1:7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</row>
    <row r="697" customHeight="1" spans="1:76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</row>
    <row r="698" customHeight="1" spans="1:76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</row>
    <row r="699" customHeight="1" spans="1:76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</row>
    <row r="700" customHeight="1" spans="1:76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</row>
    <row r="701" customHeight="1" spans="1:76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</row>
    <row r="702" customHeight="1" spans="1:76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</row>
    <row r="703" customHeight="1" spans="1:76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</row>
    <row r="704" customHeight="1" spans="1:76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</row>
    <row r="705" customHeight="1" spans="1:76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</row>
    <row r="706" customHeight="1" spans="1:7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</row>
    <row r="707" customHeight="1" spans="1:76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</row>
    <row r="708" customHeight="1" spans="1:76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</row>
    <row r="709" customHeight="1" spans="1:76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</row>
    <row r="710" customHeight="1" spans="1:76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</row>
    <row r="711" customHeight="1" spans="1:76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</row>
    <row r="712" customHeight="1" spans="1:76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</row>
    <row r="713" customHeight="1" spans="1:76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</row>
    <row r="714" customHeight="1" spans="1:76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</row>
    <row r="715" customHeight="1" spans="1:76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</row>
    <row r="716" customHeight="1" spans="1:7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</row>
    <row r="717" customHeight="1" spans="1:76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</row>
    <row r="718" customHeight="1" spans="1:76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</row>
    <row r="719" customHeight="1" spans="1:76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</row>
    <row r="720" customHeight="1" spans="1:76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</row>
    <row r="721" customHeight="1" spans="1:76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</row>
    <row r="722" customHeight="1" spans="1:76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</row>
    <row r="723" customHeight="1" spans="1:76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</row>
    <row r="724" customHeight="1" spans="1:76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</row>
    <row r="725" customHeight="1" spans="1:76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</row>
    <row r="726" customHeight="1" spans="1:7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</row>
    <row r="727" customHeight="1" spans="1:76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</row>
    <row r="728" customHeight="1" spans="1:76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</row>
    <row r="729" customHeight="1" spans="1:76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</row>
    <row r="730" customHeight="1" spans="1:76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</row>
    <row r="731" customHeight="1" spans="1:76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</row>
    <row r="732" customHeight="1" spans="1:76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</row>
    <row r="733" customHeight="1" spans="1:76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</row>
    <row r="734" customHeight="1" spans="1:76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</row>
    <row r="735" customHeight="1" spans="1:76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</row>
    <row r="736" customHeight="1" spans="1:7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</row>
    <row r="737" customHeight="1" spans="1:76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</row>
    <row r="738" customHeight="1" spans="1:76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</row>
    <row r="739" customHeight="1" spans="1:76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</row>
    <row r="740" customHeight="1" spans="1:76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</row>
    <row r="741" customHeight="1" spans="1:76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</row>
    <row r="742" customHeight="1" spans="1:76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</row>
    <row r="743" customHeight="1" spans="1:76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</row>
    <row r="744" customHeight="1" spans="1:76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</row>
    <row r="745" customHeight="1" spans="1:76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</row>
    <row r="746" customHeight="1" spans="1:7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</row>
    <row r="747" customHeight="1" spans="1:76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</row>
    <row r="748" customHeight="1" spans="1:76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</row>
    <row r="749" customHeight="1" spans="1:76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</row>
    <row r="750" customHeight="1" spans="1:76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</row>
    <row r="751" customHeight="1" spans="1:76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</row>
    <row r="752" customHeight="1" spans="1:76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</row>
    <row r="753" customHeight="1" spans="1:76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</row>
    <row r="754" customHeight="1" spans="1:76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</row>
    <row r="755" customHeight="1" spans="1:76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</row>
    <row r="756" customHeight="1" spans="1:7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</row>
    <row r="757" customHeight="1" spans="1:76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</row>
    <row r="758" customHeight="1" spans="1:76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</row>
    <row r="759" customHeight="1" spans="1:76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</row>
    <row r="760" customHeight="1" spans="1:76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</row>
    <row r="761" customHeight="1" spans="1:76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</row>
    <row r="762" customHeight="1" spans="1:76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</row>
    <row r="763" customHeight="1" spans="1:76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</row>
    <row r="764" customHeight="1" spans="1:76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</row>
    <row r="765" customHeight="1" spans="1:76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</row>
    <row r="766" customHeight="1" spans="1:7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</row>
    <row r="767" customHeight="1" spans="1:76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</row>
    <row r="768" customHeight="1" spans="1:76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</row>
    <row r="769" customHeight="1" spans="1:76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</row>
    <row r="770" customHeight="1" spans="1:76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</row>
    <row r="771" customHeight="1" spans="1:76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</row>
    <row r="772" customHeight="1" spans="1:76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</row>
    <row r="773" customHeight="1" spans="1:76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</row>
    <row r="774" customHeight="1" spans="1:76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</row>
    <row r="775" customHeight="1" spans="1:76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</row>
    <row r="776" customHeight="1" spans="1: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</row>
    <row r="777" customHeight="1" spans="1:76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</row>
    <row r="778" customHeight="1" spans="1:76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</row>
    <row r="779" customHeight="1" spans="1:76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</row>
    <row r="780" customHeight="1" spans="1:76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</row>
    <row r="781" customHeight="1" spans="1:76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</row>
    <row r="782" customHeight="1" spans="1:76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</row>
    <row r="783" customHeight="1" spans="1:76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</row>
    <row r="784" customHeight="1" spans="1:76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</row>
    <row r="785" customHeight="1" spans="1:76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</row>
    <row r="786" customHeight="1" spans="1:7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</row>
    <row r="787" customHeight="1" spans="1:76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</row>
    <row r="788" customHeight="1" spans="1:76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</row>
    <row r="789" customHeight="1" spans="1:76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</row>
    <row r="790" customHeight="1" spans="1:76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</row>
    <row r="791" customHeight="1" spans="1:76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</row>
    <row r="792" customHeight="1" spans="1:76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</row>
    <row r="793" customHeight="1" spans="1:76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</row>
    <row r="794" customHeight="1" spans="1:76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</row>
    <row r="795" customHeight="1" spans="1:76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</row>
    <row r="796" customHeight="1" spans="1:7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</row>
    <row r="797" customHeight="1" spans="1:76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</row>
    <row r="798" customHeight="1" spans="1:76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</row>
    <row r="799" customHeight="1" spans="1:76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</row>
    <row r="800" customHeight="1" spans="1:76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</row>
    <row r="801" customHeight="1" spans="1:76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</row>
    <row r="802" customHeight="1" spans="1:76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</row>
    <row r="803" customHeight="1" spans="1:76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</row>
    <row r="804" customHeight="1" spans="1:76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</row>
    <row r="805" customHeight="1" spans="1:76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</row>
    <row r="806" customHeight="1" spans="1:7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</row>
    <row r="807" customHeight="1" spans="1:76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</row>
    <row r="808" customHeight="1" spans="1:76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</row>
    <row r="809" customHeight="1" spans="1:76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</row>
    <row r="810" customHeight="1" spans="1:76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</row>
    <row r="811" customHeight="1" spans="1:76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</row>
    <row r="812" customHeight="1" spans="1:76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</row>
    <row r="813" customHeight="1" spans="1:76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</row>
    <row r="814" customHeight="1" spans="1:76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</row>
    <row r="815" customHeight="1" spans="1:76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</row>
    <row r="816" customHeight="1" spans="1:7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</row>
    <row r="817" customHeight="1" spans="1:76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</row>
    <row r="818" customHeight="1" spans="1:76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</row>
    <row r="819" customHeight="1" spans="1:76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</row>
    <row r="820" customHeight="1" spans="1:76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</row>
    <row r="821" customHeight="1" spans="1:76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</row>
    <row r="822" customHeight="1" spans="1:76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</row>
    <row r="823" customHeight="1" spans="1:76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</row>
    <row r="824" customHeight="1" spans="1:76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</row>
    <row r="825" customHeight="1" spans="1:76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</row>
    <row r="826" customHeight="1" spans="1:7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</row>
    <row r="827" customHeight="1" spans="1:76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</row>
    <row r="828" customHeight="1" spans="1:76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</row>
    <row r="829" customHeight="1" spans="1:76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</row>
    <row r="830" customHeight="1" spans="1:76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</row>
    <row r="831" customHeight="1" spans="1:76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</row>
    <row r="832" customHeight="1" spans="1:76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</row>
    <row r="833" customHeight="1" spans="1:76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</row>
    <row r="834" customHeight="1" spans="1:76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</row>
    <row r="835" customHeight="1" spans="1:76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</row>
    <row r="836" customHeight="1" spans="1:7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</row>
    <row r="837" customHeight="1" spans="1:76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</row>
    <row r="838" customHeight="1" spans="1:76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</row>
    <row r="839" customHeight="1" spans="1:76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</row>
    <row r="840" customHeight="1" spans="1:76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</row>
    <row r="841" customHeight="1" spans="1:76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</row>
    <row r="842" customHeight="1" spans="1:76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</row>
    <row r="843" customHeight="1" spans="1:76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</row>
    <row r="844" customHeight="1" spans="1:76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</row>
    <row r="845" customHeight="1" spans="1:76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</row>
    <row r="846" customHeight="1" spans="1:7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</row>
    <row r="847" customHeight="1" spans="1:76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</row>
    <row r="848" customHeight="1" spans="1:76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</row>
    <row r="849" customHeight="1" spans="1:76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</row>
    <row r="850" customHeight="1" spans="1:76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</row>
    <row r="851" customHeight="1" spans="1:76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</row>
    <row r="852" customHeight="1" spans="1:76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</row>
    <row r="853" customHeight="1" spans="1:76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</row>
    <row r="854" customHeight="1" spans="1:76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</row>
    <row r="855" customHeight="1" spans="1:76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</row>
    <row r="856" customHeight="1" spans="1:7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</row>
    <row r="857" customHeight="1" spans="1:76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</row>
    <row r="858" customHeight="1" spans="1:76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</row>
    <row r="859" customHeight="1" spans="1:76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</row>
    <row r="860" customHeight="1" spans="1:76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</row>
    <row r="861" customHeight="1" spans="1:76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</row>
    <row r="862" customHeight="1" spans="1:76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</row>
    <row r="863" customHeight="1" spans="1:76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</row>
    <row r="864" customHeight="1" spans="1:76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</row>
    <row r="865" customHeight="1" spans="1:76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</row>
    <row r="866" customHeight="1" spans="1:7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</row>
    <row r="867" customHeight="1" spans="1:76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</row>
    <row r="868" customHeight="1" spans="1:76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</row>
    <row r="869" customHeight="1" spans="1:76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</row>
    <row r="870" customHeight="1" spans="1:76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</row>
    <row r="871" customHeight="1" spans="1:76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</row>
    <row r="872" customHeight="1" spans="1:76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</row>
    <row r="873" customHeight="1" spans="1:76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</row>
    <row r="874" customHeight="1" spans="1:76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</row>
    <row r="875" customHeight="1" spans="1:76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</row>
    <row r="876" customHeight="1" spans="1: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</row>
    <row r="877" customHeight="1" spans="1:76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</row>
    <row r="878" customHeight="1" spans="1:76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</row>
    <row r="879" customHeight="1" spans="1:76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</row>
    <row r="880" customHeight="1" spans="1:76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</row>
    <row r="881" customHeight="1" spans="1:76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</row>
    <row r="882" customHeight="1" spans="1:76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</row>
    <row r="883" customHeight="1" spans="1:76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</row>
    <row r="884" customHeight="1" spans="1:76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</row>
    <row r="885" customHeight="1" spans="1:76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</row>
    <row r="886" customHeight="1" spans="1:7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</row>
    <row r="887" customHeight="1" spans="1:76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</row>
    <row r="888" customHeight="1" spans="1:76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</row>
    <row r="889" customHeight="1" spans="1:76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</row>
    <row r="890" customHeight="1" spans="1:76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</row>
    <row r="891" customHeight="1" spans="1:76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</row>
    <row r="892" customHeight="1" spans="1:76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</row>
    <row r="893" customHeight="1" spans="1:76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</row>
    <row r="894" customHeight="1" spans="1:76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</row>
    <row r="895" customHeight="1" spans="1:76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</row>
    <row r="896" customHeight="1" spans="1:7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</row>
    <row r="897" customHeight="1" spans="1:76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7"/>
    </row>
    <row r="898" customHeight="1" spans="1:76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</row>
    <row r="899" customHeight="1" spans="1:76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</row>
    <row r="900" customHeight="1" spans="1:76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</row>
    <row r="901" customHeight="1" spans="1:76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</row>
    <row r="902" customHeight="1" spans="1:76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</row>
    <row r="903" customHeight="1" spans="1:76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</row>
    <row r="904" customHeight="1" spans="1:76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</row>
    <row r="905" customHeight="1" spans="1:76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</row>
    <row r="906" customHeight="1" spans="1:7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</row>
    <row r="907" customHeight="1" spans="1:76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</row>
    <row r="908" customHeight="1" spans="1:76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</row>
    <row r="909" customHeight="1" spans="1:76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7"/>
    </row>
    <row r="910" customHeight="1" spans="1:76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</row>
    <row r="911" customHeight="1" spans="1:76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</row>
    <row r="912" customHeight="1" spans="1:76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  <c r="BV912" s="17"/>
      <c r="BW912" s="17"/>
      <c r="BX912" s="17"/>
    </row>
    <row r="913" customHeight="1" spans="1:76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7"/>
    </row>
    <row r="914" customHeight="1" spans="1:76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</row>
    <row r="915" customHeight="1" spans="1:76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  <c r="BV915" s="17"/>
      <c r="BW915" s="17"/>
      <c r="BX915" s="17"/>
    </row>
    <row r="916" customHeight="1" spans="1:7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</row>
    <row r="917" customHeight="1" spans="1:76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7"/>
    </row>
    <row r="918" customHeight="1" spans="1:76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7"/>
    </row>
    <row r="919" customHeight="1" spans="1:76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7"/>
    </row>
    <row r="920" customHeight="1" spans="1:76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</row>
    <row r="921" customHeight="1" spans="1:76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</row>
    <row r="922" customHeight="1" spans="1:76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</row>
    <row r="923" customHeight="1" spans="1:76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</row>
    <row r="924" customHeight="1" spans="1:76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7"/>
    </row>
    <row r="925" customHeight="1" spans="1:76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</row>
    <row r="926" customHeight="1" spans="1:7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</row>
    <row r="927" customHeight="1" spans="1:76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</row>
    <row r="928" customHeight="1" spans="1:76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</row>
    <row r="929" customHeight="1" spans="1:76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7"/>
    </row>
    <row r="930" customHeight="1" spans="1:76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7"/>
    </row>
    <row r="931" customHeight="1" spans="1:76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</row>
    <row r="932" customHeight="1" spans="1:76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7"/>
    </row>
    <row r="933" customHeight="1" spans="1:76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7"/>
    </row>
    <row r="934" customHeight="1" spans="1:76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</row>
    <row r="935" customHeight="1" spans="1:76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</row>
    <row r="936" customHeight="1" spans="1:7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</row>
    <row r="937" customHeight="1" spans="1:76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7"/>
    </row>
    <row r="938" customHeight="1" spans="1:76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7"/>
    </row>
    <row r="939" customHeight="1" spans="1:76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</row>
    <row r="940" customHeight="1" spans="1:76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</row>
    <row r="941" customHeight="1" spans="1:76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</row>
    <row r="942" customHeight="1" spans="1:76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</row>
    <row r="943" customHeight="1" spans="1:76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</row>
    <row r="944" customHeight="1" spans="1:76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7"/>
    </row>
    <row r="945" customHeight="1" spans="1:76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</row>
    <row r="946" customHeight="1" spans="1:7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</row>
    <row r="947" customHeight="1" spans="1:76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</row>
    <row r="948" customHeight="1" spans="1:76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</row>
    <row r="949" customHeight="1" spans="1:76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</row>
    <row r="950" customHeight="1" spans="1:76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</row>
    <row r="951" customHeight="1" spans="1:76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</row>
    <row r="952" customHeight="1" spans="1:76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</row>
    <row r="953" customHeight="1" spans="1:76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</row>
    <row r="954" customHeight="1" spans="1:76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7"/>
    </row>
    <row r="955" customHeight="1" spans="1:76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</row>
    <row r="956" customHeight="1" spans="1:7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</row>
    <row r="957" customHeight="1" spans="1:76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</row>
    <row r="958" customHeight="1" spans="1:76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</row>
    <row r="959" customHeight="1" spans="1:76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</row>
    <row r="960" customHeight="1" spans="1:76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</row>
    <row r="961" customHeight="1" spans="1:76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</row>
    <row r="962" customHeight="1" spans="1:76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</row>
    <row r="963" customHeight="1" spans="1:76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</row>
    <row r="964" customHeight="1" spans="1:76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</row>
    <row r="965" customHeight="1" spans="1:76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</row>
    <row r="966" customHeight="1" spans="1:7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</row>
    <row r="967" customHeight="1" spans="1:76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</row>
    <row r="968" customHeight="1" spans="1:76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</row>
    <row r="969" customHeight="1" spans="1:76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7"/>
    </row>
    <row r="970" customHeight="1" spans="1:76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7"/>
    </row>
    <row r="971" customHeight="1" spans="1:76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</row>
    <row r="972" customHeight="1" spans="1:76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</row>
    <row r="973" customHeight="1" spans="1:76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</row>
    <row r="974" customHeight="1" spans="1:76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</row>
    <row r="975" customHeight="1" spans="1:76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</row>
    <row r="976" customHeight="1" spans="1: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7"/>
    </row>
    <row r="977" customHeight="1" spans="1:76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</row>
    <row r="978" customHeight="1" spans="1:76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</row>
    <row r="979" customHeight="1" spans="1:76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</row>
    <row r="980" customHeight="1" spans="1:76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</row>
    <row r="981" customHeight="1" spans="1:76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7"/>
    </row>
    <row r="982" customHeight="1" spans="1:76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</row>
    <row r="983" customHeight="1" spans="1:76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  <c r="BV983" s="17"/>
      <c r="BW983" s="17"/>
      <c r="BX983" s="17"/>
    </row>
    <row r="984" customHeight="1" spans="1:76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7"/>
    </row>
    <row r="985" customHeight="1" spans="1:76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  <c r="BV985" s="17"/>
      <c r="BW985" s="17"/>
      <c r="BX985" s="17"/>
    </row>
    <row r="986" customHeight="1" spans="1:7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  <c r="BU986" s="17"/>
      <c r="BV986" s="17"/>
      <c r="BW986" s="17"/>
      <c r="BX986" s="17"/>
    </row>
    <row r="987" customHeight="1" spans="1:76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  <c r="BV987" s="17"/>
      <c r="BW987" s="17"/>
      <c r="BX987" s="17"/>
    </row>
    <row r="988" customHeight="1" spans="1:76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  <c r="BU988" s="17"/>
      <c r="BV988" s="17"/>
      <c r="BW988" s="17"/>
      <c r="BX988" s="17"/>
    </row>
    <row r="989" customHeight="1" spans="1:76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  <c r="BU989" s="17"/>
      <c r="BV989" s="17"/>
      <c r="BW989" s="17"/>
      <c r="BX989" s="17"/>
    </row>
    <row r="990" customHeight="1" spans="1:76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  <c r="BU990" s="17"/>
      <c r="BV990" s="17"/>
      <c r="BW990" s="17"/>
      <c r="BX990" s="17"/>
    </row>
    <row r="991" customHeight="1" spans="1:76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  <c r="BU991" s="17"/>
      <c r="BV991" s="17"/>
      <c r="BW991" s="17"/>
      <c r="BX991" s="17"/>
    </row>
    <row r="992" customHeight="1" spans="1:76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  <c r="BU992" s="17"/>
      <c r="BV992" s="17"/>
      <c r="BW992" s="17"/>
      <c r="BX992" s="17"/>
    </row>
    <row r="993" customHeight="1" spans="1:76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  <c r="BU993" s="17"/>
      <c r="BV993" s="17"/>
      <c r="BW993" s="17"/>
      <c r="BX993" s="17"/>
    </row>
    <row r="994" customHeight="1" spans="1:76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  <c r="BU994" s="17"/>
      <c r="BV994" s="17"/>
      <c r="BW994" s="17"/>
      <c r="BX994" s="17"/>
    </row>
    <row r="995" customHeight="1" spans="1:76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  <c r="BU995" s="17"/>
      <c r="BV995" s="17"/>
      <c r="BW995" s="17"/>
      <c r="BX995" s="17"/>
    </row>
    <row r="996" customHeight="1" spans="1:7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  <c r="BU996" s="17"/>
      <c r="BV996" s="17"/>
      <c r="BW996" s="17"/>
      <c r="BX996" s="17"/>
    </row>
    <row r="997" customHeight="1" spans="1:76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  <c r="BQ997" s="17"/>
      <c r="BR997" s="17"/>
      <c r="BS997" s="17"/>
      <c r="BT997" s="17"/>
      <c r="BU997" s="17"/>
      <c r="BV997" s="17"/>
      <c r="BW997" s="17"/>
      <c r="BX997" s="17"/>
    </row>
    <row r="998" customHeight="1" spans="1:76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7"/>
      <c r="BQ998" s="17"/>
      <c r="BR998" s="17"/>
      <c r="BS998" s="17"/>
      <c r="BT998" s="17"/>
      <c r="BU998" s="17"/>
      <c r="BV998" s="17"/>
      <c r="BW998" s="17"/>
      <c r="BX998" s="17"/>
    </row>
    <row r="999" customHeight="1" spans="1:76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7"/>
      <c r="BQ999" s="17"/>
      <c r="BR999" s="17"/>
      <c r="BS999" s="17"/>
      <c r="BT999" s="17"/>
      <c r="BU999" s="17"/>
      <c r="BV999" s="17"/>
      <c r="BW999" s="17"/>
      <c r="BX999" s="17"/>
    </row>
    <row r="1000" customHeight="1" spans="1:76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7"/>
      <c r="BQ1000" s="17"/>
      <c r="BR1000" s="17"/>
      <c r="BS1000" s="17"/>
      <c r="BT1000" s="17"/>
      <c r="BU1000" s="17"/>
      <c r="BV1000" s="17"/>
      <c r="BW1000" s="17"/>
      <c r="BX1000" s="17"/>
    </row>
    <row r="1001" customHeight="1" spans="1:76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  <c r="BO1001" s="17"/>
      <c r="BP1001" s="17"/>
      <c r="BQ1001" s="17"/>
      <c r="BR1001" s="17"/>
      <c r="BS1001" s="17"/>
      <c r="BT1001" s="17"/>
      <c r="BU1001" s="17"/>
      <c r="BV1001" s="17"/>
      <c r="BW1001" s="17"/>
      <c r="BX1001" s="17"/>
    </row>
    <row r="1002" customHeight="1" spans="1:76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  <c r="BO1002" s="17"/>
      <c r="BP1002" s="17"/>
      <c r="BQ1002" s="17"/>
      <c r="BR1002" s="17"/>
      <c r="BS1002" s="17"/>
      <c r="BT1002" s="17"/>
      <c r="BU1002" s="17"/>
      <c r="BV1002" s="17"/>
      <c r="BW1002" s="17"/>
      <c r="BX1002" s="17"/>
    </row>
    <row r="1003" customHeight="1" spans="1:76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  <c r="BO1003" s="17"/>
      <c r="BP1003" s="17"/>
      <c r="BQ1003" s="17"/>
      <c r="BR1003" s="17"/>
      <c r="BS1003" s="17"/>
      <c r="BT1003" s="17"/>
      <c r="BU1003" s="17"/>
      <c r="BV1003" s="17"/>
      <c r="BW1003" s="17"/>
      <c r="BX1003" s="17"/>
    </row>
    <row r="1004" customHeight="1" spans="1:76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  <c r="BO1004" s="17"/>
      <c r="BP1004" s="17"/>
      <c r="BQ1004" s="17"/>
      <c r="BR1004" s="17"/>
      <c r="BS1004" s="17"/>
      <c r="BT1004" s="17"/>
      <c r="BU1004" s="17"/>
      <c r="BV1004" s="17"/>
      <c r="BW1004" s="17"/>
      <c r="BX1004" s="17"/>
    </row>
    <row r="1005" customHeight="1" spans="1:76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  <c r="BO1005" s="17"/>
      <c r="BP1005" s="17"/>
      <c r="BQ1005" s="17"/>
      <c r="BR1005" s="17"/>
      <c r="BS1005" s="17"/>
      <c r="BT1005" s="17"/>
      <c r="BU1005" s="17"/>
      <c r="BV1005" s="17"/>
      <c r="BW1005" s="17"/>
      <c r="BX1005" s="17"/>
    </row>
    <row r="1006" customHeight="1" spans="1:76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  <c r="BO1006" s="17"/>
      <c r="BP1006" s="17"/>
      <c r="BQ1006" s="17"/>
      <c r="BR1006" s="17"/>
      <c r="BS1006" s="17"/>
      <c r="BT1006" s="17"/>
      <c r="BU1006" s="17"/>
      <c r="BV1006" s="17"/>
      <c r="BW1006" s="17"/>
      <c r="BX1006" s="17"/>
    </row>
    <row r="1007" customHeight="1" spans="1:76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  <c r="BO1007" s="17"/>
      <c r="BP1007" s="17"/>
      <c r="BQ1007" s="17"/>
      <c r="BR1007" s="17"/>
      <c r="BS1007" s="17"/>
      <c r="BT1007" s="17"/>
      <c r="BU1007" s="17"/>
      <c r="BV1007" s="17"/>
      <c r="BW1007" s="17"/>
      <c r="BX1007" s="17"/>
    </row>
    <row r="1008" customHeight="1" spans="1:76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  <c r="BO1008" s="17"/>
      <c r="BP1008" s="17"/>
      <c r="BQ1008" s="17"/>
      <c r="BR1008" s="17"/>
      <c r="BS1008" s="17"/>
      <c r="BT1008" s="17"/>
      <c r="BU1008" s="17"/>
      <c r="BV1008" s="17"/>
      <c r="BW1008" s="17"/>
      <c r="BX1008" s="17"/>
    </row>
    <row r="1009" customHeight="1" spans="1:76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s="17"/>
      <c r="BE1009" s="17"/>
      <c r="BF1009" s="17"/>
      <c r="BG1009" s="17"/>
      <c r="BH1009" s="17"/>
      <c r="BI1009" s="17"/>
      <c r="BJ1009" s="17"/>
      <c r="BK1009" s="17"/>
      <c r="BL1009" s="17"/>
      <c r="BM1009" s="17"/>
      <c r="BN1009" s="17"/>
      <c r="BO1009" s="17"/>
      <c r="BP1009" s="17"/>
      <c r="BQ1009" s="17"/>
      <c r="BR1009" s="17"/>
      <c r="BS1009" s="17"/>
      <c r="BT1009" s="17"/>
      <c r="BU1009" s="17"/>
      <c r="BV1009" s="17"/>
      <c r="BW1009" s="17"/>
      <c r="BX1009" s="17"/>
    </row>
    <row r="1010" customHeight="1" spans="1:76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  <c r="BA1010" s="17"/>
      <c r="BB1010" s="17"/>
      <c r="BC1010" s="17"/>
      <c r="BD1010" s="17"/>
      <c r="BE1010" s="17"/>
      <c r="BF1010" s="17"/>
      <c r="BG1010" s="17"/>
      <c r="BH1010" s="17"/>
      <c r="BI1010" s="17"/>
      <c r="BJ1010" s="17"/>
      <c r="BK1010" s="17"/>
      <c r="BL1010" s="17"/>
      <c r="BM1010" s="17"/>
      <c r="BN1010" s="17"/>
      <c r="BO1010" s="17"/>
      <c r="BP1010" s="17"/>
      <c r="BQ1010" s="17"/>
      <c r="BR1010" s="17"/>
      <c r="BS1010" s="17"/>
      <c r="BT1010" s="17"/>
      <c r="BU1010" s="17"/>
      <c r="BV1010" s="17"/>
      <c r="BW1010" s="17"/>
      <c r="BX1010" s="17"/>
    </row>
    <row r="1011" customHeight="1" spans="1:76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  <c r="BO1011" s="17"/>
      <c r="BP1011" s="17"/>
      <c r="BQ1011" s="17"/>
      <c r="BR1011" s="17"/>
      <c r="BS1011" s="17"/>
      <c r="BT1011" s="17"/>
      <c r="BU1011" s="17"/>
      <c r="BV1011" s="17"/>
      <c r="BW1011" s="17"/>
      <c r="BX1011" s="17"/>
    </row>
    <row r="1012" customHeight="1" spans="1:76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  <c r="BA1012" s="17"/>
      <c r="BB1012" s="17"/>
      <c r="BC1012" s="17"/>
      <c r="BD1012" s="17"/>
      <c r="BE1012" s="17"/>
      <c r="BF1012" s="17"/>
      <c r="BG1012" s="17"/>
      <c r="BH1012" s="17"/>
      <c r="BI1012" s="17"/>
      <c r="BJ1012" s="17"/>
      <c r="BK1012" s="17"/>
      <c r="BL1012" s="17"/>
      <c r="BM1012" s="17"/>
      <c r="BN1012" s="17"/>
      <c r="BO1012" s="17"/>
      <c r="BP1012" s="17"/>
      <c r="BQ1012" s="17"/>
      <c r="BR1012" s="17"/>
      <c r="BS1012" s="17"/>
      <c r="BT1012" s="17"/>
      <c r="BU1012" s="17"/>
      <c r="BV1012" s="17"/>
      <c r="BW1012" s="17"/>
      <c r="BX1012" s="17"/>
    </row>
    <row r="1013" customHeight="1" spans="1:76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  <c r="BA1013" s="17"/>
      <c r="BB1013" s="17"/>
      <c r="BC1013" s="17"/>
      <c r="BD1013" s="17"/>
      <c r="BE1013" s="17"/>
      <c r="BF1013" s="17"/>
      <c r="BG1013" s="17"/>
      <c r="BH1013" s="17"/>
      <c r="BI1013" s="17"/>
      <c r="BJ1013" s="17"/>
      <c r="BK1013" s="17"/>
      <c r="BL1013" s="17"/>
      <c r="BM1013" s="17"/>
      <c r="BN1013" s="17"/>
      <c r="BO1013" s="17"/>
      <c r="BP1013" s="17"/>
      <c r="BQ1013" s="17"/>
      <c r="BR1013" s="17"/>
      <c r="BS1013" s="17"/>
      <c r="BT1013" s="17"/>
      <c r="BU1013" s="17"/>
      <c r="BV1013" s="17"/>
      <c r="BW1013" s="17"/>
      <c r="BX1013" s="17"/>
    </row>
    <row r="1014" customHeight="1" spans="1:76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  <c r="BA1014" s="17"/>
      <c r="BB1014" s="17"/>
      <c r="BC1014" s="17"/>
      <c r="BD1014" s="17"/>
      <c r="BE1014" s="17"/>
      <c r="BF1014" s="17"/>
      <c r="BG1014" s="17"/>
      <c r="BH1014" s="17"/>
      <c r="BI1014" s="17"/>
      <c r="BJ1014" s="17"/>
      <c r="BK1014" s="17"/>
      <c r="BL1014" s="17"/>
      <c r="BM1014" s="17"/>
      <c r="BN1014" s="17"/>
      <c r="BO1014" s="17"/>
      <c r="BP1014" s="17"/>
      <c r="BQ1014" s="17"/>
      <c r="BR1014" s="17"/>
      <c r="BS1014" s="17"/>
      <c r="BT1014" s="17"/>
      <c r="BU1014" s="17"/>
      <c r="BV1014" s="17"/>
      <c r="BW1014" s="17"/>
      <c r="BX1014" s="17"/>
    </row>
    <row r="1015" customHeight="1" spans="1:76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  <c r="BA1015" s="17"/>
      <c r="BB1015" s="17"/>
      <c r="BC1015" s="17"/>
      <c r="BD1015" s="17"/>
      <c r="BE1015" s="17"/>
      <c r="BF1015" s="17"/>
      <c r="BG1015" s="17"/>
      <c r="BH1015" s="17"/>
      <c r="BI1015" s="17"/>
      <c r="BJ1015" s="17"/>
      <c r="BK1015" s="17"/>
      <c r="BL1015" s="17"/>
      <c r="BM1015" s="17"/>
      <c r="BN1015" s="17"/>
      <c r="BO1015" s="17"/>
      <c r="BP1015" s="17"/>
      <c r="BQ1015" s="17"/>
      <c r="BR1015" s="17"/>
      <c r="BS1015" s="17"/>
      <c r="BT1015" s="17"/>
      <c r="BU1015" s="17"/>
      <c r="BV1015" s="17"/>
      <c r="BW1015" s="17"/>
      <c r="BX1015" s="17"/>
    </row>
    <row r="1016" customHeight="1" spans="1:76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7"/>
      <c r="AZ1016" s="17"/>
      <c r="BA1016" s="17"/>
      <c r="BB1016" s="17"/>
      <c r="BC1016" s="17"/>
      <c r="BD1016" s="17"/>
      <c r="BE1016" s="17"/>
      <c r="BF1016" s="17"/>
      <c r="BG1016" s="17"/>
      <c r="BH1016" s="17"/>
      <c r="BI1016" s="17"/>
      <c r="BJ1016" s="17"/>
      <c r="BK1016" s="17"/>
      <c r="BL1016" s="17"/>
      <c r="BM1016" s="17"/>
      <c r="BN1016" s="17"/>
      <c r="BO1016" s="17"/>
      <c r="BP1016" s="17"/>
      <c r="BQ1016" s="17"/>
      <c r="BR1016" s="17"/>
      <c r="BS1016" s="17"/>
      <c r="BT1016" s="17"/>
      <c r="BU1016" s="17"/>
      <c r="BV1016" s="17"/>
      <c r="BW1016" s="17"/>
      <c r="BX1016" s="17"/>
    </row>
    <row r="1017" customHeight="1" spans="1:76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7"/>
      <c r="AZ1017" s="17"/>
      <c r="BA1017" s="17"/>
      <c r="BB1017" s="17"/>
      <c r="BC1017" s="17"/>
      <c r="BD1017" s="17"/>
      <c r="BE1017" s="17"/>
      <c r="BF1017" s="17"/>
      <c r="BG1017" s="17"/>
      <c r="BH1017" s="17"/>
      <c r="BI1017" s="17"/>
      <c r="BJ1017" s="17"/>
      <c r="BK1017" s="17"/>
      <c r="BL1017" s="17"/>
      <c r="BM1017" s="17"/>
      <c r="BN1017" s="17"/>
      <c r="BO1017" s="17"/>
      <c r="BP1017" s="17"/>
      <c r="BQ1017" s="17"/>
      <c r="BR1017" s="17"/>
      <c r="BS1017" s="17"/>
      <c r="BT1017" s="17"/>
      <c r="BU1017" s="17"/>
      <c r="BV1017" s="17"/>
      <c r="BW1017" s="17"/>
      <c r="BX1017" s="17"/>
    </row>
    <row r="1018" customHeight="1" spans="1:76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17"/>
      <c r="AR1018" s="17"/>
      <c r="AS1018" s="17"/>
      <c r="AT1018" s="17"/>
      <c r="AU1018" s="17"/>
      <c r="AV1018" s="17"/>
      <c r="AW1018" s="17"/>
      <c r="AX1018" s="17"/>
      <c r="AY1018" s="17"/>
      <c r="AZ1018" s="17"/>
      <c r="BA1018" s="17"/>
      <c r="BB1018" s="17"/>
      <c r="BC1018" s="17"/>
      <c r="BD1018" s="17"/>
      <c r="BE1018" s="17"/>
      <c r="BF1018" s="17"/>
      <c r="BG1018" s="17"/>
      <c r="BH1018" s="17"/>
      <c r="BI1018" s="17"/>
      <c r="BJ1018" s="17"/>
      <c r="BK1018" s="17"/>
      <c r="BL1018" s="17"/>
      <c r="BM1018" s="17"/>
      <c r="BN1018" s="17"/>
      <c r="BO1018" s="17"/>
      <c r="BP1018" s="17"/>
      <c r="BQ1018" s="17"/>
      <c r="BR1018" s="17"/>
      <c r="BS1018" s="17"/>
      <c r="BT1018" s="17"/>
      <c r="BU1018" s="17"/>
      <c r="BV1018" s="17"/>
      <c r="BW1018" s="17"/>
      <c r="BX1018" s="17"/>
    </row>
    <row r="1019" customHeight="1" spans="1:76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/>
      <c r="AR1019" s="17"/>
      <c r="AS1019" s="17"/>
      <c r="AT1019" s="17"/>
      <c r="AU1019" s="17"/>
      <c r="AV1019" s="17"/>
      <c r="AW1019" s="17"/>
      <c r="AX1019" s="17"/>
      <c r="AY1019" s="17"/>
      <c r="AZ1019" s="17"/>
      <c r="BA1019" s="17"/>
      <c r="BB1019" s="17"/>
      <c r="BC1019" s="17"/>
      <c r="BD1019" s="17"/>
      <c r="BE1019" s="17"/>
      <c r="BF1019" s="17"/>
      <c r="BG1019" s="17"/>
      <c r="BH1019" s="17"/>
      <c r="BI1019" s="17"/>
      <c r="BJ1019" s="17"/>
      <c r="BK1019" s="17"/>
      <c r="BL1019" s="17"/>
      <c r="BM1019" s="17"/>
      <c r="BN1019" s="17"/>
      <c r="BO1019" s="17"/>
      <c r="BP1019" s="17"/>
      <c r="BQ1019" s="17"/>
      <c r="BR1019" s="17"/>
      <c r="BS1019" s="17"/>
      <c r="BT1019" s="17"/>
      <c r="BU1019" s="17"/>
      <c r="BV1019" s="17"/>
      <c r="BW1019" s="17"/>
      <c r="BX1019" s="17"/>
    </row>
    <row r="1020" customHeight="1" spans="1:76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17"/>
      <c r="AR1020" s="17"/>
      <c r="AS1020" s="17"/>
      <c r="AT1020" s="17"/>
      <c r="AU1020" s="17"/>
      <c r="AV1020" s="17"/>
      <c r="AW1020" s="17"/>
      <c r="AX1020" s="17"/>
      <c r="AY1020" s="17"/>
      <c r="AZ1020" s="17"/>
      <c r="BA1020" s="17"/>
      <c r="BB1020" s="17"/>
      <c r="BC1020" s="17"/>
      <c r="BD1020" s="17"/>
      <c r="BE1020" s="17"/>
      <c r="BF1020" s="17"/>
      <c r="BG1020" s="17"/>
      <c r="BH1020" s="17"/>
      <c r="BI1020" s="17"/>
      <c r="BJ1020" s="17"/>
      <c r="BK1020" s="17"/>
      <c r="BL1020" s="17"/>
      <c r="BM1020" s="17"/>
      <c r="BN1020" s="17"/>
      <c r="BO1020" s="17"/>
      <c r="BP1020" s="17"/>
      <c r="BQ1020" s="17"/>
      <c r="BR1020" s="17"/>
      <c r="BS1020" s="17"/>
      <c r="BT1020" s="17"/>
      <c r="BU1020" s="17"/>
      <c r="BV1020" s="17"/>
      <c r="BW1020" s="17"/>
      <c r="BX1020" s="17"/>
    </row>
    <row r="1021" customHeight="1" spans="1:76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17"/>
      <c r="AR1021" s="17"/>
      <c r="AS1021" s="17"/>
      <c r="AT1021" s="17"/>
      <c r="AU1021" s="17"/>
      <c r="AV1021" s="17"/>
      <c r="AW1021" s="17"/>
      <c r="AX1021" s="17"/>
      <c r="AY1021" s="17"/>
      <c r="AZ1021" s="17"/>
      <c r="BA1021" s="17"/>
      <c r="BB1021" s="17"/>
      <c r="BC1021" s="17"/>
      <c r="BD1021" s="17"/>
      <c r="BE1021" s="17"/>
      <c r="BF1021" s="17"/>
      <c r="BG1021" s="17"/>
      <c r="BH1021" s="17"/>
      <c r="BI1021" s="17"/>
      <c r="BJ1021" s="17"/>
      <c r="BK1021" s="17"/>
      <c r="BL1021" s="17"/>
      <c r="BM1021" s="17"/>
      <c r="BN1021" s="17"/>
      <c r="BO1021" s="17"/>
      <c r="BP1021" s="17"/>
      <c r="BQ1021" s="17"/>
      <c r="BR1021" s="17"/>
      <c r="BS1021" s="17"/>
      <c r="BT1021" s="17"/>
      <c r="BU1021" s="17"/>
      <c r="BV1021" s="17"/>
      <c r="BW1021" s="17"/>
      <c r="BX1021" s="17"/>
    </row>
    <row r="1022" customHeight="1" spans="1:76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17"/>
      <c r="AP1022" s="17"/>
      <c r="AQ1022" s="17"/>
      <c r="AR1022" s="17"/>
      <c r="AS1022" s="17"/>
      <c r="AT1022" s="17"/>
      <c r="AU1022" s="17"/>
      <c r="AV1022" s="17"/>
      <c r="AW1022" s="17"/>
      <c r="AX1022" s="17"/>
      <c r="AY1022" s="17"/>
      <c r="AZ1022" s="17"/>
      <c r="BA1022" s="17"/>
      <c r="BB1022" s="17"/>
      <c r="BC1022" s="17"/>
      <c r="BD1022" s="17"/>
      <c r="BE1022" s="17"/>
      <c r="BF1022" s="17"/>
      <c r="BG1022" s="17"/>
      <c r="BH1022" s="17"/>
      <c r="BI1022" s="17"/>
      <c r="BJ1022" s="17"/>
      <c r="BK1022" s="17"/>
      <c r="BL1022" s="17"/>
      <c r="BM1022" s="17"/>
      <c r="BN1022" s="17"/>
      <c r="BO1022" s="17"/>
      <c r="BP1022" s="17"/>
      <c r="BQ1022" s="17"/>
      <c r="BR1022" s="17"/>
      <c r="BS1022" s="17"/>
      <c r="BT1022" s="17"/>
      <c r="BU1022" s="17"/>
      <c r="BV1022" s="17"/>
      <c r="BW1022" s="17"/>
      <c r="BX1022" s="17"/>
    </row>
    <row r="1023" customHeight="1" spans="1:76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17"/>
      <c r="AR1023" s="17"/>
      <c r="AS1023" s="17"/>
      <c r="AT1023" s="17"/>
      <c r="AU1023" s="17"/>
      <c r="AV1023" s="17"/>
      <c r="AW1023" s="17"/>
      <c r="AX1023" s="17"/>
      <c r="AY1023" s="17"/>
      <c r="AZ1023" s="17"/>
      <c r="BA1023" s="17"/>
      <c r="BB1023" s="17"/>
      <c r="BC1023" s="17"/>
      <c r="BD1023" s="17"/>
      <c r="BE1023" s="17"/>
      <c r="BF1023" s="17"/>
      <c r="BG1023" s="17"/>
      <c r="BH1023" s="17"/>
      <c r="BI1023" s="17"/>
      <c r="BJ1023" s="17"/>
      <c r="BK1023" s="17"/>
      <c r="BL1023" s="17"/>
      <c r="BM1023" s="17"/>
      <c r="BN1023" s="17"/>
      <c r="BO1023" s="17"/>
      <c r="BP1023" s="17"/>
      <c r="BQ1023" s="17"/>
      <c r="BR1023" s="17"/>
      <c r="BS1023" s="17"/>
      <c r="BT1023" s="17"/>
      <c r="BU1023" s="17"/>
      <c r="BV1023" s="17"/>
      <c r="BW1023" s="17"/>
      <c r="BX1023" s="17"/>
    </row>
    <row r="1024" customHeight="1" spans="1:76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17"/>
      <c r="AP1024" s="17"/>
      <c r="AQ1024" s="17"/>
      <c r="AR1024" s="17"/>
      <c r="AS1024" s="17"/>
      <c r="AT1024" s="17"/>
      <c r="AU1024" s="17"/>
      <c r="AV1024" s="17"/>
      <c r="AW1024" s="17"/>
      <c r="AX1024" s="17"/>
      <c r="AY1024" s="17"/>
      <c r="AZ1024" s="17"/>
      <c r="BA1024" s="17"/>
      <c r="BB1024" s="17"/>
      <c r="BC1024" s="17"/>
      <c r="BD1024" s="17"/>
      <c r="BE1024" s="17"/>
      <c r="BF1024" s="17"/>
      <c r="BG1024" s="17"/>
      <c r="BH1024" s="17"/>
      <c r="BI1024" s="17"/>
      <c r="BJ1024" s="17"/>
      <c r="BK1024" s="17"/>
      <c r="BL1024" s="17"/>
      <c r="BM1024" s="17"/>
      <c r="BN1024" s="17"/>
      <c r="BO1024" s="17"/>
      <c r="BP1024" s="17"/>
      <c r="BQ1024" s="17"/>
      <c r="BR1024" s="17"/>
      <c r="BS1024" s="17"/>
      <c r="BT1024" s="17"/>
      <c r="BU1024" s="17"/>
      <c r="BV1024" s="17"/>
      <c r="BW1024" s="17"/>
      <c r="BX1024" s="17"/>
    </row>
    <row r="1025" customHeight="1" spans="1:76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7"/>
      <c r="AR1025" s="17"/>
      <c r="AS1025" s="17"/>
      <c r="AT1025" s="17"/>
      <c r="AU1025" s="17"/>
      <c r="AV1025" s="17"/>
      <c r="AW1025" s="17"/>
      <c r="AX1025" s="17"/>
      <c r="AY1025" s="17"/>
      <c r="AZ1025" s="17"/>
      <c r="BA1025" s="17"/>
      <c r="BB1025" s="17"/>
      <c r="BC1025" s="17"/>
      <c r="BD1025" s="17"/>
      <c r="BE1025" s="17"/>
      <c r="BF1025" s="17"/>
      <c r="BG1025" s="17"/>
      <c r="BH1025" s="17"/>
      <c r="BI1025" s="17"/>
      <c r="BJ1025" s="17"/>
      <c r="BK1025" s="17"/>
      <c r="BL1025" s="17"/>
      <c r="BM1025" s="17"/>
      <c r="BN1025" s="17"/>
      <c r="BO1025" s="17"/>
      <c r="BP1025" s="17"/>
      <c r="BQ1025" s="17"/>
      <c r="BR1025" s="17"/>
      <c r="BS1025" s="17"/>
      <c r="BT1025" s="17"/>
      <c r="BU1025" s="17"/>
      <c r="BV1025" s="17"/>
      <c r="BW1025" s="17"/>
      <c r="BX1025" s="17"/>
    </row>
    <row r="1026" customHeight="1" spans="1:76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17"/>
      <c r="AR1026" s="17"/>
      <c r="AS1026" s="17"/>
      <c r="AT1026" s="17"/>
      <c r="AU1026" s="17"/>
      <c r="AV1026" s="17"/>
      <c r="AW1026" s="17"/>
      <c r="AX1026" s="17"/>
      <c r="AY1026" s="17"/>
      <c r="AZ1026" s="17"/>
      <c r="BA1026" s="17"/>
      <c r="BB1026" s="17"/>
      <c r="BC1026" s="17"/>
      <c r="BD1026" s="17"/>
      <c r="BE1026" s="17"/>
      <c r="BF1026" s="17"/>
      <c r="BG1026" s="17"/>
      <c r="BH1026" s="17"/>
      <c r="BI1026" s="17"/>
      <c r="BJ1026" s="17"/>
      <c r="BK1026" s="17"/>
      <c r="BL1026" s="17"/>
      <c r="BM1026" s="17"/>
      <c r="BN1026" s="17"/>
      <c r="BO1026" s="17"/>
      <c r="BP1026" s="17"/>
      <c r="BQ1026" s="17"/>
      <c r="BR1026" s="17"/>
      <c r="BS1026" s="17"/>
      <c r="BT1026" s="17"/>
      <c r="BU1026" s="17"/>
      <c r="BV1026" s="17"/>
      <c r="BW1026" s="17"/>
      <c r="BX1026" s="17"/>
    </row>
    <row r="1027" customHeight="1" spans="1:76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17"/>
      <c r="AR1027" s="17"/>
      <c r="AS1027" s="17"/>
      <c r="AT1027" s="17"/>
      <c r="AU1027" s="17"/>
      <c r="AV1027" s="17"/>
      <c r="AW1027" s="17"/>
      <c r="AX1027" s="17"/>
      <c r="AY1027" s="17"/>
      <c r="AZ1027" s="17"/>
      <c r="BA1027" s="17"/>
      <c r="BB1027" s="17"/>
      <c r="BC1027" s="17"/>
      <c r="BD1027" s="17"/>
      <c r="BE1027" s="17"/>
      <c r="BF1027" s="17"/>
      <c r="BG1027" s="17"/>
      <c r="BH1027" s="17"/>
      <c r="BI1027" s="17"/>
      <c r="BJ1027" s="17"/>
      <c r="BK1027" s="17"/>
      <c r="BL1027" s="17"/>
      <c r="BM1027" s="17"/>
      <c r="BN1027" s="17"/>
      <c r="BO1027" s="17"/>
      <c r="BP1027" s="17"/>
      <c r="BQ1027" s="17"/>
      <c r="BR1027" s="17"/>
      <c r="BS1027" s="17"/>
      <c r="BT1027" s="17"/>
      <c r="BU1027" s="17"/>
      <c r="BV1027" s="17"/>
      <c r="BW1027" s="17"/>
      <c r="BX1027" s="17"/>
    </row>
    <row r="1028" customHeight="1" spans="1:76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17"/>
      <c r="AR1028" s="17"/>
      <c r="AS1028" s="17"/>
      <c r="AT1028" s="17"/>
      <c r="AU1028" s="17"/>
      <c r="AV1028" s="17"/>
      <c r="AW1028" s="17"/>
      <c r="AX1028" s="17"/>
      <c r="AY1028" s="17"/>
      <c r="AZ1028" s="17"/>
      <c r="BA1028" s="17"/>
      <c r="BB1028" s="17"/>
      <c r="BC1028" s="17"/>
      <c r="BD1028" s="17"/>
      <c r="BE1028" s="17"/>
      <c r="BF1028" s="17"/>
      <c r="BG1028" s="17"/>
      <c r="BH1028" s="17"/>
      <c r="BI1028" s="17"/>
      <c r="BJ1028" s="17"/>
      <c r="BK1028" s="17"/>
      <c r="BL1028" s="17"/>
      <c r="BM1028" s="17"/>
      <c r="BN1028" s="17"/>
      <c r="BO1028" s="17"/>
      <c r="BP1028" s="17"/>
      <c r="BQ1028" s="17"/>
      <c r="BR1028" s="17"/>
      <c r="BS1028" s="17"/>
      <c r="BT1028" s="17"/>
      <c r="BU1028" s="17"/>
      <c r="BV1028" s="17"/>
      <c r="BW1028" s="17"/>
      <c r="BX1028" s="17"/>
    </row>
    <row r="1029" customHeight="1" spans="1:76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17"/>
      <c r="AR1029" s="17"/>
      <c r="AS1029" s="17"/>
      <c r="AT1029" s="17"/>
      <c r="AU1029" s="17"/>
      <c r="AV1029" s="17"/>
      <c r="AW1029" s="17"/>
      <c r="AX1029" s="17"/>
      <c r="AY1029" s="17"/>
      <c r="AZ1029" s="17"/>
      <c r="BA1029" s="17"/>
      <c r="BB1029" s="17"/>
      <c r="BC1029" s="17"/>
      <c r="BD1029" s="17"/>
      <c r="BE1029" s="17"/>
      <c r="BF1029" s="17"/>
      <c r="BG1029" s="17"/>
      <c r="BH1029" s="17"/>
      <c r="BI1029" s="17"/>
      <c r="BJ1029" s="17"/>
      <c r="BK1029" s="17"/>
      <c r="BL1029" s="17"/>
      <c r="BM1029" s="17"/>
      <c r="BN1029" s="17"/>
      <c r="BO1029" s="17"/>
      <c r="BP1029" s="17"/>
      <c r="BQ1029" s="17"/>
      <c r="BR1029" s="17"/>
      <c r="BS1029" s="17"/>
      <c r="BT1029" s="17"/>
      <c r="BU1029" s="17"/>
      <c r="BV1029" s="17"/>
      <c r="BW1029" s="17"/>
      <c r="BX1029" s="17"/>
    </row>
    <row r="1030" customHeight="1" spans="1:76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17"/>
      <c r="AQ1030" s="17"/>
      <c r="AR1030" s="17"/>
      <c r="AS1030" s="17"/>
      <c r="AT1030" s="17"/>
      <c r="AU1030" s="17"/>
      <c r="AV1030" s="17"/>
      <c r="AW1030" s="17"/>
      <c r="AX1030" s="17"/>
      <c r="AY1030" s="17"/>
      <c r="AZ1030" s="17"/>
      <c r="BA1030" s="17"/>
      <c r="BB1030" s="17"/>
      <c r="BC1030" s="17"/>
      <c r="BD1030" s="17"/>
      <c r="BE1030" s="17"/>
      <c r="BF1030" s="17"/>
      <c r="BG1030" s="17"/>
      <c r="BH1030" s="17"/>
      <c r="BI1030" s="17"/>
      <c r="BJ1030" s="17"/>
      <c r="BK1030" s="17"/>
      <c r="BL1030" s="17"/>
      <c r="BM1030" s="17"/>
      <c r="BN1030" s="17"/>
      <c r="BO1030" s="17"/>
      <c r="BP1030" s="17"/>
      <c r="BQ1030" s="17"/>
      <c r="BR1030" s="17"/>
      <c r="BS1030" s="17"/>
      <c r="BT1030" s="17"/>
      <c r="BU1030" s="17"/>
      <c r="BV1030" s="17"/>
      <c r="BW1030" s="17"/>
      <c r="BX1030" s="17"/>
    </row>
    <row r="1031" customHeight="1" spans="1:76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17"/>
      <c r="AQ1031" s="17"/>
      <c r="AR1031" s="17"/>
      <c r="AS1031" s="17"/>
      <c r="AT1031" s="17"/>
      <c r="AU1031" s="17"/>
      <c r="AV1031" s="17"/>
      <c r="AW1031" s="17"/>
      <c r="AX1031" s="17"/>
      <c r="AY1031" s="17"/>
      <c r="AZ1031" s="17"/>
      <c r="BA1031" s="17"/>
      <c r="BB1031" s="17"/>
      <c r="BC1031" s="17"/>
      <c r="BD1031" s="17"/>
      <c r="BE1031" s="17"/>
      <c r="BF1031" s="17"/>
      <c r="BG1031" s="17"/>
      <c r="BH1031" s="17"/>
      <c r="BI1031" s="17"/>
      <c r="BJ1031" s="17"/>
      <c r="BK1031" s="17"/>
      <c r="BL1031" s="17"/>
      <c r="BM1031" s="17"/>
      <c r="BN1031" s="17"/>
      <c r="BO1031" s="17"/>
      <c r="BP1031" s="17"/>
      <c r="BQ1031" s="17"/>
      <c r="BR1031" s="17"/>
      <c r="BS1031" s="17"/>
      <c r="BT1031" s="17"/>
      <c r="BU1031" s="17"/>
      <c r="BV1031" s="17"/>
      <c r="BW1031" s="17"/>
      <c r="BX1031" s="17"/>
    </row>
    <row r="1032" customHeight="1" spans="1:76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7"/>
      <c r="AR1032" s="17"/>
      <c r="AS1032" s="17"/>
      <c r="AT1032" s="17"/>
      <c r="AU1032" s="17"/>
      <c r="AV1032" s="17"/>
      <c r="AW1032" s="17"/>
      <c r="AX1032" s="17"/>
      <c r="AY1032" s="17"/>
      <c r="AZ1032" s="17"/>
      <c r="BA1032" s="17"/>
      <c r="BB1032" s="17"/>
      <c r="BC1032" s="17"/>
      <c r="BD1032" s="17"/>
      <c r="BE1032" s="17"/>
      <c r="BF1032" s="17"/>
      <c r="BG1032" s="17"/>
      <c r="BH1032" s="17"/>
      <c r="BI1032" s="17"/>
      <c r="BJ1032" s="17"/>
      <c r="BK1032" s="17"/>
      <c r="BL1032" s="17"/>
      <c r="BM1032" s="17"/>
      <c r="BN1032" s="17"/>
      <c r="BO1032" s="17"/>
      <c r="BP1032" s="17"/>
      <c r="BQ1032" s="17"/>
      <c r="BR1032" s="17"/>
      <c r="BS1032" s="17"/>
      <c r="BT1032" s="17"/>
      <c r="BU1032" s="17"/>
      <c r="BV1032" s="17"/>
      <c r="BW1032" s="17"/>
      <c r="BX1032" s="17"/>
    </row>
    <row r="1033" customHeight="1" spans="1:76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17"/>
      <c r="AQ1033" s="17"/>
      <c r="AR1033" s="17"/>
      <c r="AS1033" s="17"/>
      <c r="AT1033" s="17"/>
      <c r="AU1033" s="17"/>
      <c r="AV1033" s="17"/>
      <c r="AW1033" s="17"/>
      <c r="AX1033" s="17"/>
      <c r="AY1033" s="17"/>
      <c r="AZ1033" s="17"/>
      <c r="BA1033" s="17"/>
      <c r="BB1033" s="17"/>
      <c r="BC1033" s="17"/>
      <c r="BD1033" s="17"/>
      <c r="BE1033" s="17"/>
      <c r="BF1033" s="17"/>
      <c r="BG1033" s="17"/>
      <c r="BH1033" s="17"/>
      <c r="BI1033" s="17"/>
      <c r="BJ1033" s="17"/>
      <c r="BK1033" s="17"/>
      <c r="BL1033" s="17"/>
      <c r="BM1033" s="17"/>
      <c r="BN1033" s="17"/>
      <c r="BO1033" s="17"/>
      <c r="BP1033" s="17"/>
      <c r="BQ1033" s="17"/>
      <c r="BR1033" s="17"/>
      <c r="BS1033" s="17"/>
      <c r="BT1033" s="17"/>
      <c r="BU1033" s="17"/>
      <c r="BV1033" s="17"/>
      <c r="BW1033" s="17"/>
      <c r="BX1033" s="17"/>
    </row>
    <row r="1034" customHeight="1" spans="1:76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s="17"/>
      <c r="AP1034" s="17"/>
      <c r="AQ1034" s="17"/>
      <c r="AR1034" s="17"/>
      <c r="AS1034" s="17"/>
      <c r="AT1034" s="17"/>
      <c r="AU1034" s="17"/>
      <c r="AV1034" s="17"/>
      <c r="AW1034" s="17"/>
      <c r="AX1034" s="17"/>
      <c r="AY1034" s="17"/>
      <c r="AZ1034" s="17"/>
      <c r="BA1034" s="17"/>
      <c r="BB1034" s="17"/>
      <c r="BC1034" s="17"/>
      <c r="BD1034" s="17"/>
      <c r="BE1034" s="17"/>
      <c r="BF1034" s="17"/>
      <c r="BG1034" s="17"/>
      <c r="BH1034" s="17"/>
      <c r="BI1034" s="17"/>
      <c r="BJ1034" s="17"/>
      <c r="BK1034" s="17"/>
      <c r="BL1034" s="17"/>
      <c r="BM1034" s="17"/>
      <c r="BN1034" s="17"/>
      <c r="BO1034" s="17"/>
      <c r="BP1034" s="17"/>
      <c r="BQ1034" s="17"/>
      <c r="BR1034" s="17"/>
      <c r="BS1034" s="17"/>
      <c r="BT1034" s="17"/>
      <c r="BU1034" s="17"/>
      <c r="BV1034" s="17"/>
      <c r="BW1034" s="17"/>
      <c r="BX1034" s="17"/>
    </row>
    <row r="1035" customHeight="1" spans="1:76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  <c r="AQ1035" s="17"/>
      <c r="AR1035" s="17"/>
      <c r="AS1035" s="17"/>
      <c r="AT1035" s="17"/>
      <c r="AU1035" s="17"/>
      <c r="AV1035" s="17"/>
      <c r="AW1035" s="17"/>
      <c r="AX1035" s="17"/>
      <c r="AY1035" s="17"/>
      <c r="AZ1035" s="17"/>
      <c r="BA1035" s="17"/>
      <c r="BB1035" s="17"/>
      <c r="BC1035" s="17"/>
      <c r="BD1035" s="17"/>
      <c r="BE1035" s="17"/>
      <c r="BF1035" s="17"/>
      <c r="BG1035" s="17"/>
      <c r="BH1035" s="17"/>
      <c r="BI1035" s="17"/>
      <c r="BJ1035" s="17"/>
      <c r="BK1035" s="17"/>
      <c r="BL1035" s="17"/>
      <c r="BM1035" s="17"/>
      <c r="BN1035" s="17"/>
      <c r="BO1035" s="17"/>
      <c r="BP1035" s="17"/>
      <c r="BQ1035" s="17"/>
      <c r="BR1035" s="17"/>
      <c r="BS1035" s="17"/>
      <c r="BT1035" s="17"/>
      <c r="BU1035" s="17"/>
      <c r="BV1035" s="17"/>
      <c r="BW1035" s="17"/>
      <c r="BX1035" s="17"/>
    </row>
    <row r="1036" customHeight="1" spans="1:76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  <c r="AQ1036" s="17"/>
      <c r="AR1036" s="17"/>
      <c r="AS1036" s="17"/>
      <c r="AT1036" s="17"/>
      <c r="AU1036" s="17"/>
      <c r="AV1036" s="17"/>
      <c r="AW1036" s="17"/>
      <c r="AX1036" s="17"/>
      <c r="AY1036" s="17"/>
      <c r="AZ1036" s="17"/>
      <c r="BA1036" s="17"/>
      <c r="BB1036" s="17"/>
      <c r="BC1036" s="17"/>
      <c r="BD1036" s="17"/>
      <c r="BE1036" s="17"/>
      <c r="BF1036" s="17"/>
      <c r="BG1036" s="17"/>
      <c r="BH1036" s="17"/>
      <c r="BI1036" s="17"/>
      <c r="BJ1036" s="17"/>
      <c r="BK1036" s="17"/>
      <c r="BL1036" s="17"/>
      <c r="BM1036" s="17"/>
      <c r="BN1036" s="17"/>
      <c r="BO1036" s="17"/>
      <c r="BP1036" s="17"/>
      <c r="BQ1036" s="17"/>
      <c r="BR1036" s="17"/>
      <c r="BS1036" s="17"/>
      <c r="BT1036" s="17"/>
      <c r="BU1036" s="17"/>
      <c r="BV1036" s="17"/>
      <c r="BW1036" s="17"/>
      <c r="BX1036" s="17"/>
    </row>
    <row r="1037" customHeight="1" spans="1:76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17"/>
      <c r="AQ1037" s="17"/>
      <c r="AR1037" s="17"/>
      <c r="AS1037" s="17"/>
      <c r="AT1037" s="17"/>
      <c r="AU1037" s="17"/>
      <c r="AV1037" s="17"/>
      <c r="AW1037" s="17"/>
      <c r="AX1037" s="17"/>
      <c r="AY1037" s="17"/>
      <c r="AZ1037" s="17"/>
      <c r="BA1037" s="17"/>
      <c r="BB1037" s="17"/>
      <c r="BC1037" s="17"/>
      <c r="BD1037" s="17"/>
      <c r="BE1037" s="17"/>
      <c r="BF1037" s="17"/>
      <c r="BG1037" s="17"/>
      <c r="BH1037" s="17"/>
      <c r="BI1037" s="17"/>
      <c r="BJ1037" s="17"/>
      <c r="BK1037" s="17"/>
      <c r="BL1037" s="17"/>
      <c r="BM1037" s="17"/>
      <c r="BN1037" s="17"/>
      <c r="BO1037" s="17"/>
      <c r="BP1037" s="17"/>
      <c r="BQ1037" s="17"/>
      <c r="BR1037" s="17"/>
      <c r="BS1037" s="17"/>
      <c r="BT1037" s="17"/>
      <c r="BU1037" s="17"/>
      <c r="BV1037" s="17"/>
      <c r="BW1037" s="17"/>
      <c r="BX1037" s="17"/>
    </row>
    <row r="1038" customHeight="1" spans="1:76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7"/>
      <c r="AR1038" s="17"/>
      <c r="AS1038" s="17"/>
      <c r="AT1038" s="17"/>
      <c r="AU1038" s="17"/>
      <c r="AV1038" s="17"/>
      <c r="AW1038" s="17"/>
      <c r="AX1038" s="17"/>
      <c r="AY1038" s="17"/>
      <c r="AZ1038" s="17"/>
      <c r="BA1038" s="17"/>
      <c r="BB1038" s="17"/>
      <c r="BC1038" s="17"/>
      <c r="BD1038" s="17"/>
      <c r="BE1038" s="17"/>
      <c r="BF1038" s="17"/>
      <c r="BG1038" s="17"/>
      <c r="BH1038" s="17"/>
      <c r="BI1038" s="17"/>
      <c r="BJ1038" s="17"/>
      <c r="BK1038" s="17"/>
      <c r="BL1038" s="17"/>
      <c r="BM1038" s="17"/>
      <c r="BN1038" s="17"/>
      <c r="BO1038" s="17"/>
      <c r="BP1038" s="17"/>
      <c r="BQ1038" s="17"/>
      <c r="BR1038" s="17"/>
      <c r="BS1038" s="17"/>
      <c r="BT1038" s="17"/>
      <c r="BU1038" s="17"/>
      <c r="BV1038" s="17"/>
      <c r="BW1038" s="17"/>
      <c r="BX1038" s="17"/>
    </row>
    <row r="1039" customHeight="1" spans="1:76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17"/>
      <c r="AQ1039" s="17"/>
      <c r="AR1039" s="17"/>
      <c r="AS1039" s="17"/>
      <c r="AT1039" s="17"/>
      <c r="AU1039" s="17"/>
      <c r="AV1039" s="17"/>
      <c r="AW1039" s="17"/>
      <c r="AX1039" s="17"/>
      <c r="AY1039" s="17"/>
      <c r="AZ1039" s="17"/>
      <c r="BA1039" s="17"/>
      <c r="BB1039" s="17"/>
      <c r="BC1039" s="17"/>
      <c r="BD1039" s="17"/>
      <c r="BE1039" s="17"/>
      <c r="BF1039" s="17"/>
      <c r="BG1039" s="17"/>
      <c r="BH1039" s="17"/>
      <c r="BI1039" s="17"/>
      <c r="BJ1039" s="17"/>
      <c r="BK1039" s="17"/>
      <c r="BL1039" s="17"/>
      <c r="BM1039" s="17"/>
      <c r="BN1039" s="17"/>
      <c r="BO1039" s="17"/>
      <c r="BP1039" s="17"/>
      <c r="BQ1039" s="17"/>
      <c r="BR1039" s="17"/>
      <c r="BS1039" s="17"/>
      <c r="BT1039" s="17"/>
      <c r="BU1039" s="17"/>
      <c r="BV1039" s="17"/>
      <c r="BW1039" s="17"/>
      <c r="BX1039" s="17"/>
    </row>
    <row r="1040" customHeight="1" spans="1:76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17"/>
      <c r="AQ1040" s="17"/>
      <c r="AR1040" s="17"/>
      <c r="AS1040" s="17"/>
      <c r="AT1040" s="17"/>
      <c r="AU1040" s="17"/>
      <c r="AV1040" s="17"/>
      <c r="AW1040" s="17"/>
      <c r="AX1040" s="17"/>
      <c r="AY1040" s="17"/>
      <c r="AZ1040" s="17"/>
      <c r="BA1040" s="17"/>
      <c r="BB1040" s="17"/>
      <c r="BC1040" s="17"/>
      <c r="BD1040" s="17"/>
      <c r="BE1040" s="17"/>
      <c r="BF1040" s="17"/>
      <c r="BG1040" s="17"/>
      <c r="BH1040" s="17"/>
      <c r="BI1040" s="17"/>
      <c r="BJ1040" s="17"/>
      <c r="BK1040" s="17"/>
      <c r="BL1040" s="17"/>
      <c r="BM1040" s="17"/>
      <c r="BN1040" s="17"/>
      <c r="BO1040" s="17"/>
      <c r="BP1040" s="17"/>
      <c r="BQ1040" s="17"/>
      <c r="BR1040" s="17"/>
      <c r="BS1040" s="17"/>
      <c r="BT1040" s="17"/>
      <c r="BU1040" s="17"/>
      <c r="BV1040" s="17"/>
      <c r="BW1040" s="17"/>
      <c r="BX1040" s="17"/>
    </row>
    <row r="1041" customHeight="1" spans="1:76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s="17"/>
      <c r="AP1041" s="17"/>
      <c r="AQ1041" s="17"/>
      <c r="AR1041" s="17"/>
      <c r="AS1041" s="17"/>
      <c r="AT1041" s="17"/>
      <c r="AU1041" s="17"/>
      <c r="AV1041" s="17"/>
      <c r="AW1041" s="17"/>
      <c r="AX1041" s="17"/>
      <c r="AY1041" s="17"/>
      <c r="AZ1041" s="17"/>
      <c r="BA1041" s="17"/>
      <c r="BB1041" s="17"/>
      <c r="BC1041" s="17"/>
      <c r="BD1041" s="17"/>
      <c r="BE1041" s="17"/>
      <c r="BF1041" s="17"/>
      <c r="BG1041" s="17"/>
      <c r="BH1041" s="17"/>
      <c r="BI1041" s="17"/>
      <c r="BJ1041" s="17"/>
      <c r="BK1041" s="17"/>
      <c r="BL1041" s="17"/>
      <c r="BM1041" s="17"/>
      <c r="BN1041" s="17"/>
      <c r="BO1041" s="17"/>
      <c r="BP1041" s="17"/>
      <c r="BQ1041" s="17"/>
      <c r="BR1041" s="17"/>
      <c r="BS1041" s="17"/>
      <c r="BT1041" s="17"/>
      <c r="BU1041" s="17"/>
      <c r="BV1041" s="17"/>
      <c r="BW1041" s="17"/>
      <c r="BX1041" s="17"/>
    </row>
    <row r="1042" customHeight="1" spans="1:76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  <c r="AI1042" s="17"/>
      <c r="AJ1042" s="17"/>
      <c r="AK1042" s="17"/>
      <c r="AL1042" s="17"/>
      <c r="AM1042" s="17"/>
      <c r="AN1042" s="17"/>
      <c r="AO1042" s="17"/>
      <c r="AP1042" s="17"/>
      <c r="AQ1042" s="17"/>
      <c r="AR1042" s="17"/>
      <c r="AS1042" s="17"/>
      <c r="AT1042" s="17"/>
      <c r="AU1042" s="17"/>
      <c r="AV1042" s="17"/>
      <c r="AW1042" s="17"/>
      <c r="AX1042" s="17"/>
      <c r="AY1042" s="17"/>
      <c r="AZ1042" s="17"/>
      <c r="BA1042" s="17"/>
      <c r="BB1042" s="17"/>
      <c r="BC1042" s="17"/>
      <c r="BD1042" s="17"/>
      <c r="BE1042" s="17"/>
      <c r="BF1042" s="17"/>
      <c r="BG1042" s="17"/>
      <c r="BH1042" s="17"/>
      <c r="BI1042" s="17"/>
      <c r="BJ1042" s="17"/>
      <c r="BK1042" s="17"/>
      <c r="BL1042" s="17"/>
      <c r="BM1042" s="17"/>
      <c r="BN1042" s="17"/>
      <c r="BO1042" s="17"/>
      <c r="BP1042" s="17"/>
      <c r="BQ1042" s="17"/>
      <c r="BR1042" s="17"/>
      <c r="BS1042" s="17"/>
      <c r="BT1042" s="17"/>
      <c r="BU1042" s="17"/>
      <c r="BV1042" s="17"/>
      <c r="BW1042" s="17"/>
      <c r="BX1042" s="17"/>
    </row>
    <row r="1043" customHeight="1" spans="1:76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17"/>
      <c r="AP1043" s="17"/>
      <c r="AQ1043" s="17"/>
      <c r="AR1043" s="17"/>
      <c r="AS1043" s="17"/>
      <c r="AT1043" s="17"/>
      <c r="AU1043" s="17"/>
      <c r="AV1043" s="17"/>
      <c r="AW1043" s="17"/>
      <c r="AX1043" s="17"/>
      <c r="AY1043" s="17"/>
      <c r="AZ1043" s="17"/>
      <c r="BA1043" s="17"/>
      <c r="BB1043" s="17"/>
      <c r="BC1043" s="17"/>
      <c r="BD1043" s="17"/>
      <c r="BE1043" s="17"/>
      <c r="BF1043" s="17"/>
      <c r="BG1043" s="17"/>
      <c r="BH1043" s="17"/>
      <c r="BI1043" s="17"/>
      <c r="BJ1043" s="17"/>
      <c r="BK1043" s="17"/>
      <c r="BL1043" s="17"/>
      <c r="BM1043" s="17"/>
      <c r="BN1043" s="17"/>
      <c r="BO1043" s="17"/>
      <c r="BP1043" s="17"/>
      <c r="BQ1043" s="17"/>
      <c r="BR1043" s="17"/>
      <c r="BS1043" s="17"/>
      <c r="BT1043" s="17"/>
      <c r="BU1043" s="17"/>
      <c r="BV1043" s="17"/>
      <c r="BW1043" s="17"/>
      <c r="BX1043" s="17"/>
    </row>
    <row r="1044" customHeight="1" spans="1:76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s="17"/>
      <c r="AP1044" s="17"/>
      <c r="AQ1044" s="17"/>
      <c r="AR1044" s="17"/>
      <c r="AS1044" s="17"/>
      <c r="AT1044" s="17"/>
      <c r="AU1044" s="17"/>
      <c r="AV1044" s="17"/>
      <c r="AW1044" s="17"/>
      <c r="AX1044" s="17"/>
      <c r="AY1044" s="17"/>
      <c r="AZ1044" s="17"/>
      <c r="BA1044" s="17"/>
      <c r="BB1044" s="17"/>
      <c r="BC1044" s="17"/>
      <c r="BD1044" s="17"/>
      <c r="BE1044" s="17"/>
      <c r="BF1044" s="17"/>
      <c r="BG1044" s="17"/>
      <c r="BH1044" s="17"/>
      <c r="BI1044" s="17"/>
      <c r="BJ1044" s="17"/>
      <c r="BK1044" s="17"/>
      <c r="BL1044" s="17"/>
      <c r="BM1044" s="17"/>
      <c r="BN1044" s="17"/>
      <c r="BO1044" s="17"/>
      <c r="BP1044" s="17"/>
      <c r="BQ1044" s="17"/>
      <c r="BR1044" s="17"/>
      <c r="BS1044" s="17"/>
      <c r="BT1044" s="17"/>
      <c r="BU1044" s="17"/>
      <c r="BV1044" s="17"/>
      <c r="BW1044" s="17"/>
      <c r="BX1044" s="17"/>
    </row>
    <row r="1045" customHeight="1" spans="1:76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17"/>
      <c r="AQ1045" s="17"/>
      <c r="AR1045" s="17"/>
      <c r="AS1045" s="17"/>
      <c r="AT1045" s="17"/>
      <c r="AU1045" s="17"/>
      <c r="AV1045" s="17"/>
      <c r="AW1045" s="17"/>
      <c r="AX1045" s="17"/>
      <c r="AY1045" s="17"/>
      <c r="AZ1045" s="17"/>
      <c r="BA1045" s="17"/>
      <c r="BB1045" s="17"/>
      <c r="BC1045" s="17"/>
      <c r="BD1045" s="17"/>
      <c r="BE1045" s="17"/>
      <c r="BF1045" s="17"/>
      <c r="BG1045" s="17"/>
      <c r="BH1045" s="17"/>
      <c r="BI1045" s="17"/>
      <c r="BJ1045" s="17"/>
      <c r="BK1045" s="17"/>
      <c r="BL1045" s="17"/>
      <c r="BM1045" s="17"/>
      <c r="BN1045" s="17"/>
      <c r="BO1045" s="17"/>
      <c r="BP1045" s="17"/>
      <c r="BQ1045" s="17"/>
      <c r="BR1045" s="17"/>
      <c r="BS1045" s="17"/>
      <c r="BT1045" s="17"/>
      <c r="BU1045" s="17"/>
      <c r="BV1045" s="17"/>
      <c r="BW1045" s="17"/>
      <c r="BX1045" s="17"/>
    </row>
    <row r="1046" customHeight="1" spans="1:76">
      <c r="A1046" s="1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17"/>
      <c r="AP1046" s="17"/>
      <c r="AQ1046" s="17"/>
      <c r="AR1046" s="17"/>
      <c r="AS1046" s="17"/>
      <c r="AT1046" s="17"/>
      <c r="AU1046" s="17"/>
      <c r="AV1046" s="17"/>
      <c r="AW1046" s="17"/>
      <c r="AX1046" s="17"/>
      <c r="AY1046" s="17"/>
      <c r="AZ1046" s="17"/>
      <c r="BA1046" s="17"/>
      <c r="BB1046" s="17"/>
      <c r="BC1046" s="17"/>
      <c r="BD1046" s="17"/>
      <c r="BE1046" s="17"/>
      <c r="BF1046" s="17"/>
      <c r="BG1046" s="17"/>
      <c r="BH1046" s="17"/>
      <c r="BI1046" s="17"/>
      <c r="BJ1046" s="17"/>
      <c r="BK1046" s="17"/>
      <c r="BL1046" s="17"/>
      <c r="BM1046" s="17"/>
      <c r="BN1046" s="17"/>
      <c r="BO1046" s="17"/>
      <c r="BP1046" s="17"/>
      <c r="BQ1046" s="17"/>
      <c r="BR1046" s="17"/>
      <c r="BS1046" s="17"/>
      <c r="BT1046" s="17"/>
      <c r="BU1046" s="17"/>
      <c r="BV1046" s="17"/>
      <c r="BW1046" s="17"/>
      <c r="BX1046" s="17"/>
    </row>
    <row r="1047" customHeight="1" spans="1:76">
      <c r="A1047" s="17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7"/>
      <c r="AP1047" s="17"/>
      <c r="AQ1047" s="17"/>
      <c r="AR1047" s="17"/>
      <c r="AS1047" s="17"/>
      <c r="AT1047" s="17"/>
      <c r="AU1047" s="17"/>
      <c r="AV1047" s="17"/>
      <c r="AW1047" s="17"/>
      <c r="AX1047" s="17"/>
      <c r="AY1047" s="17"/>
      <c r="AZ1047" s="17"/>
      <c r="BA1047" s="17"/>
      <c r="BB1047" s="17"/>
      <c r="BC1047" s="17"/>
      <c r="BD1047" s="17"/>
      <c r="BE1047" s="17"/>
      <c r="BF1047" s="17"/>
      <c r="BG1047" s="17"/>
      <c r="BH1047" s="17"/>
      <c r="BI1047" s="17"/>
      <c r="BJ1047" s="17"/>
      <c r="BK1047" s="17"/>
      <c r="BL1047" s="17"/>
      <c r="BM1047" s="17"/>
      <c r="BN1047" s="17"/>
      <c r="BO1047" s="17"/>
      <c r="BP1047" s="17"/>
      <c r="BQ1047" s="17"/>
      <c r="BR1047" s="17"/>
      <c r="BS1047" s="17"/>
      <c r="BT1047" s="17"/>
      <c r="BU1047" s="17"/>
      <c r="BV1047" s="17"/>
      <c r="BW1047" s="17"/>
      <c r="BX1047" s="17"/>
    </row>
    <row r="1048" customHeight="1" spans="1:76">
      <c r="A1048" s="17"/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17"/>
      <c r="AP1048" s="17"/>
      <c r="AQ1048" s="17"/>
      <c r="AR1048" s="17"/>
      <c r="AS1048" s="17"/>
      <c r="AT1048" s="17"/>
      <c r="AU1048" s="17"/>
      <c r="AV1048" s="17"/>
      <c r="AW1048" s="17"/>
      <c r="AX1048" s="17"/>
      <c r="AY1048" s="17"/>
      <c r="AZ1048" s="17"/>
      <c r="BA1048" s="17"/>
      <c r="BB1048" s="17"/>
      <c r="BC1048" s="17"/>
      <c r="BD1048" s="17"/>
      <c r="BE1048" s="17"/>
      <c r="BF1048" s="17"/>
      <c r="BG1048" s="17"/>
      <c r="BH1048" s="17"/>
      <c r="BI1048" s="17"/>
      <c r="BJ1048" s="17"/>
      <c r="BK1048" s="17"/>
      <c r="BL1048" s="17"/>
      <c r="BM1048" s="17"/>
      <c r="BN1048" s="17"/>
      <c r="BO1048" s="17"/>
      <c r="BP1048" s="17"/>
      <c r="BQ1048" s="17"/>
      <c r="BR1048" s="17"/>
      <c r="BS1048" s="17"/>
      <c r="BT1048" s="17"/>
      <c r="BU1048" s="17"/>
      <c r="BV1048" s="17"/>
      <c r="BW1048" s="17"/>
      <c r="BX1048" s="17"/>
    </row>
    <row r="1049" customHeight="1" spans="1:76">
      <c r="A1049" s="17"/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17"/>
      <c r="AQ1049" s="17"/>
      <c r="AR1049" s="17"/>
      <c r="AS1049" s="17"/>
      <c r="AT1049" s="17"/>
      <c r="AU1049" s="17"/>
      <c r="AV1049" s="17"/>
      <c r="AW1049" s="17"/>
      <c r="AX1049" s="17"/>
      <c r="AY1049" s="17"/>
      <c r="AZ1049" s="17"/>
      <c r="BA1049" s="17"/>
      <c r="BB1049" s="17"/>
      <c r="BC1049" s="17"/>
      <c r="BD1049" s="17"/>
      <c r="BE1049" s="17"/>
      <c r="BF1049" s="17"/>
      <c r="BG1049" s="17"/>
      <c r="BH1049" s="17"/>
      <c r="BI1049" s="17"/>
      <c r="BJ1049" s="17"/>
      <c r="BK1049" s="17"/>
      <c r="BL1049" s="17"/>
      <c r="BM1049" s="17"/>
      <c r="BN1049" s="17"/>
      <c r="BO1049" s="17"/>
      <c r="BP1049" s="17"/>
      <c r="BQ1049" s="17"/>
      <c r="BR1049" s="17"/>
      <c r="BS1049" s="17"/>
      <c r="BT1049" s="17"/>
      <c r="BU1049" s="17"/>
      <c r="BV1049" s="17"/>
      <c r="BW1049" s="17"/>
      <c r="BX1049" s="17"/>
    </row>
    <row r="1050" customHeight="1" spans="1:76">
      <c r="A1050" s="17"/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17"/>
      <c r="AP1050" s="17"/>
      <c r="AQ1050" s="17"/>
      <c r="AR1050" s="17"/>
      <c r="AS1050" s="17"/>
      <c r="AT1050" s="17"/>
      <c r="AU1050" s="17"/>
      <c r="AV1050" s="17"/>
      <c r="AW1050" s="17"/>
      <c r="AX1050" s="17"/>
      <c r="AY1050" s="17"/>
      <c r="AZ1050" s="17"/>
      <c r="BA1050" s="17"/>
      <c r="BB1050" s="17"/>
      <c r="BC1050" s="17"/>
      <c r="BD1050" s="17"/>
      <c r="BE1050" s="17"/>
      <c r="BF1050" s="17"/>
      <c r="BG1050" s="17"/>
      <c r="BH1050" s="17"/>
      <c r="BI1050" s="17"/>
      <c r="BJ1050" s="17"/>
      <c r="BK1050" s="17"/>
      <c r="BL1050" s="17"/>
      <c r="BM1050" s="17"/>
      <c r="BN1050" s="17"/>
      <c r="BO1050" s="17"/>
      <c r="BP1050" s="17"/>
      <c r="BQ1050" s="17"/>
      <c r="BR1050" s="17"/>
      <c r="BS1050" s="17"/>
      <c r="BT1050" s="17"/>
      <c r="BU1050" s="17"/>
      <c r="BV1050" s="17"/>
      <c r="BW1050" s="17"/>
      <c r="BX1050" s="17"/>
    </row>
    <row r="1051" customHeight="1" spans="1:76">
      <c r="A1051" s="17"/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17"/>
      <c r="AQ1051" s="17"/>
      <c r="AR1051" s="17"/>
      <c r="AS1051" s="17"/>
      <c r="AT1051" s="17"/>
      <c r="AU1051" s="17"/>
      <c r="AV1051" s="17"/>
      <c r="AW1051" s="17"/>
      <c r="AX1051" s="17"/>
      <c r="AY1051" s="17"/>
      <c r="AZ1051" s="17"/>
      <c r="BA1051" s="17"/>
      <c r="BB1051" s="17"/>
      <c r="BC1051" s="17"/>
      <c r="BD1051" s="17"/>
      <c r="BE1051" s="17"/>
      <c r="BF1051" s="17"/>
      <c r="BG1051" s="17"/>
      <c r="BH1051" s="17"/>
      <c r="BI1051" s="17"/>
      <c r="BJ1051" s="17"/>
      <c r="BK1051" s="17"/>
      <c r="BL1051" s="17"/>
      <c r="BM1051" s="17"/>
      <c r="BN1051" s="17"/>
      <c r="BO1051" s="17"/>
      <c r="BP1051" s="17"/>
      <c r="BQ1051" s="17"/>
      <c r="BR1051" s="17"/>
      <c r="BS1051" s="17"/>
      <c r="BT1051" s="17"/>
      <c r="BU1051" s="17"/>
      <c r="BV1051" s="17"/>
      <c r="BW1051" s="17"/>
      <c r="BX1051" s="17"/>
    </row>
    <row r="1052" customHeight="1" spans="1:76">
      <c r="A1052" s="17"/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17"/>
      <c r="AP1052" s="17"/>
      <c r="AQ1052" s="17"/>
      <c r="AR1052" s="17"/>
      <c r="AS1052" s="17"/>
      <c r="AT1052" s="17"/>
      <c r="AU1052" s="17"/>
      <c r="AV1052" s="17"/>
      <c r="AW1052" s="17"/>
      <c r="AX1052" s="17"/>
      <c r="AY1052" s="17"/>
      <c r="AZ1052" s="17"/>
      <c r="BA1052" s="17"/>
      <c r="BB1052" s="17"/>
      <c r="BC1052" s="17"/>
      <c r="BD1052" s="17"/>
      <c r="BE1052" s="17"/>
      <c r="BF1052" s="17"/>
      <c r="BG1052" s="17"/>
      <c r="BH1052" s="17"/>
      <c r="BI1052" s="17"/>
      <c r="BJ1052" s="17"/>
      <c r="BK1052" s="17"/>
      <c r="BL1052" s="17"/>
      <c r="BM1052" s="17"/>
      <c r="BN1052" s="17"/>
      <c r="BO1052" s="17"/>
      <c r="BP1052" s="17"/>
      <c r="BQ1052" s="17"/>
      <c r="BR1052" s="17"/>
      <c r="BS1052" s="17"/>
      <c r="BT1052" s="17"/>
      <c r="BU1052" s="17"/>
      <c r="BV1052" s="17"/>
      <c r="BW1052" s="17"/>
      <c r="BX1052" s="17"/>
    </row>
    <row r="1053" customHeight="1" spans="1:76">
      <c r="A1053" s="17"/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17"/>
      <c r="AP1053" s="17"/>
      <c r="AQ1053" s="17"/>
      <c r="AR1053" s="17"/>
      <c r="AS1053" s="17"/>
      <c r="AT1053" s="17"/>
      <c r="AU1053" s="17"/>
      <c r="AV1053" s="17"/>
      <c r="AW1053" s="17"/>
      <c r="AX1053" s="17"/>
      <c r="AY1053" s="17"/>
      <c r="AZ1053" s="17"/>
      <c r="BA1053" s="17"/>
      <c r="BB1053" s="17"/>
      <c r="BC1053" s="17"/>
      <c r="BD1053" s="17"/>
      <c r="BE1053" s="17"/>
      <c r="BF1053" s="17"/>
      <c r="BG1053" s="17"/>
      <c r="BH1053" s="17"/>
      <c r="BI1053" s="17"/>
      <c r="BJ1053" s="17"/>
      <c r="BK1053" s="17"/>
      <c r="BL1053" s="17"/>
      <c r="BM1053" s="17"/>
      <c r="BN1053" s="17"/>
      <c r="BO1053" s="17"/>
      <c r="BP1053" s="17"/>
      <c r="BQ1053" s="17"/>
      <c r="BR1053" s="17"/>
      <c r="BS1053" s="17"/>
      <c r="BT1053" s="17"/>
      <c r="BU1053" s="17"/>
      <c r="BV1053" s="17"/>
      <c r="BW1053" s="17"/>
      <c r="BX1053" s="17"/>
    </row>
    <row r="1054" customHeight="1" spans="1:76">
      <c r="A1054" s="17"/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s="17"/>
      <c r="AP1054" s="17"/>
      <c r="AQ1054" s="17"/>
      <c r="AR1054" s="17"/>
      <c r="AS1054" s="17"/>
      <c r="AT1054" s="17"/>
      <c r="AU1054" s="17"/>
      <c r="AV1054" s="17"/>
      <c r="AW1054" s="17"/>
      <c r="AX1054" s="17"/>
      <c r="AY1054" s="17"/>
      <c r="AZ1054" s="17"/>
      <c r="BA1054" s="17"/>
      <c r="BB1054" s="17"/>
      <c r="BC1054" s="17"/>
      <c r="BD1054" s="17"/>
      <c r="BE1054" s="17"/>
      <c r="BF1054" s="17"/>
      <c r="BG1054" s="17"/>
      <c r="BH1054" s="17"/>
      <c r="BI1054" s="17"/>
      <c r="BJ1054" s="17"/>
      <c r="BK1054" s="17"/>
      <c r="BL1054" s="17"/>
      <c r="BM1054" s="17"/>
      <c r="BN1054" s="17"/>
      <c r="BO1054" s="17"/>
      <c r="BP1054" s="17"/>
      <c r="BQ1054" s="17"/>
      <c r="BR1054" s="17"/>
      <c r="BS1054" s="17"/>
      <c r="BT1054" s="17"/>
      <c r="BU1054" s="17"/>
      <c r="BV1054" s="17"/>
      <c r="BW1054" s="17"/>
      <c r="BX1054" s="17"/>
    </row>
    <row r="1055" customHeight="1" spans="1:76">
      <c r="A1055" s="17"/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17"/>
      <c r="AP1055" s="17"/>
      <c r="AQ1055" s="17"/>
      <c r="AR1055" s="17"/>
      <c r="AS1055" s="17"/>
      <c r="AT1055" s="17"/>
      <c r="AU1055" s="17"/>
      <c r="AV1055" s="17"/>
      <c r="AW1055" s="17"/>
      <c r="AX1055" s="17"/>
      <c r="AY1055" s="17"/>
      <c r="AZ1055" s="17"/>
      <c r="BA1055" s="17"/>
      <c r="BB1055" s="17"/>
      <c r="BC1055" s="17"/>
      <c r="BD1055" s="17"/>
      <c r="BE1055" s="17"/>
      <c r="BF1055" s="17"/>
      <c r="BG1055" s="17"/>
      <c r="BH1055" s="17"/>
      <c r="BI1055" s="17"/>
      <c r="BJ1055" s="17"/>
      <c r="BK1055" s="17"/>
      <c r="BL1055" s="17"/>
      <c r="BM1055" s="17"/>
      <c r="BN1055" s="17"/>
      <c r="BO1055" s="17"/>
      <c r="BP1055" s="17"/>
      <c r="BQ1055" s="17"/>
      <c r="BR1055" s="17"/>
      <c r="BS1055" s="17"/>
      <c r="BT1055" s="17"/>
      <c r="BU1055" s="17"/>
      <c r="BV1055" s="17"/>
      <c r="BW1055" s="17"/>
      <c r="BX1055" s="17"/>
    </row>
    <row r="1056" customHeight="1" spans="1:76">
      <c r="A1056" s="17"/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s="17"/>
      <c r="AP1056" s="17"/>
      <c r="AQ1056" s="17"/>
      <c r="AR1056" s="17"/>
      <c r="AS1056" s="17"/>
      <c r="AT1056" s="17"/>
      <c r="AU1056" s="17"/>
      <c r="AV1056" s="17"/>
      <c r="AW1056" s="17"/>
      <c r="AX1056" s="17"/>
      <c r="AY1056" s="17"/>
      <c r="AZ1056" s="17"/>
      <c r="BA1056" s="17"/>
      <c r="BB1056" s="17"/>
      <c r="BC1056" s="17"/>
      <c r="BD1056" s="17"/>
      <c r="BE1056" s="17"/>
      <c r="BF1056" s="17"/>
      <c r="BG1056" s="17"/>
      <c r="BH1056" s="17"/>
      <c r="BI1056" s="17"/>
      <c r="BJ1056" s="17"/>
      <c r="BK1056" s="17"/>
      <c r="BL1056" s="17"/>
      <c r="BM1056" s="17"/>
      <c r="BN1056" s="17"/>
      <c r="BO1056" s="17"/>
      <c r="BP1056" s="17"/>
      <c r="BQ1056" s="17"/>
      <c r="BR1056" s="17"/>
      <c r="BS1056" s="17"/>
      <c r="BT1056" s="17"/>
      <c r="BU1056" s="17"/>
      <c r="BV1056" s="17"/>
      <c r="BW1056" s="17"/>
      <c r="BX1056" s="17"/>
    </row>
    <row r="1057" customHeight="1" spans="1:76">
      <c r="A1057" s="17"/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/>
      <c r="AK1057" s="17"/>
      <c r="AL1057" s="17"/>
      <c r="AM1057" s="17"/>
      <c r="AN1057" s="17"/>
      <c r="AO1057" s="17"/>
      <c r="AP1057" s="17"/>
      <c r="AQ1057" s="17"/>
      <c r="AR1057" s="17"/>
      <c r="AS1057" s="17"/>
      <c r="AT1057" s="17"/>
      <c r="AU1057" s="17"/>
      <c r="AV1057" s="17"/>
      <c r="AW1057" s="17"/>
      <c r="AX1057" s="17"/>
      <c r="AY1057" s="17"/>
      <c r="AZ1057" s="17"/>
      <c r="BA1057" s="17"/>
      <c r="BB1057" s="17"/>
      <c r="BC1057" s="17"/>
      <c r="BD1057" s="17"/>
      <c r="BE1057" s="17"/>
      <c r="BF1057" s="17"/>
      <c r="BG1057" s="17"/>
      <c r="BH1057" s="17"/>
      <c r="BI1057" s="17"/>
      <c r="BJ1057" s="17"/>
      <c r="BK1057" s="17"/>
      <c r="BL1057" s="17"/>
      <c r="BM1057" s="17"/>
      <c r="BN1057" s="17"/>
      <c r="BO1057" s="17"/>
      <c r="BP1057" s="17"/>
      <c r="BQ1057" s="17"/>
      <c r="BR1057" s="17"/>
      <c r="BS1057" s="17"/>
      <c r="BT1057" s="17"/>
      <c r="BU1057" s="17"/>
      <c r="BV1057" s="17"/>
      <c r="BW1057" s="17"/>
      <c r="BX1057" s="17"/>
    </row>
    <row r="1058" customHeight="1" spans="1:76">
      <c r="A1058" s="17"/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7"/>
      <c r="AL1058" s="17"/>
      <c r="AM1058" s="17"/>
      <c r="AN1058" s="17"/>
      <c r="AO1058" s="17"/>
      <c r="AP1058" s="17"/>
      <c r="AQ1058" s="17"/>
      <c r="AR1058" s="17"/>
      <c r="AS1058" s="17"/>
      <c r="AT1058" s="17"/>
      <c r="AU1058" s="17"/>
      <c r="AV1058" s="17"/>
      <c r="AW1058" s="17"/>
      <c r="AX1058" s="17"/>
      <c r="AY1058" s="17"/>
      <c r="AZ1058" s="17"/>
      <c r="BA1058" s="17"/>
      <c r="BB1058" s="17"/>
      <c r="BC1058" s="17"/>
      <c r="BD1058" s="17"/>
      <c r="BE1058" s="17"/>
      <c r="BF1058" s="17"/>
      <c r="BG1058" s="17"/>
      <c r="BH1058" s="17"/>
      <c r="BI1058" s="17"/>
      <c r="BJ1058" s="17"/>
      <c r="BK1058" s="17"/>
      <c r="BL1058" s="17"/>
      <c r="BM1058" s="17"/>
      <c r="BN1058" s="17"/>
      <c r="BO1058" s="17"/>
      <c r="BP1058" s="17"/>
      <c r="BQ1058" s="17"/>
      <c r="BR1058" s="17"/>
      <c r="BS1058" s="17"/>
      <c r="BT1058" s="17"/>
      <c r="BU1058" s="17"/>
      <c r="BV1058" s="17"/>
      <c r="BW1058" s="17"/>
      <c r="BX1058" s="17"/>
    </row>
    <row r="1059" customHeight="1" spans="1:76">
      <c r="A1059" s="17"/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17"/>
      <c r="AP1059" s="17"/>
      <c r="AQ1059" s="17"/>
      <c r="AR1059" s="17"/>
      <c r="AS1059" s="17"/>
      <c r="AT1059" s="17"/>
      <c r="AU1059" s="17"/>
      <c r="AV1059" s="17"/>
      <c r="AW1059" s="17"/>
      <c r="AX1059" s="17"/>
      <c r="AY1059" s="17"/>
      <c r="AZ1059" s="17"/>
      <c r="BA1059" s="17"/>
      <c r="BB1059" s="17"/>
      <c r="BC1059" s="17"/>
      <c r="BD1059" s="17"/>
      <c r="BE1059" s="17"/>
      <c r="BF1059" s="17"/>
      <c r="BG1059" s="17"/>
      <c r="BH1059" s="17"/>
      <c r="BI1059" s="17"/>
      <c r="BJ1059" s="17"/>
      <c r="BK1059" s="17"/>
      <c r="BL1059" s="17"/>
      <c r="BM1059" s="17"/>
      <c r="BN1059" s="17"/>
      <c r="BO1059" s="17"/>
      <c r="BP1059" s="17"/>
      <c r="BQ1059" s="17"/>
      <c r="BR1059" s="17"/>
      <c r="BS1059" s="17"/>
      <c r="BT1059" s="17"/>
      <c r="BU1059" s="17"/>
      <c r="BV1059" s="17"/>
      <c r="BW1059" s="17"/>
      <c r="BX1059" s="17"/>
    </row>
    <row r="1060" customHeight="1" spans="1:76">
      <c r="A1060" s="17"/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7"/>
      <c r="AI1060" s="17"/>
      <c r="AJ1060" s="17"/>
      <c r="AK1060" s="17"/>
      <c r="AL1060" s="17"/>
      <c r="AM1060" s="17"/>
      <c r="AN1060" s="17"/>
      <c r="AO1060" s="17"/>
      <c r="AP1060" s="17"/>
      <c r="AQ1060" s="17"/>
      <c r="AR1060" s="17"/>
      <c r="AS1060" s="17"/>
      <c r="AT1060" s="17"/>
      <c r="AU1060" s="17"/>
      <c r="AV1060" s="17"/>
      <c r="AW1060" s="17"/>
      <c r="AX1060" s="17"/>
      <c r="AY1060" s="17"/>
      <c r="AZ1060" s="17"/>
      <c r="BA1060" s="17"/>
      <c r="BB1060" s="17"/>
      <c r="BC1060" s="17"/>
      <c r="BD1060" s="17"/>
      <c r="BE1060" s="17"/>
      <c r="BF1060" s="17"/>
      <c r="BG1060" s="17"/>
      <c r="BH1060" s="17"/>
      <c r="BI1060" s="17"/>
      <c r="BJ1060" s="17"/>
      <c r="BK1060" s="17"/>
      <c r="BL1060" s="17"/>
      <c r="BM1060" s="17"/>
      <c r="BN1060" s="17"/>
      <c r="BO1060" s="17"/>
      <c r="BP1060" s="17"/>
      <c r="BQ1060" s="17"/>
      <c r="BR1060" s="17"/>
      <c r="BS1060" s="17"/>
      <c r="BT1060" s="17"/>
      <c r="BU1060" s="17"/>
      <c r="BV1060" s="17"/>
      <c r="BW1060" s="17"/>
      <c r="BX1060" s="17"/>
    </row>
    <row r="1061" customHeight="1" spans="1:76">
      <c r="A1061" s="17"/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17"/>
      <c r="AP1061" s="17"/>
      <c r="AQ1061" s="17"/>
      <c r="AR1061" s="17"/>
      <c r="AS1061" s="17"/>
      <c r="AT1061" s="17"/>
      <c r="AU1061" s="17"/>
      <c r="AV1061" s="17"/>
      <c r="AW1061" s="17"/>
      <c r="AX1061" s="17"/>
      <c r="AY1061" s="17"/>
      <c r="AZ1061" s="17"/>
      <c r="BA1061" s="17"/>
      <c r="BB1061" s="17"/>
      <c r="BC1061" s="17"/>
      <c r="BD1061" s="17"/>
      <c r="BE1061" s="17"/>
      <c r="BF1061" s="17"/>
      <c r="BG1061" s="17"/>
      <c r="BH1061" s="17"/>
      <c r="BI1061" s="17"/>
      <c r="BJ1061" s="17"/>
      <c r="BK1061" s="17"/>
      <c r="BL1061" s="17"/>
      <c r="BM1061" s="17"/>
      <c r="BN1061" s="17"/>
      <c r="BO1061" s="17"/>
      <c r="BP1061" s="17"/>
      <c r="BQ1061" s="17"/>
      <c r="BR1061" s="17"/>
      <c r="BS1061" s="17"/>
      <c r="BT1061" s="17"/>
      <c r="BU1061" s="17"/>
      <c r="BV1061" s="17"/>
      <c r="BW1061" s="17"/>
      <c r="BX1061" s="17"/>
    </row>
    <row r="1062" customHeight="1" spans="1:76">
      <c r="A1062" s="17"/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7"/>
      <c r="AI1062" s="17"/>
      <c r="AJ1062" s="17"/>
      <c r="AK1062" s="17"/>
      <c r="AL1062" s="17"/>
      <c r="AM1062" s="17"/>
      <c r="AN1062" s="17"/>
      <c r="AO1062" s="17"/>
      <c r="AP1062" s="17"/>
      <c r="AQ1062" s="17"/>
      <c r="AR1062" s="17"/>
      <c r="AS1062" s="17"/>
      <c r="AT1062" s="17"/>
      <c r="AU1062" s="17"/>
      <c r="AV1062" s="17"/>
      <c r="AW1062" s="17"/>
      <c r="AX1062" s="17"/>
      <c r="AY1062" s="17"/>
      <c r="AZ1062" s="17"/>
      <c r="BA1062" s="17"/>
      <c r="BB1062" s="17"/>
      <c r="BC1062" s="17"/>
      <c r="BD1062" s="17"/>
      <c r="BE1062" s="17"/>
      <c r="BF1062" s="17"/>
      <c r="BG1062" s="17"/>
      <c r="BH1062" s="17"/>
      <c r="BI1062" s="17"/>
      <c r="BJ1062" s="17"/>
      <c r="BK1062" s="17"/>
      <c r="BL1062" s="17"/>
      <c r="BM1062" s="17"/>
      <c r="BN1062" s="17"/>
      <c r="BO1062" s="17"/>
      <c r="BP1062" s="17"/>
      <c r="BQ1062" s="17"/>
      <c r="BR1062" s="17"/>
      <c r="BS1062" s="17"/>
      <c r="BT1062" s="17"/>
      <c r="BU1062" s="17"/>
      <c r="BV1062" s="17"/>
      <c r="BW1062" s="17"/>
      <c r="BX1062" s="17"/>
    </row>
    <row r="1063" customHeight="1" spans="1:76">
      <c r="A1063" s="17"/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17"/>
      <c r="AP1063" s="17"/>
      <c r="AQ1063" s="17"/>
      <c r="AR1063" s="17"/>
      <c r="AS1063" s="17"/>
      <c r="AT1063" s="17"/>
      <c r="AU1063" s="17"/>
      <c r="AV1063" s="17"/>
      <c r="AW1063" s="17"/>
      <c r="AX1063" s="17"/>
      <c r="AY1063" s="17"/>
      <c r="AZ1063" s="17"/>
      <c r="BA1063" s="17"/>
      <c r="BB1063" s="17"/>
      <c r="BC1063" s="17"/>
      <c r="BD1063" s="17"/>
      <c r="BE1063" s="17"/>
      <c r="BF1063" s="17"/>
      <c r="BG1063" s="17"/>
      <c r="BH1063" s="17"/>
      <c r="BI1063" s="17"/>
      <c r="BJ1063" s="17"/>
      <c r="BK1063" s="17"/>
      <c r="BL1063" s="17"/>
      <c r="BM1063" s="17"/>
      <c r="BN1063" s="17"/>
      <c r="BO1063" s="17"/>
      <c r="BP1063" s="17"/>
      <c r="BQ1063" s="17"/>
      <c r="BR1063" s="17"/>
      <c r="BS1063" s="17"/>
      <c r="BT1063" s="17"/>
      <c r="BU1063" s="17"/>
      <c r="BV1063" s="17"/>
      <c r="BW1063" s="17"/>
      <c r="BX1063" s="17"/>
    </row>
    <row r="1064" customHeight="1" spans="1:76">
      <c r="A1064" s="17"/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s="17"/>
      <c r="AP1064" s="17"/>
      <c r="AQ1064" s="17"/>
      <c r="AR1064" s="17"/>
      <c r="AS1064" s="17"/>
      <c r="AT1064" s="17"/>
      <c r="AU1064" s="17"/>
      <c r="AV1064" s="17"/>
      <c r="AW1064" s="17"/>
      <c r="AX1064" s="17"/>
      <c r="AY1064" s="17"/>
      <c r="AZ1064" s="17"/>
      <c r="BA1064" s="17"/>
      <c r="BB1064" s="17"/>
      <c r="BC1064" s="17"/>
      <c r="BD1064" s="17"/>
      <c r="BE1064" s="17"/>
      <c r="BF1064" s="17"/>
      <c r="BG1064" s="17"/>
      <c r="BH1064" s="17"/>
      <c r="BI1064" s="17"/>
      <c r="BJ1064" s="17"/>
      <c r="BK1064" s="17"/>
      <c r="BL1064" s="17"/>
      <c r="BM1064" s="17"/>
      <c r="BN1064" s="17"/>
      <c r="BO1064" s="17"/>
      <c r="BP1064" s="17"/>
      <c r="BQ1064" s="17"/>
      <c r="BR1064" s="17"/>
      <c r="BS1064" s="17"/>
      <c r="BT1064" s="17"/>
      <c r="BU1064" s="17"/>
      <c r="BV1064" s="17"/>
      <c r="BW1064" s="17"/>
      <c r="BX1064" s="17"/>
    </row>
    <row r="1065" customHeight="1" spans="1:76">
      <c r="A1065" s="17"/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17"/>
      <c r="AP1065" s="17"/>
      <c r="AQ1065" s="17"/>
      <c r="AR1065" s="17"/>
      <c r="AS1065" s="17"/>
      <c r="AT1065" s="17"/>
      <c r="AU1065" s="17"/>
      <c r="AV1065" s="17"/>
      <c r="AW1065" s="17"/>
      <c r="AX1065" s="17"/>
      <c r="AY1065" s="17"/>
      <c r="AZ1065" s="17"/>
      <c r="BA1065" s="17"/>
      <c r="BB1065" s="17"/>
      <c r="BC1065" s="17"/>
      <c r="BD1065" s="17"/>
      <c r="BE1065" s="17"/>
      <c r="BF1065" s="17"/>
      <c r="BG1065" s="17"/>
      <c r="BH1065" s="17"/>
      <c r="BI1065" s="17"/>
      <c r="BJ1065" s="17"/>
      <c r="BK1065" s="17"/>
      <c r="BL1065" s="17"/>
      <c r="BM1065" s="17"/>
      <c r="BN1065" s="17"/>
      <c r="BO1065" s="17"/>
      <c r="BP1065" s="17"/>
      <c r="BQ1065" s="17"/>
      <c r="BR1065" s="17"/>
      <c r="BS1065" s="17"/>
      <c r="BT1065" s="17"/>
      <c r="BU1065" s="17"/>
      <c r="BV1065" s="17"/>
      <c r="BW1065" s="17"/>
      <c r="BX1065" s="17"/>
    </row>
    <row r="1066" customHeight="1" spans="1:76">
      <c r="A1066" s="17"/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s="17"/>
      <c r="AP1066" s="17"/>
      <c r="AQ1066" s="17"/>
      <c r="AR1066" s="17"/>
      <c r="AS1066" s="17"/>
      <c r="AT1066" s="17"/>
      <c r="AU1066" s="17"/>
      <c r="AV1066" s="17"/>
      <c r="AW1066" s="17"/>
      <c r="AX1066" s="17"/>
      <c r="AY1066" s="17"/>
      <c r="AZ1066" s="17"/>
      <c r="BA1066" s="17"/>
      <c r="BB1066" s="17"/>
      <c r="BC1066" s="17"/>
      <c r="BD1066" s="17"/>
      <c r="BE1066" s="17"/>
      <c r="BF1066" s="17"/>
      <c r="BG1066" s="17"/>
      <c r="BH1066" s="17"/>
      <c r="BI1066" s="17"/>
      <c r="BJ1066" s="17"/>
      <c r="BK1066" s="17"/>
      <c r="BL1066" s="17"/>
      <c r="BM1066" s="17"/>
      <c r="BN1066" s="17"/>
      <c r="BO1066" s="17"/>
      <c r="BP1066" s="17"/>
      <c r="BQ1066" s="17"/>
      <c r="BR1066" s="17"/>
      <c r="BS1066" s="17"/>
      <c r="BT1066" s="17"/>
      <c r="BU1066" s="17"/>
      <c r="BV1066" s="17"/>
      <c r="BW1066" s="17"/>
      <c r="BX1066" s="17"/>
    </row>
    <row r="1067" customHeight="1" spans="1:76">
      <c r="A1067" s="17"/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s="17"/>
      <c r="AP1067" s="17"/>
      <c r="AQ1067" s="17"/>
      <c r="AR1067" s="17"/>
      <c r="AS1067" s="17"/>
      <c r="AT1067" s="17"/>
      <c r="AU1067" s="17"/>
      <c r="AV1067" s="17"/>
      <c r="AW1067" s="17"/>
      <c r="AX1067" s="17"/>
      <c r="AY1067" s="17"/>
      <c r="AZ1067" s="17"/>
      <c r="BA1067" s="17"/>
      <c r="BB1067" s="17"/>
      <c r="BC1067" s="17"/>
      <c r="BD1067" s="17"/>
      <c r="BE1067" s="17"/>
      <c r="BF1067" s="17"/>
      <c r="BG1067" s="17"/>
      <c r="BH1067" s="17"/>
      <c r="BI1067" s="17"/>
      <c r="BJ1067" s="17"/>
      <c r="BK1067" s="17"/>
      <c r="BL1067" s="17"/>
      <c r="BM1067" s="17"/>
      <c r="BN1067" s="17"/>
      <c r="BO1067" s="17"/>
      <c r="BP1067" s="17"/>
      <c r="BQ1067" s="17"/>
      <c r="BR1067" s="17"/>
      <c r="BS1067" s="17"/>
      <c r="BT1067" s="17"/>
      <c r="BU1067" s="17"/>
      <c r="BV1067" s="17"/>
      <c r="BW1067" s="17"/>
      <c r="BX1067" s="17"/>
    </row>
    <row r="1068" customHeight="1" spans="1:76">
      <c r="A1068" s="17"/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17"/>
      <c r="AP1068" s="17"/>
      <c r="AQ1068" s="17"/>
      <c r="AR1068" s="17"/>
      <c r="AS1068" s="17"/>
      <c r="AT1068" s="17"/>
      <c r="AU1068" s="17"/>
      <c r="AV1068" s="17"/>
      <c r="AW1068" s="17"/>
      <c r="AX1068" s="17"/>
      <c r="AY1068" s="17"/>
      <c r="AZ1068" s="17"/>
      <c r="BA1068" s="17"/>
      <c r="BB1068" s="17"/>
      <c r="BC1068" s="17"/>
      <c r="BD1068" s="17"/>
      <c r="BE1068" s="17"/>
      <c r="BF1068" s="17"/>
      <c r="BG1068" s="17"/>
      <c r="BH1068" s="17"/>
      <c r="BI1068" s="17"/>
      <c r="BJ1068" s="17"/>
      <c r="BK1068" s="17"/>
      <c r="BL1068" s="17"/>
      <c r="BM1068" s="17"/>
      <c r="BN1068" s="17"/>
      <c r="BO1068" s="17"/>
      <c r="BP1068" s="17"/>
      <c r="BQ1068" s="17"/>
      <c r="BR1068" s="17"/>
      <c r="BS1068" s="17"/>
      <c r="BT1068" s="17"/>
      <c r="BU1068" s="17"/>
      <c r="BV1068" s="17"/>
      <c r="BW1068" s="17"/>
      <c r="BX1068" s="17"/>
    </row>
    <row r="1069" customHeight="1" spans="1:76">
      <c r="A1069" s="17"/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s="17"/>
      <c r="AP1069" s="17"/>
      <c r="AQ1069" s="17"/>
      <c r="AR1069" s="17"/>
      <c r="AS1069" s="17"/>
      <c r="AT1069" s="17"/>
      <c r="AU1069" s="17"/>
      <c r="AV1069" s="17"/>
      <c r="AW1069" s="17"/>
      <c r="AX1069" s="17"/>
      <c r="AY1069" s="17"/>
      <c r="AZ1069" s="17"/>
      <c r="BA1069" s="17"/>
      <c r="BB1069" s="17"/>
      <c r="BC1069" s="17"/>
      <c r="BD1069" s="17"/>
      <c r="BE1069" s="17"/>
      <c r="BF1069" s="17"/>
      <c r="BG1069" s="17"/>
      <c r="BH1069" s="17"/>
      <c r="BI1069" s="17"/>
      <c r="BJ1069" s="17"/>
      <c r="BK1069" s="17"/>
      <c r="BL1069" s="17"/>
      <c r="BM1069" s="17"/>
      <c r="BN1069" s="17"/>
      <c r="BO1069" s="17"/>
      <c r="BP1069" s="17"/>
      <c r="BQ1069" s="17"/>
      <c r="BR1069" s="17"/>
      <c r="BS1069" s="17"/>
      <c r="BT1069" s="17"/>
      <c r="BU1069" s="17"/>
      <c r="BV1069" s="17"/>
      <c r="BW1069" s="17"/>
      <c r="BX1069" s="17"/>
    </row>
    <row r="1070" customHeight="1" spans="1:76">
      <c r="A1070" s="17"/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/>
      <c r="AO1070" s="17"/>
      <c r="AP1070" s="17"/>
      <c r="AQ1070" s="17"/>
      <c r="AR1070" s="17"/>
      <c r="AS1070" s="17"/>
      <c r="AT1070" s="17"/>
      <c r="AU1070" s="17"/>
      <c r="AV1070" s="17"/>
      <c r="AW1070" s="17"/>
      <c r="AX1070" s="17"/>
      <c r="AY1070" s="17"/>
      <c r="AZ1070" s="17"/>
      <c r="BA1070" s="17"/>
      <c r="BB1070" s="17"/>
      <c r="BC1070" s="17"/>
      <c r="BD1070" s="17"/>
      <c r="BE1070" s="17"/>
      <c r="BF1070" s="17"/>
      <c r="BG1070" s="17"/>
      <c r="BH1070" s="17"/>
      <c r="BI1070" s="17"/>
      <c r="BJ1070" s="17"/>
      <c r="BK1070" s="17"/>
      <c r="BL1070" s="17"/>
      <c r="BM1070" s="17"/>
      <c r="BN1070" s="17"/>
      <c r="BO1070" s="17"/>
      <c r="BP1070" s="17"/>
      <c r="BQ1070" s="17"/>
      <c r="BR1070" s="17"/>
      <c r="BS1070" s="17"/>
      <c r="BT1070" s="17"/>
      <c r="BU1070" s="17"/>
      <c r="BV1070" s="17"/>
      <c r="BW1070" s="17"/>
      <c r="BX1070" s="17"/>
    </row>
    <row r="1071" customHeight="1" spans="1:76">
      <c r="A1071" s="17"/>
      <c r="B1071" s="17"/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  <c r="AK1071" s="17"/>
      <c r="AL1071" s="17"/>
      <c r="AM1071" s="17"/>
      <c r="AN1071" s="17"/>
      <c r="AO1071" s="17"/>
      <c r="AP1071" s="17"/>
      <c r="AQ1071" s="17"/>
      <c r="AR1071" s="17"/>
      <c r="AS1071" s="17"/>
      <c r="AT1071" s="17"/>
      <c r="AU1071" s="17"/>
      <c r="AV1071" s="17"/>
      <c r="AW1071" s="17"/>
      <c r="AX1071" s="17"/>
      <c r="AY1071" s="17"/>
      <c r="AZ1071" s="17"/>
      <c r="BA1071" s="17"/>
      <c r="BB1071" s="17"/>
      <c r="BC1071" s="17"/>
      <c r="BD1071" s="17"/>
      <c r="BE1071" s="17"/>
      <c r="BF1071" s="17"/>
      <c r="BG1071" s="17"/>
      <c r="BH1071" s="17"/>
      <c r="BI1071" s="17"/>
      <c r="BJ1071" s="17"/>
      <c r="BK1071" s="17"/>
      <c r="BL1071" s="17"/>
      <c r="BM1071" s="17"/>
      <c r="BN1071" s="17"/>
      <c r="BO1071" s="17"/>
      <c r="BP1071" s="17"/>
      <c r="BQ1071" s="17"/>
      <c r="BR1071" s="17"/>
      <c r="BS1071" s="17"/>
      <c r="BT1071" s="17"/>
      <c r="BU1071" s="17"/>
      <c r="BV1071" s="17"/>
      <c r="BW1071" s="17"/>
      <c r="BX1071" s="17"/>
    </row>
    <row r="1072" customHeight="1" spans="1:76">
      <c r="A1072" s="17"/>
      <c r="B1072" s="17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s="17"/>
      <c r="AP1072" s="17"/>
      <c r="AQ1072" s="17"/>
      <c r="AR1072" s="17"/>
      <c r="AS1072" s="17"/>
      <c r="AT1072" s="17"/>
      <c r="AU1072" s="17"/>
      <c r="AV1072" s="17"/>
      <c r="AW1072" s="17"/>
      <c r="AX1072" s="17"/>
      <c r="AY1072" s="17"/>
      <c r="AZ1072" s="17"/>
      <c r="BA1072" s="17"/>
      <c r="BB1072" s="17"/>
      <c r="BC1072" s="17"/>
      <c r="BD1072" s="17"/>
      <c r="BE1072" s="17"/>
      <c r="BF1072" s="17"/>
      <c r="BG1072" s="17"/>
      <c r="BH1072" s="17"/>
      <c r="BI1072" s="17"/>
      <c r="BJ1072" s="17"/>
      <c r="BK1072" s="17"/>
      <c r="BL1072" s="17"/>
      <c r="BM1072" s="17"/>
      <c r="BN1072" s="17"/>
      <c r="BO1072" s="17"/>
      <c r="BP1072" s="17"/>
      <c r="BQ1072" s="17"/>
      <c r="BR1072" s="17"/>
      <c r="BS1072" s="17"/>
      <c r="BT1072" s="17"/>
      <c r="BU1072" s="17"/>
      <c r="BV1072" s="17"/>
      <c r="BW1072" s="17"/>
      <c r="BX1072" s="17"/>
    </row>
    <row r="1073" customHeight="1" spans="1:76">
      <c r="A1073" s="17"/>
      <c r="B1073" s="17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17"/>
      <c r="AQ1073" s="17"/>
      <c r="AR1073" s="17"/>
      <c r="AS1073" s="17"/>
      <c r="AT1073" s="17"/>
      <c r="AU1073" s="17"/>
      <c r="AV1073" s="17"/>
      <c r="AW1073" s="17"/>
      <c r="AX1073" s="17"/>
      <c r="AY1073" s="17"/>
      <c r="AZ1073" s="17"/>
      <c r="BA1073" s="17"/>
      <c r="BB1073" s="17"/>
      <c r="BC1073" s="17"/>
      <c r="BD1073" s="17"/>
      <c r="BE1073" s="17"/>
      <c r="BF1073" s="17"/>
      <c r="BG1073" s="17"/>
      <c r="BH1073" s="17"/>
      <c r="BI1073" s="17"/>
      <c r="BJ1073" s="17"/>
      <c r="BK1073" s="17"/>
      <c r="BL1073" s="17"/>
      <c r="BM1073" s="17"/>
      <c r="BN1073" s="17"/>
      <c r="BO1073" s="17"/>
      <c r="BP1073" s="17"/>
      <c r="BQ1073" s="17"/>
      <c r="BR1073" s="17"/>
      <c r="BS1073" s="17"/>
      <c r="BT1073" s="17"/>
      <c r="BU1073" s="17"/>
      <c r="BV1073" s="17"/>
      <c r="BW1073" s="17"/>
      <c r="BX1073" s="17"/>
    </row>
    <row r="1074" customHeight="1" spans="1:76">
      <c r="A1074" s="17"/>
      <c r="B1074" s="17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17"/>
      <c r="AP1074" s="17"/>
      <c r="AQ1074" s="17"/>
      <c r="AR1074" s="17"/>
      <c r="AS1074" s="17"/>
      <c r="AT1074" s="17"/>
      <c r="AU1074" s="17"/>
      <c r="AV1074" s="17"/>
      <c r="AW1074" s="17"/>
      <c r="AX1074" s="17"/>
      <c r="AY1074" s="17"/>
      <c r="AZ1074" s="17"/>
      <c r="BA1074" s="17"/>
      <c r="BB1074" s="17"/>
      <c r="BC1074" s="17"/>
      <c r="BD1074" s="17"/>
      <c r="BE1074" s="17"/>
      <c r="BF1074" s="17"/>
      <c r="BG1074" s="17"/>
      <c r="BH1074" s="17"/>
      <c r="BI1074" s="17"/>
      <c r="BJ1074" s="17"/>
      <c r="BK1074" s="17"/>
      <c r="BL1074" s="17"/>
      <c r="BM1074" s="17"/>
      <c r="BN1074" s="17"/>
      <c r="BO1074" s="17"/>
      <c r="BP1074" s="17"/>
      <c r="BQ1074" s="17"/>
      <c r="BR1074" s="17"/>
      <c r="BS1074" s="17"/>
      <c r="BT1074" s="17"/>
      <c r="BU1074" s="17"/>
      <c r="BV1074" s="17"/>
      <c r="BW1074" s="17"/>
      <c r="BX1074" s="17"/>
    </row>
    <row r="1075" customHeight="1" spans="1:76">
      <c r="A1075" s="17"/>
      <c r="B1075" s="17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/>
      <c r="AO1075" s="17"/>
      <c r="AP1075" s="17"/>
      <c r="AQ1075" s="17"/>
      <c r="AR1075" s="17"/>
      <c r="AS1075" s="17"/>
      <c r="AT1075" s="17"/>
      <c r="AU1075" s="17"/>
      <c r="AV1075" s="17"/>
      <c r="AW1075" s="17"/>
      <c r="AX1075" s="17"/>
      <c r="AY1075" s="17"/>
      <c r="AZ1075" s="17"/>
      <c r="BA1075" s="17"/>
      <c r="BB1075" s="17"/>
      <c r="BC1075" s="17"/>
      <c r="BD1075" s="17"/>
      <c r="BE1075" s="17"/>
      <c r="BF1075" s="17"/>
      <c r="BG1075" s="17"/>
      <c r="BH1075" s="17"/>
      <c r="BI1075" s="17"/>
      <c r="BJ1075" s="17"/>
      <c r="BK1075" s="17"/>
      <c r="BL1075" s="17"/>
      <c r="BM1075" s="17"/>
      <c r="BN1075" s="17"/>
      <c r="BO1075" s="17"/>
      <c r="BP1075" s="17"/>
      <c r="BQ1075" s="17"/>
      <c r="BR1075" s="17"/>
      <c r="BS1075" s="17"/>
      <c r="BT1075" s="17"/>
      <c r="BU1075" s="17"/>
      <c r="BV1075" s="17"/>
      <c r="BW1075" s="17"/>
      <c r="BX1075" s="17"/>
    </row>
    <row r="1076" customHeight="1" spans="1:76">
      <c r="A1076" s="17"/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s="17"/>
      <c r="AP1076" s="17"/>
      <c r="AQ1076" s="17"/>
      <c r="AR1076" s="17"/>
      <c r="AS1076" s="17"/>
      <c r="AT1076" s="17"/>
      <c r="AU1076" s="17"/>
      <c r="AV1076" s="17"/>
      <c r="AW1076" s="17"/>
      <c r="AX1076" s="17"/>
      <c r="AY1076" s="17"/>
      <c r="AZ1076" s="17"/>
      <c r="BA1076" s="17"/>
      <c r="BB1076" s="17"/>
      <c r="BC1076" s="17"/>
      <c r="BD1076" s="17"/>
      <c r="BE1076" s="17"/>
      <c r="BF1076" s="17"/>
      <c r="BG1076" s="17"/>
      <c r="BH1076" s="17"/>
      <c r="BI1076" s="17"/>
      <c r="BJ1076" s="17"/>
      <c r="BK1076" s="17"/>
      <c r="BL1076" s="17"/>
      <c r="BM1076" s="17"/>
      <c r="BN1076" s="17"/>
      <c r="BO1076" s="17"/>
      <c r="BP1076" s="17"/>
      <c r="BQ1076" s="17"/>
      <c r="BR1076" s="17"/>
      <c r="BS1076" s="17"/>
      <c r="BT1076" s="17"/>
      <c r="BU1076" s="17"/>
      <c r="BV1076" s="17"/>
      <c r="BW1076" s="17"/>
      <c r="BX1076" s="17"/>
    </row>
    <row r="1077" customHeight="1" spans="1:76">
      <c r="A1077" s="17"/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s="17"/>
      <c r="AP1077" s="17"/>
      <c r="AQ1077" s="17"/>
      <c r="AR1077" s="17"/>
      <c r="AS1077" s="17"/>
      <c r="AT1077" s="17"/>
      <c r="AU1077" s="17"/>
      <c r="AV1077" s="17"/>
      <c r="AW1077" s="17"/>
      <c r="AX1077" s="17"/>
      <c r="AY1077" s="17"/>
      <c r="AZ1077" s="17"/>
      <c r="BA1077" s="17"/>
      <c r="BB1077" s="17"/>
      <c r="BC1077" s="17"/>
      <c r="BD1077" s="17"/>
      <c r="BE1077" s="17"/>
      <c r="BF1077" s="17"/>
      <c r="BG1077" s="17"/>
      <c r="BH1077" s="17"/>
      <c r="BI1077" s="17"/>
      <c r="BJ1077" s="17"/>
      <c r="BK1077" s="17"/>
      <c r="BL1077" s="17"/>
      <c r="BM1077" s="17"/>
      <c r="BN1077" s="17"/>
      <c r="BO1077" s="17"/>
      <c r="BP1077" s="17"/>
      <c r="BQ1077" s="17"/>
      <c r="BR1077" s="17"/>
      <c r="BS1077" s="17"/>
      <c r="BT1077" s="17"/>
      <c r="BU1077" s="17"/>
      <c r="BV1077" s="17"/>
      <c r="BW1077" s="17"/>
      <c r="BX1077" s="17"/>
    </row>
    <row r="1078" customHeight="1" spans="1:76">
      <c r="A1078" s="17"/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/>
      <c r="AM1078" s="17"/>
      <c r="AN1078" s="17"/>
      <c r="AO1078" s="17"/>
      <c r="AP1078" s="17"/>
      <c r="AQ1078" s="17"/>
      <c r="AR1078" s="17"/>
      <c r="AS1078" s="17"/>
      <c r="AT1078" s="17"/>
      <c r="AU1078" s="17"/>
      <c r="AV1078" s="17"/>
      <c r="AW1078" s="17"/>
      <c r="AX1078" s="17"/>
      <c r="AY1078" s="17"/>
      <c r="AZ1078" s="17"/>
      <c r="BA1078" s="17"/>
      <c r="BB1078" s="17"/>
      <c r="BC1078" s="17"/>
      <c r="BD1078" s="17"/>
      <c r="BE1078" s="17"/>
      <c r="BF1078" s="17"/>
      <c r="BG1078" s="17"/>
      <c r="BH1078" s="17"/>
      <c r="BI1078" s="17"/>
      <c r="BJ1078" s="17"/>
      <c r="BK1078" s="17"/>
      <c r="BL1078" s="17"/>
      <c r="BM1078" s="17"/>
      <c r="BN1078" s="17"/>
      <c r="BO1078" s="17"/>
      <c r="BP1078" s="17"/>
      <c r="BQ1078" s="17"/>
      <c r="BR1078" s="17"/>
      <c r="BS1078" s="17"/>
      <c r="BT1078" s="17"/>
      <c r="BU1078" s="17"/>
      <c r="BV1078" s="17"/>
      <c r="BW1078" s="17"/>
      <c r="BX1078" s="17"/>
    </row>
    <row r="1079" customHeight="1" spans="1:76">
      <c r="A1079" s="17"/>
      <c r="B1079" s="17"/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17"/>
      <c r="AP1079" s="17"/>
      <c r="AQ1079" s="17"/>
      <c r="AR1079" s="17"/>
      <c r="AS1079" s="17"/>
      <c r="AT1079" s="17"/>
      <c r="AU1079" s="17"/>
      <c r="AV1079" s="17"/>
      <c r="AW1079" s="17"/>
      <c r="AX1079" s="17"/>
      <c r="AY1079" s="17"/>
      <c r="AZ1079" s="17"/>
      <c r="BA1079" s="17"/>
      <c r="BB1079" s="17"/>
      <c r="BC1079" s="17"/>
      <c r="BD1079" s="17"/>
      <c r="BE1079" s="17"/>
      <c r="BF1079" s="17"/>
      <c r="BG1079" s="17"/>
      <c r="BH1079" s="17"/>
      <c r="BI1079" s="17"/>
      <c r="BJ1079" s="17"/>
      <c r="BK1079" s="17"/>
      <c r="BL1079" s="17"/>
      <c r="BM1079" s="17"/>
      <c r="BN1079" s="17"/>
      <c r="BO1079" s="17"/>
      <c r="BP1079" s="17"/>
      <c r="BQ1079" s="17"/>
      <c r="BR1079" s="17"/>
      <c r="BS1079" s="17"/>
      <c r="BT1079" s="17"/>
      <c r="BU1079" s="17"/>
      <c r="BV1079" s="17"/>
      <c r="BW1079" s="17"/>
      <c r="BX1079" s="17"/>
    </row>
    <row r="1080" customHeight="1" spans="1:76">
      <c r="A1080" s="17"/>
      <c r="B1080" s="17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/>
      <c r="AN1080" s="17"/>
      <c r="AO1080" s="17"/>
      <c r="AP1080" s="17"/>
      <c r="AQ1080" s="17"/>
      <c r="AR1080" s="17"/>
      <c r="AS1080" s="17"/>
      <c r="AT1080" s="17"/>
      <c r="AU1080" s="17"/>
      <c r="AV1080" s="17"/>
      <c r="AW1080" s="17"/>
      <c r="AX1080" s="17"/>
      <c r="AY1080" s="17"/>
      <c r="AZ1080" s="17"/>
      <c r="BA1080" s="17"/>
      <c r="BB1080" s="17"/>
      <c r="BC1080" s="17"/>
      <c r="BD1080" s="17"/>
      <c r="BE1080" s="17"/>
      <c r="BF1080" s="17"/>
      <c r="BG1080" s="17"/>
      <c r="BH1080" s="17"/>
      <c r="BI1080" s="17"/>
      <c r="BJ1080" s="17"/>
      <c r="BK1080" s="17"/>
      <c r="BL1080" s="17"/>
      <c r="BM1080" s="17"/>
      <c r="BN1080" s="17"/>
      <c r="BO1080" s="17"/>
      <c r="BP1080" s="17"/>
      <c r="BQ1080" s="17"/>
      <c r="BR1080" s="17"/>
      <c r="BS1080" s="17"/>
      <c r="BT1080" s="17"/>
      <c r="BU1080" s="17"/>
      <c r="BV1080" s="17"/>
      <c r="BW1080" s="17"/>
      <c r="BX1080" s="17"/>
    </row>
    <row r="1081" customHeight="1" spans="1:76">
      <c r="A1081" s="17"/>
      <c r="B1081" s="17"/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  <c r="AH1081" s="17"/>
      <c r="AI1081" s="17"/>
      <c r="AJ1081" s="17"/>
      <c r="AK1081" s="17"/>
      <c r="AL1081" s="17"/>
      <c r="AM1081" s="17"/>
      <c r="AN1081" s="17"/>
      <c r="AO1081" s="17"/>
      <c r="AP1081" s="17"/>
      <c r="AQ1081" s="17"/>
      <c r="AR1081" s="17"/>
      <c r="AS1081" s="17"/>
      <c r="AT1081" s="17"/>
      <c r="AU1081" s="17"/>
      <c r="AV1081" s="17"/>
      <c r="AW1081" s="17"/>
      <c r="AX1081" s="17"/>
      <c r="AY1081" s="17"/>
      <c r="AZ1081" s="17"/>
      <c r="BA1081" s="17"/>
      <c r="BB1081" s="17"/>
      <c r="BC1081" s="17"/>
      <c r="BD1081" s="17"/>
      <c r="BE1081" s="17"/>
      <c r="BF1081" s="17"/>
      <c r="BG1081" s="17"/>
      <c r="BH1081" s="17"/>
      <c r="BI1081" s="17"/>
      <c r="BJ1081" s="17"/>
      <c r="BK1081" s="17"/>
      <c r="BL1081" s="17"/>
      <c r="BM1081" s="17"/>
      <c r="BN1081" s="17"/>
      <c r="BO1081" s="17"/>
      <c r="BP1081" s="17"/>
      <c r="BQ1081" s="17"/>
      <c r="BR1081" s="17"/>
      <c r="BS1081" s="17"/>
      <c r="BT1081" s="17"/>
      <c r="BU1081" s="17"/>
      <c r="BV1081" s="17"/>
      <c r="BW1081" s="17"/>
      <c r="BX1081" s="17"/>
    </row>
    <row r="1082" customHeight="1" spans="1:76">
      <c r="A1082" s="17"/>
      <c r="B1082" s="17"/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s="17"/>
      <c r="AP1082" s="17"/>
      <c r="AQ1082" s="17"/>
      <c r="AR1082" s="17"/>
      <c r="AS1082" s="17"/>
      <c r="AT1082" s="17"/>
      <c r="AU1082" s="17"/>
      <c r="AV1082" s="17"/>
      <c r="AW1082" s="17"/>
      <c r="AX1082" s="17"/>
      <c r="AY1082" s="17"/>
      <c r="AZ1082" s="17"/>
      <c r="BA1082" s="17"/>
      <c r="BB1082" s="17"/>
      <c r="BC1082" s="17"/>
      <c r="BD1082" s="17"/>
      <c r="BE1082" s="17"/>
      <c r="BF1082" s="17"/>
      <c r="BG1082" s="17"/>
      <c r="BH1082" s="17"/>
      <c r="BI1082" s="17"/>
      <c r="BJ1082" s="17"/>
      <c r="BK1082" s="17"/>
      <c r="BL1082" s="17"/>
      <c r="BM1082" s="17"/>
      <c r="BN1082" s="17"/>
      <c r="BO1082" s="17"/>
      <c r="BP1082" s="17"/>
      <c r="BQ1082" s="17"/>
      <c r="BR1082" s="17"/>
      <c r="BS1082" s="17"/>
      <c r="BT1082" s="17"/>
      <c r="BU1082" s="17"/>
      <c r="BV1082" s="17"/>
      <c r="BW1082" s="17"/>
      <c r="BX1082" s="17"/>
    </row>
    <row r="1083" customHeight="1" spans="1:76">
      <c r="A1083" s="17"/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17"/>
      <c r="AP1083" s="17"/>
      <c r="AQ1083" s="17"/>
      <c r="AR1083" s="17"/>
      <c r="AS1083" s="17"/>
      <c r="AT1083" s="17"/>
      <c r="AU1083" s="17"/>
      <c r="AV1083" s="17"/>
      <c r="AW1083" s="17"/>
      <c r="AX1083" s="17"/>
      <c r="AY1083" s="17"/>
      <c r="AZ1083" s="17"/>
      <c r="BA1083" s="17"/>
      <c r="BB1083" s="17"/>
      <c r="BC1083" s="17"/>
      <c r="BD1083" s="17"/>
      <c r="BE1083" s="17"/>
      <c r="BF1083" s="17"/>
      <c r="BG1083" s="17"/>
      <c r="BH1083" s="17"/>
      <c r="BI1083" s="17"/>
      <c r="BJ1083" s="17"/>
      <c r="BK1083" s="17"/>
      <c r="BL1083" s="17"/>
      <c r="BM1083" s="17"/>
      <c r="BN1083" s="17"/>
      <c r="BO1083" s="17"/>
      <c r="BP1083" s="17"/>
      <c r="BQ1083" s="17"/>
      <c r="BR1083" s="17"/>
      <c r="BS1083" s="17"/>
      <c r="BT1083" s="17"/>
      <c r="BU1083" s="17"/>
      <c r="BV1083" s="17"/>
      <c r="BW1083" s="17"/>
      <c r="BX1083" s="17"/>
    </row>
    <row r="1084" customHeight="1" spans="1:76">
      <c r="A1084" s="17"/>
      <c r="B1084" s="17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s="17"/>
      <c r="AP1084" s="17"/>
      <c r="AQ1084" s="17"/>
      <c r="AR1084" s="17"/>
      <c r="AS1084" s="17"/>
      <c r="AT1084" s="17"/>
      <c r="AU1084" s="17"/>
      <c r="AV1084" s="17"/>
      <c r="AW1084" s="17"/>
      <c r="AX1084" s="17"/>
      <c r="AY1084" s="17"/>
      <c r="AZ1084" s="17"/>
      <c r="BA1084" s="17"/>
      <c r="BB1084" s="17"/>
      <c r="BC1084" s="17"/>
      <c r="BD1084" s="17"/>
      <c r="BE1084" s="17"/>
      <c r="BF1084" s="17"/>
      <c r="BG1084" s="17"/>
      <c r="BH1084" s="17"/>
      <c r="BI1084" s="17"/>
      <c r="BJ1084" s="17"/>
      <c r="BK1084" s="17"/>
      <c r="BL1084" s="17"/>
      <c r="BM1084" s="17"/>
      <c r="BN1084" s="17"/>
      <c r="BO1084" s="17"/>
      <c r="BP1084" s="17"/>
      <c r="BQ1084" s="17"/>
      <c r="BR1084" s="17"/>
      <c r="BS1084" s="17"/>
      <c r="BT1084" s="17"/>
      <c r="BU1084" s="17"/>
      <c r="BV1084" s="17"/>
      <c r="BW1084" s="17"/>
      <c r="BX1084" s="17"/>
    </row>
    <row r="1085" customHeight="1" spans="1:76">
      <c r="A1085" s="17"/>
      <c r="B1085" s="17"/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/>
      <c r="AO1085" s="17"/>
      <c r="AP1085" s="17"/>
      <c r="AQ1085" s="17"/>
      <c r="AR1085" s="17"/>
      <c r="AS1085" s="17"/>
      <c r="AT1085" s="17"/>
      <c r="AU1085" s="17"/>
      <c r="AV1085" s="17"/>
      <c r="AW1085" s="17"/>
      <c r="AX1085" s="17"/>
      <c r="AY1085" s="17"/>
      <c r="AZ1085" s="17"/>
      <c r="BA1085" s="17"/>
      <c r="BB1085" s="17"/>
      <c r="BC1085" s="17"/>
      <c r="BD1085" s="17"/>
      <c r="BE1085" s="17"/>
      <c r="BF1085" s="17"/>
      <c r="BG1085" s="17"/>
      <c r="BH1085" s="17"/>
      <c r="BI1085" s="17"/>
      <c r="BJ1085" s="17"/>
      <c r="BK1085" s="17"/>
      <c r="BL1085" s="17"/>
      <c r="BM1085" s="17"/>
      <c r="BN1085" s="17"/>
      <c r="BO1085" s="17"/>
      <c r="BP1085" s="17"/>
      <c r="BQ1085" s="17"/>
      <c r="BR1085" s="17"/>
      <c r="BS1085" s="17"/>
      <c r="BT1085" s="17"/>
      <c r="BU1085" s="17"/>
      <c r="BV1085" s="17"/>
      <c r="BW1085" s="17"/>
      <c r="BX1085" s="17"/>
    </row>
    <row r="1086" customHeight="1" spans="1:76">
      <c r="A1086" s="17"/>
      <c r="B1086" s="17"/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7"/>
      <c r="AI1086" s="17"/>
      <c r="AJ1086" s="17"/>
      <c r="AK1086" s="17"/>
      <c r="AL1086" s="17"/>
      <c r="AM1086" s="17"/>
      <c r="AN1086" s="17"/>
      <c r="AO1086" s="17"/>
      <c r="AP1086" s="17"/>
      <c r="AQ1086" s="17"/>
      <c r="AR1086" s="17"/>
      <c r="AS1086" s="17"/>
      <c r="AT1086" s="17"/>
      <c r="AU1086" s="17"/>
      <c r="AV1086" s="17"/>
      <c r="AW1086" s="17"/>
      <c r="AX1086" s="17"/>
      <c r="AY1086" s="17"/>
      <c r="AZ1086" s="17"/>
      <c r="BA1086" s="17"/>
      <c r="BB1086" s="17"/>
      <c r="BC1086" s="17"/>
      <c r="BD1086" s="17"/>
      <c r="BE1086" s="17"/>
      <c r="BF1086" s="17"/>
      <c r="BG1086" s="17"/>
      <c r="BH1086" s="17"/>
      <c r="BI1086" s="17"/>
      <c r="BJ1086" s="17"/>
      <c r="BK1086" s="17"/>
      <c r="BL1086" s="17"/>
      <c r="BM1086" s="17"/>
      <c r="BN1086" s="17"/>
      <c r="BO1086" s="17"/>
      <c r="BP1086" s="17"/>
      <c r="BQ1086" s="17"/>
      <c r="BR1086" s="17"/>
      <c r="BS1086" s="17"/>
      <c r="BT1086" s="17"/>
      <c r="BU1086" s="17"/>
      <c r="BV1086" s="17"/>
      <c r="BW1086" s="17"/>
      <c r="BX1086" s="17"/>
    </row>
    <row r="1087" customHeight="1" spans="1:76">
      <c r="A1087" s="17"/>
      <c r="B1087" s="17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7"/>
      <c r="AI1087" s="17"/>
      <c r="AJ1087" s="17"/>
      <c r="AK1087" s="17"/>
      <c r="AL1087" s="17"/>
      <c r="AM1087" s="17"/>
      <c r="AN1087" s="17"/>
      <c r="AO1087" s="17"/>
      <c r="AP1087" s="17"/>
      <c r="AQ1087" s="17"/>
      <c r="AR1087" s="17"/>
      <c r="AS1087" s="17"/>
      <c r="AT1087" s="17"/>
      <c r="AU1087" s="17"/>
      <c r="AV1087" s="17"/>
      <c r="AW1087" s="17"/>
      <c r="AX1087" s="17"/>
      <c r="AY1087" s="17"/>
      <c r="AZ1087" s="17"/>
      <c r="BA1087" s="17"/>
      <c r="BB1087" s="17"/>
      <c r="BC1087" s="17"/>
      <c r="BD1087" s="17"/>
      <c r="BE1087" s="17"/>
      <c r="BF1087" s="17"/>
      <c r="BG1087" s="17"/>
      <c r="BH1087" s="17"/>
      <c r="BI1087" s="17"/>
      <c r="BJ1087" s="17"/>
      <c r="BK1087" s="17"/>
      <c r="BL1087" s="17"/>
      <c r="BM1087" s="17"/>
      <c r="BN1087" s="17"/>
      <c r="BO1087" s="17"/>
      <c r="BP1087" s="17"/>
      <c r="BQ1087" s="17"/>
      <c r="BR1087" s="17"/>
      <c r="BS1087" s="17"/>
      <c r="BT1087" s="17"/>
      <c r="BU1087" s="17"/>
      <c r="BV1087" s="17"/>
      <c r="BW1087" s="17"/>
      <c r="BX1087" s="17"/>
    </row>
    <row r="1088" customHeight="1" spans="1:76">
      <c r="A1088" s="17"/>
      <c r="B1088" s="17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7"/>
      <c r="AL1088" s="17"/>
      <c r="AM1088" s="17"/>
      <c r="AN1088" s="17"/>
      <c r="AO1088" s="17"/>
      <c r="AP1088" s="17"/>
      <c r="AQ1088" s="17"/>
      <c r="AR1088" s="17"/>
      <c r="AS1088" s="17"/>
      <c r="AT1088" s="17"/>
      <c r="AU1088" s="17"/>
      <c r="AV1088" s="17"/>
      <c r="AW1088" s="17"/>
      <c r="AX1088" s="17"/>
      <c r="AY1088" s="17"/>
      <c r="AZ1088" s="17"/>
      <c r="BA1088" s="17"/>
      <c r="BB1088" s="17"/>
      <c r="BC1088" s="17"/>
      <c r="BD1088" s="17"/>
      <c r="BE1088" s="17"/>
      <c r="BF1088" s="17"/>
      <c r="BG1088" s="17"/>
      <c r="BH1088" s="17"/>
      <c r="BI1088" s="17"/>
      <c r="BJ1088" s="17"/>
      <c r="BK1088" s="17"/>
      <c r="BL1088" s="17"/>
      <c r="BM1088" s="17"/>
      <c r="BN1088" s="17"/>
      <c r="BO1088" s="17"/>
      <c r="BP1088" s="17"/>
      <c r="BQ1088" s="17"/>
      <c r="BR1088" s="17"/>
      <c r="BS1088" s="17"/>
      <c r="BT1088" s="17"/>
      <c r="BU1088" s="17"/>
      <c r="BV1088" s="17"/>
      <c r="BW1088" s="17"/>
      <c r="BX1088" s="17"/>
    </row>
    <row r="1089" customHeight="1" spans="1:76">
      <c r="A1089" s="17"/>
      <c r="B1089" s="17"/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  <c r="AK1089" s="17"/>
      <c r="AL1089" s="17"/>
      <c r="AM1089" s="17"/>
      <c r="AN1089" s="17"/>
      <c r="AO1089" s="17"/>
      <c r="AP1089" s="17"/>
      <c r="AQ1089" s="17"/>
      <c r="AR1089" s="17"/>
      <c r="AS1089" s="17"/>
      <c r="AT1089" s="17"/>
      <c r="AU1089" s="17"/>
      <c r="AV1089" s="17"/>
      <c r="AW1089" s="17"/>
      <c r="AX1089" s="17"/>
      <c r="AY1089" s="17"/>
      <c r="AZ1089" s="17"/>
      <c r="BA1089" s="17"/>
      <c r="BB1089" s="17"/>
      <c r="BC1089" s="17"/>
      <c r="BD1089" s="17"/>
      <c r="BE1089" s="17"/>
      <c r="BF1089" s="17"/>
      <c r="BG1089" s="17"/>
      <c r="BH1089" s="17"/>
      <c r="BI1089" s="17"/>
      <c r="BJ1089" s="17"/>
      <c r="BK1089" s="17"/>
      <c r="BL1089" s="17"/>
      <c r="BM1089" s="17"/>
      <c r="BN1089" s="17"/>
      <c r="BO1089" s="17"/>
      <c r="BP1089" s="17"/>
      <c r="BQ1089" s="17"/>
      <c r="BR1089" s="17"/>
      <c r="BS1089" s="17"/>
      <c r="BT1089" s="17"/>
      <c r="BU1089" s="17"/>
      <c r="BV1089" s="17"/>
      <c r="BW1089" s="17"/>
      <c r="BX1089" s="17"/>
    </row>
    <row r="1090" customHeight="1" spans="1:76">
      <c r="A1090" s="17"/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s="17"/>
      <c r="AP1090" s="17"/>
      <c r="AQ1090" s="17"/>
      <c r="AR1090" s="17"/>
      <c r="AS1090" s="17"/>
      <c r="AT1090" s="17"/>
      <c r="AU1090" s="17"/>
      <c r="AV1090" s="17"/>
      <c r="AW1090" s="17"/>
      <c r="AX1090" s="17"/>
      <c r="AY1090" s="17"/>
      <c r="AZ1090" s="17"/>
      <c r="BA1090" s="17"/>
      <c r="BB1090" s="17"/>
      <c r="BC1090" s="17"/>
      <c r="BD1090" s="17"/>
      <c r="BE1090" s="17"/>
      <c r="BF1090" s="17"/>
      <c r="BG1090" s="17"/>
      <c r="BH1090" s="17"/>
      <c r="BI1090" s="17"/>
      <c r="BJ1090" s="17"/>
      <c r="BK1090" s="17"/>
      <c r="BL1090" s="17"/>
      <c r="BM1090" s="17"/>
      <c r="BN1090" s="17"/>
      <c r="BO1090" s="17"/>
      <c r="BP1090" s="17"/>
      <c r="BQ1090" s="17"/>
      <c r="BR1090" s="17"/>
      <c r="BS1090" s="17"/>
      <c r="BT1090" s="17"/>
      <c r="BU1090" s="17"/>
      <c r="BV1090" s="17"/>
      <c r="BW1090" s="17"/>
      <c r="BX1090" s="17"/>
    </row>
    <row r="1091" customHeight="1" spans="1:76">
      <c r="A1091" s="17"/>
      <c r="B1091" s="17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  <c r="AK1091" s="17"/>
      <c r="AL1091" s="17"/>
      <c r="AM1091" s="17"/>
      <c r="AN1091" s="17"/>
      <c r="AO1091" s="17"/>
      <c r="AP1091" s="17"/>
      <c r="AQ1091" s="17"/>
      <c r="AR1091" s="17"/>
      <c r="AS1091" s="17"/>
      <c r="AT1091" s="17"/>
      <c r="AU1091" s="17"/>
      <c r="AV1091" s="17"/>
      <c r="AW1091" s="17"/>
      <c r="AX1091" s="17"/>
      <c r="AY1091" s="17"/>
      <c r="AZ1091" s="17"/>
      <c r="BA1091" s="17"/>
      <c r="BB1091" s="17"/>
      <c r="BC1091" s="17"/>
      <c r="BD1091" s="17"/>
      <c r="BE1091" s="17"/>
      <c r="BF1091" s="17"/>
      <c r="BG1091" s="17"/>
      <c r="BH1091" s="17"/>
      <c r="BI1091" s="17"/>
      <c r="BJ1091" s="17"/>
      <c r="BK1091" s="17"/>
      <c r="BL1091" s="17"/>
      <c r="BM1091" s="17"/>
      <c r="BN1091" s="17"/>
      <c r="BO1091" s="17"/>
      <c r="BP1091" s="17"/>
      <c r="BQ1091" s="17"/>
      <c r="BR1091" s="17"/>
      <c r="BS1091" s="17"/>
      <c r="BT1091" s="17"/>
      <c r="BU1091" s="17"/>
      <c r="BV1091" s="17"/>
      <c r="BW1091" s="17"/>
      <c r="BX1091" s="17"/>
    </row>
    <row r="1092" customHeight="1" spans="1:76">
      <c r="A1092" s="17"/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/>
      <c r="AM1092" s="17"/>
      <c r="AN1092" s="17"/>
      <c r="AO1092" s="17"/>
      <c r="AP1092" s="17"/>
      <c r="AQ1092" s="17"/>
      <c r="AR1092" s="17"/>
      <c r="AS1092" s="17"/>
      <c r="AT1092" s="17"/>
      <c r="AU1092" s="17"/>
      <c r="AV1092" s="17"/>
      <c r="AW1092" s="17"/>
      <c r="AX1092" s="17"/>
      <c r="AY1092" s="17"/>
      <c r="AZ1092" s="17"/>
      <c r="BA1092" s="17"/>
      <c r="BB1092" s="17"/>
      <c r="BC1092" s="17"/>
      <c r="BD1092" s="17"/>
      <c r="BE1092" s="17"/>
      <c r="BF1092" s="17"/>
      <c r="BG1092" s="17"/>
      <c r="BH1092" s="17"/>
      <c r="BI1092" s="17"/>
      <c r="BJ1092" s="17"/>
      <c r="BK1092" s="17"/>
      <c r="BL1092" s="17"/>
      <c r="BM1092" s="17"/>
      <c r="BN1092" s="17"/>
      <c r="BO1092" s="17"/>
      <c r="BP1092" s="17"/>
      <c r="BQ1092" s="17"/>
      <c r="BR1092" s="17"/>
      <c r="BS1092" s="17"/>
      <c r="BT1092" s="17"/>
      <c r="BU1092" s="17"/>
      <c r="BV1092" s="17"/>
      <c r="BW1092" s="17"/>
      <c r="BX1092" s="17"/>
    </row>
    <row r="1093" customHeight="1" spans="1:76">
      <c r="A1093" s="17"/>
      <c r="B1093" s="17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7"/>
      <c r="AL1093" s="17"/>
      <c r="AM1093" s="17"/>
      <c r="AN1093" s="17"/>
      <c r="AO1093" s="17"/>
      <c r="AP1093" s="17"/>
      <c r="AQ1093" s="17"/>
      <c r="AR1093" s="17"/>
      <c r="AS1093" s="17"/>
      <c r="AT1093" s="17"/>
      <c r="AU1093" s="17"/>
      <c r="AV1093" s="17"/>
      <c r="AW1093" s="17"/>
      <c r="AX1093" s="17"/>
      <c r="AY1093" s="17"/>
      <c r="AZ1093" s="17"/>
      <c r="BA1093" s="17"/>
      <c r="BB1093" s="17"/>
      <c r="BC1093" s="17"/>
      <c r="BD1093" s="17"/>
      <c r="BE1093" s="17"/>
      <c r="BF1093" s="17"/>
      <c r="BG1093" s="17"/>
      <c r="BH1093" s="17"/>
      <c r="BI1093" s="17"/>
      <c r="BJ1093" s="17"/>
      <c r="BK1093" s="17"/>
      <c r="BL1093" s="17"/>
      <c r="BM1093" s="17"/>
      <c r="BN1093" s="17"/>
      <c r="BO1093" s="17"/>
      <c r="BP1093" s="17"/>
      <c r="BQ1093" s="17"/>
      <c r="BR1093" s="17"/>
      <c r="BS1093" s="17"/>
      <c r="BT1093" s="17"/>
      <c r="BU1093" s="17"/>
      <c r="BV1093" s="17"/>
      <c r="BW1093" s="17"/>
      <c r="BX1093" s="17"/>
    </row>
    <row r="1094" customHeight="1" spans="1:76">
      <c r="A1094" s="17"/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s="17"/>
      <c r="AP1094" s="17"/>
      <c r="AQ1094" s="17"/>
      <c r="AR1094" s="17"/>
      <c r="AS1094" s="17"/>
      <c r="AT1094" s="17"/>
      <c r="AU1094" s="17"/>
      <c r="AV1094" s="17"/>
      <c r="AW1094" s="17"/>
      <c r="AX1094" s="17"/>
      <c r="AY1094" s="17"/>
      <c r="AZ1094" s="17"/>
      <c r="BA1094" s="17"/>
      <c r="BB1094" s="17"/>
      <c r="BC1094" s="17"/>
      <c r="BD1094" s="17"/>
      <c r="BE1094" s="17"/>
      <c r="BF1094" s="17"/>
      <c r="BG1094" s="17"/>
      <c r="BH1094" s="17"/>
      <c r="BI1094" s="17"/>
      <c r="BJ1094" s="17"/>
      <c r="BK1094" s="17"/>
      <c r="BL1094" s="17"/>
      <c r="BM1094" s="17"/>
      <c r="BN1094" s="17"/>
      <c r="BO1094" s="17"/>
      <c r="BP1094" s="17"/>
      <c r="BQ1094" s="17"/>
      <c r="BR1094" s="17"/>
      <c r="BS1094" s="17"/>
      <c r="BT1094" s="17"/>
      <c r="BU1094" s="17"/>
      <c r="BV1094" s="17"/>
      <c r="BW1094" s="17"/>
      <c r="BX1094" s="17"/>
    </row>
    <row r="1095" customHeight="1" spans="1:76">
      <c r="A1095" s="17"/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/>
      <c r="AO1095" s="17"/>
      <c r="AP1095" s="17"/>
      <c r="AQ1095" s="17"/>
      <c r="AR1095" s="17"/>
      <c r="AS1095" s="17"/>
      <c r="AT1095" s="17"/>
      <c r="AU1095" s="17"/>
      <c r="AV1095" s="17"/>
      <c r="AW1095" s="17"/>
      <c r="AX1095" s="17"/>
      <c r="AY1095" s="17"/>
      <c r="AZ1095" s="17"/>
      <c r="BA1095" s="17"/>
      <c r="BB1095" s="17"/>
      <c r="BC1095" s="17"/>
      <c r="BD1095" s="17"/>
      <c r="BE1095" s="17"/>
      <c r="BF1095" s="17"/>
      <c r="BG1095" s="17"/>
      <c r="BH1095" s="17"/>
      <c r="BI1095" s="17"/>
      <c r="BJ1095" s="17"/>
      <c r="BK1095" s="17"/>
      <c r="BL1095" s="17"/>
      <c r="BM1095" s="17"/>
      <c r="BN1095" s="17"/>
      <c r="BO1095" s="17"/>
      <c r="BP1095" s="17"/>
      <c r="BQ1095" s="17"/>
      <c r="BR1095" s="17"/>
      <c r="BS1095" s="17"/>
      <c r="BT1095" s="17"/>
      <c r="BU1095" s="17"/>
      <c r="BV1095" s="17"/>
      <c r="BW1095" s="17"/>
      <c r="BX1095" s="17"/>
    </row>
    <row r="1096" customHeight="1" spans="1:76">
      <c r="A1096" s="17"/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7"/>
      <c r="AI1096" s="17"/>
      <c r="AJ1096" s="17"/>
      <c r="AK1096" s="17"/>
      <c r="AL1096" s="17"/>
      <c r="AM1096" s="17"/>
      <c r="AN1096" s="17"/>
      <c r="AO1096" s="17"/>
      <c r="AP1096" s="17"/>
      <c r="AQ1096" s="17"/>
      <c r="AR1096" s="17"/>
      <c r="AS1096" s="17"/>
      <c r="AT1096" s="17"/>
      <c r="AU1096" s="17"/>
      <c r="AV1096" s="17"/>
      <c r="AW1096" s="17"/>
      <c r="AX1096" s="17"/>
      <c r="AY1096" s="17"/>
      <c r="AZ1096" s="17"/>
      <c r="BA1096" s="17"/>
      <c r="BB1096" s="17"/>
      <c r="BC1096" s="17"/>
      <c r="BD1096" s="17"/>
      <c r="BE1096" s="17"/>
      <c r="BF1096" s="17"/>
      <c r="BG1096" s="17"/>
      <c r="BH1096" s="17"/>
      <c r="BI1096" s="17"/>
      <c r="BJ1096" s="17"/>
      <c r="BK1096" s="17"/>
      <c r="BL1096" s="17"/>
      <c r="BM1096" s="17"/>
      <c r="BN1096" s="17"/>
      <c r="BO1096" s="17"/>
      <c r="BP1096" s="17"/>
      <c r="BQ1096" s="17"/>
      <c r="BR1096" s="17"/>
      <c r="BS1096" s="17"/>
      <c r="BT1096" s="17"/>
      <c r="BU1096" s="17"/>
      <c r="BV1096" s="17"/>
      <c r="BW1096" s="17"/>
      <c r="BX1096" s="17"/>
    </row>
    <row r="1097" customHeight="1" spans="1:76">
      <c r="A1097" s="17"/>
      <c r="B1097" s="17"/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s="17"/>
      <c r="AP1097" s="17"/>
      <c r="AQ1097" s="17"/>
      <c r="AR1097" s="17"/>
      <c r="AS1097" s="17"/>
      <c r="AT1097" s="17"/>
      <c r="AU1097" s="17"/>
      <c r="AV1097" s="17"/>
      <c r="AW1097" s="17"/>
      <c r="AX1097" s="17"/>
      <c r="AY1097" s="17"/>
      <c r="AZ1097" s="17"/>
      <c r="BA1097" s="17"/>
      <c r="BB1097" s="17"/>
      <c r="BC1097" s="17"/>
      <c r="BD1097" s="17"/>
      <c r="BE1097" s="17"/>
      <c r="BF1097" s="17"/>
      <c r="BG1097" s="17"/>
      <c r="BH1097" s="17"/>
      <c r="BI1097" s="17"/>
      <c r="BJ1097" s="17"/>
      <c r="BK1097" s="17"/>
      <c r="BL1097" s="17"/>
      <c r="BM1097" s="17"/>
      <c r="BN1097" s="17"/>
      <c r="BO1097" s="17"/>
      <c r="BP1097" s="17"/>
      <c r="BQ1097" s="17"/>
      <c r="BR1097" s="17"/>
      <c r="BS1097" s="17"/>
      <c r="BT1097" s="17"/>
      <c r="BU1097" s="17"/>
      <c r="BV1097" s="17"/>
      <c r="BW1097" s="17"/>
      <c r="BX1097" s="17"/>
    </row>
    <row r="1098" customHeight="1" spans="1:76">
      <c r="A1098" s="17"/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7"/>
      <c r="AL1098" s="17"/>
      <c r="AM1098" s="17"/>
      <c r="AN1098" s="17"/>
      <c r="AO1098" s="17"/>
      <c r="AP1098" s="17"/>
      <c r="AQ1098" s="17"/>
      <c r="AR1098" s="17"/>
      <c r="AS1098" s="17"/>
      <c r="AT1098" s="17"/>
      <c r="AU1098" s="17"/>
      <c r="AV1098" s="17"/>
      <c r="AW1098" s="17"/>
      <c r="AX1098" s="17"/>
      <c r="AY1098" s="17"/>
      <c r="AZ1098" s="17"/>
      <c r="BA1098" s="17"/>
      <c r="BB1098" s="17"/>
      <c r="BC1098" s="17"/>
      <c r="BD1098" s="17"/>
      <c r="BE1098" s="17"/>
      <c r="BF1098" s="17"/>
      <c r="BG1098" s="17"/>
      <c r="BH1098" s="17"/>
      <c r="BI1098" s="17"/>
      <c r="BJ1098" s="17"/>
      <c r="BK1098" s="17"/>
      <c r="BL1098" s="17"/>
      <c r="BM1098" s="17"/>
      <c r="BN1098" s="17"/>
      <c r="BO1098" s="17"/>
      <c r="BP1098" s="17"/>
      <c r="BQ1098" s="17"/>
      <c r="BR1098" s="17"/>
      <c r="BS1098" s="17"/>
      <c r="BT1098" s="17"/>
      <c r="BU1098" s="17"/>
      <c r="BV1098" s="17"/>
      <c r="BW1098" s="17"/>
      <c r="BX1098" s="17"/>
    </row>
    <row r="1099" customHeight="1" spans="1:76">
      <c r="A1099" s="17"/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17"/>
      <c r="AP1099" s="17"/>
      <c r="AQ1099" s="17"/>
      <c r="AR1099" s="17"/>
      <c r="AS1099" s="17"/>
      <c r="AT1099" s="17"/>
      <c r="AU1099" s="17"/>
      <c r="AV1099" s="17"/>
      <c r="AW1099" s="17"/>
      <c r="AX1099" s="17"/>
      <c r="AY1099" s="17"/>
      <c r="AZ1099" s="17"/>
      <c r="BA1099" s="17"/>
      <c r="BB1099" s="17"/>
      <c r="BC1099" s="17"/>
      <c r="BD1099" s="17"/>
      <c r="BE1099" s="17"/>
      <c r="BF1099" s="17"/>
      <c r="BG1099" s="17"/>
      <c r="BH1099" s="17"/>
      <c r="BI1099" s="17"/>
      <c r="BJ1099" s="17"/>
      <c r="BK1099" s="17"/>
      <c r="BL1099" s="17"/>
      <c r="BM1099" s="17"/>
      <c r="BN1099" s="17"/>
      <c r="BO1099" s="17"/>
      <c r="BP1099" s="17"/>
      <c r="BQ1099" s="17"/>
      <c r="BR1099" s="17"/>
      <c r="BS1099" s="17"/>
      <c r="BT1099" s="17"/>
      <c r="BU1099" s="17"/>
      <c r="BV1099" s="17"/>
      <c r="BW1099" s="17"/>
      <c r="BX1099" s="17"/>
    </row>
    <row r="1100" customHeight="1" spans="1:76">
      <c r="A1100" s="17"/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s="17"/>
      <c r="AP1100" s="17"/>
      <c r="AQ1100" s="17"/>
      <c r="AR1100" s="17"/>
      <c r="AS1100" s="17"/>
      <c r="AT1100" s="17"/>
      <c r="AU1100" s="17"/>
      <c r="AV1100" s="17"/>
      <c r="AW1100" s="17"/>
      <c r="AX1100" s="17"/>
      <c r="AY1100" s="17"/>
      <c r="AZ1100" s="17"/>
      <c r="BA1100" s="17"/>
      <c r="BB1100" s="17"/>
      <c r="BC1100" s="17"/>
      <c r="BD1100" s="17"/>
      <c r="BE1100" s="17"/>
      <c r="BF1100" s="17"/>
      <c r="BG1100" s="17"/>
      <c r="BH1100" s="17"/>
      <c r="BI1100" s="17"/>
      <c r="BJ1100" s="17"/>
      <c r="BK1100" s="17"/>
      <c r="BL1100" s="17"/>
      <c r="BM1100" s="17"/>
      <c r="BN1100" s="17"/>
      <c r="BO1100" s="17"/>
      <c r="BP1100" s="17"/>
      <c r="BQ1100" s="17"/>
      <c r="BR1100" s="17"/>
      <c r="BS1100" s="17"/>
      <c r="BT1100" s="17"/>
      <c r="BU1100" s="17"/>
      <c r="BV1100" s="17"/>
      <c r="BW1100" s="17"/>
      <c r="BX1100" s="17"/>
    </row>
    <row r="1101" customHeight="1" spans="1:76">
      <c r="A1101" s="17"/>
      <c r="B1101" s="17"/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7"/>
      <c r="AI1101" s="17"/>
      <c r="AJ1101" s="17"/>
      <c r="AK1101" s="17"/>
      <c r="AL1101" s="17"/>
      <c r="AM1101" s="17"/>
      <c r="AN1101" s="17"/>
      <c r="AO1101" s="17"/>
      <c r="AP1101" s="17"/>
      <c r="AQ1101" s="17"/>
      <c r="AR1101" s="17"/>
      <c r="AS1101" s="17"/>
      <c r="AT1101" s="17"/>
      <c r="AU1101" s="17"/>
      <c r="AV1101" s="17"/>
      <c r="AW1101" s="17"/>
      <c r="AX1101" s="17"/>
      <c r="AY1101" s="17"/>
      <c r="AZ1101" s="17"/>
      <c r="BA1101" s="17"/>
      <c r="BB1101" s="17"/>
      <c r="BC1101" s="17"/>
      <c r="BD1101" s="17"/>
      <c r="BE1101" s="17"/>
      <c r="BF1101" s="17"/>
      <c r="BG1101" s="17"/>
      <c r="BH1101" s="17"/>
      <c r="BI1101" s="17"/>
      <c r="BJ1101" s="17"/>
      <c r="BK1101" s="17"/>
      <c r="BL1101" s="17"/>
      <c r="BM1101" s="17"/>
      <c r="BN1101" s="17"/>
      <c r="BO1101" s="17"/>
      <c r="BP1101" s="17"/>
      <c r="BQ1101" s="17"/>
      <c r="BR1101" s="17"/>
      <c r="BS1101" s="17"/>
      <c r="BT1101" s="17"/>
      <c r="BU1101" s="17"/>
      <c r="BV1101" s="17"/>
      <c r="BW1101" s="17"/>
      <c r="BX1101" s="17"/>
    </row>
    <row r="1102" customHeight="1" spans="1:76">
      <c r="A1102" s="17"/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17"/>
      <c r="AP1102" s="17"/>
      <c r="AQ1102" s="17"/>
      <c r="AR1102" s="17"/>
      <c r="AS1102" s="17"/>
      <c r="AT1102" s="17"/>
      <c r="AU1102" s="17"/>
      <c r="AV1102" s="17"/>
      <c r="AW1102" s="17"/>
      <c r="AX1102" s="17"/>
      <c r="AY1102" s="17"/>
      <c r="AZ1102" s="17"/>
      <c r="BA1102" s="17"/>
      <c r="BB1102" s="17"/>
      <c r="BC1102" s="17"/>
      <c r="BD1102" s="17"/>
      <c r="BE1102" s="17"/>
      <c r="BF1102" s="17"/>
      <c r="BG1102" s="17"/>
      <c r="BH1102" s="17"/>
      <c r="BI1102" s="17"/>
      <c r="BJ1102" s="17"/>
      <c r="BK1102" s="17"/>
      <c r="BL1102" s="17"/>
      <c r="BM1102" s="17"/>
      <c r="BN1102" s="17"/>
      <c r="BO1102" s="17"/>
      <c r="BP1102" s="17"/>
      <c r="BQ1102" s="17"/>
      <c r="BR1102" s="17"/>
      <c r="BS1102" s="17"/>
      <c r="BT1102" s="17"/>
      <c r="BU1102" s="17"/>
      <c r="BV1102" s="17"/>
      <c r="BW1102" s="17"/>
      <c r="BX1102" s="17"/>
    </row>
    <row r="1103" customHeight="1" spans="1:76">
      <c r="A1103" s="17"/>
      <c r="B1103" s="17"/>
      <c r="C1103" s="17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s="17"/>
      <c r="AP1103" s="17"/>
      <c r="AQ1103" s="17"/>
      <c r="AR1103" s="17"/>
      <c r="AS1103" s="17"/>
      <c r="AT1103" s="17"/>
      <c r="AU1103" s="17"/>
      <c r="AV1103" s="17"/>
      <c r="AW1103" s="17"/>
      <c r="AX1103" s="17"/>
      <c r="AY1103" s="17"/>
      <c r="AZ1103" s="17"/>
      <c r="BA1103" s="17"/>
      <c r="BB1103" s="17"/>
      <c r="BC1103" s="17"/>
      <c r="BD1103" s="17"/>
      <c r="BE1103" s="17"/>
      <c r="BF1103" s="17"/>
      <c r="BG1103" s="17"/>
      <c r="BH1103" s="17"/>
      <c r="BI1103" s="17"/>
      <c r="BJ1103" s="17"/>
      <c r="BK1103" s="17"/>
      <c r="BL1103" s="17"/>
      <c r="BM1103" s="17"/>
      <c r="BN1103" s="17"/>
      <c r="BO1103" s="17"/>
      <c r="BP1103" s="17"/>
      <c r="BQ1103" s="17"/>
      <c r="BR1103" s="17"/>
      <c r="BS1103" s="17"/>
      <c r="BT1103" s="17"/>
      <c r="BU1103" s="17"/>
      <c r="BV1103" s="17"/>
      <c r="BW1103" s="17"/>
      <c r="BX1103" s="17"/>
    </row>
    <row r="1104" customHeight="1" spans="1:76">
      <c r="A1104" s="17"/>
      <c r="B1104" s="17"/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17"/>
      <c r="AF1104" s="17"/>
      <c r="AG1104" s="17"/>
      <c r="AH1104" s="17"/>
      <c r="AI1104" s="17"/>
      <c r="AJ1104" s="17"/>
      <c r="AK1104" s="17"/>
      <c r="AL1104" s="17"/>
      <c r="AM1104" s="17"/>
      <c r="AN1104" s="17"/>
      <c r="AO1104" s="17"/>
      <c r="AP1104" s="17"/>
      <c r="AQ1104" s="17"/>
      <c r="AR1104" s="17"/>
      <c r="AS1104" s="17"/>
      <c r="AT1104" s="17"/>
      <c r="AU1104" s="17"/>
      <c r="AV1104" s="17"/>
      <c r="AW1104" s="17"/>
      <c r="AX1104" s="17"/>
      <c r="AY1104" s="17"/>
      <c r="AZ1104" s="17"/>
      <c r="BA1104" s="17"/>
      <c r="BB1104" s="17"/>
      <c r="BC1104" s="17"/>
      <c r="BD1104" s="17"/>
      <c r="BE1104" s="17"/>
      <c r="BF1104" s="17"/>
      <c r="BG1104" s="17"/>
      <c r="BH1104" s="17"/>
      <c r="BI1104" s="17"/>
      <c r="BJ1104" s="17"/>
      <c r="BK1104" s="17"/>
      <c r="BL1104" s="17"/>
      <c r="BM1104" s="17"/>
      <c r="BN1104" s="17"/>
      <c r="BO1104" s="17"/>
      <c r="BP1104" s="17"/>
      <c r="BQ1104" s="17"/>
      <c r="BR1104" s="17"/>
      <c r="BS1104" s="17"/>
      <c r="BT1104" s="17"/>
      <c r="BU1104" s="17"/>
      <c r="BV1104" s="17"/>
      <c r="BW1104" s="17"/>
      <c r="BX1104" s="17"/>
    </row>
    <row r="1105" customHeight="1" spans="1:76">
      <c r="A1105" s="17"/>
      <c r="B1105" s="17"/>
      <c r="C1105" s="17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7"/>
      <c r="AI1105" s="17"/>
      <c r="AJ1105" s="17"/>
      <c r="AK1105" s="17"/>
      <c r="AL1105" s="17"/>
      <c r="AM1105" s="17"/>
      <c r="AN1105" s="17"/>
      <c r="AO1105" s="17"/>
      <c r="AP1105" s="17"/>
      <c r="AQ1105" s="17"/>
      <c r="AR1105" s="17"/>
      <c r="AS1105" s="17"/>
      <c r="AT1105" s="17"/>
      <c r="AU1105" s="17"/>
      <c r="AV1105" s="17"/>
      <c r="AW1105" s="17"/>
      <c r="AX1105" s="17"/>
      <c r="AY1105" s="17"/>
      <c r="AZ1105" s="17"/>
      <c r="BA1105" s="17"/>
      <c r="BB1105" s="17"/>
      <c r="BC1105" s="17"/>
      <c r="BD1105" s="17"/>
      <c r="BE1105" s="17"/>
      <c r="BF1105" s="17"/>
      <c r="BG1105" s="17"/>
      <c r="BH1105" s="17"/>
      <c r="BI1105" s="17"/>
      <c r="BJ1105" s="17"/>
      <c r="BK1105" s="17"/>
      <c r="BL1105" s="17"/>
      <c r="BM1105" s="17"/>
      <c r="BN1105" s="17"/>
      <c r="BO1105" s="17"/>
      <c r="BP1105" s="17"/>
      <c r="BQ1105" s="17"/>
      <c r="BR1105" s="17"/>
      <c r="BS1105" s="17"/>
      <c r="BT1105" s="17"/>
      <c r="BU1105" s="17"/>
      <c r="BV1105" s="17"/>
      <c r="BW1105" s="17"/>
      <c r="BX1105" s="17"/>
    </row>
    <row r="1106" customHeight="1" spans="1:76">
      <c r="A1106" s="17"/>
      <c r="B1106" s="17"/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17"/>
      <c r="AF1106" s="17"/>
      <c r="AG1106" s="17"/>
      <c r="AH1106" s="17"/>
      <c r="AI1106" s="17"/>
      <c r="AJ1106" s="17"/>
      <c r="AK1106" s="17"/>
      <c r="AL1106" s="17"/>
      <c r="AM1106" s="17"/>
      <c r="AN1106" s="17"/>
      <c r="AO1106" s="17"/>
      <c r="AP1106" s="17"/>
      <c r="AQ1106" s="17"/>
      <c r="AR1106" s="17"/>
      <c r="AS1106" s="17"/>
      <c r="AT1106" s="17"/>
      <c r="AU1106" s="17"/>
      <c r="AV1106" s="17"/>
      <c r="AW1106" s="17"/>
      <c r="AX1106" s="17"/>
      <c r="AY1106" s="17"/>
      <c r="AZ1106" s="17"/>
      <c r="BA1106" s="17"/>
      <c r="BB1106" s="17"/>
      <c r="BC1106" s="17"/>
      <c r="BD1106" s="17"/>
      <c r="BE1106" s="17"/>
      <c r="BF1106" s="17"/>
      <c r="BG1106" s="17"/>
      <c r="BH1106" s="17"/>
      <c r="BI1106" s="17"/>
      <c r="BJ1106" s="17"/>
      <c r="BK1106" s="17"/>
      <c r="BL1106" s="17"/>
      <c r="BM1106" s="17"/>
      <c r="BN1106" s="17"/>
      <c r="BO1106" s="17"/>
      <c r="BP1106" s="17"/>
      <c r="BQ1106" s="17"/>
      <c r="BR1106" s="17"/>
      <c r="BS1106" s="17"/>
      <c r="BT1106" s="17"/>
      <c r="BU1106" s="17"/>
      <c r="BV1106" s="17"/>
      <c r="BW1106" s="17"/>
      <c r="BX1106" s="17"/>
    </row>
    <row r="1107" customHeight="1" spans="1:76">
      <c r="A1107" s="17"/>
      <c r="B1107" s="17"/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7"/>
      <c r="AK1107" s="17"/>
      <c r="AL1107" s="17"/>
      <c r="AM1107" s="17"/>
      <c r="AN1107" s="17"/>
      <c r="AO1107" s="17"/>
      <c r="AP1107" s="17"/>
      <c r="AQ1107" s="17"/>
      <c r="AR1107" s="17"/>
      <c r="AS1107" s="17"/>
      <c r="AT1107" s="17"/>
      <c r="AU1107" s="17"/>
      <c r="AV1107" s="17"/>
      <c r="AW1107" s="17"/>
      <c r="AX1107" s="17"/>
      <c r="AY1107" s="17"/>
      <c r="AZ1107" s="17"/>
      <c r="BA1107" s="17"/>
      <c r="BB1107" s="17"/>
      <c r="BC1107" s="17"/>
      <c r="BD1107" s="17"/>
      <c r="BE1107" s="17"/>
      <c r="BF1107" s="17"/>
      <c r="BG1107" s="17"/>
      <c r="BH1107" s="17"/>
      <c r="BI1107" s="17"/>
      <c r="BJ1107" s="17"/>
      <c r="BK1107" s="17"/>
      <c r="BL1107" s="17"/>
      <c r="BM1107" s="17"/>
      <c r="BN1107" s="17"/>
      <c r="BO1107" s="17"/>
      <c r="BP1107" s="17"/>
      <c r="BQ1107" s="17"/>
      <c r="BR1107" s="17"/>
      <c r="BS1107" s="17"/>
      <c r="BT1107" s="17"/>
      <c r="BU1107" s="17"/>
      <c r="BV1107" s="17"/>
      <c r="BW1107" s="17"/>
      <c r="BX1107" s="17"/>
    </row>
    <row r="1108" customHeight="1" spans="1:76">
      <c r="A1108" s="17"/>
      <c r="B1108" s="17"/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7"/>
      <c r="AL1108" s="17"/>
      <c r="AM1108" s="17"/>
      <c r="AN1108" s="17"/>
      <c r="AO1108" s="17"/>
      <c r="AP1108" s="17"/>
      <c r="AQ1108" s="17"/>
      <c r="AR1108" s="17"/>
      <c r="AS1108" s="17"/>
      <c r="AT1108" s="17"/>
      <c r="AU1108" s="17"/>
      <c r="AV1108" s="17"/>
      <c r="AW1108" s="17"/>
      <c r="AX1108" s="17"/>
      <c r="AY1108" s="17"/>
      <c r="AZ1108" s="17"/>
      <c r="BA1108" s="17"/>
      <c r="BB1108" s="17"/>
      <c r="BC1108" s="17"/>
      <c r="BD1108" s="17"/>
      <c r="BE1108" s="17"/>
      <c r="BF1108" s="17"/>
      <c r="BG1108" s="17"/>
      <c r="BH1108" s="17"/>
      <c r="BI1108" s="17"/>
      <c r="BJ1108" s="17"/>
      <c r="BK1108" s="17"/>
      <c r="BL1108" s="17"/>
      <c r="BM1108" s="17"/>
      <c r="BN1108" s="17"/>
      <c r="BO1108" s="17"/>
      <c r="BP1108" s="17"/>
      <c r="BQ1108" s="17"/>
      <c r="BR1108" s="17"/>
      <c r="BS1108" s="17"/>
      <c r="BT1108" s="17"/>
      <c r="BU1108" s="17"/>
      <c r="BV1108" s="17"/>
      <c r="BW1108" s="17"/>
      <c r="BX1108" s="17"/>
    </row>
    <row r="1109" customHeight="1" spans="1:76">
      <c r="A1109" s="17"/>
      <c r="B1109" s="17"/>
      <c r="C1109" s="17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  <c r="AH1109" s="17"/>
      <c r="AI1109" s="17"/>
      <c r="AJ1109" s="17"/>
      <c r="AK1109" s="17"/>
      <c r="AL1109" s="17"/>
      <c r="AM1109" s="17"/>
      <c r="AN1109" s="17"/>
      <c r="AO1109" s="17"/>
      <c r="AP1109" s="17"/>
      <c r="AQ1109" s="17"/>
      <c r="AR1109" s="17"/>
      <c r="AS1109" s="17"/>
      <c r="AT1109" s="17"/>
      <c r="AU1109" s="17"/>
      <c r="AV1109" s="17"/>
      <c r="AW1109" s="17"/>
      <c r="AX1109" s="17"/>
      <c r="AY1109" s="17"/>
      <c r="AZ1109" s="17"/>
      <c r="BA1109" s="17"/>
      <c r="BB1109" s="17"/>
      <c r="BC1109" s="17"/>
      <c r="BD1109" s="17"/>
      <c r="BE1109" s="17"/>
      <c r="BF1109" s="17"/>
      <c r="BG1109" s="17"/>
      <c r="BH1109" s="17"/>
      <c r="BI1109" s="17"/>
      <c r="BJ1109" s="17"/>
      <c r="BK1109" s="17"/>
      <c r="BL1109" s="17"/>
      <c r="BM1109" s="17"/>
      <c r="BN1109" s="17"/>
      <c r="BO1109" s="17"/>
      <c r="BP1109" s="17"/>
      <c r="BQ1109" s="17"/>
      <c r="BR1109" s="17"/>
      <c r="BS1109" s="17"/>
      <c r="BT1109" s="17"/>
      <c r="BU1109" s="17"/>
      <c r="BV1109" s="17"/>
      <c r="BW1109" s="17"/>
      <c r="BX1109" s="17"/>
    </row>
    <row r="1110" customHeight="1" spans="1:76">
      <c r="A1110" s="17"/>
      <c r="B1110" s="17"/>
      <c r="C1110" s="17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/>
      <c r="AO1110" s="17"/>
      <c r="AP1110" s="17"/>
      <c r="AQ1110" s="17"/>
      <c r="AR1110" s="17"/>
      <c r="AS1110" s="17"/>
      <c r="AT1110" s="17"/>
      <c r="AU1110" s="17"/>
      <c r="AV1110" s="17"/>
      <c r="AW1110" s="17"/>
      <c r="AX1110" s="17"/>
      <c r="AY1110" s="17"/>
      <c r="AZ1110" s="17"/>
      <c r="BA1110" s="17"/>
      <c r="BB1110" s="17"/>
      <c r="BC1110" s="17"/>
      <c r="BD1110" s="17"/>
      <c r="BE1110" s="17"/>
      <c r="BF1110" s="17"/>
      <c r="BG1110" s="17"/>
      <c r="BH1110" s="17"/>
      <c r="BI1110" s="17"/>
      <c r="BJ1110" s="17"/>
      <c r="BK1110" s="17"/>
      <c r="BL1110" s="17"/>
      <c r="BM1110" s="17"/>
      <c r="BN1110" s="17"/>
      <c r="BO1110" s="17"/>
      <c r="BP1110" s="17"/>
      <c r="BQ1110" s="17"/>
      <c r="BR1110" s="17"/>
      <c r="BS1110" s="17"/>
      <c r="BT1110" s="17"/>
      <c r="BU1110" s="17"/>
      <c r="BV1110" s="17"/>
      <c r="BW1110" s="17"/>
      <c r="BX1110" s="17"/>
    </row>
    <row r="1111" customHeight="1" spans="1:76">
      <c r="A1111" s="17"/>
      <c r="B1111" s="17"/>
      <c r="C1111" s="17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  <c r="AH1111" s="17"/>
      <c r="AI1111" s="17"/>
      <c r="AJ1111" s="17"/>
      <c r="AK1111" s="17"/>
      <c r="AL1111" s="17"/>
      <c r="AM1111" s="17"/>
      <c r="AN1111" s="17"/>
      <c r="AO1111" s="17"/>
      <c r="AP1111" s="17"/>
      <c r="AQ1111" s="17"/>
      <c r="AR1111" s="17"/>
      <c r="AS1111" s="17"/>
      <c r="AT1111" s="17"/>
      <c r="AU1111" s="17"/>
      <c r="AV1111" s="17"/>
      <c r="AW1111" s="17"/>
      <c r="AX1111" s="17"/>
      <c r="AY1111" s="17"/>
      <c r="AZ1111" s="17"/>
      <c r="BA1111" s="17"/>
      <c r="BB1111" s="17"/>
      <c r="BC1111" s="17"/>
      <c r="BD1111" s="17"/>
      <c r="BE1111" s="17"/>
      <c r="BF1111" s="17"/>
      <c r="BG1111" s="17"/>
      <c r="BH1111" s="17"/>
      <c r="BI1111" s="17"/>
      <c r="BJ1111" s="17"/>
      <c r="BK1111" s="17"/>
      <c r="BL1111" s="17"/>
      <c r="BM1111" s="17"/>
      <c r="BN1111" s="17"/>
      <c r="BO1111" s="17"/>
      <c r="BP1111" s="17"/>
      <c r="BQ1111" s="17"/>
      <c r="BR1111" s="17"/>
      <c r="BS1111" s="17"/>
      <c r="BT1111" s="17"/>
      <c r="BU1111" s="17"/>
      <c r="BV1111" s="17"/>
      <c r="BW1111" s="17"/>
      <c r="BX1111" s="17"/>
    </row>
    <row r="1112" customHeight="1" spans="1:76">
      <c r="A1112" s="17"/>
      <c r="B1112" s="17"/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  <c r="AH1112" s="17"/>
      <c r="AI1112" s="17"/>
      <c r="AJ1112" s="17"/>
      <c r="AK1112" s="17"/>
      <c r="AL1112" s="17"/>
      <c r="AM1112" s="17"/>
      <c r="AN1112" s="17"/>
      <c r="AO1112" s="17"/>
      <c r="AP1112" s="17"/>
      <c r="AQ1112" s="17"/>
      <c r="AR1112" s="17"/>
      <c r="AS1112" s="17"/>
      <c r="AT1112" s="17"/>
      <c r="AU1112" s="17"/>
      <c r="AV1112" s="17"/>
      <c r="AW1112" s="17"/>
      <c r="AX1112" s="17"/>
      <c r="AY1112" s="17"/>
      <c r="AZ1112" s="17"/>
      <c r="BA1112" s="17"/>
      <c r="BB1112" s="17"/>
      <c r="BC1112" s="17"/>
      <c r="BD1112" s="17"/>
      <c r="BE1112" s="17"/>
      <c r="BF1112" s="17"/>
      <c r="BG1112" s="17"/>
      <c r="BH1112" s="17"/>
      <c r="BI1112" s="17"/>
      <c r="BJ1112" s="17"/>
      <c r="BK1112" s="17"/>
      <c r="BL1112" s="17"/>
      <c r="BM1112" s="17"/>
      <c r="BN1112" s="17"/>
      <c r="BO1112" s="17"/>
      <c r="BP1112" s="17"/>
      <c r="BQ1112" s="17"/>
      <c r="BR1112" s="17"/>
      <c r="BS1112" s="17"/>
      <c r="BT1112" s="17"/>
      <c r="BU1112" s="17"/>
      <c r="BV1112" s="17"/>
      <c r="BW1112" s="17"/>
      <c r="BX1112" s="17"/>
    </row>
    <row r="1113" customHeight="1" spans="1:76">
      <c r="A1113" s="17"/>
      <c r="B1113" s="17"/>
      <c r="C1113" s="17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7"/>
      <c r="AL1113" s="17"/>
      <c r="AM1113" s="17"/>
      <c r="AN1113" s="17"/>
      <c r="AO1113" s="17"/>
      <c r="AP1113" s="17"/>
      <c r="AQ1113" s="17"/>
      <c r="AR1113" s="17"/>
      <c r="AS1113" s="17"/>
      <c r="AT1113" s="17"/>
      <c r="AU1113" s="17"/>
      <c r="AV1113" s="17"/>
      <c r="AW1113" s="17"/>
      <c r="AX1113" s="17"/>
      <c r="AY1113" s="17"/>
      <c r="AZ1113" s="17"/>
      <c r="BA1113" s="17"/>
      <c r="BB1113" s="17"/>
      <c r="BC1113" s="17"/>
      <c r="BD1113" s="17"/>
      <c r="BE1113" s="17"/>
      <c r="BF1113" s="17"/>
      <c r="BG1113" s="17"/>
      <c r="BH1113" s="17"/>
      <c r="BI1113" s="17"/>
      <c r="BJ1113" s="17"/>
      <c r="BK1113" s="17"/>
      <c r="BL1113" s="17"/>
      <c r="BM1113" s="17"/>
      <c r="BN1113" s="17"/>
      <c r="BO1113" s="17"/>
      <c r="BP1113" s="17"/>
      <c r="BQ1113" s="17"/>
      <c r="BR1113" s="17"/>
      <c r="BS1113" s="17"/>
      <c r="BT1113" s="17"/>
      <c r="BU1113" s="17"/>
      <c r="BV1113" s="17"/>
      <c r="BW1113" s="17"/>
      <c r="BX1113" s="17"/>
    </row>
    <row r="1114" customHeight="1" spans="1:76">
      <c r="A1114" s="17"/>
      <c r="B1114" s="17"/>
      <c r="C1114" s="17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  <c r="AH1114" s="17"/>
      <c r="AI1114" s="17"/>
      <c r="AJ1114" s="17"/>
      <c r="AK1114" s="17"/>
      <c r="AL1114" s="17"/>
      <c r="AM1114" s="17"/>
      <c r="AN1114" s="17"/>
      <c r="AO1114" s="17"/>
      <c r="AP1114" s="17"/>
      <c r="AQ1114" s="17"/>
      <c r="AR1114" s="17"/>
      <c r="AS1114" s="17"/>
      <c r="AT1114" s="17"/>
      <c r="AU1114" s="17"/>
      <c r="AV1114" s="17"/>
      <c r="AW1114" s="17"/>
      <c r="AX1114" s="17"/>
      <c r="AY1114" s="17"/>
      <c r="AZ1114" s="17"/>
      <c r="BA1114" s="17"/>
      <c r="BB1114" s="17"/>
      <c r="BC1114" s="17"/>
      <c r="BD1114" s="17"/>
      <c r="BE1114" s="17"/>
      <c r="BF1114" s="17"/>
      <c r="BG1114" s="17"/>
      <c r="BH1114" s="17"/>
      <c r="BI1114" s="17"/>
      <c r="BJ1114" s="17"/>
      <c r="BK1114" s="17"/>
      <c r="BL1114" s="17"/>
      <c r="BM1114" s="17"/>
      <c r="BN1114" s="17"/>
      <c r="BO1114" s="17"/>
      <c r="BP1114" s="17"/>
      <c r="BQ1114" s="17"/>
      <c r="BR1114" s="17"/>
      <c r="BS1114" s="17"/>
      <c r="BT1114" s="17"/>
      <c r="BU1114" s="17"/>
      <c r="BV1114" s="17"/>
      <c r="BW1114" s="17"/>
      <c r="BX1114" s="17"/>
    </row>
    <row r="1115" customHeight="1" spans="1:76">
      <c r="A1115" s="17"/>
      <c r="B1115" s="17"/>
      <c r="C1115" s="17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17"/>
      <c r="AP1115" s="17"/>
      <c r="AQ1115" s="17"/>
      <c r="AR1115" s="17"/>
      <c r="AS1115" s="17"/>
      <c r="AT1115" s="17"/>
      <c r="AU1115" s="17"/>
      <c r="AV1115" s="17"/>
      <c r="AW1115" s="17"/>
      <c r="AX1115" s="17"/>
      <c r="AY1115" s="17"/>
      <c r="AZ1115" s="17"/>
      <c r="BA1115" s="17"/>
      <c r="BB1115" s="17"/>
      <c r="BC1115" s="17"/>
      <c r="BD1115" s="17"/>
      <c r="BE1115" s="17"/>
      <c r="BF1115" s="17"/>
      <c r="BG1115" s="17"/>
      <c r="BH1115" s="17"/>
      <c r="BI1115" s="17"/>
      <c r="BJ1115" s="17"/>
      <c r="BK1115" s="17"/>
      <c r="BL1115" s="17"/>
      <c r="BM1115" s="17"/>
      <c r="BN1115" s="17"/>
      <c r="BO1115" s="17"/>
      <c r="BP1115" s="17"/>
      <c r="BQ1115" s="17"/>
      <c r="BR1115" s="17"/>
      <c r="BS1115" s="17"/>
      <c r="BT1115" s="17"/>
      <c r="BU1115" s="17"/>
      <c r="BV1115" s="17"/>
      <c r="BW1115" s="17"/>
      <c r="BX1115" s="17"/>
    </row>
    <row r="1116" customHeight="1" spans="1:76">
      <c r="A1116" s="17"/>
      <c r="B1116" s="17"/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/>
      <c r="AM1116" s="17"/>
      <c r="AN1116" s="17"/>
      <c r="AO1116" s="17"/>
      <c r="AP1116" s="17"/>
      <c r="AQ1116" s="17"/>
      <c r="AR1116" s="17"/>
      <c r="AS1116" s="17"/>
      <c r="AT1116" s="17"/>
      <c r="AU1116" s="17"/>
      <c r="AV1116" s="17"/>
      <c r="AW1116" s="17"/>
      <c r="AX1116" s="17"/>
      <c r="AY1116" s="17"/>
      <c r="AZ1116" s="17"/>
      <c r="BA1116" s="17"/>
      <c r="BB1116" s="17"/>
      <c r="BC1116" s="17"/>
      <c r="BD1116" s="17"/>
      <c r="BE1116" s="17"/>
      <c r="BF1116" s="17"/>
      <c r="BG1116" s="17"/>
      <c r="BH1116" s="17"/>
      <c r="BI1116" s="17"/>
      <c r="BJ1116" s="17"/>
      <c r="BK1116" s="17"/>
      <c r="BL1116" s="17"/>
      <c r="BM1116" s="17"/>
      <c r="BN1116" s="17"/>
      <c r="BO1116" s="17"/>
      <c r="BP1116" s="17"/>
      <c r="BQ1116" s="17"/>
      <c r="BR1116" s="17"/>
      <c r="BS1116" s="17"/>
      <c r="BT1116" s="17"/>
      <c r="BU1116" s="17"/>
      <c r="BV1116" s="17"/>
      <c r="BW1116" s="17"/>
      <c r="BX1116" s="17"/>
    </row>
    <row r="1117" customHeight="1" spans="1:76">
      <c r="A1117" s="17"/>
      <c r="B1117" s="17"/>
      <c r="C1117" s="17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17"/>
      <c r="AF1117" s="17"/>
      <c r="AG1117" s="17"/>
      <c r="AH1117" s="17"/>
      <c r="AI1117" s="17"/>
      <c r="AJ1117" s="17"/>
      <c r="AK1117" s="17"/>
      <c r="AL1117" s="17"/>
      <c r="AM1117" s="17"/>
      <c r="AN1117" s="17"/>
      <c r="AO1117" s="17"/>
      <c r="AP1117" s="17"/>
      <c r="AQ1117" s="17"/>
      <c r="AR1117" s="17"/>
      <c r="AS1117" s="17"/>
      <c r="AT1117" s="17"/>
      <c r="AU1117" s="17"/>
      <c r="AV1117" s="17"/>
      <c r="AW1117" s="17"/>
      <c r="AX1117" s="17"/>
      <c r="AY1117" s="17"/>
      <c r="AZ1117" s="17"/>
      <c r="BA1117" s="17"/>
      <c r="BB1117" s="17"/>
      <c r="BC1117" s="17"/>
      <c r="BD1117" s="17"/>
      <c r="BE1117" s="17"/>
      <c r="BF1117" s="17"/>
      <c r="BG1117" s="17"/>
      <c r="BH1117" s="17"/>
      <c r="BI1117" s="17"/>
      <c r="BJ1117" s="17"/>
      <c r="BK1117" s="17"/>
      <c r="BL1117" s="17"/>
      <c r="BM1117" s="17"/>
      <c r="BN1117" s="17"/>
      <c r="BO1117" s="17"/>
      <c r="BP1117" s="17"/>
      <c r="BQ1117" s="17"/>
      <c r="BR1117" s="17"/>
      <c r="BS1117" s="17"/>
      <c r="BT1117" s="17"/>
      <c r="BU1117" s="17"/>
      <c r="BV1117" s="17"/>
      <c r="BW1117" s="17"/>
      <c r="BX1117" s="17"/>
    </row>
    <row r="1118" customHeight="1" spans="1:76">
      <c r="A1118" s="17"/>
      <c r="B1118" s="17"/>
      <c r="C1118" s="17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7"/>
      <c r="AL1118" s="17"/>
      <c r="AM1118" s="17"/>
      <c r="AN1118" s="17"/>
      <c r="AO1118" s="17"/>
      <c r="AP1118" s="17"/>
      <c r="AQ1118" s="17"/>
      <c r="AR1118" s="17"/>
      <c r="AS1118" s="17"/>
      <c r="AT1118" s="17"/>
      <c r="AU1118" s="17"/>
      <c r="AV1118" s="17"/>
      <c r="AW1118" s="17"/>
      <c r="AX1118" s="17"/>
      <c r="AY1118" s="17"/>
      <c r="AZ1118" s="17"/>
      <c r="BA1118" s="17"/>
      <c r="BB1118" s="17"/>
      <c r="BC1118" s="17"/>
      <c r="BD1118" s="17"/>
      <c r="BE1118" s="17"/>
      <c r="BF1118" s="17"/>
      <c r="BG1118" s="17"/>
      <c r="BH1118" s="17"/>
      <c r="BI1118" s="17"/>
      <c r="BJ1118" s="17"/>
      <c r="BK1118" s="17"/>
      <c r="BL1118" s="17"/>
      <c r="BM1118" s="17"/>
      <c r="BN1118" s="17"/>
      <c r="BO1118" s="17"/>
      <c r="BP1118" s="17"/>
      <c r="BQ1118" s="17"/>
      <c r="BR1118" s="17"/>
      <c r="BS1118" s="17"/>
      <c r="BT1118" s="17"/>
      <c r="BU1118" s="17"/>
      <c r="BV1118" s="17"/>
      <c r="BW1118" s="17"/>
      <c r="BX1118" s="17"/>
    </row>
    <row r="1119" customHeight="1" spans="1:76">
      <c r="A1119" s="17"/>
      <c r="B1119" s="17"/>
      <c r="C1119" s="17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/>
      <c r="AH1119" s="17"/>
      <c r="AI1119" s="17"/>
      <c r="AJ1119" s="17"/>
      <c r="AK1119" s="17"/>
      <c r="AL1119" s="17"/>
      <c r="AM1119" s="17"/>
      <c r="AN1119" s="17"/>
      <c r="AO1119" s="17"/>
      <c r="AP1119" s="17"/>
      <c r="AQ1119" s="17"/>
      <c r="AR1119" s="17"/>
      <c r="AS1119" s="17"/>
      <c r="AT1119" s="17"/>
      <c r="AU1119" s="17"/>
      <c r="AV1119" s="17"/>
      <c r="AW1119" s="17"/>
      <c r="AX1119" s="17"/>
      <c r="AY1119" s="17"/>
      <c r="AZ1119" s="17"/>
      <c r="BA1119" s="17"/>
      <c r="BB1119" s="17"/>
      <c r="BC1119" s="17"/>
      <c r="BD1119" s="17"/>
      <c r="BE1119" s="17"/>
      <c r="BF1119" s="17"/>
      <c r="BG1119" s="17"/>
      <c r="BH1119" s="17"/>
      <c r="BI1119" s="17"/>
      <c r="BJ1119" s="17"/>
      <c r="BK1119" s="17"/>
      <c r="BL1119" s="17"/>
      <c r="BM1119" s="17"/>
      <c r="BN1119" s="17"/>
      <c r="BO1119" s="17"/>
      <c r="BP1119" s="17"/>
      <c r="BQ1119" s="17"/>
      <c r="BR1119" s="17"/>
      <c r="BS1119" s="17"/>
      <c r="BT1119" s="17"/>
      <c r="BU1119" s="17"/>
      <c r="BV1119" s="17"/>
      <c r="BW1119" s="17"/>
      <c r="BX1119" s="17"/>
    </row>
    <row r="1120" customHeight="1" spans="1:76">
      <c r="A1120" s="17"/>
      <c r="B1120" s="17"/>
      <c r="C1120" s="17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  <c r="AD1120" s="17"/>
      <c r="AE1120" s="17"/>
      <c r="AF1120" s="17"/>
      <c r="AG1120" s="17"/>
      <c r="AH1120" s="17"/>
      <c r="AI1120" s="17"/>
      <c r="AJ1120" s="17"/>
      <c r="AK1120" s="17"/>
      <c r="AL1120" s="17"/>
      <c r="AM1120" s="17"/>
      <c r="AN1120" s="17"/>
      <c r="AO1120" s="17"/>
      <c r="AP1120" s="17"/>
      <c r="AQ1120" s="17"/>
      <c r="AR1120" s="17"/>
      <c r="AS1120" s="17"/>
      <c r="AT1120" s="17"/>
      <c r="AU1120" s="17"/>
      <c r="AV1120" s="17"/>
      <c r="AW1120" s="17"/>
      <c r="AX1120" s="17"/>
      <c r="AY1120" s="17"/>
      <c r="AZ1120" s="17"/>
      <c r="BA1120" s="17"/>
      <c r="BB1120" s="17"/>
      <c r="BC1120" s="17"/>
      <c r="BD1120" s="17"/>
      <c r="BE1120" s="17"/>
      <c r="BF1120" s="17"/>
      <c r="BG1120" s="17"/>
      <c r="BH1120" s="17"/>
      <c r="BI1120" s="17"/>
      <c r="BJ1120" s="17"/>
      <c r="BK1120" s="17"/>
      <c r="BL1120" s="17"/>
      <c r="BM1120" s="17"/>
      <c r="BN1120" s="17"/>
      <c r="BO1120" s="17"/>
      <c r="BP1120" s="17"/>
      <c r="BQ1120" s="17"/>
      <c r="BR1120" s="17"/>
      <c r="BS1120" s="17"/>
      <c r="BT1120" s="17"/>
      <c r="BU1120" s="17"/>
      <c r="BV1120" s="17"/>
      <c r="BW1120" s="17"/>
      <c r="BX1120" s="17"/>
    </row>
    <row r="1121" customHeight="1" spans="1:76">
      <c r="A1121" s="17"/>
      <c r="B1121" s="17"/>
      <c r="C1121" s="17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/>
      <c r="AO1121" s="17"/>
      <c r="AP1121" s="17"/>
      <c r="AQ1121" s="17"/>
      <c r="AR1121" s="17"/>
      <c r="AS1121" s="17"/>
      <c r="AT1121" s="17"/>
      <c r="AU1121" s="17"/>
      <c r="AV1121" s="17"/>
      <c r="AW1121" s="17"/>
      <c r="AX1121" s="17"/>
      <c r="AY1121" s="17"/>
      <c r="AZ1121" s="17"/>
      <c r="BA1121" s="17"/>
      <c r="BB1121" s="17"/>
      <c r="BC1121" s="17"/>
      <c r="BD1121" s="17"/>
      <c r="BE1121" s="17"/>
      <c r="BF1121" s="17"/>
      <c r="BG1121" s="17"/>
      <c r="BH1121" s="17"/>
      <c r="BI1121" s="17"/>
      <c r="BJ1121" s="17"/>
      <c r="BK1121" s="17"/>
      <c r="BL1121" s="17"/>
      <c r="BM1121" s="17"/>
      <c r="BN1121" s="17"/>
      <c r="BO1121" s="17"/>
      <c r="BP1121" s="17"/>
      <c r="BQ1121" s="17"/>
      <c r="BR1121" s="17"/>
      <c r="BS1121" s="17"/>
      <c r="BT1121" s="17"/>
      <c r="BU1121" s="17"/>
      <c r="BV1121" s="17"/>
      <c r="BW1121" s="17"/>
      <c r="BX1121" s="17"/>
    </row>
    <row r="1122" customHeight="1" spans="1:76">
      <c r="A1122" s="17"/>
      <c r="B1122" s="17"/>
      <c r="C1122" s="17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17"/>
      <c r="AF1122" s="17"/>
      <c r="AG1122" s="17"/>
      <c r="AH1122" s="17"/>
      <c r="AI1122" s="17"/>
      <c r="AJ1122" s="17"/>
      <c r="AK1122" s="17"/>
      <c r="AL1122" s="17"/>
      <c r="AM1122" s="17"/>
      <c r="AN1122" s="17"/>
      <c r="AO1122" s="17"/>
      <c r="AP1122" s="17"/>
      <c r="AQ1122" s="17"/>
      <c r="AR1122" s="17"/>
      <c r="AS1122" s="17"/>
      <c r="AT1122" s="17"/>
      <c r="AU1122" s="17"/>
      <c r="AV1122" s="17"/>
      <c r="AW1122" s="17"/>
      <c r="AX1122" s="17"/>
      <c r="AY1122" s="17"/>
      <c r="AZ1122" s="17"/>
      <c r="BA1122" s="17"/>
      <c r="BB1122" s="17"/>
      <c r="BC1122" s="17"/>
      <c r="BD1122" s="17"/>
      <c r="BE1122" s="17"/>
      <c r="BF1122" s="17"/>
      <c r="BG1122" s="17"/>
      <c r="BH1122" s="17"/>
      <c r="BI1122" s="17"/>
      <c r="BJ1122" s="17"/>
      <c r="BK1122" s="17"/>
      <c r="BL1122" s="17"/>
      <c r="BM1122" s="17"/>
      <c r="BN1122" s="17"/>
      <c r="BO1122" s="17"/>
      <c r="BP1122" s="17"/>
      <c r="BQ1122" s="17"/>
      <c r="BR1122" s="17"/>
      <c r="BS1122" s="17"/>
      <c r="BT1122" s="17"/>
      <c r="BU1122" s="17"/>
      <c r="BV1122" s="17"/>
      <c r="BW1122" s="17"/>
      <c r="BX1122" s="17"/>
    </row>
    <row r="1123" customHeight="1" spans="1:76">
      <c r="A1123" s="17"/>
      <c r="B1123" s="17"/>
      <c r="C1123" s="17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7"/>
      <c r="AP1123" s="17"/>
      <c r="AQ1123" s="17"/>
      <c r="AR1123" s="17"/>
      <c r="AS1123" s="17"/>
      <c r="AT1123" s="17"/>
      <c r="AU1123" s="17"/>
      <c r="AV1123" s="17"/>
      <c r="AW1123" s="17"/>
      <c r="AX1123" s="17"/>
      <c r="AY1123" s="17"/>
      <c r="AZ1123" s="17"/>
      <c r="BA1123" s="17"/>
      <c r="BB1123" s="17"/>
      <c r="BC1123" s="17"/>
      <c r="BD1123" s="17"/>
      <c r="BE1123" s="17"/>
      <c r="BF1123" s="17"/>
      <c r="BG1123" s="17"/>
      <c r="BH1123" s="17"/>
      <c r="BI1123" s="17"/>
      <c r="BJ1123" s="17"/>
      <c r="BK1123" s="17"/>
      <c r="BL1123" s="17"/>
      <c r="BM1123" s="17"/>
      <c r="BN1123" s="17"/>
      <c r="BO1123" s="17"/>
      <c r="BP1123" s="17"/>
      <c r="BQ1123" s="17"/>
      <c r="BR1123" s="17"/>
      <c r="BS1123" s="17"/>
      <c r="BT1123" s="17"/>
      <c r="BU1123" s="17"/>
      <c r="BV1123" s="17"/>
      <c r="BW1123" s="17"/>
      <c r="BX1123" s="17"/>
    </row>
    <row r="1124" customHeight="1" spans="1:76">
      <c r="A1124" s="17"/>
      <c r="B1124" s="17"/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  <c r="AH1124" s="17"/>
      <c r="AI1124" s="17"/>
      <c r="AJ1124" s="17"/>
      <c r="AK1124" s="17"/>
      <c r="AL1124" s="17"/>
      <c r="AM1124" s="17"/>
      <c r="AN1124" s="17"/>
      <c r="AO1124" s="17"/>
      <c r="AP1124" s="17"/>
      <c r="AQ1124" s="17"/>
      <c r="AR1124" s="17"/>
      <c r="AS1124" s="17"/>
      <c r="AT1124" s="17"/>
      <c r="AU1124" s="17"/>
      <c r="AV1124" s="17"/>
      <c r="AW1124" s="17"/>
      <c r="AX1124" s="17"/>
      <c r="AY1124" s="17"/>
      <c r="AZ1124" s="17"/>
      <c r="BA1124" s="17"/>
      <c r="BB1124" s="17"/>
      <c r="BC1124" s="17"/>
      <c r="BD1124" s="17"/>
      <c r="BE1124" s="17"/>
      <c r="BF1124" s="17"/>
      <c r="BG1124" s="17"/>
      <c r="BH1124" s="17"/>
      <c r="BI1124" s="17"/>
      <c r="BJ1124" s="17"/>
      <c r="BK1124" s="17"/>
      <c r="BL1124" s="17"/>
      <c r="BM1124" s="17"/>
      <c r="BN1124" s="17"/>
      <c r="BO1124" s="17"/>
      <c r="BP1124" s="17"/>
      <c r="BQ1124" s="17"/>
      <c r="BR1124" s="17"/>
      <c r="BS1124" s="17"/>
      <c r="BT1124" s="17"/>
      <c r="BU1124" s="17"/>
      <c r="BV1124" s="17"/>
      <c r="BW1124" s="17"/>
      <c r="BX1124" s="17"/>
    </row>
    <row r="1125" customHeight="1" spans="1:76">
      <c r="A1125" s="17"/>
      <c r="B1125" s="17"/>
      <c r="C1125" s="17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17"/>
      <c r="AP1125" s="17"/>
      <c r="AQ1125" s="17"/>
      <c r="AR1125" s="17"/>
      <c r="AS1125" s="17"/>
      <c r="AT1125" s="17"/>
      <c r="AU1125" s="17"/>
      <c r="AV1125" s="17"/>
      <c r="AW1125" s="17"/>
      <c r="AX1125" s="17"/>
      <c r="AY1125" s="17"/>
      <c r="AZ1125" s="17"/>
      <c r="BA1125" s="17"/>
      <c r="BB1125" s="17"/>
      <c r="BC1125" s="17"/>
      <c r="BD1125" s="17"/>
      <c r="BE1125" s="17"/>
      <c r="BF1125" s="17"/>
      <c r="BG1125" s="17"/>
      <c r="BH1125" s="17"/>
      <c r="BI1125" s="17"/>
      <c r="BJ1125" s="17"/>
      <c r="BK1125" s="17"/>
      <c r="BL1125" s="17"/>
      <c r="BM1125" s="17"/>
      <c r="BN1125" s="17"/>
      <c r="BO1125" s="17"/>
      <c r="BP1125" s="17"/>
      <c r="BQ1125" s="17"/>
      <c r="BR1125" s="17"/>
      <c r="BS1125" s="17"/>
      <c r="BT1125" s="17"/>
      <c r="BU1125" s="17"/>
      <c r="BV1125" s="17"/>
      <c r="BW1125" s="17"/>
      <c r="BX1125" s="17"/>
    </row>
    <row r="1126" customHeight="1" spans="1:76">
      <c r="A1126" s="17"/>
      <c r="B1126" s="17"/>
      <c r="C1126" s="17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/>
      <c r="AO1126" s="17"/>
      <c r="AP1126" s="17"/>
      <c r="AQ1126" s="17"/>
      <c r="AR1126" s="17"/>
      <c r="AS1126" s="17"/>
      <c r="AT1126" s="17"/>
      <c r="AU1126" s="17"/>
      <c r="AV1126" s="17"/>
      <c r="AW1126" s="17"/>
      <c r="AX1126" s="17"/>
      <c r="AY1126" s="17"/>
      <c r="AZ1126" s="17"/>
      <c r="BA1126" s="17"/>
      <c r="BB1126" s="17"/>
      <c r="BC1126" s="17"/>
      <c r="BD1126" s="17"/>
      <c r="BE1126" s="17"/>
      <c r="BF1126" s="17"/>
      <c r="BG1126" s="17"/>
      <c r="BH1126" s="17"/>
      <c r="BI1126" s="17"/>
      <c r="BJ1126" s="17"/>
      <c r="BK1126" s="17"/>
      <c r="BL1126" s="17"/>
      <c r="BM1126" s="17"/>
      <c r="BN1126" s="17"/>
      <c r="BO1126" s="17"/>
      <c r="BP1126" s="17"/>
      <c r="BQ1126" s="17"/>
      <c r="BR1126" s="17"/>
      <c r="BS1126" s="17"/>
      <c r="BT1126" s="17"/>
      <c r="BU1126" s="17"/>
      <c r="BV1126" s="17"/>
      <c r="BW1126" s="17"/>
      <c r="BX1126" s="17"/>
    </row>
    <row r="1127" customHeight="1" spans="1:76">
      <c r="A1127" s="17"/>
      <c r="B1127" s="17"/>
      <c r="C1127" s="17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17"/>
      <c r="AP1127" s="17"/>
      <c r="AQ1127" s="17"/>
      <c r="AR1127" s="17"/>
      <c r="AS1127" s="17"/>
      <c r="AT1127" s="17"/>
      <c r="AU1127" s="17"/>
      <c r="AV1127" s="17"/>
      <c r="AW1127" s="17"/>
      <c r="AX1127" s="17"/>
      <c r="AY1127" s="17"/>
      <c r="AZ1127" s="17"/>
      <c r="BA1127" s="17"/>
      <c r="BB1127" s="17"/>
      <c r="BC1127" s="17"/>
      <c r="BD1127" s="17"/>
      <c r="BE1127" s="17"/>
      <c r="BF1127" s="17"/>
      <c r="BG1127" s="17"/>
      <c r="BH1127" s="17"/>
      <c r="BI1127" s="17"/>
      <c r="BJ1127" s="17"/>
      <c r="BK1127" s="17"/>
      <c r="BL1127" s="17"/>
      <c r="BM1127" s="17"/>
      <c r="BN1127" s="17"/>
      <c r="BO1127" s="17"/>
      <c r="BP1127" s="17"/>
      <c r="BQ1127" s="17"/>
      <c r="BR1127" s="17"/>
      <c r="BS1127" s="17"/>
      <c r="BT1127" s="17"/>
      <c r="BU1127" s="17"/>
      <c r="BV1127" s="17"/>
      <c r="BW1127" s="17"/>
      <c r="BX1127" s="17"/>
    </row>
    <row r="1128" customHeight="1" spans="1:76">
      <c r="A1128" s="17"/>
      <c r="B1128" s="17"/>
      <c r="C1128" s="17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17"/>
      <c r="AF1128" s="17"/>
      <c r="AG1128" s="17"/>
      <c r="AH1128" s="17"/>
      <c r="AI1128" s="17"/>
      <c r="AJ1128" s="17"/>
      <c r="AK1128" s="17"/>
      <c r="AL1128" s="17"/>
      <c r="AM1128" s="17"/>
      <c r="AN1128" s="17"/>
      <c r="AO1128" s="17"/>
      <c r="AP1128" s="17"/>
      <c r="AQ1128" s="17"/>
      <c r="AR1128" s="17"/>
      <c r="AS1128" s="17"/>
      <c r="AT1128" s="17"/>
      <c r="AU1128" s="17"/>
      <c r="AV1128" s="17"/>
      <c r="AW1128" s="17"/>
      <c r="AX1128" s="17"/>
      <c r="AY1128" s="17"/>
      <c r="AZ1128" s="17"/>
      <c r="BA1128" s="17"/>
      <c r="BB1128" s="17"/>
      <c r="BC1128" s="17"/>
      <c r="BD1128" s="17"/>
      <c r="BE1128" s="17"/>
      <c r="BF1128" s="17"/>
      <c r="BG1128" s="17"/>
      <c r="BH1128" s="17"/>
      <c r="BI1128" s="17"/>
      <c r="BJ1128" s="17"/>
      <c r="BK1128" s="17"/>
      <c r="BL1128" s="17"/>
      <c r="BM1128" s="17"/>
      <c r="BN1128" s="17"/>
      <c r="BO1128" s="17"/>
      <c r="BP1128" s="17"/>
      <c r="BQ1128" s="17"/>
      <c r="BR1128" s="17"/>
      <c r="BS1128" s="17"/>
      <c r="BT1128" s="17"/>
      <c r="BU1128" s="17"/>
      <c r="BV1128" s="17"/>
      <c r="BW1128" s="17"/>
      <c r="BX1128" s="17"/>
    </row>
    <row r="1129" customHeight="1" spans="1:76">
      <c r="A1129" s="17"/>
      <c r="B1129" s="17"/>
      <c r="C1129" s="17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17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17"/>
      <c r="AP1129" s="17"/>
      <c r="AQ1129" s="17"/>
      <c r="AR1129" s="17"/>
      <c r="AS1129" s="17"/>
      <c r="AT1129" s="17"/>
      <c r="AU1129" s="17"/>
      <c r="AV1129" s="17"/>
      <c r="AW1129" s="17"/>
      <c r="AX1129" s="17"/>
      <c r="AY1129" s="17"/>
      <c r="AZ1129" s="17"/>
      <c r="BA1129" s="17"/>
      <c r="BB1129" s="17"/>
      <c r="BC1129" s="17"/>
      <c r="BD1129" s="17"/>
      <c r="BE1129" s="17"/>
      <c r="BF1129" s="17"/>
      <c r="BG1129" s="17"/>
      <c r="BH1129" s="17"/>
      <c r="BI1129" s="17"/>
      <c r="BJ1129" s="17"/>
      <c r="BK1129" s="17"/>
      <c r="BL1129" s="17"/>
      <c r="BM1129" s="17"/>
      <c r="BN1129" s="17"/>
      <c r="BO1129" s="17"/>
      <c r="BP1129" s="17"/>
      <c r="BQ1129" s="17"/>
      <c r="BR1129" s="17"/>
      <c r="BS1129" s="17"/>
      <c r="BT1129" s="17"/>
      <c r="BU1129" s="17"/>
      <c r="BV1129" s="17"/>
      <c r="BW1129" s="17"/>
      <c r="BX1129" s="17"/>
    </row>
    <row r="1130" customHeight="1" spans="1:76">
      <c r="A1130" s="17"/>
      <c r="B1130" s="17"/>
      <c r="C1130" s="17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s="17"/>
      <c r="AP1130" s="17"/>
      <c r="AQ1130" s="17"/>
      <c r="AR1130" s="17"/>
      <c r="AS1130" s="17"/>
      <c r="AT1130" s="17"/>
      <c r="AU1130" s="17"/>
      <c r="AV1130" s="17"/>
      <c r="AW1130" s="17"/>
      <c r="AX1130" s="17"/>
      <c r="AY1130" s="17"/>
      <c r="AZ1130" s="17"/>
      <c r="BA1130" s="17"/>
      <c r="BB1130" s="17"/>
      <c r="BC1130" s="17"/>
      <c r="BD1130" s="17"/>
      <c r="BE1130" s="17"/>
      <c r="BF1130" s="17"/>
      <c r="BG1130" s="17"/>
      <c r="BH1130" s="17"/>
      <c r="BI1130" s="17"/>
      <c r="BJ1130" s="17"/>
      <c r="BK1130" s="17"/>
      <c r="BL1130" s="17"/>
      <c r="BM1130" s="17"/>
      <c r="BN1130" s="17"/>
      <c r="BO1130" s="17"/>
      <c r="BP1130" s="17"/>
      <c r="BQ1130" s="17"/>
      <c r="BR1130" s="17"/>
      <c r="BS1130" s="17"/>
      <c r="BT1130" s="17"/>
      <c r="BU1130" s="17"/>
      <c r="BV1130" s="17"/>
      <c r="BW1130" s="17"/>
      <c r="BX1130" s="17"/>
    </row>
    <row r="1131" customHeight="1" spans="1:76">
      <c r="A1131" s="17"/>
      <c r="B1131" s="17"/>
      <c r="C1131" s="17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17"/>
      <c r="AP1131" s="17"/>
      <c r="AQ1131" s="17"/>
      <c r="AR1131" s="17"/>
      <c r="AS1131" s="17"/>
      <c r="AT1131" s="17"/>
      <c r="AU1131" s="17"/>
      <c r="AV1131" s="17"/>
      <c r="AW1131" s="17"/>
      <c r="AX1131" s="17"/>
      <c r="AY1131" s="17"/>
      <c r="AZ1131" s="17"/>
      <c r="BA1131" s="17"/>
      <c r="BB1131" s="17"/>
      <c r="BC1131" s="17"/>
      <c r="BD1131" s="17"/>
      <c r="BE1131" s="17"/>
      <c r="BF1131" s="17"/>
      <c r="BG1131" s="17"/>
      <c r="BH1131" s="17"/>
      <c r="BI1131" s="17"/>
      <c r="BJ1131" s="17"/>
      <c r="BK1131" s="17"/>
      <c r="BL1131" s="17"/>
      <c r="BM1131" s="17"/>
      <c r="BN1131" s="17"/>
      <c r="BO1131" s="17"/>
      <c r="BP1131" s="17"/>
      <c r="BQ1131" s="17"/>
      <c r="BR1131" s="17"/>
      <c r="BS1131" s="17"/>
      <c r="BT1131" s="17"/>
      <c r="BU1131" s="17"/>
      <c r="BV1131" s="17"/>
      <c r="BW1131" s="17"/>
      <c r="BX1131" s="17"/>
    </row>
    <row r="1132" customHeight="1" spans="1:76">
      <c r="A1132" s="17"/>
      <c r="B1132" s="17"/>
      <c r="C1132" s="17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17"/>
      <c r="AF1132" s="17"/>
      <c r="AG1132" s="17"/>
      <c r="AH1132" s="17"/>
      <c r="AI1132" s="17"/>
      <c r="AJ1132" s="17"/>
      <c r="AK1132" s="17"/>
      <c r="AL1132" s="17"/>
      <c r="AM1132" s="17"/>
      <c r="AN1132" s="17"/>
      <c r="AO1132" s="17"/>
      <c r="AP1132" s="17"/>
      <c r="AQ1132" s="17"/>
      <c r="AR1132" s="17"/>
      <c r="AS1132" s="17"/>
      <c r="AT1132" s="17"/>
      <c r="AU1132" s="17"/>
      <c r="AV1132" s="17"/>
      <c r="AW1132" s="17"/>
      <c r="AX1132" s="17"/>
      <c r="AY1132" s="17"/>
      <c r="AZ1132" s="17"/>
      <c r="BA1132" s="17"/>
      <c r="BB1132" s="17"/>
      <c r="BC1132" s="17"/>
      <c r="BD1132" s="17"/>
      <c r="BE1132" s="17"/>
      <c r="BF1132" s="17"/>
      <c r="BG1132" s="17"/>
      <c r="BH1132" s="17"/>
      <c r="BI1132" s="17"/>
      <c r="BJ1132" s="17"/>
      <c r="BK1132" s="17"/>
      <c r="BL1132" s="17"/>
      <c r="BM1132" s="17"/>
      <c r="BN1132" s="17"/>
      <c r="BO1132" s="17"/>
      <c r="BP1132" s="17"/>
      <c r="BQ1132" s="17"/>
      <c r="BR1132" s="17"/>
      <c r="BS1132" s="17"/>
      <c r="BT1132" s="17"/>
      <c r="BU1132" s="17"/>
      <c r="BV1132" s="17"/>
      <c r="BW1132" s="17"/>
      <c r="BX1132" s="17"/>
    </row>
    <row r="1133" customHeight="1" spans="1:76">
      <c r="A1133" s="17"/>
      <c r="B1133" s="17"/>
      <c r="C1133" s="17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s="17"/>
      <c r="AP1133" s="17"/>
      <c r="AQ1133" s="17"/>
      <c r="AR1133" s="17"/>
      <c r="AS1133" s="17"/>
      <c r="AT1133" s="17"/>
      <c r="AU1133" s="17"/>
      <c r="AV1133" s="17"/>
      <c r="AW1133" s="17"/>
      <c r="AX1133" s="17"/>
      <c r="AY1133" s="17"/>
      <c r="AZ1133" s="17"/>
      <c r="BA1133" s="17"/>
      <c r="BB1133" s="17"/>
      <c r="BC1133" s="17"/>
      <c r="BD1133" s="17"/>
      <c r="BE1133" s="17"/>
      <c r="BF1133" s="17"/>
      <c r="BG1133" s="17"/>
      <c r="BH1133" s="17"/>
      <c r="BI1133" s="17"/>
      <c r="BJ1133" s="17"/>
      <c r="BK1133" s="17"/>
      <c r="BL1133" s="17"/>
      <c r="BM1133" s="17"/>
      <c r="BN1133" s="17"/>
      <c r="BO1133" s="17"/>
      <c r="BP1133" s="17"/>
      <c r="BQ1133" s="17"/>
      <c r="BR1133" s="17"/>
      <c r="BS1133" s="17"/>
      <c r="BT1133" s="17"/>
      <c r="BU1133" s="17"/>
      <c r="BV1133" s="17"/>
      <c r="BW1133" s="17"/>
      <c r="BX1133" s="17"/>
    </row>
    <row r="1134" customHeight="1" spans="1:76">
      <c r="A1134" s="17"/>
      <c r="B1134" s="17"/>
      <c r="C1134" s="17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7"/>
      <c r="AL1134" s="17"/>
      <c r="AM1134" s="17"/>
      <c r="AN1134" s="17"/>
      <c r="AO1134" s="17"/>
      <c r="AP1134" s="17"/>
      <c r="AQ1134" s="17"/>
      <c r="AR1134" s="17"/>
      <c r="AS1134" s="17"/>
      <c r="AT1134" s="17"/>
      <c r="AU1134" s="17"/>
      <c r="AV1134" s="17"/>
      <c r="AW1134" s="17"/>
      <c r="AX1134" s="17"/>
      <c r="AY1134" s="17"/>
      <c r="AZ1134" s="17"/>
      <c r="BA1134" s="17"/>
      <c r="BB1134" s="17"/>
      <c r="BC1134" s="17"/>
      <c r="BD1134" s="17"/>
      <c r="BE1134" s="17"/>
      <c r="BF1134" s="17"/>
      <c r="BG1134" s="17"/>
      <c r="BH1134" s="17"/>
      <c r="BI1134" s="17"/>
      <c r="BJ1134" s="17"/>
      <c r="BK1134" s="17"/>
      <c r="BL1134" s="17"/>
      <c r="BM1134" s="17"/>
      <c r="BN1134" s="17"/>
      <c r="BO1134" s="17"/>
      <c r="BP1134" s="17"/>
      <c r="BQ1134" s="17"/>
      <c r="BR1134" s="17"/>
      <c r="BS1134" s="17"/>
      <c r="BT1134" s="17"/>
      <c r="BU1134" s="17"/>
      <c r="BV1134" s="17"/>
      <c r="BW1134" s="17"/>
      <c r="BX1134" s="17"/>
    </row>
    <row r="1135" customHeight="1" spans="1:76">
      <c r="A1135" s="17"/>
      <c r="B1135" s="17"/>
      <c r="C1135" s="17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/>
      <c r="AM1135" s="17"/>
      <c r="AN1135" s="17"/>
      <c r="AO1135" s="17"/>
      <c r="AP1135" s="17"/>
      <c r="AQ1135" s="17"/>
      <c r="AR1135" s="17"/>
      <c r="AS1135" s="17"/>
      <c r="AT1135" s="17"/>
      <c r="AU1135" s="17"/>
      <c r="AV1135" s="17"/>
      <c r="AW1135" s="17"/>
      <c r="AX1135" s="17"/>
      <c r="AY1135" s="17"/>
      <c r="AZ1135" s="17"/>
      <c r="BA1135" s="17"/>
      <c r="BB1135" s="17"/>
      <c r="BC1135" s="17"/>
      <c r="BD1135" s="17"/>
      <c r="BE1135" s="17"/>
      <c r="BF1135" s="17"/>
      <c r="BG1135" s="17"/>
      <c r="BH1135" s="17"/>
      <c r="BI1135" s="17"/>
      <c r="BJ1135" s="17"/>
      <c r="BK1135" s="17"/>
      <c r="BL1135" s="17"/>
      <c r="BM1135" s="17"/>
      <c r="BN1135" s="17"/>
      <c r="BO1135" s="17"/>
      <c r="BP1135" s="17"/>
      <c r="BQ1135" s="17"/>
      <c r="BR1135" s="17"/>
      <c r="BS1135" s="17"/>
      <c r="BT1135" s="17"/>
      <c r="BU1135" s="17"/>
      <c r="BV1135" s="17"/>
      <c r="BW1135" s="17"/>
      <c r="BX1135" s="17"/>
    </row>
    <row r="1136" customHeight="1" spans="1:76">
      <c r="A1136" s="17"/>
      <c r="B1136" s="17"/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  <c r="AH1136" s="17"/>
      <c r="AI1136" s="17"/>
      <c r="AJ1136" s="17"/>
      <c r="AK1136" s="17"/>
      <c r="AL1136" s="17"/>
      <c r="AM1136" s="17"/>
      <c r="AN1136" s="17"/>
      <c r="AO1136" s="17"/>
      <c r="AP1136" s="17"/>
      <c r="AQ1136" s="17"/>
      <c r="AR1136" s="17"/>
      <c r="AS1136" s="17"/>
      <c r="AT1136" s="17"/>
      <c r="AU1136" s="17"/>
      <c r="AV1136" s="17"/>
      <c r="AW1136" s="17"/>
      <c r="AX1136" s="17"/>
      <c r="AY1136" s="17"/>
      <c r="AZ1136" s="17"/>
      <c r="BA1136" s="17"/>
      <c r="BB1136" s="17"/>
      <c r="BC1136" s="17"/>
      <c r="BD1136" s="17"/>
      <c r="BE1136" s="17"/>
      <c r="BF1136" s="17"/>
      <c r="BG1136" s="17"/>
      <c r="BH1136" s="17"/>
      <c r="BI1136" s="17"/>
      <c r="BJ1136" s="17"/>
      <c r="BK1136" s="17"/>
      <c r="BL1136" s="17"/>
      <c r="BM1136" s="17"/>
      <c r="BN1136" s="17"/>
      <c r="BO1136" s="17"/>
      <c r="BP1136" s="17"/>
      <c r="BQ1136" s="17"/>
      <c r="BR1136" s="17"/>
      <c r="BS1136" s="17"/>
      <c r="BT1136" s="17"/>
      <c r="BU1136" s="17"/>
      <c r="BV1136" s="17"/>
      <c r="BW1136" s="17"/>
      <c r="BX1136" s="17"/>
    </row>
    <row r="1137" customHeight="1" spans="1:76">
      <c r="A1137" s="17"/>
      <c r="B1137" s="17"/>
      <c r="C1137" s="17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  <c r="AH1137" s="17"/>
      <c r="AI1137" s="17"/>
      <c r="AJ1137" s="17"/>
      <c r="AK1137" s="17"/>
      <c r="AL1137" s="17"/>
      <c r="AM1137" s="17"/>
      <c r="AN1137" s="17"/>
      <c r="AO1137" s="17"/>
      <c r="AP1137" s="17"/>
      <c r="AQ1137" s="17"/>
      <c r="AR1137" s="17"/>
      <c r="AS1137" s="17"/>
      <c r="AT1137" s="17"/>
      <c r="AU1137" s="17"/>
      <c r="AV1137" s="17"/>
      <c r="AW1137" s="17"/>
      <c r="AX1137" s="17"/>
      <c r="AY1137" s="17"/>
      <c r="AZ1137" s="17"/>
      <c r="BA1137" s="17"/>
      <c r="BB1137" s="17"/>
      <c r="BC1137" s="17"/>
      <c r="BD1137" s="17"/>
      <c r="BE1137" s="17"/>
      <c r="BF1137" s="17"/>
      <c r="BG1137" s="17"/>
      <c r="BH1137" s="17"/>
      <c r="BI1137" s="17"/>
      <c r="BJ1137" s="17"/>
      <c r="BK1137" s="17"/>
      <c r="BL1137" s="17"/>
      <c r="BM1137" s="17"/>
      <c r="BN1137" s="17"/>
      <c r="BO1137" s="17"/>
      <c r="BP1137" s="17"/>
      <c r="BQ1137" s="17"/>
      <c r="BR1137" s="17"/>
      <c r="BS1137" s="17"/>
      <c r="BT1137" s="17"/>
      <c r="BU1137" s="17"/>
      <c r="BV1137" s="17"/>
      <c r="BW1137" s="17"/>
      <c r="BX1137" s="17"/>
    </row>
    <row r="1138" customHeight="1" spans="1:76">
      <c r="A1138" s="17"/>
      <c r="B1138" s="17"/>
      <c r="C1138" s="17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17"/>
      <c r="AF1138" s="17"/>
      <c r="AG1138" s="17"/>
      <c r="AH1138" s="17"/>
      <c r="AI1138" s="17"/>
      <c r="AJ1138" s="17"/>
      <c r="AK1138" s="17"/>
      <c r="AL1138" s="17"/>
      <c r="AM1138" s="17"/>
      <c r="AN1138" s="17"/>
      <c r="AO1138" s="17"/>
      <c r="AP1138" s="17"/>
      <c r="AQ1138" s="17"/>
      <c r="AR1138" s="17"/>
      <c r="AS1138" s="17"/>
      <c r="AT1138" s="17"/>
      <c r="AU1138" s="17"/>
      <c r="AV1138" s="17"/>
      <c r="AW1138" s="17"/>
      <c r="AX1138" s="17"/>
      <c r="AY1138" s="17"/>
      <c r="AZ1138" s="17"/>
      <c r="BA1138" s="17"/>
      <c r="BB1138" s="17"/>
      <c r="BC1138" s="17"/>
      <c r="BD1138" s="17"/>
      <c r="BE1138" s="17"/>
      <c r="BF1138" s="17"/>
      <c r="BG1138" s="17"/>
      <c r="BH1138" s="17"/>
      <c r="BI1138" s="17"/>
      <c r="BJ1138" s="17"/>
      <c r="BK1138" s="17"/>
      <c r="BL1138" s="17"/>
      <c r="BM1138" s="17"/>
      <c r="BN1138" s="17"/>
      <c r="BO1138" s="17"/>
      <c r="BP1138" s="17"/>
      <c r="BQ1138" s="17"/>
      <c r="BR1138" s="17"/>
      <c r="BS1138" s="17"/>
      <c r="BT1138" s="17"/>
      <c r="BU1138" s="17"/>
      <c r="BV1138" s="17"/>
      <c r="BW1138" s="17"/>
      <c r="BX1138" s="17"/>
    </row>
    <row r="1139" customHeight="1" spans="1:76">
      <c r="A1139" s="17"/>
      <c r="B1139" s="17"/>
      <c r="C1139" s="17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17"/>
      <c r="AH1139" s="17"/>
      <c r="AI1139" s="17"/>
      <c r="AJ1139" s="17"/>
      <c r="AK1139" s="17"/>
      <c r="AL1139" s="17"/>
      <c r="AM1139" s="17"/>
      <c r="AN1139" s="17"/>
      <c r="AO1139" s="17"/>
      <c r="AP1139" s="17"/>
      <c r="AQ1139" s="17"/>
      <c r="AR1139" s="17"/>
      <c r="AS1139" s="17"/>
      <c r="AT1139" s="17"/>
      <c r="AU1139" s="17"/>
      <c r="AV1139" s="17"/>
      <c r="AW1139" s="17"/>
      <c r="AX1139" s="17"/>
      <c r="AY1139" s="17"/>
      <c r="AZ1139" s="17"/>
      <c r="BA1139" s="17"/>
      <c r="BB1139" s="17"/>
      <c r="BC1139" s="17"/>
      <c r="BD1139" s="17"/>
      <c r="BE1139" s="17"/>
      <c r="BF1139" s="17"/>
      <c r="BG1139" s="17"/>
      <c r="BH1139" s="17"/>
      <c r="BI1139" s="17"/>
      <c r="BJ1139" s="17"/>
      <c r="BK1139" s="17"/>
      <c r="BL1139" s="17"/>
      <c r="BM1139" s="17"/>
      <c r="BN1139" s="17"/>
      <c r="BO1139" s="17"/>
      <c r="BP1139" s="17"/>
      <c r="BQ1139" s="17"/>
      <c r="BR1139" s="17"/>
      <c r="BS1139" s="17"/>
      <c r="BT1139" s="17"/>
      <c r="BU1139" s="17"/>
      <c r="BV1139" s="17"/>
      <c r="BW1139" s="17"/>
      <c r="BX1139" s="17"/>
    </row>
    <row r="1140" customHeight="1" spans="1:76">
      <c r="A1140" s="17"/>
      <c r="B1140" s="17"/>
      <c r="C1140" s="17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17"/>
      <c r="AF1140" s="17"/>
      <c r="AG1140" s="17"/>
      <c r="AH1140" s="17"/>
      <c r="AI1140" s="17"/>
      <c r="AJ1140" s="17"/>
      <c r="AK1140" s="17"/>
      <c r="AL1140" s="17"/>
      <c r="AM1140" s="17"/>
      <c r="AN1140" s="17"/>
      <c r="AO1140" s="17"/>
      <c r="AP1140" s="17"/>
      <c r="AQ1140" s="17"/>
      <c r="AR1140" s="17"/>
      <c r="AS1140" s="17"/>
      <c r="AT1140" s="17"/>
      <c r="AU1140" s="17"/>
      <c r="AV1140" s="17"/>
      <c r="AW1140" s="17"/>
      <c r="AX1140" s="17"/>
      <c r="AY1140" s="17"/>
      <c r="AZ1140" s="17"/>
      <c r="BA1140" s="17"/>
      <c r="BB1140" s="17"/>
      <c r="BC1140" s="17"/>
      <c r="BD1140" s="17"/>
      <c r="BE1140" s="17"/>
      <c r="BF1140" s="17"/>
      <c r="BG1140" s="17"/>
      <c r="BH1140" s="17"/>
      <c r="BI1140" s="17"/>
      <c r="BJ1140" s="17"/>
      <c r="BK1140" s="17"/>
      <c r="BL1140" s="17"/>
      <c r="BM1140" s="17"/>
      <c r="BN1140" s="17"/>
      <c r="BO1140" s="17"/>
      <c r="BP1140" s="17"/>
      <c r="BQ1140" s="17"/>
      <c r="BR1140" s="17"/>
      <c r="BS1140" s="17"/>
      <c r="BT1140" s="17"/>
      <c r="BU1140" s="17"/>
      <c r="BV1140" s="17"/>
      <c r="BW1140" s="17"/>
      <c r="BX1140" s="17"/>
    </row>
    <row r="1141" customHeight="1" spans="1:76">
      <c r="A1141" s="17"/>
      <c r="B1141" s="17"/>
      <c r="C1141" s="17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  <c r="AH1141" s="17"/>
      <c r="AI1141" s="17"/>
      <c r="AJ1141" s="17"/>
      <c r="AK1141" s="17"/>
      <c r="AL1141" s="17"/>
      <c r="AM1141" s="17"/>
      <c r="AN1141" s="17"/>
      <c r="AO1141" s="17"/>
      <c r="AP1141" s="17"/>
      <c r="AQ1141" s="17"/>
      <c r="AR1141" s="17"/>
      <c r="AS1141" s="17"/>
      <c r="AT1141" s="17"/>
      <c r="AU1141" s="17"/>
      <c r="AV1141" s="17"/>
      <c r="AW1141" s="17"/>
      <c r="AX1141" s="17"/>
      <c r="AY1141" s="17"/>
      <c r="AZ1141" s="17"/>
      <c r="BA1141" s="17"/>
      <c r="BB1141" s="17"/>
      <c r="BC1141" s="17"/>
      <c r="BD1141" s="17"/>
      <c r="BE1141" s="17"/>
      <c r="BF1141" s="17"/>
      <c r="BG1141" s="17"/>
      <c r="BH1141" s="17"/>
      <c r="BI1141" s="17"/>
      <c r="BJ1141" s="17"/>
      <c r="BK1141" s="17"/>
      <c r="BL1141" s="17"/>
      <c r="BM1141" s="17"/>
      <c r="BN1141" s="17"/>
      <c r="BO1141" s="17"/>
      <c r="BP1141" s="17"/>
      <c r="BQ1141" s="17"/>
      <c r="BR1141" s="17"/>
      <c r="BS1141" s="17"/>
      <c r="BT1141" s="17"/>
      <c r="BU1141" s="17"/>
      <c r="BV1141" s="17"/>
      <c r="BW1141" s="17"/>
      <c r="BX1141" s="17"/>
    </row>
    <row r="1142" customHeight="1" spans="1:76">
      <c r="A1142" s="17"/>
      <c r="B1142" s="17"/>
      <c r="C1142" s="17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7"/>
      <c r="AM1142" s="17"/>
      <c r="AN1142" s="17"/>
      <c r="AO1142" s="17"/>
      <c r="AP1142" s="17"/>
      <c r="AQ1142" s="17"/>
      <c r="AR1142" s="17"/>
      <c r="AS1142" s="17"/>
      <c r="AT1142" s="17"/>
      <c r="AU1142" s="17"/>
      <c r="AV1142" s="17"/>
      <c r="AW1142" s="17"/>
      <c r="AX1142" s="17"/>
      <c r="AY1142" s="17"/>
      <c r="AZ1142" s="17"/>
      <c r="BA1142" s="17"/>
      <c r="BB1142" s="17"/>
      <c r="BC1142" s="17"/>
      <c r="BD1142" s="17"/>
      <c r="BE1142" s="17"/>
      <c r="BF1142" s="17"/>
      <c r="BG1142" s="17"/>
      <c r="BH1142" s="17"/>
      <c r="BI1142" s="17"/>
      <c r="BJ1142" s="17"/>
      <c r="BK1142" s="17"/>
      <c r="BL1142" s="17"/>
      <c r="BM1142" s="17"/>
      <c r="BN1142" s="17"/>
      <c r="BO1142" s="17"/>
      <c r="BP1142" s="17"/>
      <c r="BQ1142" s="17"/>
      <c r="BR1142" s="17"/>
      <c r="BS1142" s="17"/>
      <c r="BT1142" s="17"/>
      <c r="BU1142" s="17"/>
      <c r="BV1142" s="17"/>
      <c r="BW1142" s="17"/>
      <c r="BX1142" s="17"/>
    </row>
    <row r="1143" customHeight="1" spans="1:76">
      <c r="A1143" s="17"/>
      <c r="B1143" s="17"/>
      <c r="C1143" s="17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17"/>
      <c r="AF1143" s="17"/>
      <c r="AG1143" s="17"/>
      <c r="AH1143" s="17"/>
      <c r="AI1143" s="17"/>
      <c r="AJ1143" s="17"/>
      <c r="AK1143" s="17"/>
      <c r="AL1143" s="17"/>
      <c r="AM1143" s="17"/>
      <c r="AN1143" s="17"/>
      <c r="AO1143" s="17"/>
      <c r="AP1143" s="17"/>
      <c r="AQ1143" s="17"/>
      <c r="AR1143" s="17"/>
      <c r="AS1143" s="17"/>
      <c r="AT1143" s="17"/>
      <c r="AU1143" s="17"/>
      <c r="AV1143" s="17"/>
      <c r="AW1143" s="17"/>
      <c r="AX1143" s="17"/>
      <c r="AY1143" s="17"/>
      <c r="AZ1143" s="17"/>
      <c r="BA1143" s="17"/>
      <c r="BB1143" s="17"/>
      <c r="BC1143" s="17"/>
      <c r="BD1143" s="17"/>
      <c r="BE1143" s="17"/>
      <c r="BF1143" s="17"/>
      <c r="BG1143" s="17"/>
      <c r="BH1143" s="17"/>
      <c r="BI1143" s="17"/>
      <c r="BJ1143" s="17"/>
      <c r="BK1143" s="17"/>
      <c r="BL1143" s="17"/>
      <c r="BM1143" s="17"/>
      <c r="BN1143" s="17"/>
      <c r="BO1143" s="17"/>
      <c r="BP1143" s="17"/>
      <c r="BQ1143" s="17"/>
      <c r="BR1143" s="17"/>
      <c r="BS1143" s="17"/>
      <c r="BT1143" s="17"/>
      <c r="BU1143" s="17"/>
      <c r="BV1143" s="17"/>
      <c r="BW1143" s="17"/>
      <c r="BX1143" s="17"/>
    </row>
    <row r="1144" customHeight="1" spans="1:76">
      <c r="A1144" s="17"/>
      <c r="B1144" s="17"/>
      <c r="C1144" s="17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17"/>
      <c r="AF1144" s="17"/>
      <c r="AG1144" s="17"/>
      <c r="AH1144" s="17"/>
      <c r="AI1144" s="17"/>
      <c r="AJ1144" s="17"/>
      <c r="AK1144" s="17"/>
      <c r="AL1144" s="17"/>
      <c r="AM1144" s="17"/>
      <c r="AN1144" s="17"/>
      <c r="AO1144" s="17"/>
      <c r="AP1144" s="17"/>
      <c r="AQ1144" s="17"/>
      <c r="AR1144" s="17"/>
      <c r="AS1144" s="17"/>
      <c r="AT1144" s="17"/>
      <c r="AU1144" s="17"/>
      <c r="AV1144" s="17"/>
      <c r="AW1144" s="17"/>
      <c r="AX1144" s="17"/>
      <c r="AY1144" s="17"/>
      <c r="AZ1144" s="17"/>
      <c r="BA1144" s="17"/>
      <c r="BB1144" s="17"/>
      <c r="BC1144" s="17"/>
      <c r="BD1144" s="17"/>
      <c r="BE1144" s="17"/>
      <c r="BF1144" s="17"/>
      <c r="BG1144" s="17"/>
      <c r="BH1144" s="17"/>
      <c r="BI1144" s="17"/>
      <c r="BJ1144" s="17"/>
      <c r="BK1144" s="17"/>
      <c r="BL1144" s="17"/>
      <c r="BM1144" s="17"/>
      <c r="BN1144" s="17"/>
      <c r="BO1144" s="17"/>
      <c r="BP1144" s="17"/>
      <c r="BQ1144" s="17"/>
      <c r="BR1144" s="17"/>
      <c r="BS1144" s="17"/>
      <c r="BT1144" s="17"/>
      <c r="BU1144" s="17"/>
      <c r="BV1144" s="17"/>
      <c r="BW1144" s="17"/>
      <c r="BX1144" s="17"/>
    </row>
    <row r="1145" customHeight="1" spans="1:76">
      <c r="A1145" s="17"/>
      <c r="B1145" s="17"/>
      <c r="C1145" s="17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17"/>
      <c r="AF1145" s="17"/>
      <c r="AG1145" s="17"/>
      <c r="AH1145" s="17"/>
      <c r="AI1145" s="17"/>
      <c r="AJ1145" s="17"/>
      <c r="AK1145" s="17"/>
      <c r="AL1145" s="17"/>
      <c r="AM1145" s="17"/>
      <c r="AN1145" s="17"/>
      <c r="AO1145" s="17"/>
      <c r="AP1145" s="17"/>
      <c r="AQ1145" s="17"/>
      <c r="AR1145" s="17"/>
      <c r="AS1145" s="17"/>
      <c r="AT1145" s="17"/>
      <c r="AU1145" s="17"/>
      <c r="AV1145" s="17"/>
      <c r="AW1145" s="17"/>
      <c r="AX1145" s="17"/>
      <c r="AY1145" s="17"/>
      <c r="AZ1145" s="17"/>
      <c r="BA1145" s="17"/>
      <c r="BB1145" s="17"/>
      <c r="BC1145" s="17"/>
      <c r="BD1145" s="17"/>
      <c r="BE1145" s="17"/>
      <c r="BF1145" s="17"/>
      <c r="BG1145" s="17"/>
      <c r="BH1145" s="17"/>
      <c r="BI1145" s="17"/>
      <c r="BJ1145" s="17"/>
      <c r="BK1145" s="17"/>
      <c r="BL1145" s="17"/>
      <c r="BM1145" s="17"/>
      <c r="BN1145" s="17"/>
      <c r="BO1145" s="17"/>
      <c r="BP1145" s="17"/>
      <c r="BQ1145" s="17"/>
      <c r="BR1145" s="17"/>
      <c r="BS1145" s="17"/>
      <c r="BT1145" s="17"/>
      <c r="BU1145" s="17"/>
      <c r="BV1145" s="17"/>
      <c r="BW1145" s="17"/>
      <c r="BX1145" s="17"/>
    </row>
    <row r="1146" customHeight="1" spans="1:76">
      <c r="A1146" s="17"/>
      <c r="B1146" s="17"/>
      <c r="C1146" s="17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7"/>
      <c r="AK1146" s="17"/>
      <c r="AL1146" s="17"/>
      <c r="AM1146" s="17"/>
      <c r="AN1146" s="17"/>
      <c r="AO1146" s="17"/>
      <c r="AP1146" s="17"/>
      <c r="AQ1146" s="17"/>
      <c r="AR1146" s="17"/>
      <c r="AS1146" s="17"/>
      <c r="AT1146" s="17"/>
      <c r="AU1146" s="17"/>
      <c r="AV1146" s="17"/>
      <c r="AW1146" s="17"/>
      <c r="AX1146" s="17"/>
      <c r="AY1146" s="17"/>
      <c r="AZ1146" s="17"/>
      <c r="BA1146" s="17"/>
      <c r="BB1146" s="17"/>
      <c r="BC1146" s="17"/>
      <c r="BD1146" s="17"/>
      <c r="BE1146" s="17"/>
      <c r="BF1146" s="17"/>
      <c r="BG1146" s="17"/>
      <c r="BH1146" s="17"/>
      <c r="BI1146" s="17"/>
      <c r="BJ1146" s="17"/>
      <c r="BK1146" s="17"/>
      <c r="BL1146" s="17"/>
      <c r="BM1146" s="17"/>
      <c r="BN1146" s="17"/>
      <c r="BO1146" s="17"/>
      <c r="BP1146" s="17"/>
      <c r="BQ1146" s="17"/>
      <c r="BR1146" s="17"/>
      <c r="BS1146" s="17"/>
      <c r="BT1146" s="17"/>
      <c r="BU1146" s="17"/>
      <c r="BV1146" s="17"/>
      <c r="BW1146" s="17"/>
      <c r="BX1146" s="17"/>
    </row>
    <row r="1147" customHeight="1" spans="1:76">
      <c r="A1147" s="17"/>
      <c r="B1147" s="17"/>
      <c r="C1147" s="17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7"/>
      <c r="AL1147" s="17"/>
      <c r="AM1147" s="17"/>
      <c r="AN1147" s="17"/>
      <c r="AO1147" s="17"/>
      <c r="AP1147" s="17"/>
      <c r="AQ1147" s="17"/>
      <c r="AR1147" s="17"/>
      <c r="AS1147" s="17"/>
      <c r="AT1147" s="17"/>
      <c r="AU1147" s="17"/>
      <c r="AV1147" s="17"/>
      <c r="AW1147" s="17"/>
      <c r="AX1147" s="17"/>
      <c r="AY1147" s="17"/>
      <c r="AZ1147" s="17"/>
      <c r="BA1147" s="17"/>
      <c r="BB1147" s="17"/>
      <c r="BC1147" s="17"/>
      <c r="BD1147" s="17"/>
      <c r="BE1147" s="17"/>
      <c r="BF1147" s="17"/>
      <c r="BG1147" s="17"/>
      <c r="BH1147" s="17"/>
      <c r="BI1147" s="17"/>
      <c r="BJ1147" s="17"/>
      <c r="BK1147" s="17"/>
      <c r="BL1147" s="17"/>
      <c r="BM1147" s="17"/>
      <c r="BN1147" s="17"/>
      <c r="BO1147" s="17"/>
      <c r="BP1147" s="17"/>
      <c r="BQ1147" s="17"/>
      <c r="BR1147" s="17"/>
      <c r="BS1147" s="17"/>
      <c r="BT1147" s="17"/>
      <c r="BU1147" s="17"/>
      <c r="BV1147" s="17"/>
      <c r="BW1147" s="17"/>
      <c r="BX1147" s="17"/>
    </row>
    <row r="1148" customHeight="1" spans="1:76">
      <c r="A1148" s="17"/>
      <c r="B1148" s="17"/>
      <c r="C1148" s="17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17"/>
      <c r="AF1148" s="17"/>
      <c r="AG1148" s="17"/>
      <c r="AH1148" s="17"/>
      <c r="AI1148" s="17"/>
      <c r="AJ1148" s="17"/>
      <c r="AK1148" s="17"/>
      <c r="AL1148" s="17"/>
      <c r="AM1148" s="17"/>
      <c r="AN1148" s="17"/>
      <c r="AO1148" s="17"/>
      <c r="AP1148" s="17"/>
      <c r="AQ1148" s="17"/>
      <c r="AR1148" s="17"/>
      <c r="AS1148" s="17"/>
      <c r="AT1148" s="17"/>
      <c r="AU1148" s="17"/>
      <c r="AV1148" s="17"/>
      <c r="AW1148" s="17"/>
      <c r="AX1148" s="17"/>
      <c r="AY1148" s="17"/>
      <c r="AZ1148" s="17"/>
      <c r="BA1148" s="17"/>
      <c r="BB1148" s="17"/>
      <c r="BC1148" s="17"/>
      <c r="BD1148" s="17"/>
      <c r="BE1148" s="17"/>
      <c r="BF1148" s="17"/>
      <c r="BG1148" s="17"/>
      <c r="BH1148" s="17"/>
      <c r="BI1148" s="17"/>
      <c r="BJ1148" s="17"/>
      <c r="BK1148" s="17"/>
      <c r="BL1148" s="17"/>
      <c r="BM1148" s="17"/>
      <c r="BN1148" s="17"/>
      <c r="BO1148" s="17"/>
      <c r="BP1148" s="17"/>
      <c r="BQ1148" s="17"/>
      <c r="BR1148" s="17"/>
      <c r="BS1148" s="17"/>
      <c r="BT1148" s="17"/>
      <c r="BU1148" s="17"/>
      <c r="BV1148" s="17"/>
      <c r="BW1148" s="17"/>
      <c r="BX1148" s="17"/>
    </row>
    <row r="1149" customHeight="1" spans="1:76">
      <c r="A1149" s="17"/>
      <c r="B1149" s="17"/>
      <c r="C1149" s="17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17"/>
      <c r="AF1149" s="17"/>
      <c r="AG1149" s="17"/>
      <c r="AH1149" s="17"/>
      <c r="AI1149" s="17"/>
      <c r="AJ1149" s="17"/>
      <c r="AK1149" s="17"/>
      <c r="AL1149" s="17"/>
      <c r="AM1149" s="17"/>
      <c r="AN1149" s="17"/>
      <c r="AO1149" s="17"/>
      <c r="AP1149" s="17"/>
      <c r="AQ1149" s="17"/>
      <c r="AR1149" s="17"/>
      <c r="AS1149" s="17"/>
      <c r="AT1149" s="17"/>
      <c r="AU1149" s="17"/>
      <c r="AV1149" s="17"/>
      <c r="AW1149" s="17"/>
      <c r="AX1149" s="17"/>
      <c r="AY1149" s="17"/>
      <c r="AZ1149" s="17"/>
      <c r="BA1149" s="17"/>
      <c r="BB1149" s="17"/>
      <c r="BC1149" s="17"/>
      <c r="BD1149" s="17"/>
      <c r="BE1149" s="17"/>
      <c r="BF1149" s="17"/>
      <c r="BG1149" s="17"/>
      <c r="BH1149" s="17"/>
      <c r="BI1149" s="17"/>
      <c r="BJ1149" s="17"/>
      <c r="BK1149" s="17"/>
      <c r="BL1149" s="17"/>
      <c r="BM1149" s="17"/>
      <c r="BN1149" s="17"/>
      <c r="BO1149" s="17"/>
      <c r="BP1149" s="17"/>
      <c r="BQ1149" s="17"/>
      <c r="BR1149" s="17"/>
      <c r="BS1149" s="17"/>
      <c r="BT1149" s="17"/>
      <c r="BU1149" s="17"/>
      <c r="BV1149" s="17"/>
      <c r="BW1149" s="17"/>
      <c r="BX1149" s="17"/>
    </row>
    <row r="1150" customHeight="1" spans="1:76">
      <c r="A1150" s="17"/>
      <c r="B1150" s="17"/>
      <c r="C1150" s="17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17"/>
      <c r="AF1150" s="17"/>
      <c r="AG1150" s="17"/>
      <c r="AH1150" s="17"/>
      <c r="AI1150" s="17"/>
      <c r="AJ1150" s="17"/>
      <c r="AK1150" s="17"/>
      <c r="AL1150" s="17"/>
      <c r="AM1150" s="17"/>
      <c r="AN1150" s="17"/>
      <c r="AO1150" s="17"/>
      <c r="AP1150" s="17"/>
      <c r="AQ1150" s="17"/>
      <c r="AR1150" s="17"/>
      <c r="AS1150" s="17"/>
      <c r="AT1150" s="17"/>
      <c r="AU1150" s="17"/>
      <c r="AV1150" s="17"/>
      <c r="AW1150" s="17"/>
      <c r="AX1150" s="17"/>
      <c r="AY1150" s="17"/>
      <c r="AZ1150" s="17"/>
      <c r="BA1150" s="17"/>
      <c r="BB1150" s="17"/>
      <c r="BC1150" s="17"/>
      <c r="BD1150" s="17"/>
      <c r="BE1150" s="17"/>
      <c r="BF1150" s="17"/>
      <c r="BG1150" s="17"/>
      <c r="BH1150" s="17"/>
      <c r="BI1150" s="17"/>
      <c r="BJ1150" s="17"/>
      <c r="BK1150" s="17"/>
      <c r="BL1150" s="17"/>
      <c r="BM1150" s="17"/>
      <c r="BN1150" s="17"/>
      <c r="BO1150" s="17"/>
      <c r="BP1150" s="17"/>
      <c r="BQ1150" s="17"/>
      <c r="BR1150" s="17"/>
      <c r="BS1150" s="17"/>
      <c r="BT1150" s="17"/>
      <c r="BU1150" s="17"/>
      <c r="BV1150" s="17"/>
      <c r="BW1150" s="17"/>
      <c r="BX1150" s="17"/>
    </row>
    <row r="1151" customHeight="1" spans="1:76">
      <c r="A1151" s="17"/>
      <c r="B1151" s="17"/>
      <c r="C1151" s="17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s="17"/>
      <c r="AP1151" s="17"/>
      <c r="AQ1151" s="17"/>
      <c r="AR1151" s="17"/>
      <c r="AS1151" s="17"/>
      <c r="AT1151" s="17"/>
      <c r="AU1151" s="17"/>
      <c r="AV1151" s="17"/>
      <c r="AW1151" s="17"/>
      <c r="AX1151" s="17"/>
      <c r="AY1151" s="17"/>
      <c r="AZ1151" s="17"/>
      <c r="BA1151" s="17"/>
      <c r="BB1151" s="17"/>
      <c r="BC1151" s="17"/>
      <c r="BD1151" s="17"/>
      <c r="BE1151" s="17"/>
      <c r="BF1151" s="17"/>
      <c r="BG1151" s="17"/>
      <c r="BH1151" s="17"/>
      <c r="BI1151" s="17"/>
      <c r="BJ1151" s="17"/>
      <c r="BK1151" s="17"/>
      <c r="BL1151" s="17"/>
      <c r="BM1151" s="17"/>
      <c r="BN1151" s="17"/>
      <c r="BO1151" s="17"/>
      <c r="BP1151" s="17"/>
      <c r="BQ1151" s="17"/>
      <c r="BR1151" s="17"/>
      <c r="BS1151" s="17"/>
      <c r="BT1151" s="17"/>
      <c r="BU1151" s="17"/>
      <c r="BV1151" s="17"/>
      <c r="BW1151" s="17"/>
      <c r="BX1151" s="17"/>
    </row>
    <row r="1152" customHeight="1" spans="1:76">
      <c r="A1152" s="17"/>
      <c r="B1152" s="17"/>
      <c r="C1152" s="17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/>
      <c r="AM1152" s="17"/>
      <c r="AN1152" s="17"/>
      <c r="AO1152" s="17"/>
      <c r="AP1152" s="17"/>
      <c r="AQ1152" s="17"/>
      <c r="AR1152" s="17"/>
      <c r="AS1152" s="17"/>
      <c r="AT1152" s="17"/>
      <c r="AU1152" s="17"/>
      <c r="AV1152" s="17"/>
      <c r="AW1152" s="17"/>
      <c r="AX1152" s="17"/>
      <c r="AY1152" s="17"/>
      <c r="AZ1152" s="17"/>
      <c r="BA1152" s="17"/>
      <c r="BB1152" s="17"/>
      <c r="BC1152" s="17"/>
      <c r="BD1152" s="17"/>
      <c r="BE1152" s="17"/>
      <c r="BF1152" s="17"/>
      <c r="BG1152" s="17"/>
      <c r="BH1152" s="17"/>
      <c r="BI1152" s="17"/>
      <c r="BJ1152" s="17"/>
      <c r="BK1152" s="17"/>
      <c r="BL1152" s="17"/>
      <c r="BM1152" s="17"/>
      <c r="BN1152" s="17"/>
      <c r="BO1152" s="17"/>
      <c r="BP1152" s="17"/>
      <c r="BQ1152" s="17"/>
      <c r="BR1152" s="17"/>
      <c r="BS1152" s="17"/>
      <c r="BT1152" s="17"/>
      <c r="BU1152" s="17"/>
      <c r="BV1152" s="17"/>
      <c r="BW1152" s="17"/>
      <c r="BX1152" s="17"/>
    </row>
    <row r="1153" customHeight="1" spans="1:76">
      <c r="A1153" s="17"/>
      <c r="B1153" s="17"/>
      <c r="C1153" s="17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17"/>
      <c r="AP1153" s="17"/>
      <c r="AQ1153" s="17"/>
      <c r="AR1153" s="17"/>
      <c r="AS1153" s="17"/>
      <c r="AT1153" s="17"/>
      <c r="AU1153" s="17"/>
      <c r="AV1153" s="17"/>
      <c r="AW1153" s="17"/>
      <c r="AX1153" s="17"/>
      <c r="AY1153" s="17"/>
      <c r="AZ1153" s="17"/>
      <c r="BA1153" s="17"/>
      <c r="BB1153" s="17"/>
      <c r="BC1153" s="17"/>
      <c r="BD1153" s="17"/>
      <c r="BE1153" s="17"/>
      <c r="BF1153" s="17"/>
      <c r="BG1153" s="17"/>
      <c r="BH1153" s="17"/>
      <c r="BI1153" s="17"/>
      <c r="BJ1153" s="17"/>
      <c r="BK1153" s="17"/>
      <c r="BL1153" s="17"/>
      <c r="BM1153" s="17"/>
      <c r="BN1153" s="17"/>
      <c r="BO1153" s="17"/>
      <c r="BP1153" s="17"/>
      <c r="BQ1153" s="17"/>
      <c r="BR1153" s="17"/>
      <c r="BS1153" s="17"/>
      <c r="BT1153" s="17"/>
      <c r="BU1153" s="17"/>
      <c r="BV1153" s="17"/>
      <c r="BW1153" s="17"/>
      <c r="BX1153" s="17"/>
    </row>
    <row r="1154" customHeight="1" spans="1:76">
      <c r="A1154" s="17"/>
      <c r="B1154" s="17"/>
      <c r="C1154" s="17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7"/>
      <c r="AM1154" s="17"/>
      <c r="AN1154" s="17"/>
      <c r="AO1154" s="17"/>
      <c r="AP1154" s="17"/>
      <c r="AQ1154" s="17"/>
      <c r="AR1154" s="17"/>
      <c r="AS1154" s="17"/>
      <c r="AT1154" s="17"/>
      <c r="AU1154" s="17"/>
      <c r="AV1154" s="17"/>
      <c r="AW1154" s="17"/>
      <c r="AX1154" s="17"/>
      <c r="AY1154" s="17"/>
      <c r="AZ1154" s="17"/>
      <c r="BA1154" s="17"/>
      <c r="BB1154" s="17"/>
      <c r="BC1154" s="17"/>
      <c r="BD1154" s="17"/>
      <c r="BE1154" s="17"/>
      <c r="BF1154" s="17"/>
      <c r="BG1154" s="17"/>
      <c r="BH1154" s="17"/>
      <c r="BI1154" s="17"/>
      <c r="BJ1154" s="17"/>
      <c r="BK1154" s="17"/>
      <c r="BL1154" s="17"/>
      <c r="BM1154" s="17"/>
      <c r="BN1154" s="17"/>
      <c r="BO1154" s="17"/>
      <c r="BP1154" s="17"/>
      <c r="BQ1154" s="17"/>
      <c r="BR1154" s="17"/>
      <c r="BS1154" s="17"/>
      <c r="BT1154" s="17"/>
      <c r="BU1154" s="17"/>
      <c r="BV1154" s="17"/>
      <c r="BW1154" s="17"/>
      <c r="BX1154" s="17"/>
    </row>
    <row r="1155" customHeight="1" spans="1:76">
      <c r="A1155" s="17"/>
      <c r="B1155" s="17"/>
      <c r="C1155" s="17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7"/>
      <c r="AI1155" s="17"/>
      <c r="AJ1155" s="17"/>
      <c r="AK1155" s="17"/>
      <c r="AL1155" s="17"/>
      <c r="AM1155" s="17"/>
      <c r="AN1155" s="17"/>
      <c r="AO1155" s="17"/>
      <c r="AP1155" s="17"/>
      <c r="AQ1155" s="17"/>
      <c r="AR1155" s="17"/>
      <c r="AS1155" s="17"/>
      <c r="AT1155" s="17"/>
      <c r="AU1155" s="17"/>
      <c r="AV1155" s="17"/>
      <c r="AW1155" s="17"/>
      <c r="AX1155" s="17"/>
      <c r="AY1155" s="17"/>
      <c r="AZ1155" s="17"/>
      <c r="BA1155" s="17"/>
      <c r="BB1155" s="17"/>
      <c r="BC1155" s="17"/>
      <c r="BD1155" s="17"/>
      <c r="BE1155" s="17"/>
      <c r="BF1155" s="17"/>
      <c r="BG1155" s="17"/>
      <c r="BH1155" s="17"/>
      <c r="BI1155" s="17"/>
      <c r="BJ1155" s="17"/>
      <c r="BK1155" s="17"/>
      <c r="BL1155" s="17"/>
      <c r="BM1155" s="17"/>
      <c r="BN1155" s="17"/>
      <c r="BO1155" s="17"/>
      <c r="BP1155" s="17"/>
      <c r="BQ1155" s="17"/>
      <c r="BR1155" s="17"/>
      <c r="BS1155" s="17"/>
      <c r="BT1155" s="17"/>
      <c r="BU1155" s="17"/>
      <c r="BV1155" s="17"/>
      <c r="BW1155" s="17"/>
      <c r="BX1155" s="17"/>
    </row>
    <row r="1156" customHeight="1" spans="1:76">
      <c r="A1156" s="17"/>
      <c r="B1156" s="17"/>
      <c r="C1156" s="17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17"/>
      <c r="AF1156" s="17"/>
      <c r="AG1156" s="17"/>
      <c r="AH1156" s="17"/>
      <c r="AI1156" s="17"/>
      <c r="AJ1156" s="17"/>
      <c r="AK1156" s="17"/>
      <c r="AL1156" s="17"/>
      <c r="AM1156" s="17"/>
      <c r="AN1156" s="17"/>
      <c r="AO1156" s="17"/>
      <c r="AP1156" s="17"/>
      <c r="AQ1156" s="17"/>
      <c r="AR1156" s="17"/>
      <c r="AS1156" s="17"/>
      <c r="AT1156" s="17"/>
      <c r="AU1156" s="17"/>
      <c r="AV1156" s="17"/>
      <c r="AW1156" s="17"/>
      <c r="AX1156" s="17"/>
      <c r="AY1156" s="17"/>
      <c r="AZ1156" s="17"/>
      <c r="BA1156" s="17"/>
      <c r="BB1156" s="17"/>
      <c r="BC1156" s="17"/>
      <c r="BD1156" s="17"/>
      <c r="BE1156" s="17"/>
      <c r="BF1156" s="17"/>
      <c r="BG1156" s="17"/>
      <c r="BH1156" s="17"/>
      <c r="BI1156" s="17"/>
      <c r="BJ1156" s="17"/>
      <c r="BK1156" s="17"/>
      <c r="BL1156" s="17"/>
      <c r="BM1156" s="17"/>
      <c r="BN1156" s="17"/>
      <c r="BO1156" s="17"/>
      <c r="BP1156" s="17"/>
      <c r="BQ1156" s="17"/>
      <c r="BR1156" s="17"/>
      <c r="BS1156" s="17"/>
      <c r="BT1156" s="17"/>
      <c r="BU1156" s="17"/>
      <c r="BV1156" s="17"/>
      <c r="BW1156" s="17"/>
      <c r="BX1156" s="17"/>
    </row>
    <row r="1157" customHeight="1" spans="1:76">
      <c r="A1157" s="17"/>
      <c r="B1157" s="17"/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  <c r="AH1157" s="17"/>
      <c r="AI1157" s="17"/>
      <c r="AJ1157" s="17"/>
      <c r="AK1157" s="17"/>
      <c r="AL1157" s="17"/>
      <c r="AM1157" s="17"/>
      <c r="AN1157" s="17"/>
      <c r="AO1157" s="17"/>
      <c r="AP1157" s="17"/>
      <c r="AQ1157" s="17"/>
      <c r="AR1157" s="17"/>
      <c r="AS1157" s="17"/>
      <c r="AT1157" s="17"/>
      <c r="AU1157" s="17"/>
      <c r="AV1157" s="17"/>
      <c r="AW1157" s="17"/>
      <c r="AX1157" s="17"/>
      <c r="AY1157" s="17"/>
      <c r="AZ1157" s="17"/>
      <c r="BA1157" s="17"/>
      <c r="BB1157" s="17"/>
      <c r="BC1157" s="17"/>
      <c r="BD1157" s="17"/>
      <c r="BE1157" s="17"/>
      <c r="BF1157" s="17"/>
      <c r="BG1157" s="17"/>
      <c r="BH1157" s="17"/>
      <c r="BI1157" s="17"/>
      <c r="BJ1157" s="17"/>
      <c r="BK1157" s="17"/>
      <c r="BL1157" s="17"/>
      <c r="BM1157" s="17"/>
      <c r="BN1157" s="17"/>
      <c r="BO1157" s="17"/>
      <c r="BP1157" s="17"/>
      <c r="BQ1157" s="17"/>
      <c r="BR1157" s="17"/>
      <c r="BS1157" s="17"/>
      <c r="BT1157" s="17"/>
      <c r="BU1157" s="17"/>
      <c r="BV1157" s="17"/>
      <c r="BW1157" s="17"/>
      <c r="BX1157" s="17"/>
    </row>
    <row r="1158" customHeight="1" spans="1:76">
      <c r="A1158" s="17"/>
      <c r="B1158" s="17"/>
      <c r="C1158" s="17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/>
      <c r="AM1158" s="17"/>
      <c r="AN1158" s="17"/>
      <c r="AO1158" s="17"/>
      <c r="AP1158" s="17"/>
      <c r="AQ1158" s="17"/>
      <c r="AR1158" s="17"/>
      <c r="AS1158" s="17"/>
      <c r="AT1158" s="17"/>
      <c r="AU1158" s="17"/>
      <c r="AV1158" s="17"/>
      <c r="AW1158" s="17"/>
      <c r="AX1158" s="17"/>
      <c r="AY1158" s="17"/>
      <c r="AZ1158" s="17"/>
      <c r="BA1158" s="17"/>
      <c r="BB1158" s="17"/>
      <c r="BC1158" s="17"/>
      <c r="BD1158" s="17"/>
      <c r="BE1158" s="17"/>
      <c r="BF1158" s="17"/>
      <c r="BG1158" s="17"/>
      <c r="BH1158" s="17"/>
      <c r="BI1158" s="17"/>
      <c r="BJ1158" s="17"/>
      <c r="BK1158" s="17"/>
      <c r="BL1158" s="17"/>
      <c r="BM1158" s="17"/>
      <c r="BN1158" s="17"/>
      <c r="BO1158" s="17"/>
      <c r="BP1158" s="17"/>
      <c r="BQ1158" s="17"/>
      <c r="BR1158" s="17"/>
      <c r="BS1158" s="17"/>
      <c r="BT1158" s="17"/>
      <c r="BU1158" s="17"/>
      <c r="BV1158" s="17"/>
      <c r="BW1158" s="17"/>
      <c r="BX1158" s="17"/>
    </row>
    <row r="1159" customHeight="1" spans="1:76">
      <c r="A1159" s="17"/>
      <c r="B1159" s="17"/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7"/>
      <c r="AK1159" s="17"/>
      <c r="AL1159" s="17"/>
      <c r="AM1159" s="17"/>
      <c r="AN1159" s="17"/>
      <c r="AO1159" s="17"/>
      <c r="AP1159" s="17"/>
      <c r="AQ1159" s="17"/>
      <c r="AR1159" s="17"/>
      <c r="AS1159" s="17"/>
      <c r="AT1159" s="17"/>
      <c r="AU1159" s="17"/>
      <c r="AV1159" s="17"/>
      <c r="AW1159" s="17"/>
      <c r="AX1159" s="17"/>
      <c r="AY1159" s="17"/>
      <c r="AZ1159" s="17"/>
      <c r="BA1159" s="17"/>
      <c r="BB1159" s="17"/>
      <c r="BC1159" s="17"/>
      <c r="BD1159" s="17"/>
      <c r="BE1159" s="17"/>
      <c r="BF1159" s="17"/>
      <c r="BG1159" s="17"/>
      <c r="BH1159" s="17"/>
      <c r="BI1159" s="17"/>
      <c r="BJ1159" s="17"/>
      <c r="BK1159" s="17"/>
      <c r="BL1159" s="17"/>
      <c r="BM1159" s="17"/>
      <c r="BN1159" s="17"/>
      <c r="BO1159" s="17"/>
      <c r="BP1159" s="17"/>
      <c r="BQ1159" s="17"/>
      <c r="BR1159" s="17"/>
      <c r="BS1159" s="17"/>
      <c r="BT1159" s="17"/>
      <c r="BU1159" s="17"/>
      <c r="BV1159" s="17"/>
      <c r="BW1159" s="17"/>
      <c r="BX1159" s="17"/>
    </row>
    <row r="1160" customHeight="1" spans="1:76">
      <c r="A1160" s="17"/>
      <c r="B1160" s="17"/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7"/>
      <c r="AM1160" s="17"/>
      <c r="AN1160" s="17"/>
      <c r="AO1160" s="17"/>
      <c r="AP1160" s="17"/>
      <c r="AQ1160" s="17"/>
      <c r="AR1160" s="17"/>
      <c r="AS1160" s="17"/>
      <c r="AT1160" s="17"/>
      <c r="AU1160" s="17"/>
      <c r="AV1160" s="17"/>
      <c r="AW1160" s="17"/>
      <c r="AX1160" s="17"/>
      <c r="AY1160" s="17"/>
      <c r="AZ1160" s="17"/>
      <c r="BA1160" s="17"/>
      <c r="BB1160" s="17"/>
      <c r="BC1160" s="17"/>
      <c r="BD1160" s="17"/>
      <c r="BE1160" s="17"/>
      <c r="BF1160" s="17"/>
      <c r="BG1160" s="17"/>
      <c r="BH1160" s="17"/>
      <c r="BI1160" s="17"/>
      <c r="BJ1160" s="17"/>
      <c r="BK1160" s="17"/>
      <c r="BL1160" s="17"/>
      <c r="BM1160" s="17"/>
      <c r="BN1160" s="17"/>
      <c r="BO1160" s="17"/>
      <c r="BP1160" s="17"/>
      <c r="BQ1160" s="17"/>
      <c r="BR1160" s="17"/>
      <c r="BS1160" s="17"/>
      <c r="BT1160" s="17"/>
      <c r="BU1160" s="17"/>
      <c r="BV1160" s="17"/>
      <c r="BW1160" s="17"/>
      <c r="BX1160" s="17"/>
    </row>
    <row r="1161" customHeight="1" spans="1:76">
      <c r="A1161" s="17"/>
      <c r="B1161" s="17"/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17"/>
      <c r="AH1161" s="17"/>
      <c r="AI1161" s="17"/>
      <c r="AJ1161" s="17"/>
      <c r="AK1161" s="17"/>
      <c r="AL1161" s="17"/>
      <c r="AM1161" s="17"/>
      <c r="AN1161" s="17"/>
      <c r="AO1161" s="17"/>
      <c r="AP1161" s="17"/>
      <c r="AQ1161" s="17"/>
      <c r="AR1161" s="17"/>
      <c r="AS1161" s="17"/>
      <c r="AT1161" s="17"/>
      <c r="AU1161" s="17"/>
      <c r="AV1161" s="17"/>
      <c r="AW1161" s="17"/>
      <c r="AX1161" s="17"/>
      <c r="AY1161" s="17"/>
      <c r="AZ1161" s="17"/>
      <c r="BA1161" s="17"/>
      <c r="BB1161" s="17"/>
      <c r="BC1161" s="17"/>
      <c r="BD1161" s="17"/>
      <c r="BE1161" s="17"/>
      <c r="BF1161" s="17"/>
      <c r="BG1161" s="17"/>
      <c r="BH1161" s="17"/>
      <c r="BI1161" s="17"/>
      <c r="BJ1161" s="17"/>
      <c r="BK1161" s="17"/>
      <c r="BL1161" s="17"/>
      <c r="BM1161" s="17"/>
      <c r="BN1161" s="17"/>
      <c r="BO1161" s="17"/>
      <c r="BP1161" s="17"/>
      <c r="BQ1161" s="17"/>
      <c r="BR1161" s="17"/>
      <c r="BS1161" s="17"/>
      <c r="BT1161" s="17"/>
      <c r="BU1161" s="17"/>
      <c r="BV1161" s="17"/>
      <c r="BW1161" s="17"/>
      <c r="BX1161" s="17"/>
    </row>
    <row r="1162" customHeight="1" spans="1:76">
      <c r="A1162" s="17"/>
      <c r="B1162" s="17"/>
      <c r="C1162" s="17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17"/>
      <c r="AF1162" s="17"/>
      <c r="AG1162" s="17"/>
      <c r="AH1162" s="17"/>
      <c r="AI1162" s="17"/>
      <c r="AJ1162" s="17"/>
      <c r="AK1162" s="17"/>
      <c r="AL1162" s="17"/>
      <c r="AM1162" s="17"/>
      <c r="AN1162" s="17"/>
      <c r="AO1162" s="17"/>
      <c r="AP1162" s="17"/>
      <c r="AQ1162" s="17"/>
      <c r="AR1162" s="17"/>
      <c r="AS1162" s="17"/>
      <c r="AT1162" s="17"/>
      <c r="AU1162" s="17"/>
      <c r="AV1162" s="17"/>
      <c r="AW1162" s="17"/>
      <c r="AX1162" s="17"/>
      <c r="AY1162" s="17"/>
      <c r="AZ1162" s="17"/>
      <c r="BA1162" s="17"/>
      <c r="BB1162" s="17"/>
      <c r="BC1162" s="17"/>
      <c r="BD1162" s="17"/>
      <c r="BE1162" s="17"/>
      <c r="BF1162" s="17"/>
      <c r="BG1162" s="17"/>
      <c r="BH1162" s="17"/>
      <c r="BI1162" s="17"/>
      <c r="BJ1162" s="17"/>
      <c r="BK1162" s="17"/>
      <c r="BL1162" s="17"/>
      <c r="BM1162" s="17"/>
      <c r="BN1162" s="17"/>
      <c r="BO1162" s="17"/>
      <c r="BP1162" s="17"/>
      <c r="BQ1162" s="17"/>
      <c r="BR1162" s="17"/>
      <c r="BS1162" s="17"/>
      <c r="BT1162" s="17"/>
      <c r="BU1162" s="17"/>
      <c r="BV1162" s="17"/>
      <c r="BW1162" s="17"/>
      <c r="BX1162" s="17"/>
    </row>
    <row r="1163" customHeight="1" spans="1:76">
      <c r="A1163" s="17"/>
      <c r="B1163" s="17"/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17"/>
      <c r="AF1163" s="17"/>
      <c r="AG1163" s="17"/>
      <c r="AH1163" s="17"/>
      <c r="AI1163" s="17"/>
      <c r="AJ1163" s="17"/>
      <c r="AK1163" s="17"/>
      <c r="AL1163" s="17"/>
      <c r="AM1163" s="17"/>
      <c r="AN1163" s="17"/>
      <c r="AO1163" s="17"/>
      <c r="AP1163" s="17"/>
      <c r="AQ1163" s="17"/>
      <c r="AR1163" s="17"/>
      <c r="AS1163" s="17"/>
      <c r="AT1163" s="17"/>
      <c r="AU1163" s="17"/>
      <c r="AV1163" s="17"/>
      <c r="AW1163" s="17"/>
      <c r="AX1163" s="17"/>
      <c r="AY1163" s="17"/>
      <c r="AZ1163" s="17"/>
      <c r="BA1163" s="17"/>
      <c r="BB1163" s="17"/>
      <c r="BC1163" s="17"/>
      <c r="BD1163" s="17"/>
      <c r="BE1163" s="17"/>
      <c r="BF1163" s="17"/>
      <c r="BG1163" s="17"/>
      <c r="BH1163" s="17"/>
      <c r="BI1163" s="17"/>
      <c r="BJ1163" s="17"/>
      <c r="BK1163" s="17"/>
      <c r="BL1163" s="17"/>
      <c r="BM1163" s="17"/>
      <c r="BN1163" s="17"/>
      <c r="BO1163" s="17"/>
      <c r="BP1163" s="17"/>
      <c r="BQ1163" s="17"/>
      <c r="BR1163" s="17"/>
      <c r="BS1163" s="17"/>
      <c r="BT1163" s="17"/>
      <c r="BU1163" s="17"/>
      <c r="BV1163" s="17"/>
      <c r="BW1163" s="17"/>
      <c r="BX1163" s="17"/>
    </row>
    <row r="1164" customHeight="1" spans="1:76">
      <c r="A1164" s="17"/>
      <c r="B1164" s="17"/>
      <c r="C1164" s="17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17"/>
      <c r="AF1164" s="17"/>
      <c r="AG1164" s="17"/>
      <c r="AH1164" s="17"/>
      <c r="AI1164" s="17"/>
      <c r="AJ1164" s="17"/>
      <c r="AK1164" s="17"/>
      <c r="AL1164" s="17"/>
      <c r="AM1164" s="17"/>
      <c r="AN1164" s="17"/>
      <c r="AO1164" s="17"/>
      <c r="AP1164" s="17"/>
      <c r="AQ1164" s="17"/>
      <c r="AR1164" s="17"/>
      <c r="AS1164" s="17"/>
      <c r="AT1164" s="17"/>
      <c r="AU1164" s="17"/>
      <c r="AV1164" s="17"/>
      <c r="AW1164" s="17"/>
      <c r="AX1164" s="17"/>
      <c r="AY1164" s="17"/>
      <c r="AZ1164" s="17"/>
      <c r="BA1164" s="17"/>
      <c r="BB1164" s="17"/>
      <c r="BC1164" s="17"/>
      <c r="BD1164" s="17"/>
      <c r="BE1164" s="17"/>
      <c r="BF1164" s="17"/>
      <c r="BG1164" s="17"/>
      <c r="BH1164" s="17"/>
      <c r="BI1164" s="17"/>
      <c r="BJ1164" s="17"/>
      <c r="BK1164" s="17"/>
      <c r="BL1164" s="17"/>
      <c r="BM1164" s="17"/>
      <c r="BN1164" s="17"/>
      <c r="BO1164" s="17"/>
      <c r="BP1164" s="17"/>
      <c r="BQ1164" s="17"/>
      <c r="BR1164" s="17"/>
      <c r="BS1164" s="17"/>
      <c r="BT1164" s="17"/>
      <c r="BU1164" s="17"/>
      <c r="BV1164" s="17"/>
      <c r="BW1164" s="17"/>
      <c r="BX1164" s="17"/>
    </row>
    <row r="1165" customHeight="1" spans="1:76">
      <c r="A1165" s="17"/>
      <c r="B1165" s="17"/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s="17"/>
      <c r="AP1165" s="17"/>
      <c r="AQ1165" s="17"/>
      <c r="AR1165" s="17"/>
      <c r="AS1165" s="17"/>
      <c r="AT1165" s="17"/>
      <c r="AU1165" s="17"/>
      <c r="AV1165" s="17"/>
      <c r="AW1165" s="17"/>
      <c r="AX1165" s="17"/>
      <c r="AY1165" s="17"/>
      <c r="AZ1165" s="17"/>
      <c r="BA1165" s="17"/>
      <c r="BB1165" s="17"/>
      <c r="BC1165" s="17"/>
      <c r="BD1165" s="17"/>
      <c r="BE1165" s="17"/>
      <c r="BF1165" s="17"/>
      <c r="BG1165" s="17"/>
      <c r="BH1165" s="17"/>
      <c r="BI1165" s="17"/>
      <c r="BJ1165" s="17"/>
      <c r="BK1165" s="17"/>
      <c r="BL1165" s="17"/>
      <c r="BM1165" s="17"/>
      <c r="BN1165" s="17"/>
      <c r="BO1165" s="17"/>
      <c r="BP1165" s="17"/>
      <c r="BQ1165" s="17"/>
      <c r="BR1165" s="17"/>
      <c r="BS1165" s="17"/>
      <c r="BT1165" s="17"/>
      <c r="BU1165" s="17"/>
      <c r="BV1165" s="17"/>
      <c r="BW1165" s="17"/>
      <c r="BX1165" s="17"/>
    </row>
    <row r="1166" customHeight="1" spans="1:76">
      <c r="A1166" s="17"/>
      <c r="B1166" s="17"/>
      <c r="C1166" s="17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/>
      <c r="AO1166" s="17"/>
      <c r="AP1166" s="17"/>
      <c r="AQ1166" s="17"/>
      <c r="AR1166" s="17"/>
      <c r="AS1166" s="17"/>
      <c r="AT1166" s="17"/>
      <c r="AU1166" s="17"/>
      <c r="AV1166" s="17"/>
      <c r="AW1166" s="17"/>
      <c r="AX1166" s="17"/>
      <c r="AY1166" s="17"/>
      <c r="AZ1166" s="17"/>
      <c r="BA1166" s="17"/>
      <c r="BB1166" s="17"/>
      <c r="BC1166" s="17"/>
      <c r="BD1166" s="17"/>
      <c r="BE1166" s="17"/>
      <c r="BF1166" s="17"/>
      <c r="BG1166" s="17"/>
      <c r="BH1166" s="17"/>
      <c r="BI1166" s="17"/>
      <c r="BJ1166" s="17"/>
      <c r="BK1166" s="17"/>
      <c r="BL1166" s="17"/>
      <c r="BM1166" s="17"/>
      <c r="BN1166" s="17"/>
      <c r="BO1166" s="17"/>
      <c r="BP1166" s="17"/>
      <c r="BQ1166" s="17"/>
      <c r="BR1166" s="17"/>
      <c r="BS1166" s="17"/>
      <c r="BT1166" s="17"/>
      <c r="BU1166" s="17"/>
      <c r="BV1166" s="17"/>
      <c r="BW1166" s="17"/>
      <c r="BX1166" s="17"/>
    </row>
    <row r="1167" customHeight="1" spans="1:76">
      <c r="A1167" s="17"/>
      <c r="B1167" s="17"/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  <c r="AH1167" s="17"/>
      <c r="AI1167" s="17"/>
      <c r="AJ1167" s="17"/>
      <c r="AK1167" s="17"/>
      <c r="AL1167" s="17"/>
      <c r="AM1167" s="17"/>
      <c r="AN1167" s="17"/>
      <c r="AO1167" s="17"/>
      <c r="AP1167" s="17"/>
      <c r="AQ1167" s="17"/>
      <c r="AR1167" s="17"/>
      <c r="AS1167" s="17"/>
      <c r="AT1167" s="17"/>
      <c r="AU1167" s="17"/>
      <c r="AV1167" s="17"/>
      <c r="AW1167" s="17"/>
      <c r="AX1167" s="17"/>
      <c r="AY1167" s="17"/>
      <c r="AZ1167" s="17"/>
      <c r="BA1167" s="17"/>
      <c r="BB1167" s="17"/>
      <c r="BC1167" s="17"/>
      <c r="BD1167" s="17"/>
      <c r="BE1167" s="17"/>
      <c r="BF1167" s="17"/>
      <c r="BG1167" s="17"/>
      <c r="BH1167" s="17"/>
      <c r="BI1167" s="17"/>
      <c r="BJ1167" s="17"/>
      <c r="BK1167" s="17"/>
      <c r="BL1167" s="17"/>
      <c r="BM1167" s="17"/>
      <c r="BN1167" s="17"/>
      <c r="BO1167" s="17"/>
      <c r="BP1167" s="17"/>
      <c r="BQ1167" s="17"/>
      <c r="BR1167" s="17"/>
      <c r="BS1167" s="17"/>
      <c r="BT1167" s="17"/>
      <c r="BU1167" s="17"/>
      <c r="BV1167" s="17"/>
      <c r="BW1167" s="17"/>
      <c r="BX1167" s="17"/>
    </row>
    <row r="1168" customHeight="1" spans="1:76">
      <c r="A1168" s="17"/>
      <c r="B1168" s="17"/>
      <c r="C1168" s="17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/>
      <c r="AM1168" s="17"/>
      <c r="AN1168" s="17"/>
      <c r="AO1168" s="17"/>
      <c r="AP1168" s="17"/>
      <c r="AQ1168" s="17"/>
      <c r="AR1168" s="17"/>
      <c r="AS1168" s="17"/>
      <c r="AT1168" s="17"/>
      <c r="AU1168" s="17"/>
      <c r="AV1168" s="17"/>
      <c r="AW1168" s="17"/>
      <c r="AX1168" s="17"/>
      <c r="AY1168" s="17"/>
      <c r="AZ1168" s="17"/>
      <c r="BA1168" s="17"/>
      <c r="BB1168" s="17"/>
      <c r="BC1168" s="17"/>
      <c r="BD1168" s="17"/>
      <c r="BE1168" s="17"/>
      <c r="BF1168" s="17"/>
      <c r="BG1168" s="17"/>
      <c r="BH1168" s="17"/>
      <c r="BI1168" s="17"/>
      <c r="BJ1168" s="17"/>
      <c r="BK1168" s="17"/>
      <c r="BL1168" s="17"/>
      <c r="BM1168" s="17"/>
      <c r="BN1168" s="17"/>
      <c r="BO1168" s="17"/>
      <c r="BP1168" s="17"/>
      <c r="BQ1168" s="17"/>
      <c r="BR1168" s="17"/>
      <c r="BS1168" s="17"/>
      <c r="BT1168" s="17"/>
      <c r="BU1168" s="17"/>
      <c r="BV1168" s="17"/>
      <c r="BW1168" s="17"/>
      <c r="BX1168" s="17"/>
    </row>
    <row r="1169" customHeight="1" spans="1:76">
      <c r="A1169" s="17"/>
      <c r="B1169" s="17"/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s="17"/>
      <c r="AP1169" s="17"/>
      <c r="AQ1169" s="17"/>
      <c r="AR1169" s="17"/>
      <c r="AS1169" s="17"/>
      <c r="AT1169" s="17"/>
      <c r="AU1169" s="17"/>
      <c r="AV1169" s="17"/>
      <c r="AW1169" s="17"/>
      <c r="AX1169" s="17"/>
      <c r="AY1169" s="17"/>
      <c r="AZ1169" s="17"/>
      <c r="BA1169" s="17"/>
      <c r="BB1169" s="17"/>
      <c r="BC1169" s="17"/>
      <c r="BD1169" s="17"/>
      <c r="BE1169" s="17"/>
      <c r="BF1169" s="17"/>
      <c r="BG1169" s="17"/>
      <c r="BH1169" s="17"/>
      <c r="BI1169" s="17"/>
      <c r="BJ1169" s="17"/>
      <c r="BK1169" s="17"/>
      <c r="BL1169" s="17"/>
      <c r="BM1169" s="17"/>
      <c r="BN1169" s="17"/>
      <c r="BO1169" s="17"/>
      <c r="BP1169" s="17"/>
      <c r="BQ1169" s="17"/>
      <c r="BR1169" s="17"/>
      <c r="BS1169" s="17"/>
      <c r="BT1169" s="17"/>
      <c r="BU1169" s="17"/>
      <c r="BV1169" s="17"/>
      <c r="BW1169" s="17"/>
      <c r="BX1169" s="17"/>
    </row>
    <row r="1170" customHeight="1" spans="1:76">
      <c r="A1170" s="17"/>
      <c r="B1170" s="17"/>
      <c r="C1170" s="17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7"/>
      <c r="AM1170" s="17"/>
      <c r="AN1170" s="17"/>
      <c r="AO1170" s="17"/>
      <c r="AP1170" s="17"/>
      <c r="AQ1170" s="17"/>
      <c r="AR1170" s="17"/>
      <c r="AS1170" s="17"/>
      <c r="AT1170" s="17"/>
      <c r="AU1170" s="17"/>
      <c r="AV1170" s="17"/>
      <c r="AW1170" s="17"/>
      <c r="AX1170" s="17"/>
      <c r="AY1170" s="17"/>
      <c r="AZ1170" s="17"/>
      <c r="BA1170" s="17"/>
      <c r="BB1170" s="17"/>
      <c r="BC1170" s="17"/>
      <c r="BD1170" s="17"/>
      <c r="BE1170" s="17"/>
      <c r="BF1170" s="17"/>
      <c r="BG1170" s="17"/>
      <c r="BH1170" s="17"/>
      <c r="BI1170" s="17"/>
      <c r="BJ1170" s="17"/>
      <c r="BK1170" s="17"/>
      <c r="BL1170" s="17"/>
      <c r="BM1170" s="17"/>
      <c r="BN1170" s="17"/>
      <c r="BO1170" s="17"/>
      <c r="BP1170" s="17"/>
      <c r="BQ1170" s="17"/>
      <c r="BR1170" s="17"/>
      <c r="BS1170" s="17"/>
      <c r="BT1170" s="17"/>
      <c r="BU1170" s="17"/>
      <c r="BV1170" s="17"/>
      <c r="BW1170" s="17"/>
      <c r="BX1170" s="17"/>
    </row>
    <row r="1171" customHeight="1" spans="1:76">
      <c r="A1171" s="17"/>
      <c r="B1171" s="17"/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  <c r="AH1171" s="17"/>
      <c r="AI1171" s="17"/>
      <c r="AJ1171" s="17"/>
      <c r="AK1171" s="17"/>
      <c r="AL1171" s="17"/>
      <c r="AM1171" s="17"/>
      <c r="AN1171" s="17"/>
      <c r="AO1171" s="17"/>
      <c r="AP1171" s="17"/>
      <c r="AQ1171" s="17"/>
      <c r="AR1171" s="17"/>
      <c r="AS1171" s="17"/>
      <c r="AT1171" s="17"/>
      <c r="AU1171" s="17"/>
      <c r="AV1171" s="17"/>
      <c r="AW1171" s="17"/>
      <c r="AX1171" s="17"/>
      <c r="AY1171" s="17"/>
      <c r="AZ1171" s="17"/>
      <c r="BA1171" s="17"/>
      <c r="BB1171" s="17"/>
      <c r="BC1171" s="17"/>
      <c r="BD1171" s="17"/>
      <c r="BE1171" s="17"/>
      <c r="BF1171" s="17"/>
      <c r="BG1171" s="17"/>
      <c r="BH1171" s="17"/>
      <c r="BI1171" s="17"/>
      <c r="BJ1171" s="17"/>
      <c r="BK1171" s="17"/>
      <c r="BL1171" s="17"/>
      <c r="BM1171" s="17"/>
      <c r="BN1171" s="17"/>
      <c r="BO1171" s="17"/>
      <c r="BP1171" s="17"/>
      <c r="BQ1171" s="17"/>
      <c r="BR1171" s="17"/>
      <c r="BS1171" s="17"/>
      <c r="BT1171" s="17"/>
      <c r="BU1171" s="17"/>
      <c r="BV1171" s="17"/>
      <c r="BW1171" s="17"/>
      <c r="BX1171" s="17"/>
    </row>
    <row r="1172" customHeight="1" spans="1:76">
      <c r="A1172" s="17"/>
      <c r="B1172" s="17"/>
      <c r="C1172" s="17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7"/>
      <c r="AM1172" s="17"/>
      <c r="AN1172" s="17"/>
      <c r="AO1172" s="17"/>
      <c r="AP1172" s="17"/>
      <c r="AQ1172" s="17"/>
      <c r="AR1172" s="17"/>
      <c r="AS1172" s="17"/>
      <c r="AT1172" s="17"/>
      <c r="AU1172" s="17"/>
      <c r="AV1172" s="17"/>
      <c r="AW1172" s="17"/>
      <c r="AX1172" s="17"/>
      <c r="AY1172" s="17"/>
      <c r="AZ1172" s="17"/>
      <c r="BA1172" s="17"/>
      <c r="BB1172" s="17"/>
      <c r="BC1172" s="17"/>
      <c r="BD1172" s="17"/>
      <c r="BE1172" s="17"/>
      <c r="BF1172" s="17"/>
      <c r="BG1172" s="17"/>
      <c r="BH1172" s="17"/>
      <c r="BI1172" s="17"/>
      <c r="BJ1172" s="17"/>
      <c r="BK1172" s="17"/>
      <c r="BL1172" s="17"/>
      <c r="BM1172" s="17"/>
      <c r="BN1172" s="17"/>
      <c r="BO1172" s="17"/>
      <c r="BP1172" s="17"/>
      <c r="BQ1172" s="17"/>
      <c r="BR1172" s="17"/>
      <c r="BS1172" s="17"/>
      <c r="BT1172" s="17"/>
      <c r="BU1172" s="17"/>
      <c r="BV1172" s="17"/>
      <c r="BW1172" s="17"/>
      <c r="BX1172" s="17"/>
    </row>
    <row r="1173" customHeight="1" spans="1:76">
      <c r="A1173" s="17"/>
      <c r="B1173" s="17"/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  <c r="AH1173" s="17"/>
      <c r="AI1173" s="17"/>
      <c r="AJ1173" s="17"/>
      <c r="AK1173" s="17"/>
      <c r="AL1173" s="17"/>
      <c r="AM1173" s="17"/>
      <c r="AN1173" s="17"/>
      <c r="AO1173" s="17"/>
      <c r="AP1173" s="17"/>
      <c r="AQ1173" s="17"/>
      <c r="AR1173" s="17"/>
      <c r="AS1173" s="17"/>
      <c r="AT1173" s="17"/>
      <c r="AU1173" s="17"/>
      <c r="AV1173" s="17"/>
      <c r="AW1173" s="17"/>
      <c r="AX1173" s="17"/>
      <c r="AY1173" s="17"/>
      <c r="AZ1173" s="17"/>
      <c r="BA1173" s="17"/>
      <c r="BB1173" s="17"/>
      <c r="BC1173" s="17"/>
      <c r="BD1173" s="17"/>
      <c r="BE1173" s="17"/>
      <c r="BF1173" s="17"/>
      <c r="BG1173" s="17"/>
      <c r="BH1173" s="17"/>
      <c r="BI1173" s="17"/>
      <c r="BJ1173" s="17"/>
      <c r="BK1173" s="17"/>
      <c r="BL1173" s="17"/>
      <c r="BM1173" s="17"/>
      <c r="BN1173" s="17"/>
      <c r="BO1173" s="17"/>
      <c r="BP1173" s="17"/>
      <c r="BQ1173" s="17"/>
      <c r="BR1173" s="17"/>
      <c r="BS1173" s="17"/>
      <c r="BT1173" s="17"/>
      <c r="BU1173" s="17"/>
      <c r="BV1173" s="17"/>
      <c r="BW1173" s="17"/>
      <c r="BX1173" s="17"/>
    </row>
    <row r="1174" customHeight="1" spans="1:76">
      <c r="A1174" s="17"/>
      <c r="B1174" s="17"/>
      <c r="C1174" s="17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17"/>
      <c r="AF1174" s="17"/>
      <c r="AG1174" s="17"/>
      <c r="AH1174" s="17"/>
      <c r="AI1174" s="17"/>
      <c r="AJ1174" s="17"/>
      <c r="AK1174" s="17"/>
      <c r="AL1174" s="17"/>
      <c r="AM1174" s="17"/>
      <c r="AN1174" s="17"/>
      <c r="AO1174" s="17"/>
      <c r="AP1174" s="17"/>
      <c r="AQ1174" s="17"/>
      <c r="AR1174" s="17"/>
      <c r="AS1174" s="17"/>
      <c r="AT1174" s="17"/>
      <c r="AU1174" s="17"/>
      <c r="AV1174" s="17"/>
      <c r="AW1174" s="17"/>
      <c r="AX1174" s="17"/>
      <c r="AY1174" s="17"/>
      <c r="AZ1174" s="17"/>
      <c r="BA1174" s="17"/>
      <c r="BB1174" s="17"/>
      <c r="BC1174" s="17"/>
      <c r="BD1174" s="17"/>
      <c r="BE1174" s="17"/>
      <c r="BF1174" s="17"/>
      <c r="BG1174" s="17"/>
      <c r="BH1174" s="17"/>
      <c r="BI1174" s="17"/>
      <c r="BJ1174" s="17"/>
      <c r="BK1174" s="17"/>
      <c r="BL1174" s="17"/>
      <c r="BM1174" s="17"/>
      <c r="BN1174" s="17"/>
      <c r="BO1174" s="17"/>
      <c r="BP1174" s="17"/>
      <c r="BQ1174" s="17"/>
      <c r="BR1174" s="17"/>
      <c r="BS1174" s="17"/>
      <c r="BT1174" s="17"/>
      <c r="BU1174" s="17"/>
      <c r="BV1174" s="17"/>
      <c r="BW1174" s="17"/>
      <c r="BX1174" s="17"/>
    </row>
    <row r="1175" customHeight="1" spans="1:76">
      <c r="A1175" s="17"/>
      <c r="B1175" s="17"/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7"/>
      <c r="AK1175" s="17"/>
      <c r="AL1175" s="17"/>
      <c r="AM1175" s="17"/>
      <c r="AN1175" s="17"/>
      <c r="AO1175" s="17"/>
      <c r="AP1175" s="17"/>
      <c r="AQ1175" s="17"/>
      <c r="AR1175" s="17"/>
      <c r="AS1175" s="17"/>
      <c r="AT1175" s="17"/>
      <c r="AU1175" s="17"/>
      <c r="AV1175" s="17"/>
      <c r="AW1175" s="17"/>
      <c r="AX1175" s="17"/>
      <c r="AY1175" s="17"/>
      <c r="AZ1175" s="17"/>
      <c r="BA1175" s="17"/>
      <c r="BB1175" s="17"/>
      <c r="BC1175" s="17"/>
      <c r="BD1175" s="17"/>
      <c r="BE1175" s="17"/>
      <c r="BF1175" s="17"/>
      <c r="BG1175" s="17"/>
      <c r="BH1175" s="17"/>
      <c r="BI1175" s="17"/>
      <c r="BJ1175" s="17"/>
      <c r="BK1175" s="17"/>
      <c r="BL1175" s="17"/>
      <c r="BM1175" s="17"/>
      <c r="BN1175" s="17"/>
      <c r="BO1175" s="17"/>
      <c r="BP1175" s="17"/>
      <c r="BQ1175" s="17"/>
      <c r="BR1175" s="17"/>
      <c r="BS1175" s="17"/>
      <c r="BT1175" s="17"/>
      <c r="BU1175" s="17"/>
      <c r="BV1175" s="17"/>
      <c r="BW1175" s="17"/>
      <c r="BX1175" s="17"/>
    </row>
    <row r="1176" customHeight="1" spans="1:76">
      <c r="A1176" s="17"/>
      <c r="B1176" s="17"/>
      <c r="C1176" s="17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7"/>
      <c r="AK1176" s="17"/>
      <c r="AL1176" s="17"/>
      <c r="AM1176" s="17"/>
      <c r="AN1176" s="17"/>
      <c r="AO1176" s="17"/>
      <c r="AP1176" s="17"/>
      <c r="AQ1176" s="17"/>
      <c r="AR1176" s="17"/>
      <c r="AS1176" s="17"/>
      <c r="AT1176" s="17"/>
      <c r="AU1176" s="17"/>
      <c r="AV1176" s="17"/>
      <c r="AW1176" s="17"/>
      <c r="AX1176" s="17"/>
      <c r="AY1176" s="17"/>
      <c r="AZ1176" s="17"/>
      <c r="BA1176" s="17"/>
      <c r="BB1176" s="17"/>
      <c r="BC1176" s="17"/>
      <c r="BD1176" s="17"/>
      <c r="BE1176" s="17"/>
      <c r="BF1176" s="17"/>
      <c r="BG1176" s="17"/>
      <c r="BH1176" s="17"/>
      <c r="BI1176" s="17"/>
      <c r="BJ1176" s="17"/>
      <c r="BK1176" s="17"/>
      <c r="BL1176" s="17"/>
      <c r="BM1176" s="17"/>
      <c r="BN1176" s="17"/>
      <c r="BO1176" s="17"/>
      <c r="BP1176" s="17"/>
      <c r="BQ1176" s="17"/>
      <c r="BR1176" s="17"/>
      <c r="BS1176" s="17"/>
      <c r="BT1176" s="17"/>
      <c r="BU1176" s="17"/>
      <c r="BV1176" s="17"/>
      <c r="BW1176" s="17"/>
      <c r="BX1176" s="17"/>
    </row>
    <row r="1177" customHeight="1" spans="1:76">
      <c r="A1177" s="17"/>
      <c r="B1177" s="17"/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/>
      <c r="AM1177" s="17"/>
      <c r="AN1177" s="17"/>
      <c r="AO1177" s="17"/>
      <c r="AP1177" s="17"/>
      <c r="AQ1177" s="17"/>
      <c r="AR1177" s="17"/>
      <c r="AS1177" s="17"/>
      <c r="AT1177" s="17"/>
      <c r="AU1177" s="17"/>
      <c r="AV1177" s="17"/>
      <c r="AW1177" s="17"/>
      <c r="AX1177" s="17"/>
      <c r="AY1177" s="17"/>
      <c r="AZ1177" s="17"/>
      <c r="BA1177" s="17"/>
      <c r="BB1177" s="17"/>
      <c r="BC1177" s="17"/>
      <c r="BD1177" s="17"/>
      <c r="BE1177" s="17"/>
      <c r="BF1177" s="17"/>
      <c r="BG1177" s="17"/>
      <c r="BH1177" s="17"/>
      <c r="BI1177" s="17"/>
      <c r="BJ1177" s="17"/>
      <c r="BK1177" s="17"/>
      <c r="BL1177" s="17"/>
      <c r="BM1177" s="17"/>
      <c r="BN1177" s="17"/>
      <c r="BO1177" s="17"/>
      <c r="BP1177" s="17"/>
      <c r="BQ1177" s="17"/>
      <c r="BR1177" s="17"/>
      <c r="BS1177" s="17"/>
      <c r="BT1177" s="17"/>
      <c r="BU1177" s="17"/>
      <c r="BV1177" s="17"/>
      <c r="BW1177" s="17"/>
      <c r="BX1177" s="17"/>
    </row>
    <row r="1178" customHeight="1" spans="1:76">
      <c r="A1178" s="17"/>
      <c r="B1178" s="17"/>
      <c r="C1178" s="17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17"/>
      <c r="AF1178" s="17"/>
      <c r="AG1178" s="17"/>
      <c r="AH1178" s="17"/>
      <c r="AI1178" s="17"/>
      <c r="AJ1178" s="17"/>
      <c r="AK1178" s="17"/>
      <c r="AL1178" s="17"/>
      <c r="AM1178" s="17"/>
      <c r="AN1178" s="17"/>
      <c r="AO1178" s="17"/>
      <c r="AP1178" s="17"/>
      <c r="AQ1178" s="17"/>
      <c r="AR1178" s="17"/>
      <c r="AS1178" s="17"/>
      <c r="AT1178" s="17"/>
      <c r="AU1178" s="17"/>
      <c r="AV1178" s="17"/>
      <c r="AW1178" s="17"/>
      <c r="AX1178" s="17"/>
      <c r="AY1178" s="17"/>
      <c r="AZ1178" s="17"/>
      <c r="BA1178" s="17"/>
      <c r="BB1178" s="17"/>
      <c r="BC1178" s="17"/>
      <c r="BD1178" s="17"/>
      <c r="BE1178" s="17"/>
      <c r="BF1178" s="17"/>
      <c r="BG1178" s="17"/>
      <c r="BH1178" s="17"/>
      <c r="BI1178" s="17"/>
      <c r="BJ1178" s="17"/>
      <c r="BK1178" s="17"/>
      <c r="BL1178" s="17"/>
      <c r="BM1178" s="17"/>
      <c r="BN1178" s="17"/>
      <c r="BO1178" s="17"/>
      <c r="BP1178" s="17"/>
      <c r="BQ1178" s="17"/>
      <c r="BR1178" s="17"/>
      <c r="BS1178" s="17"/>
      <c r="BT1178" s="17"/>
      <c r="BU1178" s="17"/>
      <c r="BV1178" s="17"/>
      <c r="BW1178" s="17"/>
      <c r="BX1178" s="17"/>
    </row>
    <row r="1179" customHeight="1" spans="1:76">
      <c r="A1179" s="17"/>
      <c r="B1179" s="17"/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s="17"/>
      <c r="AP1179" s="17"/>
      <c r="AQ1179" s="17"/>
      <c r="AR1179" s="17"/>
      <c r="AS1179" s="17"/>
      <c r="AT1179" s="17"/>
      <c r="AU1179" s="17"/>
      <c r="AV1179" s="17"/>
      <c r="AW1179" s="17"/>
      <c r="AX1179" s="17"/>
      <c r="AY1179" s="17"/>
      <c r="AZ1179" s="17"/>
      <c r="BA1179" s="17"/>
      <c r="BB1179" s="17"/>
      <c r="BC1179" s="17"/>
      <c r="BD1179" s="17"/>
      <c r="BE1179" s="17"/>
      <c r="BF1179" s="17"/>
      <c r="BG1179" s="17"/>
      <c r="BH1179" s="17"/>
      <c r="BI1179" s="17"/>
      <c r="BJ1179" s="17"/>
      <c r="BK1179" s="17"/>
      <c r="BL1179" s="17"/>
      <c r="BM1179" s="17"/>
      <c r="BN1179" s="17"/>
      <c r="BO1179" s="17"/>
      <c r="BP1179" s="17"/>
      <c r="BQ1179" s="17"/>
      <c r="BR1179" s="17"/>
      <c r="BS1179" s="17"/>
      <c r="BT1179" s="17"/>
      <c r="BU1179" s="17"/>
      <c r="BV1179" s="17"/>
      <c r="BW1179" s="17"/>
      <c r="BX1179" s="17"/>
    </row>
    <row r="1180" customHeight="1" spans="1:76">
      <c r="A1180" s="17"/>
      <c r="B1180" s="17"/>
      <c r="C1180" s="17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  <c r="AH1180" s="17"/>
      <c r="AI1180" s="17"/>
      <c r="AJ1180" s="17"/>
      <c r="AK1180" s="17"/>
      <c r="AL1180" s="17"/>
      <c r="AM1180" s="17"/>
      <c r="AN1180" s="17"/>
      <c r="AO1180" s="17"/>
      <c r="AP1180" s="17"/>
      <c r="AQ1180" s="17"/>
      <c r="AR1180" s="17"/>
      <c r="AS1180" s="17"/>
      <c r="AT1180" s="17"/>
      <c r="AU1180" s="17"/>
      <c r="AV1180" s="17"/>
      <c r="AW1180" s="17"/>
      <c r="AX1180" s="17"/>
      <c r="AY1180" s="17"/>
      <c r="AZ1180" s="17"/>
      <c r="BA1180" s="17"/>
      <c r="BB1180" s="17"/>
      <c r="BC1180" s="17"/>
      <c r="BD1180" s="17"/>
      <c r="BE1180" s="17"/>
      <c r="BF1180" s="17"/>
      <c r="BG1180" s="17"/>
      <c r="BH1180" s="17"/>
      <c r="BI1180" s="17"/>
      <c r="BJ1180" s="17"/>
      <c r="BK1180" s="17"/>
      <c r="BL1180" s="17"/>
      <c r="BM1180" s="17"/>
      <c r="BN1180" s="17"/>
      <c r="BO1180" s="17"/>
      <c r="BP1180" s="17"/>
      <c r="BQ1180" s="17"/>
      <c r="BR1180" s="17"/>
      <c r="BS1180" s="17"/>
      <c r="BT1180" s="17"/>
      <c r="BU1180" s="17"/>
      <c r="BV1180" s="17"/>
      <c r="BW1180" s="17"/>
      <c r="BX1180" s="17"/>
    </row>
    <row r="1181" customHeight="1" spans="1:76">
      <c r="A1181" s="17"/>
      <c r="B1181" s="17"/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7"/>
      <c r="AK1181" s="17"/>
      <c r="AL1181" s="17"/>
      <c r="AM1181" s="17"/>
      <c r="AN1181" s="17"/>
      <c r="AO1181" s="17"/>
      <c r="AP1181" s="17"/>
      <c r="AQ1181" s="17"/>
      <c r="AR1181" s="17"/>
      <c r="AS1181" s="17"/>
      <c r="AT1181" s="17"/>
      <c r="AU1181" s="17"/>
      <c r="AV1181" s="17"/>
      <c r="AW1181" s="17"/>
      <c r="AX1181" s="17"/>
      <c r="AY1181" s="17"/>
      <c r="AZ1181" s="17"/>
      <c r="BA1181" s="17"/>
      <c r="BB1181" s="17"/>
      <c r="BC1181" s="17"/>
      <c r="BD1181" s="17"/>
      <c r="BE1181" s="17"/>
      <c r="BF1181" s="17"/>
      <c r="BG1181" s="17"/>
      <c r="BH1181" s="17"/>
      <c r="BI1181" s="17"/>
      <c r="BJ1181" s="17"/>
      <c r="BK1181" s="17"/>
      <c r="BL1181" s="17"/>
      <c r="BM1181" s="17"/>
      <c r="BN1181" s="17"/>
      <c r="BO1181" s="17"/>
      <c r="BP1181" s="17"/>
      <c r="BQ1181" s="17"/>
      <c r="BR1181" s="17"/>
      <c r="BS1181" s="17"/>
      <c r="BT1181" s="17"/>
      <c r="BU1181" s="17"/>
      <c r="BV1181" s="17"/>
      <c r="BW1181" s="17"/>
      <c r="BX1181" s="17"/>
    </row>
    <row r="1182" customHeight="1" spans="1:76">
      <c r="A1182" s="17"/>
      <c r="B1182" s="17"/>
      <c r="C1182" s="17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  <c r="AJ1182" s="17"/>
      <c r="AK1182" s="17"/>
      <c r="AL1182" s="17"/>
      <c r="AM1182" s="17"/>
      <c r="AN1182" s="17"/>
      <c r="AO1182" s="17"/>
      <c r="AP1182" s="17"/>
      <c r="AQ1182" s="17"/>
      <c r="AR1182" s="17"/>
      <c r="AS1182" s="17"/>
      <c r="AT1182" s="17"/>
      <c r="AU1182" s="17"/>
      <c r="AV1182" s="17"/>
      <c r="AW1182" s="17"/>
      <c r="AX1182" s="17"/>
      <c r="AY1182" s="17"/>
      <c r="AZ1182" s="17"/>
      <c r="BA1182" s="17"/>
      <c r="BB1182" s="17"/>
      <c r="BC1182" s="17"/>
      <c r="BD1182" s="17"/>
      <c r="BE1182" s="17"/>
      <c r="BF1182" s="17"/>
      <c r="BG1182" s="17"/>
      <c r="BH1182" s="17"/>
      <c r="BI1182" s="17"/>
      <c r="BJ1182" s="17"/>
      <c r="BK1182" s="17"/>
      <c r="BL1182" s="17"/>
      <c r="BM1182" s="17"/>
      <c r="BN1182" s="17"/>
      <c r="BO1182" s="17"/>
      <c r="BP1182" s="17"/>
      <c r="BQ1182" s="17"/>
      <c r="BR1182" s="17"/>
      <c r="BS1182" s="17"/>
      <c r="BT1182" s="17"/>
      <c r="BU1182" s="17"/>
      <c r="BV1182" s="17"/>
      <c r="BW1182" s="17"/>
      <c r="BX1182" s="17"/>
    </row>
    <row r="1183" customHeight="1" spans="1:76">
      <c r="A1183" s="17"/>
      <c r="B1183" s="17"/>
      <c r="C1183" s="17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s="17"/>
      <c r="AP1183" s="17"/>
      <c r="AQ1183" s="17"/>
      <c r="AR1183" s="17"/>
      <c r="AS1183" s="17"/>
      <c r="AT1183" s="17"/>
      <c r="AU1183" s="17"/>
      <c r="AV1183" s="17"/>
      <c r="AW1183" s="17"/>
      <c r="AX1183" s="17"/>
      <c r="AY1183" s="17"/>
      <c r="AZ1183" s="17"/>
      <c r="BA1183" s="17"/>
      <c r="BB1183" s="17"/>
      <c r="BC1183" s="17"/>
      <c r="BD1183" s="17"/>
      <c r="BE1183" s="17"/>
      <c r="BF1183" s="17"/>
      <c r="BG1183" s="17"/>
      <c r="BH1183" s="17"/>
      <c r="BI1183" s="17"/>
      <c r="BJ1183" s="17"/>
      <c r="BK1183" s="17"/>
      <c r="BL1183" s="17"/>
      <c r="BM1183" s="17"/>
      <c r="BN1183" s="17"/>
      <c r="BO1183" s="17"/>
      <c r="BP1183" s="17"/>
      <c r="BQ1183" s="17"/>
      <c r="BR1183" s="17"/>
      <c r="BS1183" s="17"/>
      <c r="BT1183" s="17"/>
      <c r="BU1183" s="17"/>
      <c r="BV1183" s="17"/>
      <c r="BW1183" s="17"/>
      <c r="BX1183" s="17"/>
    </row>
    <row r="1184" customHeight="1" spans="1:76">
      <c r="A1184" s="17"/>
      <c r="B1184" s="17"/>
      <c r="C1184" s="17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s="17"/>
      <c r="AP1184" s="17"/>
      <c r="AQ1184" s="17"/>
      <c r="AR1184" s="17"/>
      <c r="AS1184" s="17"/>
      <c r="AT1184" s="17"/>
      <c r="AU1184" s="17"/>
      <c r="AV1184" s="17"/>
      <c r="AW1184" s="17"/>
      <c r="AX1184" s="17"/>
      <c r="AY1184" s="17"/>
      <c r="AZ1184" s="17"/>
      <c r="BA1184" s="17"/>
      <c r="BB1184" s="17"/>
      <c r="BC1184" s="17"/>
      <c r="BD1184" s="17"/>
      <c r="BE1184" s="17"/>
      <c r="BF1184" s="17"/>
      <c r="BG1184" s="17"/>
      <c r="BH1184" s="17"/>
      <c r="BI1184" s="17"/>
      <c r="BJ1184" s="17"/>
      <c r="BK1184" s="17"/>
      <c r="BL1184" s="17"/>
      <c r="BM1184" s="17"/>
      <c r="BN1184" s="17"/>
      <c r="BO1184" s="17"/>
      <c r="BP1184" s="17"/>
      <c r="BQ1184" s="17"/>
      <c r="BR1184" s="17"/>
      <c r="BS1184" s="17"/>
      <c r="BT1184" s="17"/>
      <c r="BU1184" s="17"/>
      <c r="BV1184" s="17"/>
      <c r="BW1184" s="17"/>
      <c r="BX1184" s="17"/>
    </row>
    <row r="1185" customHeight="1" spans="1:76">
      <c r="A1185" s="17"/>
      <c r="B1185" s="17"/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s="17"/>
      <c r="AP1185" s="17"/>
      <c r="AQ1185" s="17"/>
      <c r="AR1185" s="17"/>
      <c r="AS1185" s="17"/>
      <c r="AT1185" s="17"/>
      <c r="AU1185" s="17"/>
      <c r="AV1185" s="17"/>
      <c r="AW1185" s="17"/>
      <c r="AX1185" s="17"/>
      <c r="AY1185" s="17"/>
      <c r="AZ1185" s="17"/>
      <c r="BA1185" s="17"/>
      <c r="BB1185" s="17"/>
      <c r="BC1185" s="17"/>
      <c r="BD1185" s="17"/>
      <c r="BE1185" s="17"/>
      <c r="BF1185" s="17"/>
      <c r="BG1185" s="17"/>
      <c r="BH1185" s="17"/>
      <c r="BI1185" s="17"/>
      <c r="BJ1185" s="17"/>
      <c r="BK1185" s="17"/>
      <c r="BL1185" s="17"/>
      <c r="BM1185" s="17"/>
      <c r="BN1185" s="17"/>
      <c r="BO1185" s="17"/>
      <c r="BP1185" s="17"/>
      <c r="BQ1185" s="17"/>
      <c r="BR1185" s="17"/>
      <c r="BS1185" s="17"/>
      <c r="BT1185" s="17"/>
      <c r="BU1185" s="17"/>
      <c r="BV1185" s="17"/>
      <c r="BW1185" s="17"/>
      <c r="BX1185" s="17"/>
    </row>
    <row r="1186" customHeight="1" spans="1:76">
      <c r="A1186" s="17"/>
      <c r="B1186" s="17"/>
      <c r="C1186" s="17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7"/>
      <c r="AL1186" s="17"/>
      <c r="AM1186" s="17"/>
      <c r="AN1186" s="17"/>
      <c r="AO1186" s="17"/>
      <c r="AP1186" s="17"/>
      <c r="AQ1186" s="17"/>
      <c r="AR1186" s="17"/>
      <c r="AS1186" s="17"/>
      <c r="AT1186" s="17"/>
      <c r="AU1186" s="17"/>
      <c r="AV1186" s="17"/>
      <c r="AW1186" s="17"/>
      <c r="AX1186" s="17"/>
      <c r="AY1186" s="17"/>
      <c r="AZ1186" s="17"/>
      <c r="BA1186" s="17"/>
      <c r="BB1186" s="17"/>
      <c r="BC1186" s="17"/>
      <c r="BD1186" s="17"/>
      <c r="BE1186" s="17"/>
      <c r="BF1186" s="17"/>
      <c r="BG1186" s="17"/>
      <c r="BH1186" s="17"/>
      <c r="BI1186" s="17"/>
      <c r="BJ1186" s="17"/>
      <c r="BK1186" s="17"/>
      <c r="BL1186" s="17"/>
      <c r="BM1186" s="17"/>
      <c r="BN1186" s="17"/>
      <c r="BO1186" s="17"/>
      <c r="BP1186" s="17"/>
      <c r="BQ1186" s="17"/>
      <c r="BR1186" s="17"/>
      <c r="BS1186" s="17"/>
      <c r="BT1186" s="17"/>
      <c r="BU1186" s="17"/>
      <c r="BV1186" s="17"/>
      <c r="BW1186" s="17"/>
      <c r="BX1186" s="17"/>
    </row>
    <row r="1187" customHeight="1" spans="1:76">
      <c r="A1187" s="17"/>
      <c r="B1187" s="17"/>
      <c r="C1187" s="17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17"/>
      <c r="AQ1187" s="17"/>
      <c r="AR1187" s="17"/>
      <c r="AS1187" s="17"/>
      <c r="AT1187" s="17"/>
      <c r="AU1187" s="17"/>
      <c r="AV1187" s="17"/>
      <c r="AW1187" s="17"/>
      <c r="AX1187" s="17"/>
      <c r="AY1187" s="17"/>
      <c r="AZ1187" s="17"/>
      <c r="BA1187" s="17"/>
      <c r="BB1187" s="17"/>
      <c r="BC1187" s="17"/>
      <c r="BD1187" s="17"/>
      <c r="BE1187" s="17"/>
      <c r="BF1187" s="17"/>
      <c r="BG1187" s="17"/>
      <c r="BH1187" s="17"/>
      <c r="BI1187" s="17"/>
      <c r="BJ1187" s="17"/>
      <c r="BK1187" s="17"/>
      <c r="BL1187" s="17"/>
      <c r="BM1187" s="17"/>
      <c r="BN1187" s="17"/>
      <c r="BO1187" s="17"/>
      <c r="BP1187" s="17"/>
      <c r="BQ1187" s="17"/>
      <c r="BR1187" s="17"/>
      <c r="BS1187" s="17"/>
      <c r="BT1187" s="17"/>
      <c r="BU1187" s="17"/>
      <c r="BV1187" s="17"/>
      <c r="BW1187" s="17"/>
      <c r="BX1187" s="17"/>
    </row>
    <row r="1188" customHeight="1" spans="1:76">
      <c r="A1188" s="17"/>
      <c r="B1188" s="17"/>
      <c r="C1188" s="17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17"/>
      <c r="AP1188" s="17"/>
      <c r="AQ1188" s="17"/>
      <c r="AR1188" s="17"/>
      <c r="AS1188" s="17"/>
      <c r="AT1188" s="17"/>
      <c r="AU1188" s="17"/>
      <c r="AV1188" s="17"/>
      <c r="AW1188" s="17"/>
      <c r="AX1188" s="17"/>
      <c r="AY1188" s="17"/>
      <c r="AZ1188" s="17"/>
      <c r="BA1188" s="17"/>
      <c r="BB1188" s="17"/>
      <c r="BC1188" s="17"/>
      <c r="BD1188" s="17"/>
      <c r="BE1188" s="17"/>
      <c r="BF1188" s="17"/>
      <c r="BG1188" s="17"/>
      <c r="BH1188" s="17"/>
      <c r="BI1188" s="17"/>
      <c r="BJ1188" s="17"/>
      <c r="BK1188" s="17"/>
      <c r="BL1188" s="17"/>
      <c r="BM1188" s="17"/>
      <c r="BN1188" s="17"/>
      <c r="BO1188" s="17"/>
      <c r="BP1188" s="17"/>
      <c r="BQ1188" s="17"/>
      <c r="BR1188" s="17"/>
      <c r="BS1188" s="17"/>
      <c r="BT1188" s="17"/>
      <c r="BU1188" s="17"/>
      <c r="BV1188" s="17"/>
      <c r="BW1188" s="17"/>
      <c r="BX1188" s="17"/>
    </row>
    <row r="1189" customHeight="1" spans="1:76">
      <c r="A1189" s="17"/>
      <c r="B1189" s="17"/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17"/>
      <c r="AP1189" s="17"/>
      <c r="AQ1189" s="17"/>
      <c r="AR1189" s="17"/>
      <c r="AS1189" s="17"/>
      <c r="AT1189" s="17"/>
      <c r="AU1189" s="17"/>
      <c r="AV1189" s="17"/>
      <c r="AW1189" s="17"/>
      <c r="AX1189" s="17"/>
      <c r="AY1189" s="17"/>
      <c r="AZ1189" s="17"/>
      <c r="BA1189" s="17"/>
      <c r="BB1189" s="17"/>
      <c r="BC1189" s="17"/>
      <c r="BD1189" s="17"/>
      <c r="BE1189" s="17"/>
      <c r="BF1189" s="17"/>
      <c r="BG1189" s="17"/>
      <c r="BH1189" s="17"/>
      <c r="BI1189" s="17"/>
      <c r="BJ1189" s="17"/>
      <c r="BK1189" s="17"/>
      <c r="BL1189" s="17"/>
      <c r="BM1189" s="17"/>
      <c r="BN1189" s="17"/>
      <c r="BO1189" s="17"/>
      <c r="BP1189" s="17"/>
      <c r="BQ1189" s="17"/>
      <c r="BR1189" s="17"/>
      <c r="BS1189" s="17"/>
      <c r="BT1189" s="17"/>
      <c r="BU1189" s="17"/>
      <c r="BV1189" s="17"/>
      <c r="BW1189" s="17"/>
      <c r="BX1189" s="17"/>
    </row>
    <row r="1190" customHeight="1" spans="1:76">
      <c r="A1190" s="17"/>
      <c r="B1190" s="17"/>
      <c r="C1190" s="17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  <c r="AH1190" s="17"/>
      <c r="AI1190" s="17"/>
      <c r="AJ1190" s="17"/>
      <c r="AK1190" s="17"/>
      <c r="AL1190" s="17"/>
      <c r="AM1190" s="17"/>
      <c r="AN1190" s="17"/>
      <c r="AO1190" s="17"/>
      <c r="AP1190" s="17"/>
      <c r="AQ1190" s="17"/>
      <c r="AR1190" s="17"/>
      <c r="AS1190" s="17"/>
      <c r="AT1190" s="17"/>
      <c r="AU1190" s="17"/>
      <c r="AV1190" s="17"/>
      <c r="AW1190" s="17"/>
      <c r="AX1190" s="17"/>
      <c r="AY1190" s="17"/>
      <c r="AZ1190" s="17"/>
      <c r="BA1190" s="17"/>
      <c r="BB1190" s="17"/>
      <c r="BC1190" s="17"/>
      <c r="BD1190" s="17"/>
      <c r="BE1190" s="17"/>
      <c r="BF1190" s="17"/>
      <c r="BG1190" s="17"/>
      <c r="BH1190" s="17"/>
      <c r="BI1190" s="17"/>
      <c r="BJ1190" s="17"/>
      <c r="BK1190" s="17"/>
      <c r="BL1190" s="17"/>
      <c r="BM1190" s="17"/>
      <c r="BN1190" s="17"/>
      <c r="BO1190" s="17"/>
      <c r="BP1190" s="17"/>
      <c r="BQ1190" s="17"/>
      <c r="BR1190" s="17"/>
      <c r="BS1190" s="17"/>
      <c r="BT1190" s="17"/>
      <c r="BU1190" s="17"/>
      <c r="BV1190" s="17"/>
      <c r="BW1190" s="17"/>
      <c r="BX1190" s="17"/>
    </row>
    <row r="1191" customHeight="1" spans="1:76">
      <c r="A1191" s="17"/>
      <c r="B1191" s="17"/>
      <c r="C1191" s="17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  <c r="AH1191" s="17"/>
      <c r="AI1191" s="17"/>
      <c r="AJ1191" s="17"/>
      <c r="AK1191" s="17"/>
      <c r="AL1191" s="17"/>
      <c r="AM1191" s="17"/>
      <c r="AN1191" s="17"/>
      <c r="AO1191" s="17"/>
      <c r="AP1191" s="17"/>
      <c r="AQ1191" s="17"/>
      <c r="AR1191" s="17"/>
      <c r="AS1191" s="17"/>
      <c r="AT1191" s="17"/>
      <c r="AU1191" s="17"/>
      <c r="AV1191" s="17"/>
      <c r="AW1191" s="17"/>
      <c r="AX1191" s="17"/>
      <c r="AY1191" s="17"/>
      <c r="AZ1191" s="17"/>
      <c r="BA1191" s="17"/>
      <c r="BB1191" s="17"/>
      <c r="BC1191" s="17"/>
      <c r="BD1191" s="17"/>
      <c r="BE1191" s="17"/>
      <c r="BF1191" s="17"/>
      <c r="BG1191" s="17"/>
      <c r="BH1191" s="17"/>
      <c r="BI1191" s="17"/>
      <c r="BJ1191" s="17"/>
      <c r="BK1191" s="17"/>
      <c r="BL1191" s="17"/>
      <c r="BM1191" s="17"/>
      <c r="BN1191" s="17"/>
      <c r="BO1191" s="17"/>
      <c r="BP1191" s="17"/>
      <c r="BQ1191" s="17"/>
      <c r="BR1191" s="17"/>
      <c r="BS1191" s="17"/>
      <c r="BT1191" s="17"/>
      <c r="BU1191" s="17"/>
      <c r="BV1191" s="17"/>
      <c r="BW1191" s="17"/>
      <c r="BX1191" s="17"/>
    </row>
    <row r="1192" customHeight="1" spans="1:76">
      <c r="A1192" s="17"/>
      <c r="B1192" s="17"/>
      <c r="C1192" s="17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  <c r="AH1192" s="17"/>
      <c r="AI1192" s="17"/>
      <c r="AJ1192" s="17"/>
      <c r="AK1192" s="17"/>
      <c r="AL1192" s="17"/>
      <c r="AM1192" s="17"/>
      <c r="AN1192" s="17"/>
      <c r="AO1192" s="17"/>
      <c r="AP1192" s="17"/>
      <c r="AQ1192" s="17"/>
      <c r="AR1192" s="17"/>
      <c r="AS1192" s="17"/>
      <c r="AT1192" s="17"/>
      <c r="AU1192" s="17"/>
      <c r="AV1192" s="17"/>
      <c r="AW1192" s="17"/>
      <c r="AX1192" s="17"/>
      <c r="AY1192" s="17"/>
      <c r="AZ1192" s="17"/>
      <c r="BA1192" s="17"/>
      <c r="BB1192" s="17"/>
      <c r="BC1192" s="17"/>
      <c r="BD1192" s="17"/>
      <c r="BE1192" s="17"/>
      <c r="BF1192" s="17"/>
      <c r="BG1192" s="17"/>
      <c r="BH1192" s="17"/>
      <c r="BI1192" s="17"/>
      <c r="BJ1192" s="17"/>
      <c r="BK1192" s="17"/>
      <c r="BL1192" s="17"/>
      <c r="BM1192" s="17"/>
      <c r="BN1192" s="17"/>
      <c r="BO1192" s="17"/>
      <c r="BP1192" s="17"/>
      <c r="BQ1192" s="17"/>
      <c r="BR1192" s="17"/>
      <c r="BS1192" s="17"/>
      <c r="BT1192" s="17"/>
      <c r="BU1192" s="17"/>
      <c r="BV1192" s="17"/>
      <c r="BW1192" s="17"/>
      <c r="BX1192" s="17"/>
    </row>
    <row r="1193" customHeight="1" spans="1:76">
      <c r="A1193" s="17"/>
      <c r="B1193" s="17"/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17"/>
      <c r="AH1193" s="17"/>
      <c r="AI1193" s="17"/>
      <c r="AJ1193" s="17"/>
      <c r="AK1193" s="17"/>
      <c r="AL1193" s="17"/>
      <c r="AM1193" s="17"/>
      <c r="AN1193" s="17"/>
      <c r="AO1193" s="17"/>
      <c r="AP1193" s="17"/>
      <c r="AQ1193" s="17"/>
      <c r="AR1193" s="17"/>
      <c r="AS1193" s="17"/>
      <c r="AT1193" s="17"/>
      <c r="AU1193" s="17"/>
      <c r="AV1193" s="17"/>
      <c r="AW1193" s="17"/>
      <c r="AX1193" s="17"/>
      <c r="AY1193" s="17"/>
      <c r="AZ1193" s="17"/>
      <c r="BA1193" s="17"/>
      <c r="BB1193" s="17"/>
      <c r="BC1193" s="17"/>
      <c r="BD1193" s="17"/>
      <c r="BE1193" s="17"/>
      <c r="BF1193" s="17"/>
      <c r="BG1193" s="17"/>
      <c r="BH1193" s="17"/>
      <c r="BI1193" s="17"/>
      <c r="BJ1193" s="17"/>
      <c r="BK1193" s="17"/>
      <c r="BL1193" s="17"/>
      <c r="BM1193" s="17"/>
      <c r="BN1193" s="17"/>
      <c r="BO1193" s="17"/>
      <c r="BP1193" s="17"/>
      <c r="BQ1193" s="17"/>
      <c r="BR1193" s="17"/>
      <c r="BS1193" s="17"/>
      <c r="BT1193" s="17"/>
      <c r="BU1193" s="17"/>
      <c r="BV1193" s="17"/>
      <c r="BW1193" s="17"/>
      <c r="BX1193" s="17"/>
    </row>
    <row r="1194" customHeight="1" spans="1:76">
      <c r="A1194" s="17"/>
      <c r="B1194" s="17"/>
      <c r="C1194" s="17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17"/>
      <c r="AP1194" s="17"/>
      <c r="AQ1194" s="17"/>
      <c r="AR1194" s="17"/>
      <c r="AS1194" s="17"/>
      <c r="AT1194" s="17"/>
      <c r="AU1194" s="17"/>
      <c r="AV1194" s="17"/>
      <c r="AW1194" s="17"/>
      <c r="AX1194" s="17"/>
      <c r="AY1194" s="17"/>
      <c r="AZ1194" s="17"/>
      <c r="BA1194" s="17"/>
      <c r="BB1194" s="17"/>
      <c r="BC1194" s="17"/>
      <c r="BD1194" s="17"/>
      <c r="BE1194" s="17"/>
      <c r="BF1194" s="17"/>
      <c r="BG1194" s="17"/>
      <c r="BH1194" s="17"/>
      <c r="BI1194" s="17"/>
      <c r="BJ1194" s="17"/>
      <c r="BK1194" s="17"/>
      <c r="BL1194" s="17"/>
      <c r="BM1194" s="17"/>
      <c r="BN1194" s="17"/>
      <c r="BO1194" s="17"/>
      <c r="BP1194" s="17"/>
      <c r="BQ1194" s="17"/>
      <c r="BR1194" s="17"/>
      <c r="BS1194" s="17"/>
      <c r="BT1194" s="17"/>
      <c r="BU1194" s="17"/>
      <c r="BV1194" s="17"/>
      <c r="BW1194" s="17"/>
      <c r="BX1194" s="17"/>
    </row>
    <row r="1195" customHeight="1" spans="1:76">
      <c r="A1195" s="17"/>
      <c r="B1195" s="17"/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17"/>
      <c r="AP1195" s="17"/>
      <c r="AQ1195" s="17"/>
      <c r="AR1195" s="17"/>
      <c r="AS1195" s="17"/>
      <c r="AT1195" s="17"/>
      <c r="AU1195" s="17"/>
      <c r="AV1195" s="17"/>
      <c r="AW1195" s="17"/>
      <c r="AX1195" s="17"/>
      <c r="AY1195" s="17"/>
      <c r="AZ1195" s="17"/>
      <c r="BA1195" s="17"/>
      <c r="BB1195" s="17"/>
      <c r="BC1195" s="17"/>
      <c r="BD1195" s="17"/>
      <c r="BE1195" s="17"/>
      <c r="BF1195" s="17"/>
      <c r="BG1195" s="17"/>
      <c r="BH1195" s="17"/>
      <c r="BI1195" s="17"/>
      <c r="BJ1195" s="17"/>
      <c r="BK1195" s="17"/>
      <c r="BL1195" s="17"/>
      <c r="BM1195" s="17"/>
      <c r="BN1195" s="17"/>
      <c r="BO1195" s="17"/>
      <c r="BP1195" s="17"/>
      <c r="BQ1195" s="17"/>
      <c r="BR1195" s="17"/>
      <c r="BS1195" s="17"/>
      <c r="BT1195" s="17"/>
      <c r="BU1195" s="17"/>
      <c r="BV1195" s="17"/>
      <c r="BW1195" s="17"/>
      <c r="BX1195" s="17"/>
    </row>
    <row r="1196" customHeight="1" spans="1:76">
      <c r="A1196" s="17"/>
      <c r="B1196" s="17"/>
      <c r="C1196" s="17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17"/>
      <c r="AP1196" s="17"/>
      <c r="AQ1196" s="17"/>
      <c r="AR1196" s="17"/>
      <c r="AS1196" s="17"/>
      <c r="AT1196" s="17"/>
      <c r="AU1196" s="17"/>
      <c r="AV1196" s="17"/>
      <c r="AW1196" s="17"/>
      <c r="AX1196" s="17"/>
      <c r="AY1196" s="17"/>
      <c r="AZ1196" s="17"/>
      <c r="BA1196" s="17"/>
      <c r="BB1196" s="17"/>
      <c r="BC1196" s="17"/>
      <c r="BD1196" s="17"/>
      <c r="BE1196" s="17"/>
      <c r="BF1196" s="17"/>
      <c r="BG1196" s="17"/>
      <c r="BH1196" s="17"/>
      <c r="BI1196" s="17"/>
      <c r="BJ1196" s="17"/>
      <c r="BK1196" s="17"/>
      <c r="BL1196" s="17"/>
      <c r="BM1196" s="17"/>
      <c r="BN1196" s="17"/>
      <c r="BO1196" s="17"/>
      <c r="BP1196" s="17"/>
      <c r="BQ1196" s="17"/>
      <c r="BR1196" s="17"/>
      <c r="BS1196" s="17"/>
      <c r="BT1196" s="17"/>
      <c r="BU1196" s="17"/>
      <c r="BV1196" s="17"/>
      <c r="BW1196" s="17"/>
      <c r="BX1196" s="17"/>
    </row>
    <row r="1197" customHeight="1" spans="1:76">
      <c r="A1197" s="17"/>
      <c r="B1197" s="17"/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/>
      <c r="AH1197" s="17"/>
      <c r="AI1197" s="17"/>
      <c r="AJ1197" s="17"/>
      <c r="AK1197" s="17"/>
      <c r="AL1197" s="17"/>
      <c r="AM1197" s="17"/>
      <c r="AN1197" s="17"/>
      <c r="AO1197" s="17"/>
      <c r="AP1197" s="17"/>
      <c r="AQ1197" s="17"/>
      <c r="AR1197" s="17"/>
      <c r="AS1197" s="17"/>
      <c r="AT1197" s="17"/>
      <c r="AU1197" s="17"/>
      <c r="AV1197" s="17"/>
      <c r="AW1197" s="17"/>
      <c r="AX1197" s="17"/>
      <c r="AY1197" s="17"/>
      <c r="AZ1197" s="17"/>
      <c r="BA1197" s="17"/>
      <c r="BB1197" s="17"/>
      <c r="BC1197" s="17"/>
      <c r="BD1197" s="17"/>
      <c r="BE1197" s="17"/>
      <c r="BF1197" s="17"/>
      <c r="BG1197" s="17"/>
      <c r="BH1197" s="17"/>
      <c r="BI1197" s="17"/>
      <c r="BJ1197" s="17"/>
      <c r="BK1197" s="17"/>
      <c r="BL1197" s="17"/>
      <c r="BM1197" s="17"/>
      <c r="BN1197" s="17"/>
      <c r="BO1197" s="17"/>
      <c r="BP1197" s="17"/>
      <c r="BQ1197" s="17"/>
      <c r="BR1197" s="17"/>
      <c r="BS1197" s="17"/>
      <c r="BT1197" s="17"/>
      <c r="BU1197" s="17"/>
      <c r="BV1197" s="17"/>
      <c r="BW1197" s="17"/>
      <c r="BX1197" s="17"/>
    </row>
    <row r="1198" customHeight="1" spans="1:76">
      <c r="A1198" s="17"/>
      <c r="B1198" s="17"/>
      <c r="C1198" s="17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  <c r="AH1198" s="17"/>
      <c r="AI1198" s="17"/>
      <c r="AJ1198" s="17"/>
      <c r="AK1198" s="17"/>
      <c r="AL1198" s="17"/>
      <c r="AM1198" s="17"/>
      <c r="AN1198" s="17"/>
      <c r="AO1198" s="17"/>
      <c r="AP1198" s="17"/>
      <c r="AQ1198" s="17"/>
      <c r="AR1198" s="17"/>
      <c r="AS1198" s="17"/>
      <c r="AT1198" s="17"/>
      <c r="AU1198" s="17"/>
      <c r="AV1198" s="17"/>
      <c r="AW1198" s="17"/>
      <c r="AX1198" s="17"/>
      <c r="AY1198" s="17"/>
      <c r="AZ1198" s="17"/>
      <c r="BA1198" s="17"/>
      <c r="BB1198" s="17"/>
      <c r="BC1198" s="17"/>
      <c r="BD1198" s="17"/>
      <c r="BE1198" s="17"/>
      <c r="BF1198" s="17"/>
      <c r="BG1198" s="17"/>
      <c r="BH1198" s="17"/>
      <c r="BI1198" s="17"/>
      <c r="BJ1198" s="17"/>
      <c r="BK1198" s="17"/>
      <c r="BL1198" s="17"/>
      <c r="BM1198" s="17"/>
      <c r="BN1198" s="17"/>
      <c r="BO1198" s="17"/>
      <c r="BP1198" s="17"/>
      <c r="BQ1198" s="17"/>
      <c r="BR1198" s="17"/>
      <c r="BS1198" s="17"/>
      <c r="BT1198" s="17"/>
      <c r="BU1198" s="17"/>
      <c r="BV1198" s="17"/>
      <c r="BW1198" s="17"/>
      <c r="BX1198" s="17"/>
    </row>
    <row r="1199" customHeight="1" spans="1:76">
      <c r="A1199" s="17"/>
      <c r="B1199" s="17"/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7"/>
      <c r="AI1199" s="17"/>
      <c r="AJ1199" s="17"/>
      <c r="AK1199" s="17"/>
      <c r="AL1199" s="17"/>
      <c r="AM1199" s="17"/>
      <c r="AN1199" s="17"/>
      <c r="AO1199" s="17"/>
      <c r="AP1199" s="17"/>
      <c r="AQ1199" s="17"/>
      <c r="AR1199" s="17"/>
      <c r="AS1199" s="17"/>
      <c r="AT1199" s="17"/>
      <c r="AU1199" s="17"/>
      <c r="AV1199" s="17"/>
      <c r="AW1199" s="17"/>
      <c r="AX1199" s="17"/>
      <c r="AY1199" s="17"/>
      <c r="AZ1199" s="17"/>
      <c r="BA1199" s="17"/>
      <c r="BB1199" s="17"/>
      <c r="BC1199" s="17"/>
      <c r="BD1199" s="17"/>
      <c r="BE1199" s="17"/>
      <c r="BF1199" s="17"/>
      <c r="BG1199" s="17"/>
      <c r="BH1199" s="17"/>
      <c r="BI1199" s="17"/>
      <c r="BJ1199" s="17"/>
      <c r="BK1199" s="17"/>
      <c r="BL1199" s="17"/>
      <c r="BM1199" s="17"/>
      <c r="BN1199" s="17"/>
      <c r="BO1199" s="17"/>
      <c r="BP1199" s="17"/>
      <c r="BQ1199" s="17"/>
      <c r="BR1199" s="17"/>
      <c r="BS1199" s="17"/>
      <c r="BT1199" s="17"/>
      <c r="BU1199" s="17"/>
      <c r="BV1199" s="17"/>
      <c r="BW1199" s="17"/>
      <c r="BX1199" s="17"/>
    </row>
    <row r="1200" customHeight="1" spans="1:76">
      <c r="A1200" s="17"/>
      <c r="B1200" s="17"/>
      <c r="C1200" s="17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  <c r="AH1200" s="17"/>
      <c r="AI1200" s="17"/>
      <c r="AJ1200" s="17"/>
      <c r="AK1200" s="17"/>
      <c r="AL1200" s="17"/>
      <c r="AM1200" s="17"/>
      <c r="AN1200" s="17"/>
      <c r="AO1200" s="17"/>
      <c r="AP1200" s="17"/>
      <c r="AQ1200" s="17"/>
      <c r="AR1200" s="17"/>
      <c r="AS1200" s="17"/>
      <c r="AT1200" s="17"/>
      <c r="AU1200" s="17"/>
      <c r="AV1200" s="17"/>
      <c r="AW1200" s="17"/>
      <c r="AX1200" s="17"/>
      <c r="AY1200" s="17"/>
      <c r="AZ1200" s="17"/>
      <c r="BA1200" s="17"/>
      <c r="BB1200" s="17"/>
      <c r="BC1200" s="17"/>
      <c r="BD1200" s="17"/>
      <c r="BE1200" s="17"/>
      <c r="BF1200" s="17"/>
      <c r="BG1200" s="17"/>
      <c r="BH1200" s="17"/>
      <c r="BI1200" s="17"/>
      <c r="BJ1200" s="17"/>
      <c r="BK1200" s="17"/>
      <c r="BL1200" s="17"/>
      <c r="BM1200" s="17"/>
      <c r="BN1200" s="17"/>
      <c r="BO1200" s="17"/>
      <c r="BP1200" s="17"/>
      <c r="BQ1200" s="17"/>
      <c r="BR1200" s="17"/>
      <c r="BS1200" s="17"/>
      <c r="BT1200" s="17"/>
      <c r="BU1200" s="17"/>
      <c r="BV1200" s="17"/>
      <c r="BW1200" s="17"/>
      <c r="BX1200" s="17"/>
    </row>
    <row r="1201" customHeight="1" spans="1:76">
      <c r="A1201" s="17"/>
      <c r="B1201" s="17"/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  <c r="AH1201" s="17"/>
      <c r="AI1201" s="17"/>
      <c r="AJ1201" s="17"/>
      <c r="AK1201" s="17"/>
      <c r="AL1201" s="17"/>
      <c r="AM1201" s="17"/>
      <c r="AN1201" s="17"/>
      <c r="AO1201" s="17"/>
      <c r="AP1201" s="17"/>
      <c r="AQ1201" s="17"/>
      <c r="AR1201" s="17"/>
      <c r="AS1201" s="17"/>
      <c r="AT1201" s="17"/>
      <c r="AU1201" s="17"/>
      <c r="AV1201" s="17"/>
      <c r="AW1201" s="17"/>
      <c r="AX1201" s="17"/>
      <c r="AY1201" s="17"/>
      <c r="AZ1201" s="17"/>
      <c r="BA1201" s="17"/>
      <c r="BB1201" s="17"/>
      <c r="BC1201" s="17"/>
      <c r="BD1201" s="17"/>
      <c r="BE1201" s="17"/>
      <c r="BF1201" s="17"/>
      <c r="BG1201" s="17"/>
      <c r="BH1201" s="17"/>
      <c r="BI1201" s="17"/>
      <c r="BJ1201" s="17"/>
      <c r="BK1201" s="17"/>
      <c r="BL1201" s="17"/>
      <c r="BM1201" s="17"/>
      <c r="BN1201" s="17"/>
      <c r="BO1201" s="17"/>
      <c r="BP1201" s="17"/>
      <c r="BQ1201" s="17"/>
      <c r="BR1201" s="17"/>
      <c r="BS1201" s="17"/>
      <c r="BT1201" s="17"/>
      <c r="BU1201" s="17"/>
      <c r="BV1201" s="17"/>
      <c r="BW1201" s="17"/>
      <c r="BX1201" s="17"/>
    </row>
    <row r="1202" customHeight="1" spans="1:76">
      <c r="A1202" s="17"/>
      <c r="B1202" s="17"/>
      <c r="C1202" s="17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/>
      <c r="AF1202" s="17"/>
      <c r="AG1202" s="17"/>
      <c r="AH1202" s="17"/>
      <c r="AI1202" s="17"/>
      <c r="AJ1202" s="17"/>
      <c r="AK1202" s="17"/>
      <c r="AL1202" s="17"/>
      <c r="AM1202" s="17"/>
      <c r="AN1202" s="17"/>
      <c r="AO1202" s="17"/>
      <c r="AP1202" s="17"/>
      <c r="AQ1202" s="17"/>
      <c r="AR1202" s="17"/>
      <c r="AS1202" s="17"/>
      <c r="AT1202" s="17"/>
      <c r="AU1202" s="17"/>
      <c r="AV1202" s="17"/>
      <c r="AW1202" s="17"/>
      <c r="AX1202" s="17"/>
      <c r="AY1202" s="17"/>
      <c r="AZ1202" s="17"/>
      <c r="BA1202" s="17"/>
      <c r="BB1202" s="17"/>
      <c r="BC1202" s="17"/>
      <c r="BD1202" s="17"/>
      <c r="BE1202" s="17"/>
      <c r="BF1202" s="17"/>
      <c r="BG1202" s="17"/>
      <c r="BH1202" s="17"/>
      <c r="BI1202" s="17"/>
      <c r="BJ1202" s="17"/>
      <c r="BK1202" s="17"/>
      <c r="BL1202" s="17"/>
      <c r="BM1202" s="17"/>
      <c r="BN1202" s="17"/>
      <c r="BO1202" s="17"/>
      <c r="BP1202" s="17"/>
      <c r="BQ1202" s="17"/>
      <c r="BR1202" s="17"/>
      <c r="BS1202" s="17"/>
      <c r="BT1202" s="17"/>
      <c r="BU1202" s="17"/>
      <c r="BV1202" s="17"/>
      <c r="BW1202" s="17"/>
      <c r="BX1202" s="17"/>
    </row>
    <row r="1203" customHeight="1" spans="1:76">
      <c r="A1203" s="17"/>
      <c r="B1203" s="17"/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  <c r="AH1203" s="17"/>
      <c r="AI1203" s="17"/>
      <c r="AJ1203" s="17"/>
      <c r="AK1203" s="17"/>
      <c r="AL1203" s="17"/>
      <c r="AM1203" s="17"/>
      <c r="AN1203" s="17"/>
      <c r="AO1203" s="17"/>
      <c r="AP1203" s="17"/>
      <c r="AQ1203" s="17"/>
      <c r="AR1203" s="17"/>
      <c r="AS1203" s="17"/>
      <c r="AT1203" s="17"/>
      <c r="AU1203" s="17"/>
      <c r="AV1203" s="17"/>
      <c r="AW1203" s="17"/>
      <c r="AX1203" s="17"/>
      <c r="AY1203" s="17"/>
      <c r="AZ1203" s="17"/>
      <c r="BA1203" s="17"/>
      <c r="BB1203" s="17"/>
      <c r="BC1203" s="17"/>
      <c r="BD1203" s="17"/>
      <c r="BE1203" s="17"/>
      <c r="BF1203" s="17"/>
      <c r="BG1203" s="17"/>
      <c r="BH1203" s="17"/>
      <c r="BI1203" s="17"/>
      <c r="BJ1203" s="17"/>
      <c r="BK1203" s="17"/>
      <c r="BL1203" s="17"/>
      <c r="BM1203" s="17"/>
      <c r="BN1203" s="17"/>
      <c r="BO1203" s="17"/>
      <c r="BP1203" s="17"/>
      <c r="BQ1203" s="17"/>
      <c r="BR1203" s="17"/>
      <c r="BS1203" s="17"/>
      <c r="BT1203" s="17"/>
      <c r="BU1203" s="17"/>
      <c r="BV1203" s="17"/>
      <c r="BW1203" s="17"/>
      <c r="BX1203" s="17"/>
    </row>
    <row r="1204" customHeight="1" spans="1:76">
      <c r="A1204" s="17"/>
      <c r="B1204" s="17"/>
      <c r="C1204" s="17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s="17"/>
      <c r="AP1204" s="17"/>
      <c r="AQ1204" s="17"/>
      <c r="AR1204" s="17"/>
      <c r="AS1204" s="17"/>
      <c r="AT1204" s="17"/>
      <c r="AU1204" s="17"/>
      <c r="AV1204" s="17"/>
      <c r="AW1204" s="17"/>
      <c r="AX1204" s="17"/>
      <c r="AY1204" s="17"/>
      <c r="AZ1204" s="17"/>
      <c r="BA1204" s="17"/>
      <c r="BB1204" s="17"/>
      <c r="BC1204" s="17"/>
      <c r="BD1204" s="17"/>
      <c r="BE1204" s="17"/>
      <c r="BF1204" s="17"/>
      <c r="BG1204" s="17"/>
      <c r="BH1204" s="17"/>
      <c r="BI1204" s="17"/>
      <c r="BJ1204" s="17"/>
      <c r="BK1204" s="17"/>
      <c r="BL1204" s="17"/>
      <c r="BM1204" s="17"/>
      <c r="BN1204" s="17"/>
      <c r="BO1204" s="17"/>
      <c r="BP1204" s="17"/>
      <c r="BQ1204" s="17"/>
      <c r="BR1204" s="17"/>
      <c r="BS1204" s="17"/>
      <c r="BT1204" s="17"/>
      <c r="BU1204" s="17"/>
      <c r="BV1204" s="17"/>
      <c r="BW1204" s="17"/>
      <c r="BX1204" s="17"/>
    </row>
    <row r="1205" customHeight="1" spans="1:76">
      <c r="A1205" s="17"/>
      <c r="B1205" s="17"/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17"/>
      <c r="AP1205" s="17"/>
      <c r="AQ1205" s="17"/>
      <c r="AR1205" s="17"/>
      <c r="AS1205" s="17"/>
      <c r="AT1205" s="17"/>
      <c r="AU1205" s="17"/>
      <c r="AV1205" s="17"/>
      <c r="AW1205" s="17"/>
      <c r="AX1205" s="17"/>
      <c r="AY1205" s="17"/>
      <c r="AZ1205" s="17"/>
      <c r="BA1205" s="17"/>
      <c r="BB1205" s="17"/>
      <c r="BC1205" s="17"/>
      <c r="BD1205" s="17"/>
      <c r="BE1205" s="17"/>
      <c r="BF1205" s="17"/>
      <c r="BG1205" s="17"/>
      <c r="BH1205" s="17"/>
      <c r="BI1205" s="17"/>
      <c r="BJ1205" s="17"/>
      <c r="BK1205" s="17"/>
      <c r="BL1205" s="17"/>
      <c r="BM1205" s="17"/>
      <c r="BN1205" s="17"/>
      <c r="BO1205" s="17"/>
      <c r="BP1205" s="17"/>
      <c r="BQ1205" s="17"/>
      <c r="BR1205" s="17"/>
      <c r="BS1205" s="17"/>
      <c r="BT1205" s="17"/>
      <c r="BU1205" s="17"/>
      <c r="BV1205" s="17"/>
      <c r="BW1205" s="17"/>
      <c r="BX1205" s="17"/>
    </row>
    <row r="1206" customHeight="1" spans="1:76">
      <c r="A1206" s="17"/>
      <c r="B1206" s="17"/>
      <c r="C1206" s="17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s="17"/>
      <c r="AP1206" s="17"/>
      <c r="AQ1206" s="17"/>
      <c r="AR1206" s="17"/>
      <c r="AS1206" s="17"/>
      <c r="AT1206" s="17"/>
      <c r="AU1206" s="17"/>
      <c r="AV1206" s="17"/>
      <c r="AW1206" s="17"/>
      <c r="AX1206" s="17"/>
      <c r="AY1206" s="17"/>
      <c r="AZ1206" s="17"/>
      <c r="BA1206" s="17"/>
      <c r="BB1206" s="17"/>
      <c r="BC1206" s="17"/>
      <c r="BD1206" s="17"/>
      <c r="BE1206" s="17"/>
      <c r="BF1206" s="17"/>
      <c r="BG1206" s="17"/>
      <c r="BH1206" s="17"/>
      <c r="BI1206" s="17"/>
      <c r="BJ1206" s="17"/>
      <c r="BK1206" s="17"/>
      <c r="BL1206" s="17"/>
      <c r="BM1206" s="17"/>
      <c r="BN1206" s="17"/>
      <c r="BO1206" s="17"/>
      <c r="BP1206" s="17"/>
      <c r="BQ1206" s="17"/>
      <c r="BR1206" s="17"/>
      <c r="BS1206" s="17"/>
      <c r="BT1206" s="17"/>
      <c r="BU1206" s="17"/>
      <c r="BV1206" s="17"/>
      <c r="BW1206" s="17"/>
      <c r="BX1206" s="17"/>
    </row>
    <row r="1207" customHeight="1" spans="1:76">
      <c r="A1207" s="17"/>
      <c r="B1207" s="17"/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s="17"/>
      <c r="AP1207" s="17"/>
      <c r="AQ1207" s="17"/>
      <c r="AR1207" s="17"/>
      <c r="AS1207" s="17"/>
      <c r="AT1207" s="17"/>
      <c r="AU1207" s="17"/>
      <c r="AV1207" s="17"/>
      <c r="AW1207" s="17"/>
      <c r="AX1207" s="17"/>
      <c r="AY1207" s="17"/>
      <c r="AZ1207" s="17"/>
      <c r="BA1207" s="17"/>
      <c r="BB1207" s="17"/>
      <c r="BC1207" s="17"/>
      <c r="BD1207" s="17"/>
      <c r="BE1207" s="17"/>
      <c r="BF1207" s="17"/>
      <c r="BG1207" s="17"/>
      <c r="BH1207" s="17"/>
      <c r="BI1207" s="17"/>
      <c r="BJ1207" s="17"/>
      <c r="BK1207" s="17"/>
      <c r="BL1207" s="17"/>
      <c r="BM1207" s="17"/>
      <c r="BN1207" s="17"/>
      <c r="BO1207" s="17"/>
      <c r="BP1207" s="17"/>
      <c r="BQ1207" s="17"/>
      <c r="BR1207" s="17"/>
      <c r="BS1207" s="17"/>
      <c r="BT1207" s="17"/>
      <c r="BU1207" s="17"/>
      <c r="BV1207" s="17"/>
      <c r="BW1207" s="17"/>
      <c r="BX1207" s="17"/>
    </row>
    <row r="1208" customHeight="1" spans="1:76">
      <c r="A1208" s="17"/>
      <c r="B1208" s="17"/>
      <c r="C1208" s="17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17"/>
      <c r="AP1208" s="17"/>
      <c r="AQ1208" s="17"/>
      <c r="AR1208" s="17"/>
      <c r="AS1208" s="17"/>
      <c r="AT1208" s="17"/>
      <c r="AU1208" s="17"/>
      <c r="AV1208" s="17"/>
      <c r="AW1208" s="17"/>
      <c r="AX1208" s="17"/>
      <c r="AY1208" s="17"/>
      <c r="AZ1208" s="17"/>
      <c r="BA1208" s="17"/>
      <c r="BB1208" s="17"/>
      <c r="BC1208" s="17"/>
      <c r="BD1208" s="17"/>
      <c r="BE1208" s="17"/>
      <c r="BF1208" s="17"/>
      <c r="BG1208" s="17"/>
      <c r="BH1208" s="17"/>
      <c r="BI1208" s="17"/>
      <c r="BJ1208" s="17"/>
      <c r="BK1208" s="17"/>
      <c r="BL1208" s="17"/>
      <c r="BM1208" s="17"/>
      <c r="BN1208" s="17"/>
      <c r="BO1208" s="17"/>
      <c r="BP1208" s="17"/>
      <c r="BQ1208" s="17"/>
      <c r="BR1208" s="17"/>
      <c r="BS1208" s="17"/>
      <c r="BT1208" s="17"/>
      <c r="BU1208" s="17"/>
      <c r="BV1208" s="17"/>
      <c r="BW1208" s="17"/>
      <c r="BX1208" s="17"/>
    </row>
    <row r="1209" customHeight="1" spans="1:76">
      <c r="A1209" s="17"/>
      <c r="B1209" s="17"/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17"/>
      <c r="AF1209" s="17"/>
      <c r="AG1209" s="17"/>
      <c r="AH1209" s="17"/>
      <c r="AI1209" s="17"/>
      <c r="AJ1209" s="17"/>
      <c r="AK1209" s="17"/>
      <c r="AL1209" s="17"/>
      <c r="AM1209" s="17"/>
      <c r="AN1209" s="17"/>
      <c r="AO1209" s="17"/>
      <c r="AP1209" s="17"/>
      <c r="AQ1209" s="17"/>
      <c r="AR1209" s="17"/>
      <c r="AS1209" s="17"/>
      <c r="AT1209" s="17"/>
      <c r="AU1209" s="17"/>
      <c r="AV1209" s="17"/>
      <c r="AW1209" s="17"/>
      <c r="AX1209" s="17"/>
      <c r="AY1209" s="17"/>
      <c r="AZ1209" s="17"/>
      <c r="BA1209" s="17"/>
      <c r="BB1209" s="17"/>
      <c r="BC1209" s="17"/>
      <c r="BD1209" s="17"/>
      <c r="BE1209" s="17"/>
      <c r="BF1209" s="17"/>
      <c r="BG1209" s="17"/>
      <c r="BH1209" s="17"/>
      <c r="BI1209" s="17"/>
      <c r="BJ1209" s="17"/>
      <c r="BK1209" s="17"/>
      <c r="BL1209" s="17"/>
      <c r="BM1209" s="17"/>
      <c r="BN1209" s="17"/>
      <c r="BO1209" s="17"/>
      <c r="BP1209" s="17"/>
      <c r="BQ1209" s="17"/>
      <c r="BR1209" s="17"/>
      <c r="BS1209" s="17"/>
      <c r="BT1209" s="17"/>
      <c r="BU1209" s="17"/>
      <c r="BV1209" s="17"/>
      <c r="BW1209" s="17"/>
      <c r="BX1209" s="17"/>
    </row>
    <row r="1210" customHeight="1" spans="1:76">
      <c r="A1210" s="17"/>
      <c r="B1210" s="17"/>
      <c r="C1210" s="17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  <c r="AH1210" s="17"/>
      <c r="AI1210" s="17"/>
      <c r="AJ1210" s="17"/>
      <c r="AK1210" s="17"/>
      <c r="AL1210" s="17"/>
      <c r="AM1210" s="17"/>
      <c r="AN1210" s="17"/>
      <c r="AO1210" s="17"/>
      <c r="AP1210" s="17"/>
      <c r="AQ1210" s="17"/>
      <c r="AR1210" s="17"/>
      <c r="AS1210" s="17"/>
      <c r="AT1210" s="17"/>
      <c r="AU1210" s="17"/>
      <c r="AV1210" s="17"/>
      <c r="AW1210" s="17"/>
      <c r="AX1210" s="17"/>
      <c r="AY1210" s="17"/>
      <c r="AZ1210" s="17"/>
      <c r="BA1210" s="17"/>
      <c r="BB1210" s="17"/>
      <c r="BC1210" s="17"/>
      <c r="BD1210" s="17"/>
      <c r="BE1210" s="17"/>
      <c r="BF1210" s="17"/>
      <c r="BG1210" s="17"/>
      <c r="BH1210" s="17"/>
      <c r="BI1210" s="17"/>
      <c r="BJ1210" s="17"/>
      <c r="BK1210" s="17"/>
      <c r="BL1210" s="17"/>
      <c r="BM1210" s="17"/>
      <c r="BN1210" s="17"/>
      <c r="BO1210" s="17"/>
      <c r="BP1210" s="17"/>
      <c r="BQ1210" s="17"/>
      <c r="BR1210" s="17"/>
      <c r="BS1210" s="17"/>
      <c r="BT1210" s="17"/>
      <c r="BU1210" s="17"/>
      <c r="BV1210" s="17"/>
      <c r="BW1210" s="17"/>
      <c r="BX1210" s="17"/>
    </row>
    <row r="1211" customHeight="1" spans="1:76">
      <c r="A1211" s="17"/>
      <c r="B1211" s="17"/>
      <c r="C1211" s="17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  <c r="AH1211" s="17"/>
      <c r="AI1211" s="17"/>
      <c r="AJ1211" s="17"/>
      <c r="AK1211" s="17"/>
      <c r="AL1211" s="17"/>
      <c r="AM1211" s="17"/>
      <c r="AN1211" s="17"/>
      <c r="AO1211" s="17"/>
      <c r="AP1211" s="17"/>
      <c r="AQ1211" s="17"/>
      <c r="AR1211" s="17"/>
      <c r="AS1211" s="17"/>
      <c r="AT1211" s="17"/>
      <c r="AU1211" s="17"/>
      <c r="AV1211" s="17"/>
      <c r="AW1211" s="17"/>
      <c r="AX1211" s="17"/>
      <c r="AY1211" s="17"/>
      <c r="AZ1211" s="17"/>
      <c r="BA1211" s="17"/>
      <c r="BB1211" s="17"/>
      <c r="BC1211" s="17"/>
      <c r="BD1211" s="17"/>
      <c r="BE1211" s="17"/>
      <c r="BF1211" s="17"/>
      <c r="BG1211" s="17"/>
      <c r="BH1211" s="17"/>
      <c r="BI1211" s="17"/>
      <c r="BJ1211" s="17"/>
      <c r="BK1211" s="17"/>
      <c r="BL1211" s="17"/>
      <c r="BM1211" s="17"/>
      <c r="BN1211" s="17"/>
      <c r="BO1211" s="17"/>
      <c r="BP1211" s="17"/>
      <c r="BQ1211" s="17"/>
      <c r="BR1211" s="17"/>
      <c r="BS1211" s="17"/>
      <c r="BT1211" s="17"/>
      <c r="BU1211" s="17"/>
      <c r="BV1211" s="17"/>
      <c r="BW1211" s="17"/>
      <c r="BX1211" s="17"/>
    </row>
    <row r="1212" customHeight="1" spans="1:76">
      <c r="A1212" s="17"/>
      <c r="B1212" s="17"/>
      <c r="C1212" s="17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7"/>
      <c r="AL1212" s="17"/>
      <c r="AM1212" s="17"/>
      <c r="AN1212" s="17"/>
      <c r="AO1212" s="17"/>
      <c r="AP1212" s="17"/>
      <c r="AQ1212" s="17"/>
      <c r="AR1212" s="17"/>
      <c r="AS1212" s="17"/>
      <c r="AT1212" s="17"/>
      <c r="AU1212" s="17"/>
      <c r="AV1212" s="17"/>
      <c r="AW1212" s="17"/>
      <c r="AX1212" s="17"/>
      <c r="AY1212" s="17"/>
      <c r="AZ1212" s="17"/>
      <c r="BA1212" s="17"/>
      <c r="BB1212" s="17"/>
      <c r="BC1212" s="17"/>
      <c r="BD1212" s="17"/>
      <c r="BE1212" s="17"/>
      <c r="BF1212" s="17"/>
      <c r="BG1212" s="17"/>
      <c r="BH1212" s="17"/>
      <c r="BI1212" s="17"/>
      <c r="BJ1212" s="17"/>
      <c r="BK1212" s="17"/>
      <c r="BL1212" s="17"/>
      <c r="BM1212" s="17"/>
      <c r="BN1212" s="17"/>
      <c r="BO1212" s="17"/>
      <c r="BP1212" s="17"/>
      <c r="BQ1212" s="17"/>
      <c r="BR1212" s="17"/>
      <c r="BS1212" s="17"/>
      <c r="BT1212" s="17"/>
      <c r="BU1212" s="17"/>
      <c r="BV1212" s="17"/>
      <c r="BW1212" s="17"/>
      <c r="BX1212" s="17"/>
    </row>
    <row r="1213" customHeight="1" spans="1:76">
      <c r="A1213" s="17"/>
      <c r="B1213" s="17"/>
      <c r="C1213" s="17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  <c r="AH1213" s="17"/>
      <c r="AI1213" s="17"/>
      <c r="AJ1213" s="17"/>
      <c r="AK1213" s="17"/>
      <c r="AL1213" s="17"/>
      <c r="AM1213" s="17"/>
      <c r="AN1213" s="17"/>
      <c r="AO1213" s="17"/>
      <c r="AP1213" s="17"/>
      <c r="AQ1213" s="17"/>
      <c r="AR1213" s="17"/>
      <c r="AS1213" s="17"/>
      <c r="AT1213" s="17"/>
      <c r="AU1213" s="17"/>
      <c r="AV1213" s="17"/>
      <c r="AW1213" s="17"/>
      <c r="AX1213" s="17"/>
      <c r="AY1213" s="17"/>
      <c r="AZ1213" s="17"/>
      <c r="BA1213" s="17"/>
      <c r="BB1213" s="17"/>
      <c r="BC1213" s="17"/>
      <c r="BD1213" s="17"/>
      <c r="BE1213" s="17"/>
      <c r="BF1213" s="17"/>
      <c r="BG1213" s="17"/>
      <c r="BH1213" s="17"/>
      <c r="BI1213" s="17"/>
      <c r="BJ1213" s="17"/>
      <c r="BK1213" s="17"/>
      <c r="BL1213" s="17"/>
      <c r="BM1213" s="17"/>
      <c r="BN1213" s="17"/>
      <c r="BO1213" s="17"/>
      <c r="BP1213" s="17"/>
      <c r="BQ1213" s="17"/>
      <c r="BR1213" s="17"/>
      <c r="BS1213" s="17"/>
      <c r="BT1213" s="17"/>
      <c r="BU1213" s="17"/>
      <c r="BV1213" s="17"/>
      <c r="BW1213" s="17"/>
      <c r="BX1213" s="17"/>
    </row>
    <row r="1214" customHeight="1" spans="1:76">
      <c r="A1214" s="17"/>
      <c r="B1214" s="17"/>
      <c r="C1214" s="17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17"/>
      <c r="AJ1214" s="17"/>
      <c r="AK1214" s="17"/>
      <c r="AL1214" s="17"/>
      <c r="AM1214" s="17"/>
      <c r="AN1214" s="17"/>
      <c r="AO1214" s="17"/>
      <c r="AP1214" s="17"/>
      <c r="AQ1214" s="17"/>
      <c r="AR1214" s="17"/>
      <c r="AS1214" s="17"/>
      <c r="AT1214" s="17"/>
      <c r="AU1214" s="17"/>
      <c r="AV1214" s="17"/>
      <c r="AW1214" s="17"/>
      <c r="AX1214" s="17"/>
      <c r="AY1214" s="17"/>
      <c r="AZ1214" s="17"/>
      <c r="BA1214" s="17"/>
      <c r="BB1214" s="17"/>
      <c r="BC1214" s="17"/>
      <c r="BD1214" s="17"/>
      <c r="BE1214" s="17"/>
      <c r="BF1214" s="17"/>
      <c r="BG1214" s="17"/>
      <c r="BH1214" s="17"/>
      <c r="BI1214" s="17"/>
      <c r="BJ1214" s="17"/>
      <c r="BK1214" s="17"/>
      <c r="BL1214" s="17"/>
      <c r="BM1214" s="17"/>
      <c r="BN1214" s="17"/>
      <c r="BO1214" s="17"/>
      <c r="BP1214" s="17"/>
      <c r="BQ1214" s="17"/>
      <c r="BR1214" s="17"/>
      <c r="BS1214" s="17"/>
      <c r="BT1214" s="17"/>
      <c r="BU1214" s="17"/>
      <c r="BV1214" s="17"/>
      <c r="BW1214" s="17"/>
      <c r="BX1214" s="17"/>
    </row>
    <row r="1215" customHeight="1" spans="1:76">
      <c r="A1215" s="17"/>
      <c r="B1215" s="17"/>
      <c r="C1215" s="17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7"/>
      <c r="AM1215" s="17"/>
      <c r="AN1215" s="17"/>
      <c r="AO1215" s="17"/>
      <c r="AP1215" s="17"/>
      <c r="AQ1215" s="17"/>
      <c r="AR1215" s="17"/>
      <c r="AS1215" s="17"/>
      <c r="AT1215" s="17"/>
      <c r="AU1215" s="17"/>
      <c r="AV1215" s="17"/>
      <c r="AW1215" s="17"/>
      <c r="AX1215" s="17"/>
      <c r="AY1215" s="17"/>
      <c r="AZ1215" s="17"/>
      <c r="BA1215" s="17"/>
      <c r="BB1215" s="17"/>
      <c r="BC1215" s="17"/>
      <c r="BD1215" s="17"/>
      <c r="BE1215" s="17"/>
      <c r="BF1215" s="17"/>
      <c r="BG1215" s="17"/>
      <c r="BH1215" s="17"/>
      <c r="BI1215" s="17"/>
      <c r="BJ1215" s="17"/>
      <c r="BK1215" s="17"/>
      <c r="BL1215" s="17"/>
      <c r="BM1215" s="17"/>
      <c r="BN1215" s="17"/>
      <c r="BO1215" s="17"/>
      <c r="BP1215" s="17"/>
      <c r="BQ1215" s="17"/>
      <c r="BR1215" s="17"/>
      <c r="BS1215" s="17"/>
      <c r="BT1215" s="17"/>
      <c r="BU1215" s="17"/>
      <c r="BV1215" s="17"/>
      <c r="BW1215" s="17"/>
      <c r="BX1215" s="17"/>
    </row>
    <row r="1216" customHeight="1" spans="1:76">
      <c r="A1216" s="17"/>
      <c r="B1216" s="17"/>
      <c r="C1216" s="17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17"/>
      <c r="AF1216" s="17"/>
      <c r="AG1216" s="17"/>
      <c r="AH1216" s="17"/>
      <c r="AI1216" s="17"/>
      <c r="AJ1216" s="17"/>
      <c r="AK1216" s="17"/>
      <c r="AL1216" s="17"/>
      <c r="AM1216" s="17"/>
      <c r="AN1216" s="17"/>
      <c r="AO1216" s="17"/>
      <c r="AP1216" s="17"/>
      <c r="AQ1216" s="17"/>
      <c r="AR1216" s="17"/>
      <c r="AS1216" s="17"/>
      <c r="AT1216" s="17"/>
      <c r="AU1216" s="17"/>
      <c r="AV1216" s="17"/>
      <c r="AW1216" s="17"/>
      <c r="AX1216" s="17"/>
      <c r="AY1216" s="17"/>
      <c r="AZ1216" s="17"/>
      <c r="BA1216" s="17"/>
      <c r="BB1216" s="17"/>
      <c r="BC1216" s="17"/>
      <c r="BD1216" s="17"/>
      <c r="BE1216" s="17"/>
      <c r="BF1216" s="17"/>
      <c r="BG1216" s="17"/>
      <c r="BH1216" s="17"/>
      <c r="BI1216" s="17"/>
      <c r="BJ1216" s="17"/>
      <c r="BK1216" s="17"/>
      <c r="BL1216" s="17"/>
      <c r="BM1216" s="17"/>
      <c r="BN1216" s="17"/>
      <c r="BO1216" s="17"/>
      <c r="BP1216" s="17"/>
      <c r="BQ1216" s="17"/>
      <c r="BR1216" s="17"/>
      <c r="BS1216" s="17"/>
      <c r="BT1216" s="17"/>
      <c r="BU1216" s="17"/>
      <c r="BV1216" s="17"/>
      <c r="BW1216" s="17"/>
      <c r="BX1216" s="17"/>
    </row>
    <row r="1217" customHeight="1" spans="1:76">
      <c r="A1217" s="17"/>
      <c r="B1217" s="17"/>
      <c r="C1217" s="17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17"/>
      <c r="AF1217" s="17"/>
      <c r="AG1217" s="17"/>
      <c r="AH1217" s="17"/>
      <c r="AI1217" s="17"/>
      <c r="AJ1217" s="17"/>
      <c r="AK1217" s="17"/>
      <c r="AL1217" s="17"/>
      <c r="AM1217" s="17"/>
      <c r="AN1217" s="17"/>
      <c r="AO1217" s="17"/>
      <c r="AP1217" s="17"/>
      <c r="AQ1217" s="17"/>
      <c r="AR1217" s="17"/>
      <c r="AS1217" s="17"/>
      <c r="AT1217" s="17"/>
      <c r="AU1217" s="17"/>
      <c r="AV1217" s="17"/>
      <c r="AW1217" s="17"/>
      <c r="AX1217" s="17"/>
      <c r="AY1217" s="17"/>
      <c r="AZ1217" s="17"/>
      <c r="BA1217" s="17"/>
      <c r="BB1217" s="17"/>
      <c r="BC1217" s="17"/>
      <c r="BD1217" s="17"/>
      <c r="BE1217" s="17"/>
      <c r="BF1217" s="17"/>
      <c r="BG1217" s="17"/>
      <c r="BH1217" s="17"/>
      <c r="BI1217" s="17"/>
      <c r="BJ1217" s="17"/>
      <c r="BK1217" s="17"/>
      <c r="BL1217" s="17"/>
      <c r="BM1217" s="17"/>
      <c r="BN1217" s="17"/>
      <c r="BO1217" s="17"/>
      <c r="BP1217" s="17"/>
      <c r="BQ1217" s="17"/>
      <c r="BR1217" s="17"/>
      <c r="BS1217" s="17"/>
      <c r="BT1217" s="17"/>
      <c r="BU1217" s="17"/>
      <c r="BV1217" s="17"/>
      <c r="BW1217" s="17"/>
      <c r="BX1217" s="17"/>
    </row>
    <row r="1218" customHeight="1" spans="1:76">
      <c r="A1218" s="17"/>
      <c r="B1218" s="17"/>
      <c r="C1218" s="17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17"/>
      <c r="AF1218" s="17"/>
      <c r="AG1218" s="17"/>
      <c r="AH1218" s="17"/>
      <c r="AI1218" s="17"/>
      <c r="AJ1218" s="17"/>
      <c r="AK1218" s="17"/>
      <c r="AL1218" s="17"/>
      <c r="AM1218" s="17"/>
      <c r="AN1218" s="17"/>
      <c r="AO1218" s="17"/>
      <c r="AP1218" s="17"/>
      <c r="AQ1218" s="17"/>
      <c r="AR1218" s="17"/>
      <c r="AS1218" s="17"/>
      <c r="AT1218" s="17"/>
      <c r="AU1218" s="17"/>
      <c r="AV1218" s="17"/>
      <c r="AW1218" s="17"/>
      <c r="AX1218" s="17"/>
      <c r="AY1218" s="17"/>
      <c r="AZ1218" s="17"/>
      <c r="BA1218" s="17"/>
      <c r="BB1218" s="17"/>
      <c r="BC1218" s="17"/>
      <c r="BD1218" s="17"/>
      <c r="BE1218" s="17"/>
      <c r="BF1218" s="17"/>
      <c r="BG1218" s="17"/>
      <c r="BH1218" s="17"/>
      <c r="BI1218" s="17"/>
      <c r="BJ1218" s="17"/>
      <c r="BK1218" s="17"/>
      <c r="BL1218" s="17"/>
      <c r="BM1218" s="17"/>
      <c r="BN1218" s="17"/>
      <c r="BO1218" s="17"/>
      <c r="BP1218" s="17"/>
      <c r="BQ1218" s="17"/>
      <c r="BR1218" s="17"/>
      <c r="BS1218" s="17"/>
      <c r="BT1218" s="17"/>
      <c r="BU1218" s="17"/>
      <c r="BV1218" s="17"/>
      <c r="BW1218" s="17"/>
      <c r="BX1218" s="17"/>
    </row>
    <row r="1219" customHeight="1" spans="1:76">
      <c r="A1219" s="17"/>
      <c r="B1219" s="17"/>
      <c r="C1219" s="17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17"/>
      <c r="AF1219" s="17"/>
      <c r="AG1219" s="17"/>
      <c r="AH1219" s="17"/>
      <c r="AI1219" s="17"/>
      <c r="AJ1219" s="17"/>
      <c r="AK1219" s="17"/>
      <c r="AL1219" s="17"/>
      <c r="AM1219" s="17"/>
      <c r="AN1219" s="17"/>
      <c r="AO1219" s="17"/>
      <c r="AP1219" s="17"/>
      <c r="AQ1219" s="17"/>
      <c r="AR1219" s="17"/>
      <c r="AS1219" s="17"/>
      <c r="AT1219" s="17"/>
      <c r="AU1219" s="17"/>
      <c r="AV1219" s="17"/>
      <c r="AW1219" s="17"/>
      <c r="AX1219" s="17"/>
      <c r="AY1219" s="17"/>
      <c r="AZ1219" s="17"/>
      <c r="BA1219" s="17"/>
      <c r="BB1219" s="17"/>
      <c r="BC1219" s="17"/>
      <c r="BD1219" s="17"/>
      <c r="BE1219" s="17"/>
      <c r="BF1219" s="17"/>
      <c r="BG1219" s="17"/>
      <c r="BH1219" s="17"/>
      <c r="BI1219" s="17"/>
      <c r="BJ1219" s="17"/>
      <c r="BK1219" s="17"/>
      <c r="BL1219" s="17"/>
      <c r="BM1219" s="17"/>
      <c r="BN1219" s="17"/>
      <c r="BO1219" s="17"/>
      <c r="BP1219" s="17"/>
      <c r="BQ1219" s="17"/>
      <c r="BR1219" s="17"/>
      <c r="BS1219" s="17"/>
      <c r="BT1219" s="17"/>
      <c r="BU1219" s="17"/>
      <c r="BV1219" s="17"/>
      <c r="BW1219" s="17"/>
      <c r="BX1219" s="17"/>
    </row>
    <row r="1220" customHeight="1" spans="1:76">
      <c r="A1220" s="17"/>
      <c r="B1220" s="17"/>
      <c r="C1220" s="17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  <c r="AH1220" s="17"/>
      <c r="AI1220" s="17"/>
      <c r="AJ1220" s="17"/>
      <c r="AK1220" s="17"/>
      <c r="AL1220" s="17"/>
      <c r="AM1220" s="17"/>
      <c r="AN1220" s="17"/>
      <c r="AO1220" s="17"/>
      <c r="AP1220" s="17"/>
      <c r="AQ1220" s="17"/>
      <c r="AR1220" s="17"/>
      <c r="AS1220" s="17"/>
      <c r="AT1220" s="17"/>
      <c r="AU1220" s="17"/>
      <c r="AV1220" s="17"/>
      <c r="AW1220" s="17"/>
      <c r="AX1220" s="17"/>
      <c r="AY1220" s="17"/>
      <c r="AZ1220" s="17"/>
      <c r="BA1220" s="17"/>
      <c r="BB1220" s="17"/>
      <c r="BC1220" s="17"/>
      <c r="BD1220" s="17"/>
      <c r="BE1220" s="17"/>
      <c r="BF1220" s="17"/>
      <c r="BG1220" s="17"/>
      <c r="BH1220" s="17"/>
      <c r="BI1220" s="17"/>
      <c r="BJ1220" s="17"/>
      <c r="BK1220" s="17"/>
      <c r="BL1220" s="17"/>
      <c r="BM1220" s="17"/>
      <c r="BN1220" s="17"/>
      <c r="BO1220" s="17"/>
      <c r="BP1220" s="17"/>
      <c r="BQ1220" s="17"/>
      <c r="BR1220" s="17"/>
      <c r="BS1220" s="17"/>
      <c r="BT1220" s="17"/>
      <c r="BU1220" s="17"/>
      <c r="BV1220" s="17"/>
      <c r="BW1220" s="17"/>
      <c r="BX1220" s="17"/>
    </row>
    <row r="1221" customHeight="1" spans="1:76">
      <c r="A1221" s="17"/>
      <c r="B1221" s="17"/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17"/>
      <c r="AF1221" s="17"/>
      <c r="AG1221" s="17"/>
      <c r="AH1221" s="17"/>
      <c r="AI1221" s="17"/>
      <c r="AJ1221" s="17"/>
      <c r="AK1221" s="17"/>
      <c r="AL1221" s="17"/>
      <c r="AM1221" s="17"/>
      <c r="AN1221" s="17"/>
      <c r="AO1221" s="17"/>
      <c r="AP1221" s="17"/>
      <c r="AQ1221" s="17"/>
      <c r="AR1221" s="17"/>
      <c r="AS1221" s="17"/>
      <c r="AT1221" s="17"/>
      <c r="AU1221" s="17"/>
      <c r="AV1221" s="17"/>
      <c r="AW1221" s="17"/>
      <c r="AX1221" s="17"/>
      <c r="AY1221" s="17"/>
      <c r="AZ1221" s="17"/>
      <c r="BA1221" s="17"/>
      <c r="BB1221" s="17"/>
      <c r="BC1221" s="17"/>
      <c r="BD1221" s="17"/>
      <c r="BE1221" s="17"/>
      <c r="BF1221" s="17"/>
      <c r="BG1221" s="17"/>
      <c r="BH1221" s="17"/>
      <c r="BI1221" s="17"/>
      <c r="BJ1221" s="17"/>
      <c r="BK1221" s="17"/>
      <c r="BL1221" s="17"/>
      <c r="BM1221" s="17"/>
      <c r="BN1221" s="17"/>
      <c r="BO1221" s="17"/>
      <c r="BP1221" s="17"/>
      <c r="BQ1221" s="17"/>
      <c r="BR1221" s="17"/>
      <c r="BS1221" s="17"/>
      <c r="BT1221" s="17"/>
      <c r="BU1221" s="17"/>
      <c r="BV1221" s="17"/>
      <c r="BW1221" s="17"/>
      <c r="BX1221" s="17"/>
    </row>
    <row r="1222" customHeight="1" spans="1:76">
      <c r="A1222" s="17"/>
      <c r="B1222" s="17"/>
      <c r="C1222" s="17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7"/>
      <c r="AM1222" s="17"/>
      <c r="AN1222" s="17"/>
      <c r="AO1222" s="17"/>
      <c r="AP1222" s="17"/>
      <c r="AQ1222" s="17"/>
      <c r="AR1222" s="17"/>
      <c r="AS1222" s="17"/>
      <c r="AT1222" s="17"/>
      <c r="AU1222" s="17"/>
      <c r="AV1222" s="17"/>
      <c r="AW1222" s="17"/>
      <c r="AX1222" s="17"/>
      <c r="AY1222" s="17"/>
      <c r="AZ1222" s="17"/>
      <c r="BA1222" s="17"/>
      <c r="BB1222" s="17"/>
      <c r="BC1222" s="17"/>
      <c r="BD1222" s="17"/>
      <c r="BE1222" s="17"/>
      <c r="BF1222" s="17"/>
      <c r="BG1222" s="17"/>
      <c r="BH1222" s="17"/>
      <c r="BI1222" s="17"/>
      <c r="BJ1222" s="17"/>
      <c r="BK1222" s="17"/>
      <c r="BL1222" s="17"/>
      <c r="BM1222" s="17"/>
      <c r="BN1222" s="17"/>
      <c r="BO1222" s="17"/>
      <c r="BP1222" s="17"/>
      <c r="BQ1222" s="17"/>
      <c r="BR1222" s="17"/>
      <c r="BS1222" s="17"/>
      <c r="BT1222" s="17"/>
      <c r="BU1222" s="17"/>
      <c r="BV1222" s="17"/>
      <c r="BW1222" s="17"/>
      <c r="BX1222" s="17"/>
    </row>
    <row r="1223" customHeight="1" spans="1:76">
      <c r="A1223" s="17"/>
      <c r="B1223" s="17"/>
      <c r="C1223" s="17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7"/>
      <c r="AM1223" s="17"/>
      <c r="AN1223" s="17"/>
      <c r="AO1223" s="17"/>
      <c r="AP1223" s="17"/>
      <c r="AQ1223" s="17"/>
      <c r="AR1223" s="17"/>
      <c r="AS1223" s="17"/>
      <c r="AT1223" s="17"/>
      <c r="AU1223" s="17"/>
      <c r="AV1223" s="17"/>
      <c r="AW1223" s="17"/>
      <c r="AX1223" s="17"/>
      <c r="AY1223" s="17"/>
      <c r="AZ1223" s="17"/>
      <c r="BA1223" s="17"/>
      <c r="BB1223" s="17"/>
      <c r="BC1223" s="17"/>
      <c r="BD1223" s="17"/>
      <c r="BE1223" s="17"/>
      <c r="BF1223" s="17"/>
      <c r="BG1223" s="17"/>
      <c r="BH1223" s="17"/>
      <c r="BI1223" s="17"/>
      <c r="BJ1223" s="17"/>
      <c r="BK1223" s="17"/>
      <c r="BL1223" s="17"/>
      <c r="BM1223" s="17"/>
      <c r="BN1223" s="17"/>
      <c r="BO1223" s="17"/>
      <c r="BP1223" s="17"/>
      <c r="BQ1223" s="17"/>
      <c r="BR1223" s="17"/>
      <c r="BS1223" s="17"/>
      <c r="BT1223" s="17"/>
      <c r="BU1223" s="17"/>
      <c r="BV1223" s="17"/>
      <c r="BW1223" s="17"/>
      <c r="BX1223" s="17"/>
    </row>
    <row r="1224" customHeight="1" spans="1:76">
      <c r="A1224" s="17"/>
      <c r="B1224" s="17"/>
      <c r="C1224" s="17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  <c r="AH1224" s="17"/>
      <c r="AI1224" s="17"/>
      <c r="AJ1224" s="17"/>
      <c r="AK1224" s="17"/>
      <c r="AL1224" s="17"/>
      <c r="AM1224" s="17"/>
      <c r="AN1224" s="17"/>
      <c r="AO1224" s="17"/>
      <c r="AP1224" s="17"/>
      <c r="AQ1224" s="17"/>
      <c r="AR1224" s="17"/>
      <c r="AS1224" s="17"/>
      <c r="AT1224" s="17"/>
      <c r="AU1224" s="17"/>
      <c r="AV1224" s="17"/>
      <c r="AW1224" s="17"/>
      <c r="AX1224" s="17"/>
      <c r="AY1224" s="17"/>
      <c r="AZ1224" s="17"/>
      <c r="BA1224" s="17"/>
      <c r="BB1224" s="17"/>
      <c r="BC1224" s="17"/>
      <c r="BD1224" s="17"/>
      <c r="BE1224" s="17"/>
      <c r="BF1224" s="17"/>
      <c r="BG1224" s="17"/>
      <c r="BH1224" s="17"/>
      <c r="BI1224" s="17"/>
      <c r="BJ1224" s="17"/>
      <c r="BK1224" s="17"/>
      <c r="BL1224" s="17"/>
      <c r="BM1224" s="17"/>
      <c r="BN1224" s="17"/>
      <c r="BO1224" s="17"/>
      <c r="BP1224" s="17"/>
      <c r="BQ1224" s="17"/>
      <c r="BR1224" s="17"/>
      <c r="BS1224" s="17"/>
      <c r="BT1224" s="17"/>
      <c r="BU1224" s="17"/>
      <c r="BV1224" s="17"/>
      <c r="BW1224" s="17"/>
      <c r="BX1224" s="17"/>
    </row>
    <row r="1225" customHeight="1" spans="1:76">
      <c r="A1225" s="17"/>
      <c r="B1225" s="17"/>
      <c r="C1225" s="17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  <c r="AH1225" s="17"/>
      <c r="AI1225" s="17"/>
      <c r="AJ1225" s="17"/>
      <c r="AK1225" s="17"/>
      <c r="AL1225" s="17"/>
      <c r="AM1225" s="17"/>
      <c r="AN1225" s="17"/>
      <c r="AO1225" s="17"/>
      <c r="AP1225" s="17"/>
      <c r="AQ1225" s="17"/>
      <c r="AR1225" s="17"/>
      <c r="AS1225" s="17"/>
      <c r="AT1225" s="17"/>
      <c r="AU1225" s="17"/>
      <c r="AV1225" s="17"/>
      <c r="AW1225" s="17"/>
      <c r="AX1225" s="17"/>
      <c r="AY1225" s="17"/>
      <c r="AZ1225" s="17"/>
      <c r="BA1225" s="17"/>
      <c r="BB1225" s="17"/>
      <c r="BC1225" s="17"/>
      <c r="BD1225" s="17"/>
      <c r="BE1225" s="17"/>
      <c r="BF1225" s="17"/>
      <c r="BG1225" s="17"/>
      <c r="BH1225" s="17"/>
      <c r="BI1225" s="17"/>
      <c r="BJ1225" s="17"/>
      <c r="BK1225" s="17"/>
      <c r="BL1225" s="17"/>
      <c r="BM1225" s="17"/>
      <c r="BN1225" s="17"/>
      <c r="BO1225" s="17"/>
      <c r="BP1225" s="17"/>
      <c r="BQ1225" s="17"/>
      <c r="BR1225" s="17"/>
      <c r="BS1225" s="17"/>
      <c r="BT1225" s="17"/>
      <c r="BU1225" s="17"/>
      <c r="BV1225" s="17"/>
      <c r="BW1225" s="17"/>
      <c r="BX1225" s="17"/>
    </row>
    <row r="1226" customHeight="1" spans="1:76">
      <c r="A1226" s="17"/>
      <c r="B1226" s="17"/>
      <c r="C1226" s="17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/>
      <c r="AF1226" s="17"/>
      <c r="AG1226" s="17"/>
      <c r="AH1226" s="17"/>
      <c r="AI1226" s="17"/>
      <c r="AJ1226" s="17"/>
      <c r="AK1226" s="17"/>
      <c r="AL1226" s="17"/>
      <c r="AM1226" s="17"/>
      <c r="AN1226" s="17"/>
      <c r="AO1226" s="17"/>
      <c r="AP1226" s="17"/>
      <c r="AQ1226" s="17"/>
      <c r="AR1226" s="17"/>
      <c r="AS1226" s="17"/>
      <c r="AT1226" s="17"/>
      <c r="AU1226" s="17"/>
      <c r="AV1226" s="17"/>
      <c r="AW1226" s="17"/>
      <c r="AX1226" s="17"/>
      <c r="AY1226" s="17"/>
      <c r="AZ1226" s="17"/>
      <c r="BA1226" s="17"/>
      <c r="BB1226" s="17"/>
      <c r="BC1226" s="17"/>
      <c r="BD1226" s="17"/>
      <c r="BE1226" s="17"/>
      <c r="BF1226" s="17"/>
      <c r="BG1226" s="17"/>
      <c r="BH1226" s="17"/>
      <c r="BI1226" s="17"/>
      <c r="BJ1226" s="17"/>
      <c r="BK1226" s="17"/>
      <c r="BL1226" s="17"/>
      <c r="BM1226" s="17"/>
      <c r="BN1226" s="17"/>
      <c r="BO1226" s="17"/>
      <c r="BP1226" s="17"/>
      <c r="BQ1226" s="17"/>
      <c r="BR1226" s="17"/>
      <c r="BS1226" s="17"/>
      <c r="BT1226" s="17"/>
      <c r="BU1226" s="17"/>
      <c r="BV1226" s="17"/>
      <c r="BW1226" s="17"/>
      <c r="BX1226" s="17"/>
    </row>
    <row r="1227" customHeight="1" spans="1:76">
      <c r="A1227" s="17"/>
      <c r="B1227" s="17"/>
      <c r="C1227" s="17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  <c r="AG1227" s="17"/>
      <c r="AH1227" s="17"/>
      <c r="AI1227" s="17"/>
      <c r="AJ1227" s="17"/>
      <c r="AK1227" s="17"/>
      <c r="AL1227" s="17"/>
      <c r="AM1227" s="17"/>
      <c r="AN1227" s="17"/>
      <c r="AO1227" s="17"/>
      <c r="AP1227" s="17"/>
      <c r="AQ1227" s="17"/>
      <c r="AR1227" s="17"/>
      <c r="AS1227" s="17"/>
      <c r="AT1227" s="17"/>
      <c r="AU1227" s="17"/>
      <c r="AV1227" s="17"/>
      <c r="AW1227" s="17"/>
      <c r="AX1227" s="17"/>
      <c r="AY1227" s="17"/>
      <c r="AZ1227" s="17"/>
      <c r="BA1227" s="17"/>
      <c r="BB1227" s="17"/>
      <c r="BC1227" s="17"/>
      <c r="BD1227" s="17"/>
      <c r="BE1227" s="17"/>
      <c r="BF1227" s="17"/>
      <c r="BG1227" s="17"/>
      <c r="BH1227" s="17"/>
      <c r="BI1227" s="17"/>
      <c r="BJ1227" s="17"/>
      <c r="BK1227" s="17"/>
      <c r="BL1227" s="17"/>
      <c r="BM1227" s="17"/>
      <c r="BN1227" s="17"/>
      <c r="BO1227" s="17"/>
      <c r="BP1227" s="17"/>
      <c r="BQ1227" s="17"/>
      <c r="BR1227" s="17"/>
      <c r="BS1227" s="17"/>
      <c r="BT1227" s="17"/>
      <c r="BU1227" s="17"/>
      <c r="BV1227" s="17"/>
      <c r="BW1227" s="17"/>
      <c r="BX1227" s="17"/>
    </row>
    <row r="1228" customHeight="1" spans="1:76">
      <c r="A1228" s="17"/>
      <c r="B1228" s="17"/>
      <c r="C1228" s="17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  <c r="AH1228" s="17"/>
      <c r="AI1228" s="17"/>
      <c r="AJ1228" s="17"/>
      <c r="AK1228" s="17"/>
      <c r="AL1228" s="17"/>
      <c r="AM1228" s="17"/>
      <c r="AN1228" s="17"/>
      <c r="AO1228" s="17"/>
      <c r="AP1228" s="17"/>
      <c r="AQ1228" s="17"/>
      <c r="AR1228" s="17"/>
      <c r="AS1228" s="17"/>
      <c r="AT1228" s="17"/>
      <c r="AU1228" s="17"/>
      <c r="AV1228" s="17"/>
      <c r="AW1228" s="17"/>
      <c r="AX1228" s="17"/>
      <c r="AY1228" s="17"/>
      <c r="AZ1228" s="17"/>
      <c r="BA1228" s="17"/>
      <c r="BB1228" s="17"/>
      <c r="BC1228" s="17"/>
      <c r="BD1228" s="17"/>
      <c r="BE1228" s="17"/>
      <c r="BF1228" s="17"/>
      <c r="BG1228" s="17"/>
      <c r="BH1228" s="17"/>
      <c r="BI1228" s="17"/>
      <c r="BJ1228" s="17"/>
      <c r="BK1228" s="17"/>
      <c r="BL1228" s="17"/>
      <c r="BM1228" s="17"/>
      <c r="BN1228" s="17"/>
      <c r="BO1228" s="17"/>
      <c r="BP1228" s="17"/>
      <c r="BQ1228" s="17"/>
      <c r="BR1228" s="17"/>
      <c r="BS1228" s="17"/>
      <c r="BT1228" s="17"/>
      <c r="BU1228" s="17"/>
      <c r="BV1228" s="17"/>
      <c r="BW1228" s="17"/>
      <c r="BX1228" s="17"/>
    </row>
    <row r="1229" customHeight="1" spans="1:76">
      <c r="A1229" s="17"/>
      <c r="B1229" s="17"/>
      <c r="C1229" s="17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  <c r="AF1229" s="17"/>
      <c r="AG1229" s="17"/>
      <c r="AH1229" s="17"/>
      <c r="AI1229" s="17"/>
      <c r="AJ1229" s="17"/>
      <c r="AK1229" s="17"/>
      <c r="AL1229" s="17"/>
      <c r="AM1229" s="17"/>
      <c r="AN1229" s="17"/>
      <c r="AO1229" s="17"/>
      <c r="AP1229" s="17"/>
      <c r="AQ1229" s="17"/>
      <c r="AR1229" s="17"/>
      <c r="AS1229" s="17"/>
      <c r="AT1229" s="17"/>
      <c r="AU1229" s="17"/>
      <c r="AV1229" s="17"/>
      <c r="AW1229" s="17"/>
      <c r="AX1229" s="17"/>
      <c r="AY1229" s="17"/>
      <c r="AZ1229" s="17"/>
      <c r="BA1229" s="17"/>
      <c r="BB1229" s="17"/>
      <c r="BC1229" s="17"/>
      <c r="BD1229" s="17"/>
      <c r="BE1229" s="17"/>
      <c r="BF1229" s="17"/>
      <c r="BG1229" s="17"/>
      <c r="BH1229" s="17"/>
      <c r="BI1229" s="17"/>
      <c r="BJ1229" s="17"/>
      <c r="BK1229" s="17"/>
      <c r="BL1229" s="17"/>
      <c r="BM1229" s="17"/>
      <c r="BN1229" s="17"/>
      <c r="BO1229" s="17"/>
      <c r="BP1229" s="17"/>
      <c r="BQ1229" s="17"/>
      <c r="BR1229" s="17"/>
      <c r="BS1229" s="17"/>
      <c r="BT1229" s="17"/>
      <c r="BU1229" s="17"/>
      <c r="BV1229" s="17"/>
      <c r="BW1229" s="17"/>
      <c r="BX1229" s="17"/>
    </row>
    <row r="1230" customHeight="1" spans="1:76">
      <c r="A1230" s="17"/>
      <c r="B1230" s="17"/>
      <c r="C1230" s="17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17"/>
      <c r="AF1230" s="17"/>
      <c r="AG1230" s="17"/>
      <c r="AH1230" s="17"/>
      <c r="AI1230" s="17"/>
      <c r="AJ1230" s="17"/>
      <c r="AK1230" s="17"/>
      <c r="AL1230" s="17"/>
      <c r="AM1230" s="17"/>
      <c r="AN1230" s="17"/>
      <c r="AO1230" s="17"/>
      <c r="AP1230" s="17"/>
      <c r="AQ1230" s="17"/>
      <c r="AR1230" s="17"/>
      <c r="AS1230" s="17"/>
      <c r="AT1230" s="17"/>
      <c r="AU1230" s="17"/>
      <c r="AV1230" s="17"/>
      <c r="AW1230" s="17"/>
      <c r="AX1230" s="17"/>
      <c r="AY1230" s="17"/>
      <c r="AZ1230" s="17"/>
      <c r="BA1230" s="17"/>
      <c r="BB1230" s="17"/>
      <c r="BC1230" s="17"/>
      <c r="BD1230" s="17"/>
      <c r="BE1230" s="17"/>
      <c r="BF1230" s="17"/>
      <c r="BG1230" s="17"/>
      <c r="BH1230" s="17"/>
      <c r="BI1230" s="17"/>
      <c r="BJ1230" s="17"/>
      <c r="BK1230" s="17"/>
      <c r="BL1230" s="17"/>
      <c r="BM1230" s="17"/>
      <c r="BN1230" s="17"/>
      <c r="BO1230" s="17"/>
      <c r="BP1230" s="17"/>
      <c r="BQ1230" s="17"/>
      <c r="BR1230" s="17"/>
      <c r="BS1230" s="17"/>
      <c r="BT1230" s="17"/>
      <c r="BU1230" s="17"/>
      <c r="BV1230" s="17"/>
      <c r="BW1230" s="17"/>
      <c r="BX1230" s="17"/>
    </row>
    <row r="1231" customHeight="1" spans="1:76">
      <c r="A1231" s="17"/>
      <c r="B1231" s="17"/>
      <c r="C1231" s="17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17"/>
      <c r="AF1231" s="17"/>
      <c r="AG1231" s="17"/>
      <c r="AH1231" s="17"/>
      <c r="AI1231" s="17"/>
      <c r="AJ1231" s="17"/>
      <c r="AK1231" s="17"/>
      <c r="AL1231" s="17"/>
      <c r="AM1231" s="17"/>
      <c r="AN1231" s="17"/>
      <c r="AO1231" s="17"/>
      <c r="AP1231" s="17"/>
      <c r="AQ1231" s="17"/>
      <c r="AR1231" s="17"/>
      <c r="AS1231" s="17"/>
      <c r="AT1231" s="17"/>
      <c r="AU1231" s="17"/>
      <c r="AV1231" s="17"/>
      <c r="AW1231" s="17"/>
      <c r="AX1231" s="17"/>
      <c r="AY1231" s="17"/>
      <c r="AZ1231" s="17"/>
      <c r="BA1231" s="17"/>
      <c r="BB1231" s="17"/>
      <c r="BC1231" s="17"/>
      <c r="BD1231" s="17"/>
      <c r="BE1231" s="17"/>
      <c r="BF1231" s="17"/>
      <c r="BG1231" s="17"/>
      <c r="BH1231" s="17"/>
      <c r="BI1231" s="17"/>
      <c r="BJ1231" s="17"/>
      <c r="BK1231" s="17"/>
      <c r="BL1231" s="17"/>
      <c r="BM1231" s="17"/>
      <c r="BN1231" s="17"/>
      <c r="BO1231" s="17"/>
      <c r="BP1231" s="17"/>
      <c r="BQ1231" s="17"/>
      <c r="BR1231" s="17"/>
      <c r="BS1231" s="17"/>
      <c r="BT1231" s="17"/>
      <c r="BU1231" s="17"/>
      <c r="BV1231" s="17"/>
      <c r="BW1231" s="17"/>
      <c r="BX1231" s="17"/>
    </row>
    <row r="1232" customHeight="1" spans="1:76">
      <c r="A1232" s="17"/>
      <c r="B1232" s="17"/>
      <c r="C1232" s="17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17"/>
      <c r="AF1232" s="17"/>
      <c r="AG1232" s="17"/>
      <c r="AH1232" s="17"/>
      <c r="AI1232" s="17"/>
      <c r="AJ1232" s="17"/>
      <c r="AK1232" s="17"/>
      <c r="AL1232" s="17"/>
      <c r="AM1232" s="17"/>
      <c r="AN1232" s="17"/>
      <c r="AO1232" s="17"/>
      <c r="AP1232" s="17"/>
      <c r="AQ1232" s="17"/>
      <c r="AR1232" s="17"/>
      <c r="AS1232" s="17"/>
      <c r="AT1232" s="17"/>
      <c r="AU1232" s="17"/>
      <c r="AV1232" s="17"/>
      <c r="AW1232" s="17"/>
      <c r="AX1232" s="17"/>
      <c r="AY1232" s="17"/>
      <c r="AZ1232" s="17"/>
      <c r="BA1232" s="17"/>
      <c r="BB1232" s="17"/>
      <c r="BC1232" s="17"/>
      <c r="BD1232" s="17"/>
      <c r="BE1232" s="17"/>
      <c r="BF1232" s="17"/>
      <c r="BG1232" s="17"/>
      <c r="BH1232" s="17"/>
      <c r="BI1232" s="17"/>
      <c r="BJ1232" s="17"/>
      <c r="BK1232" s="17"/>
      <c r="BL1232" s="17"/>
      <c r="BM1232" s="17"/>
      <c r="BN1232" s="17"/>
      <c r="BO1232" s="17"/>
      <c r="BP1232" s="17"/>
      <c r="BQ1232" s="17"/>
      <c r="BR1232" s="17"/>
      <c r="BS1232" s="17"/>
      <c r="BT1232" s="17"/>
      <c r="BU1232" s="17"/>
      <c r="BV1232" s="17"/>
      <c r="BW1232" s="17"/>
      <c r="BX1232" s="17"/>
    </row>
    <row r="1233" customHeight="1" spans="1:76">
      <c r="A1233" s="17"/>
      <c r="B1233" s="17"/>
      <c r="C1233" s="17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17"/>
      <c r="AF1233" s="17"/>
      <c r="AG1233" s="17"/>
      <c r="AH1233" s="17"/>
      <c r="AI1233" s="17"/>
      <c r="AJ1233" s="17"/>
      <c r="AK1233" s="17"/>
      <c r="AL1233" s="17"/>
      <c r="AM1233" s="17"/>
      <c r="AN1233" s="17"/>
      <c r="AO1233" s="17"/>
      <c r="AP1233" s="17"/>
      <c r="AQ1233" s="17"/>
      <c r="AR1233" s="17"/>
      <c r="AS1233" s="17"/>
      <c r="AT1233" s="17"/>
      <c r="AU1233" s="17"/>
      <c r="AV1233" s="17"/>
      <c r="AW1233" s="17"/>
      <c r="AX1233" s="17"/>
      <c r="AY1233" s="17"/>
      <c r="AZ1233" s="17"/>
      <c r="BA1233" s="17"/>
      <c r="BB1233" s="17"/>
      <c r="BC1233" s="17"/>
      <c r="BD1233" s="17"/>
      <c r="BE1233" s="17"/>
      <c r="BF1233" s="17"/>
      <c r="BG1233" s="17"/>
      <c r="BH1233" s="17"/>
      <c r="BI1233" s="17"/>
      <c r="BJ1233" s="17"/>
      <c r="BK1233" s="17"/>
      <c r="BL1233" s="17"/>
      <c r="BM1233" s="17"/>
      <c r="BN1233" s="17"/>
      <c r="BO1233" s="17"/>
      <c r="BP1233" s="17"/>
      <c r="BQ1233" s="17"/>
      <c r="BR1233" s="17"/>
      <c r="BS1233" s="17"/>
      <c r="BT1233" s="17"/>
      <c r="BU1233" s="17"/>
      <c r="BV1233" s="17"/>
      <c r="BW1233" s="17"/>
      <c r="BX1233" s="17"/>
    </row>
    <row r="1234" customHeight="1" spans="1:76">
      <c r="A1234" s="17"/>
      <c r="B1234" s="17"/>
      <c r="C1234" s="17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  <c r="AH1234" s="17"/>
      <c r="AI1234" s="17"/>
      <c r="AJ1234" s="17"/>
      <c r="AK1234" s="17"/>
      <c r="AL1234" s="17"/>
      <c r="AM1234" s="17"/>
      <c r="AN1234" s="17"/>
      <c r="AO1234" s="17"/>
      <c r="AP1234" s="17"/>
      <c r="AQ1234" s="17"/>
      <c r="AR1234" s="17"/>
      <c r="AS1234" s="17"/>
      <c r="AT1234" s="17"/>
      <c r="AU1234" s="17"/>
      <c r="AV1234" s="17"/>
      <c r="AW1234" s="17"/>
      <c r="AX1234" s="17"/>
      <c r="AY1234" s="17"/>
      <c r="AZ1234" s="17"/>
      <c r="BA1234" s="17"/>
      <c r="BB1234" s="17"/>
      <c r="BC1234" s="17"/>
      <c r="BD1234" s="17"/>
      <c r="BE1234" s="17"/>
      <c r="BF1234" s="17"/>
      <c r="BG1234" s="17"/>
      <c r="BH1234" s="17"/>
      <c r="BI1234" s="17"/>
      <c r="BJ1234" s="17"/>
      <c r="BK1234" s="17"/>
      <c r="BL1234" s="17"/>
      <c r="BM1234" s="17"/>
      <c r="BN1234" s="17"/>
      <c r="BO1234" s="17"/>
      <c r="BP1234" s="17"/>
      <c r="BQ1234" s="17"/>
      <c r="BR1234" s="17"/>
      <c r="BS1234" s="17"/>
      <c r="BT1234" s="17"/>
      <c r="BU1234" s="17"/>
      <c r="BV1234" s="17"/>
      <c r="BW1234" s="17"/>
      <c r="BX1234" s="17"/>
    </row>
    <row r="1235" customHeight="1" spans="1:76">
      <c r="A1235" s="17"/>
      <c r="B1235" s="17"/>
      <c r="C1235" s="17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17"/>
      <c r="AF1235" s="17"/>
      <c r="AG1235" s="17"/>
      <c r="AH1235" s="17"/>
      <c r="AI1235" s="17"/>
      <c r="AJ1235" s="17"/>
      <c r="AK1235" s="17"/>
      <c r="AL1235" s="17"/>
      <c r="AM1235" s="17"/>
      <c r="AN1235" s="17"/>
      <c r="AO1235" s="17"/>
      <c r="AP1235" s="17"/>
      <c r="AQ1235" s="17"/>
      <c r="AR1235" s="17"/>
      <c r="AS1235" s="17"/>
      <c r="AT1235" s="17"/>
      <c r="AU1235" s="17"/>
      <c r="AV1235" s="17"/>
      <c r="AW1235" s="17"/>
      <c r="AX1235" s="17"/>
      <c r="AY1235" s="17"/>
      <c r="AZ1235" s="17"/>
      <c r="BA1235" s="17"/>
      <c r="BB1235" s="17"/>
      <c r="BC1235" s="17"/>
      <c r="BD1235" s="17"/>
      <c r="BE1235" s="17"/>
      <c r="BF1235" s="17"/>
      <c r="BG1235" s="17"/>
      <c r="BH1235" s="17"/>
      <c r="BI1235" s="17"/>
      <c r="BJ1235" s="17"/>
      <c r="BK1235" s="17"/>
      <c r="BL1235" s="17"/>
      <c r="BM1235" s="17"/>
      <c r="BN1235" s="17"/>
      <c r="BO1235" s="17"/>
      <c r="BP1235" s="17"/>
      <c r="BQ1235" s="17"/>
      <c r="BR1235" s="17"/>
      <c r="BS1235" s="17"/>
      <c r="BT1235" s="17"/>
      <c r="BU1235" s="17"/>
      <c r="BV1235" s="17"/>
      <c r="BW1235" s="17"/>
      <c r="BX1235" s="17"/>
    </row>
    <row r="1236" customHeight="1" spans="1:76">
      <c r="A1236" s="17"/>
      <c r="B1236" s="17"/>
      <c r="C1236" s="17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  <c r="AH1236" s="17"/>
      <c r="AI1236" s="17"/>
      <c r="AJ1236" s="17"/>
      <c r="AK1236" s="17"/>
      <c r="AL1236" s="17"/>
      <c r="AM1236" s="17"/>
      <c r="AN1236" s="17"/>
      <c r="AO1236" s="17"/>
      <c r="AP1236" s="17"/>
      <c r="AQ1236" s="17"/>
      <c r="AR1236" s="17"/>
      <c r="AS1236" s="17"/>
      <c r="AT1236" s="17"/>
      <c r="AU1236" s="17"/>
      <c r="AV1236" s="17"/>
      <c r="AW1236" s="17"/>
      <c r="AX1236" s="17"/>
      <c r="AY1236" s="17"/>
      <c r="AZ1236" s="17"/>
      <c r="BA1236" s="17"/>
      <c r="BB1236" s="17"/>
      <c r="BC1236" s="17"/>
      <c r="BD1236" s="17"/>
      <c r="BE1236" s="17"/>
      <c r="BF1236" s="17"/>
      <c r="BG1236" s="17"/>
      <c r="BH1236" s="17"/>
      <c r="BI1236" s="17"/>
      <c r="BJ1236" s="17"/>
      <c r="BK1236" s="17"/>
      <c r="BL1236" s="17"/>
      <c r="BM1236" s="17"/>
      <c r="BN1236" s="17"/>
      <c r="BO1236" s="17"/>
      <c r="BP1236" s="17"/>
      <c r="BQ1236" s="17"/>
      <c r="BR1236" s="17"/>
      <c r="BS1236" s="17"/>
      <c r="BT1236" s="17"/>
      <c r="BU1236" s="17"/>
      <c r="BV1236" s="17"/>
      <c r="BW1236" s="17"/>
      <c r="BX1236" s="17"/>
    </row>
    <row r="1237" customHeight="1" spans="1:76">
      <c r="A1237" s="17"/>
      <c r="B1237" s="17"/>
      <c r="C1237" s="17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17"/>
      <c r="AF1237" s="17"/>
      <c r="AG1237" s="17"/>
      <c r="AH1237" s="17"/>
      <c r="AI1237" s="17"/>
      <c r="AJ1237" s="17"/>
      <c r="AK1237" s="17"/>
      <c r="AL1237" s="17"/>
      <c r="AM1237" s="17"/>
      <c r="AN1237" s="17"/>
      <c r="AO1237" s="17"/>
      <c r="AP1237" s="17"/>
      <c r="AQ1237" s="17"/>
      <c r="AR1237" s="17"/>
      <c r="AS1237" s="17"/>
      <c r="AT1237" s="17"/>
      <c r="AU1237" s="17"/>
      <c r="AV1237" s="17"/>
      <c r="AW1237" s="17"/>
      <c r="AX1237" s="17"/>
      <c r="AY1237" s="17"/>
      <c r="AZ1237" s="17"/>
      <c r="BA1237" s="17"/>
      <c r="BB1237" s="17"/>
      <c r="BC1237" s="17"/>
      <c r="BD1237" s="17"/>
      <c r="BE1237" s="17"/>
      <c r="BF1237" s="17"/>
      <c r="BG1237" s="17"/>
      <c r="BH1237" s="17"/>
      <c r="BI1237" s="17"/>
      <c r="BJ1237" s="17"/>
      <c r="BK1237" s="17"/>
      <c r="BL1237" s="17"/>
      <c r="BM1237" s="17"/>
      <c r="BN1237" s="17"/>
      <c r="BO1237" s="17"/>
      <c r="BP1237" s="17"/>
      <c r="BQ1237" s="17"/>
      <c r="BR1237" s="17"/>
      <c r="BS1237" s="17"/>
      <c r="BT1237" s="17"/>
      <c r="BU1237" s="17"/>
      <c r="BV1237" s="17"/>
      <c r="BW1237" s="17"/>
      <c r="BX1237" s="17"/>
    </row>
    <row r="1238" customHeight="1" spans="1:76">
      <c r="A1238" s="17"/>
      <c r="B1238" s="17"/>
      <c r="C1238" s="17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7"/>
      <c r="AL1238" s="17"/>
      <c r="AM1238" s="17"/>
      <c r="AN1238" s="17"/>
      <c r="AO1238" s="17"/>
      <c r="AP1238" s="17"/>
      <c r="AQ1238" s="17"/>
      <c r="AR1238" s="17"/>
      <c r="AS1238" s="17"/>
      <c r="AT1238" s="17"/>
      <c r="AU1238" s="17"/>
      <c r="AV1238" s="17"/>
      <c r="AW1238" s="17"/>
      <c r="AX1238" s="17"/>
      <c r="AY1238" s="17"/>
      <c r="AZ1238" s="17"/>
      <c r="BA1238" s="17"/>
      <c r="BB1238" s="17"/>
      <c r="BC1238" s="17"/>
      <c r="BD1238" s="17"/>
      <c r="BE1238" s="17"/>
      <c r="BF1238" s="17"/>
      <c r="BG1238" s="17"/>
      <c r="BH1238" s="17"/>
      <c r="BI1238" s="17"/>
      <c r="BJ1238" s="17"/>
      <c r="BK1238" s="17"/>
      <c r="BL1238" s="17"/>
      <c r="BM1238" s="17"/>
      <c r="BN1238" s="17"/>
      <c r="BO1238" s="17"/>
      <c r="BP1238" s="17"/>
      <c r="BQ1238" s="17"/>
      <c r="BR1238" s="17"/>
      <c r="BS1238" s="17"/>
      <c r="BT1238" s="17"/>
      <c r="BU1238" s="17"/>
      <c r="BV1238" s="17"/>
      <c r="BW1238" s="17"/>
      <c r="BX1238" s="17"/>
    </row>
    <row r="1239" customHeight="1" spans="1:76">
      <c r="A1239" s="17"/>
      <c r="B1239" s="17"/>
      <c r="C1239" s="17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  <c r="AH1239" s="17"/>
      <c r="AI1239" s="17"/>
      <c r="AJ1239" s="17"/>
      <c r="AK1239" s="17"/>
      <c r="AL1239" s="17"/>
      <c r="AM1239" s="17"/>
      <c r="AN1239" s="17"/>
      <c r="AO1239" s="17"/>
      <c r="AP1239" s="17"/>
      <c r="AQ1239" s="17"/>
      <c r="AR1239" s="17"/>
      <c r="AS1239" s="17"/>
      <c r="AT1239" s="17"/>
      <c r="AU1239" s="17"/>
      <c r="AV1239" s="17"/>
      <c r="AW1239" s="17"/>
      <c r="AX1239" s="17"/>
      <c r="AY1239" s="17"/>
      <c r="AZ1239" s="17"/>
      <c r="BA1239" s="17"/>
      <c r="BB1239" s="17"/>
      <c r="BC1239" s="17"/>
      <c r="BD1239" s="17"/>
      <c r="BE1239" s="17"/>
      <c r="BF1239" s="17"/>
      <c r="BG1239" s="17"/>
      <c r="BH1239" s="17"/>
      <c r="BI1239" s="17"/>
      <c r="BJ1239" s="17"/>
      <c r="BK1239" s="17"/>
      <c r="BL1239" s="17"/>
      <c r="BM1239" s="17"/>
      <c r="BN1239" s="17"/>
      <c r="BO1239" s="17"/>
      <c r="BP1239" s="17"/>
      <c r="BQ1239" s="17"/>
      <c r="BR1239" s="17"/>
      <c r="BS1239" s="17"/>
      <c r="BT1239" s="17"/>
      <c r="BU1239" s="17"/>
      <c r="BV1239" s="17"/>
      <c r="BW1239" s="17"/>
      <c r="BX1239" s="17"/>
    </row>
    <row r="1240" customHeight="1" spans="1:76">
      <c r="A1240" s="17"/>
      <c r="B1240" s="17"/>
      <c r="C1240" s="17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17"/>
      <c r="AF1240" s="17"/>
      <c r="AG1240" s="17"/>
      <c r="AH1240" s="17"/>
      <c r="AI1240" s="17"/>
      <c r="AJ1240" s="17"/>
      <c r="AK1240" s="17"/>
      <c r="AL1240" s="17"/>
      <c r="AM1240" s="17"/>
      <c r="AN1240" s="17"/>
      <c r="AO1240" s="17"/>
      <c r="AP1240" s="17"/>
      <c r="AQ1240" s="17"/>
      <c r="AR1240" s="17"/>
      <c r="AS1240" s="17"/>
      <c r="AT1240" s="17"/>
      <c r="AU1240" s="17"/>
      <c r="AV1240" s="17"/>
      <c r="AW1240" s="17"/>
      <c r="AX1240" s="17"/>
      <c r="AY1240" s="17"/>
      <c r="AZ1240" s="17"/>
      <c r="BA1240" s="17"/>
      <c r="BB1240" s="17"/>
      <c r="BC1240" s="17"/>
      <c r="BD1240" s="17"/>
      <c r="BE1240" s="17"/>
      <c r="BF1240" s="17"/>
      <c r="BG1240" s="17"/>
      <c r="BH1240" s="17"/>
      <c r="BI1240" s="17"/>
      <c r="BJ1240" s="17"/>
      <c r="BK1240" s="17"/>
      <c r="BL1240" s="17"/>
      <c r="BM1240" s="17"/>
      <c r="BN1240" s="17"/>
      <c r="BO1240" s="17"/>
      <c r="BP1240" s="17"/>
      <c r="BQ1240" s="17"/>
      <c r="BR1240" s="17"/>
      <c r="BS1240" s="17"/>
      <c r="BT1240" s="17"/>
      <c r="BU1240" s="17"/>
      <c r="BV1240" s="17"/>
      <c r="BW1240" s="17"/>
      <c r="BX1240" s="17"/>
    </row>
    <row r="1241" customHeight="1" spans="1:76">
      <c r="A1241" s="17"/>
      <c r="B1241" s="17"/>
      <c r="C1241" s="17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7"/>
      <c r="AM1241" s="17"/>
      <c r="AN1241" s="17"/>
      <c r="AO1241" s="17"/>
      <c r="AP1241" s="17"/>
      <c r="AQ1241" s="17"/>
      <c r="AR1241" s="17"/>
      <c r="AS1241" s="17"/>
      <c r="AT1241" s="17"/>
      <c r="AU1241" s="17"/>
      <c r="AV1241" s="17"/>
      <c r="AW1241" s="17"/>
      <c r="AX1241" s="17"/>
      <c r="AY1241" s="17"/>
      <c r="AZ1241" s="17"/>
      <c r="BA1241" s="17"/>
      <c r="BB1241" s="17"/>
      <c r="BC1241" s="17"/>
      <c r="BD1241" s="17"/>
      <c r="BE1241" s="17"/>
      <c r="BF1241" s="17"/>
      <c r="BG1241" s="17"/>
      <c r="BH1241" s="17"/>
      <c r="BI1241" s="17"/>
      <c r="BJ1241" s="17"/>
      <c r="BK1241" s="17"/>
      <c r="BL1241" s="17"/>
      <c r="BM1241" s="17"/>
      <c r="BN1241" s="17"/>
      <c r="BO1241" s="17"/>
      <c r="BP1241" s="17"/>
      <c r="BQ1241" s="17"/>
      <c r="BR1241" s="17"/>
      <c r="BS1241" s="17"/>
      <c r="BT1241" s="17"/>
      <c r="BU1241" s="17"/>
      <c r="BV1241" s="17"/>
      <c r="BW1241" s="17"/>
      <c r="BX1241" s="17"/>
    </row>
    <row r="1242" customHeight="1" spans="1:76">
      <c r="A1242" s="17"/>
      <c r="B1242" s="17"/>
      <c r="C1242" s="17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17"/>
      <c r="AF1242" s="17"/>
      <c r="AG1242" s="17"/>
      <c r="AH1242" s="17"/>
      <c r="AI1242" s="17"/>
      <c r="AJ1242" s="17"/>
      <c r="AK1242" s="17"/>
      <c r="AL1242" s="17"/>
      <c r="AM1242" s="17"/>
      <c r="AN1242" s="17"/>
      <c r="AO1242" s="17"/>
      <c r="AP1242" s="17"/>
      <c r="AQ1242" s="17"/>
      <c r="AR1242" s="17"/>
      <c r="AS1242" s="17"/>
      <c r="AT1242" s="17"/>
      <c r="AU1242" s="17"/>
      <c r="AV1242" s="17"/>
      <c r="AW1242" s="17"/>
      <c r="AX1242" s="17"/>
      <c r="AY1242" s="17"/>
      <c r="AZ1242" s="17"/>
      <c r="BA1242" s="17"/>
      <c r="BB1242" s="17"/>
      <c r="BC1242" s="17"/>
      <c r="BD1242" s="17"/>
      <c r="BE1242" s="17"/>
      <c r="BF1242" s="17"/>
      <c r="BG1242" s="17"/>
      <c r="BH1242" s="17"/>
      <c r="BI1242" s="17"/>
      <c r="BJ1242" s="17"/>
      <c r="BK1242" s="17"/>
      <c r="BL1242" s="17"/>
      <c r="BM1242" s="17"/>
      <c r="BN1242" s="17"/>
      <c r="BO1242" s="17"/>
      <c r="BP1242" s="17"/>
      <c r="BQ1242" s="17"/>
      <c r="BR1242" s="17"/>
      <c r="BS1242" s="17"/>
      <c r="BT1242" s="17"/>
      <c r="BU1242" s="17"/>
      <c r="BV1242" s="17"/>
      <c r="BW1242" s="17"/>
      <c r="BX1242" s="17"/>
    </row>
    <row r="1243" customHeight="1" spans="1:76">
      <c r="A1243" s="17"/>
      <c r="B1243" s="17"/>
      <c r="C1243" s="17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17"/>
      <c r="AF1243" s="17"/>
      <c r="AG1243" s="17"/>
      <c r="AH1243" s="17"/>
      <c r="AI1243" s="17"/>
      <c r="AJ1243" s="17"/>
      <c r="AK1243" s="17"/>
      <c r="AL1243" s="17"/>
      <c r="AM1243" s="17"/>
      <c r="AN1243" s="17"/>
      <c r="AO1243" s="17"/>
      <c r="AP1243" s="17"/>
      <c r="AQ1243" s="17"/>
      <c r="AR1243" s="17"/>
      <c r="AS1243" s="17"/>
      <c r="AT1243" s="17"/>
      <c r="AU1243" s="17"/>
      <c r="AV1243" s="17"/>
      <c r="AW1243" s="17"/>
      <c r="AX1243" s="17"/>
      <c r="AY1243" s="17"/>
      <c r="AZ1243" s="17"/>
      <c r="BA1243" s="17"/>
      <c r="BB1243" s="17"/>
      <c r="BC1243" s="17"/>
      <c r="BD1243" s="17"/>
      <c r="BE1243" s="17"/>
      <c r="BF1243" s="17"/>
      <c r="BG1243" s="17"/>
      <c r="BH1243" s="17"/>
      <c r="BI1243" s="17"/>
      <c r="BJ1243" s="17"/>
      <c r="BK1243" s="17"/>
      <c r="BL1243" s="17"/>
      <c r="BM1243" s="17"/>
      <c r="BN1243" s="17"/>
      <c r="BO1243" s="17"/>
      <c r="BP1243" s="17"/>
      <c r="BQ1243" s="17"/>
      <c r="BR1243" s="17"/>
      <c r="BS1243" s="17"/>
      <c r="BT1243" s="17"/>
      <c r="BU1243" s="17"/>
      <c r="BV1243" s="17"/>
      <c r="BW1243" s="17"/>
      <c r="BX1243" s="17"/>
    </row>
    <row r="1244" customHeight="1" spans="1:76">
      <c r="A1244" s="17"/>
      <c r="B1244" s="17"/>
      <c r="C1244" s="17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17"/>
      <c r="AF1244" s="17"/>
      <c r="AG1244" s="17"/>
      <c r="AH1244" s="17"/>
      <c r="AI1244" s="17"/>
      <c r="AJ1244" s="17"/>
      <c r="AK1244" s="17"/>
      <c r="AL1244" s="17"/>
      <c r="AM1244" s="17"/>
      <c r="AN1244" s="17"/>
      <c r="AO1244" s="17"/>
      <c r="AP1244" s="17"/>
      <c r="AQ1244" s="17"/>
      <c r="AR1244" s="17"/>
      <c r="AS1244" s="17"/>
      <c r="AT1244" s="17"/>
      <c r="AU1244" s="17"/>
      <c r="AV1244" s="17"/>
      <c r="AW1244" s="17"/>
      <c r="AX1244" s="17"/>
      <c r="AY1244" s="17"/>
      <c r="AZ1244" s="17"/>
      <c r="BA1244" s="17"/>
      <c r="BB1244" s="17"/>
      <c r="BC1244" s="17"/>
      <c r="BD1244" s="17"/>
      <c r="BE1244" s="17"/>
      <c r="BF1244" s="17"/>
      <c r="BG1244" s="17"/>
      <c r="BH1244" s="17"/>
      <c r="BI1244" s="17"/>
      <c r="BJ1244" s="17"/>
      <c r="BK1244" s="17"/>
      <c r="BL1244" s="17"/>
      <c r="BM1244" s="17"/>
      <c r="BN1244" s="17"/>
      <c r="BO1244" s="17"/>
      <c r="BP1244" s="17"/>
      <c r="BQ1244" s="17"/>
      <c r="BR1244" s="17"/>
      <c r="BS1244" s="17"/>
      <c r="BT1244" s="17"/>
      <c r="BU1244" s="17"/>
      <c r="BV1244" s="17"/>
      <c r="BW1244" s="17"/>
      <c r="BX1244" s="17"/>
    </row>
    <row r="1245" customHeight="1" spans="1:76">
      <c r="A1245" s="17"/>
      <c r="B1245" s="17"/>
      <c r="C1245" s="17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s="17"/>
      <c r="AP1245" s="17"/>
      <c r="AQ1245" s="17"/>
      <c r="AR1245" s="17"/>
      <c r="AS1245" s="17"/>
      <c r="AT1245" s="17"/>
      <c r="AU1245" s="17"/>
      <c r="AV1245" s="17"/>
      <c r="AW1245" s="17"/>
      <c r="AX1245" s="17"/>
      <c r="AY1245" s="17"/>
      <c r="AZ1245" s="17"/>
      <c r="BA1245" s="17"/>
      <c r="BB1245" s="17"/>
      <c r="BC1245" s="17"/>
      <c r="BD1245" s="17"/>
      <c r="BE1245" s="17"/>
      <c r="BF1245" s="17"/>
      <c r="BG1245" s="17"/>
      <c r="BH1245" s="17"/>
      <c r="BI1245" s="17"/>
      <c r="BJ1245" s="17"/>
      <c r="BK1245" s="17"/>
      <c r="BL1245" s="17"/>
      <c r="BM1245" s="17"/>
      <c r="BN1245" s="17"/>
      <c r="BO1245" s="17"/>
      <c r="BP1245" s="17"/>
      <c r="BQ1245" s="17"/>
      <c r="BR1245" s="17"/>
      <c r="BS1245" s="17"/>
      <c r="BT1245" s="17"/>
      <c r="BU1245" s="17"/>
      <c r="BV1245" s="17"/>
      <c r="BW1245" s="17"/>
      <c r="BX1245" s="17"/>
    </row>
    <row r="1246" customHeight="1" spans="1:76">
      <c r="A1246" s="17"/>
      <c r="B1246" s="17"/>
      <c r="C1246" s="17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  <c r="AH1246" s="17"/>
      <c r="AI1246" s="17"/>
      <c r="AJ1246" s="17"/>
      <c r="AK1246" s="17"/>
      <c r="AL1246" s="17"/>
      <c r="AM1246" s="17"/>
      <c r="AN1246" s="17"/>
      <c r="AO1246" s="17"/>
      <c r="AP1246" s="17"/>
      <c r="AQ1246" s="17"/>
      <c r="AR1246" s="17"/>
      <c r="AS1246" s="17"/>
      <c r="AT1246" s="17"/>
      <c r="AU1246" s="17"/>
      <c r="AV1246" s="17"/>
      <c r="AW1246" s="17"/>
      <c r="AX1246" s="17"/>
      <c r="AY1246" s="17"/>
      <c r="AZ1246" s="17"/>
      <c r="BA1246" s="17"/>
      <c r="BB1246" s="17"/>
      <c r="BC1246" s="17"/>
      <c r="BD1246" s="17"/>
      <c r="BE1246" s="17"/>
      <c r="BF1246" s="17"/>
      <c r="BG1246" s="17"/>
      <c r="BH1246" s="17"/>
      <c r="BI1246" s="17"/>
      <c r="BJ1246" s="17"/>
      <c r="BK1246" s="17"/>
      <c r="BL1246" s="17"/>
      <c r="BM1246" s="17"/>
      <c r="BN1246" s="17"/>
      <c r="BO1246" s="17"/>
      <c r="BP1246" s="17"/>
      <c r="BQ1246" s="17"/>
      <c r="BR1246" s="17"/>
      <c r="BS1246" s="17"/>
      <c r="BT1246" s="17"/>
      <c r="BU1246" s="17"/>
      <c r="BV1246" s="17"/>
      <c r="BW1246" s="17"/>
      <c r="BX1246" s="17"/>
    </row>
    <row r="1247" customHeight="1" spans="1:76">
      <c r="A1247" s="17"/>
      <c r="B1247" s="17"/>
      <c r="C1247" s="17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/>
      <c r="AM1247" s="17"/>
      <c r="AN1247" s="17"/>
      <c r="AO1247" s="17"/>
      <c r="AP1247" s="17"/>
      <c r="AQ1247" s="17"/>
      <c r="AR1247" s="17"/>
      <c r="AS1247" s="17"/>
      <c r="AT1247" s="17"/>
      <c r="AU1247" s="17"/>
      <c r="AV1247" s="17"/>
      <c r="AW1247" s="17"/>
      <c r="AX1247" s="17"/>
      <c r="AY1247" s="17"/>
      <c r="AZ1247" s="17"/>
      <c r="BA1247" s="17"/>
      <c r="BB1247" s="17"/>
      <c r="BC1247" s="17"/>
      <c r="BD1247" s="17"/>
      <c r="BE1247" s="17"/>
      <c r="BF1247" s="17"/>
      <c r="BG1247" s="17"/>
      <c r="BH1247" s="17"/>
      <c r="BI1247" s="17"/>
      <c r="BJ1247" s="17"/>
      <c r="BK1247" s="17"/>
      <c r="BL1247" s="17"/>
      <c r="BM1247" s="17"/>
      <c r="BN1247" s="17"/>
      <c r="BO1247" s="17"/>
      <c r="BP1247" s="17"/>
      <c r="BQ1247" s="17"/>
      <c r="BR1247" s="17"/>
      <c r="BS1247" s="17"/>
      <c r="BT1247" s="17"/>
      <c r="BU1247" s="17"/>
      <c r="BV1247" s="17"/>
      <c r="BW1247" s="17"/>
      <c r="BX1247" s="17"/>
    </row>
    <row r="1248" customHeight="1" spans="1:76">
      <c r="A1248" s="17"/>
      <c r="B1248" s="17"/>
      <c r="C1248" s="17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s="17"/>
      <c r="AP1248" s="17"/>
      <c r="AQ1248" s="17"/>
      <c r="AR1248" s="17"/>
      <c r="AS1248" s="17"/>
      <c r="AT1248" s="17"/>
      <c r="AU1248" s="17"/>
      <c r="AV1248" s="17"/>
      <c r="AW1248" s="17"/>
      <c r="AX1248" s="17"/>
      <c r="AY1248" s="17"/>
      <c r="AZ1248" s="17"/>
      <c r="BA1248" s="17"/>
      <c r="BB1248" s="17"/>
      <c r="BC1248" s="17"/>
      <c r="BD1248" s="17"/>
      <c r="BE1248" s="17"/>
      <c r="BF1248" s="17"/>
      <c r="BG1248" s="17"/>
      <c r="BH1248" s="17"/>
      <c r="BI1248" s="17"/>
      <c r="BJ1248" s="17"/>
      <c r="BK1248" s="17"/>
      <c r="BL1248" s="17"/>
      <c r="BM1248" s="17"/>
      <c r="BN1248" s="17"/>
      <c r="BO1248" s="17"/>
      <c r="BP1248" s="17"/>
      <c r="BQ1248" s="17"/>
      <c r="BR1248" s="17"/>
      <c r="BS1248" s="17"/>
      <c r="BT1248" s="17"/>
      <c r="BU1248" s="17"/>
      <c r="BV1248" s="17"/>
      <c r="BW1248" s="17"/>
      <c r="BX1248" s="17"/>
    </row>
    <row r="1249" customHeight="1" spans="1:76">
      <c r="A1249" s="17"/>
      <c r="B1249" s="17"/>
      <c r="C1249" s="17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/>
      <c r="AM1249" s="17"/>
      <c r="AN1249" s="17"/>
      <c r="AO1249" s="17"/>
      <c r="AP1249" s="17"/>
      <c r="AQ1249" s="17"/>
      <c r="AR1249" s="17"/>
      <c r="AS1249" s="17"/>
      <c r="AT1249" s="17"/>
      <c r="AU1249" s="17"/>
      <c r="AV1249" s="17"/>
      <c r="AW1249" s="17"/>
      <c r="AX1249" s="17"/>
      <c r="AY1249" s="17"/>
      <c r="AZ1249" s="17"/>
      <c r="BA1249" s="17"/>
      <c r="BB1249" s="17"/>
      <c r="BC1249" s="17"/>
      <c r="BD1249" s="17"/>
      <c r="BE1249" s="17"/>
      <c r="BF1249" s="17"/>
      <c r="BG1249" s="17"/>
      <c r="BH1249" s="17"/>
      <c r="BI1249" s="17"/>
      <c r="BJ1249" s="17"/>
      <c r="BK1249" s="17"/>
      <c r="BL1249" s="17"/>
      <c r="BM1249" s="17"/>
      <c r="BN1249" s="17"/>
      <c r="BO1249" s="17"/>
      <c r="BP1249" s="17"/>
      <c r="BQ1249" s="17"/>
      <c r="BR1249" s="17"/>
      <c r="BS1249" s="17"/>
      <c r="BT1249" s="17"/>
      <c r="BU1249" s="17"/>
      <c r="BV1249" s="17"/>
      <c r="BW1249" s="17"/>
      <c r="BX1249" s="17"/>
    </row>
    <row r="1250" customHeight="1" spans="1:76">
      <c r="A1250" s="17"/>
      <c r="B1250" s="17"/>
      <c r="C1250" s="17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17"/>
      <c r="AJ1250" s="17"/>
      <c r="AK1250" s="17"/>
      <c r="AL1250" s="17"/>
      <c r="AM1250" s="17"/>
      <c r="AN1250" s="17"/>
      <c r="AO1250" s="17"/>
      <c r="AP1250" s="17"/>
      <c r="AQ1250" s="17"/>
      <c r="AR1250" s="17"/>
      <c r="AS1250" s="17"/>
      <c r="AT1250" s="17"/>
      <c r="AU1250" s="17"/>
      <c r="AV1250" s="17"/>
      <c r="AW1250" s="17"/>
      <c r="AX1250" s="17"/>
      <c r="AY1250" s="17"/>
      <c r="AZ1250" s="17"/>
      <c r="BA1250" s="17"/>
      <c r="BB1250" s="17"/>
      <c r="BC1250" s="17"/>
      <c r="BD1250" s="17"/>
      <c r="BE1250" s="17"/>
      <c r="BF1250" s="17"/>
      <c r="BG1250" s="17"/>
      <c r="BH1250" s="17"/>
      <c r="BI1250" s="17"/>
      <c r="BJ1250" s="17"/>
      <c r="BK1250" s="17"/>
      <c r="BL1250" s="17"/>
      <c r="BM1250" s="17"/>
      <c r="BN1250" s="17"/>
      <c r="BO1250" s="17"/>
      <c r="BP1250" s="17"/>
      <c r="BQ1250" s="17"/>
      <c r="BR1250" s="17"/>
      <c r="BS1250" s="17"/>
      <c r="BT1250" s="17"/>
      <c r="BU1250" s="17"/>
      <c r="BV1250" s="17"/>
      <c r="BW1250" s="17"/>
      <c r="BX1250" s="17"/>
    </row>
    <row r="1251" customHeight="1" spans="1:76">
      <c r="A1251" s="17"/>
      <c r="B1251" s="17"/>
      <c r="C1251" s="17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7"/>
      <c r="AL1251" s="17"/>
      <c r="AM1251" s="17"/>
      <c r="AN1251" s="17"/>
      <c r="AO1251" s="17"/>
      <c r="AP1251" s="17"/>
      <c r="AQ1251" s="17"/>
      <c r="AR1251" s="17"/>
      <c r="AS1251" s="17"/>
      <c r="AT1251" s="17"/>
      <c r="AU1251" s="17"/>
      <c r="AV1251" s="17"/>
      <c r="AW1251" s="17"/>
      <c r="AX1251" s="17"/>
      <c r="AY1251" s="17"/>
      <c r="AZ1251" s="17"/>
      <c r="BA1251" s="17"/>
      <c r="BB1251" s="17"/>
      <c r="BC1251" s="17"/>
      <c r="BD1251" s="17"/>
      <c r="BE1251" s="17"/>
      <c r="BF1251" s="17"/>
      <c r="BG1251" s="17"/>
      <c r="BH1251" s="17"/>
      <c r="BI1251" s="17"/>
      <c r="BJ1251" s="17"/>
      <c r="BK1251" s="17"/>
      <c r="BL1251" s="17"/>
      <c r="BM1251" s="17"/>
      <c r="BN1251" s="17"/>
      <c r="BO1251" s="17"/>
      <c r="BP1251" s="17"/>
      <c r="BQ1251" s="17"/>
      <c r="BR1251" s="17"/>
      <c r="BS1251" s="17"/>
      <c r="BT1251" s="17"/>
      <c r="BU1251" s="17"/>
      <c r="BV1251" s="17"/>
      <c r="BW1251" s="17"/>
      <c r="BX1251" s="17"/>
    </row>
    <row r="1252" customHeight="1" spans="1:76">
      <c r="A1252" s="17"/>
      <c r="B1252" s="17"/>
      <c r="C1252" s="17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17"/>
      <c r="AF1252" s="17"/>
      <c r="AG1252" s="17"/>
      <c r="AH1252" s="17"/>
      <c r="AI1252" s="17"/>
      <c r="AJ1252" s="17"/>
      <c r="AK1252" s="17"/>
      <c r="AL1252" s="17"/>
      <c r="AM1252" s="17"/>
      <c r="AN1252" s="17"/>
      <c r="AO1252" s="17"/>
      <c r="AP1252" s="17"/>
      <c r="AQ1252" s="17"/>
      <c r="AR1252" s="17"/>
      <c r="AS1252" s="17"/>
      <c r="AT1252" s="17"/>
      <c r="AU1252" s="17"/>
      <c r="AV1252" s="17"/>
      <c r="AW1252" s="17"/>
      <c r="AX1252" s="17"/>
      <c r="AY1252" s="17"/>
      <c r="AZ1252" s="17"/>
      <c r="BA1252" s="17"/>
      <c r="BB1252" s="17"/>
      <c r="BC1252" s="17"/>
      <c r="BD1252" s="17"/>
      <c r="BE1252" s="17"/>
      <c r="BF1252" s="17"/>
      <c r="BG1252" s="17"/>
      <c r="BH1252" s="17"/>
      <c r="BI1252" s="17"/>
      <c r="BJ1252" s="17"/>
      <c r="BK1252" s="17"/>
      <c r="BL1252" s="17"/>
      <c r="BM1252" s="17"/>
      <c r="BN1252" s="17"/>
      <c r="BO1252" s="17"/>
      <c r="BP1252" s="17"/>
      <c r="BQ1252" s="17"/>
      <c r="BR1252" s="17"/>
      <c r="BS1252" s="17"/>
      <c r="BT1252" s="17"/>
      <c r="BU1252" s="17"/>
      <c r="BV1252" s="17"/>
      <c r="BW1252" s="17"/>
      <c r="BX1252" s="17"/>
    </row>
    <row r="1253" customHeight="1" spans="1:76">
      <c r="A1253" s="17"/>
      <c r="B1253" s="17"/>
      <c r="C1253" s="17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17"/>
      <c r="AF1253" s="17"/>
      <c r="AG1253" s="17"/>
      <c r="AH1253" s="17"/>
      <c r="AI1253" s="17"/>
      <c r="AJ1253" s="17"/>
      <c r="AK1253" s="17"/>
      <c r="AL1253" s="17"/>
      <c r="AM1253" s="17"/>
      <c r="AN1253" s="17"/>
      <c r="AO1253" s="17"/>
      <c r="AP1253" s="17"/>
      <c r="AQ1253" s="17"/>
      <c r="AR1253" s="17"/>
      <c r="AS1253" s="17"/>
      <c r="AT1253" s="17"/>
      <c r="AU1253" s="17"/>
      <c r="AV1253" s="17"/>
      <c r="AW1253" s="17"/>
      <c r="AX1253" s="17"/>
      <c r="AY1253" s="17"/>
      <c r="AZ1253" s="17"/>
      <c r="BA1253" s="17"/>
      <c r="BB1253" s="17"/>
      <c r="BC1253" s="17"/>
      <c r="BD1253" s="17"/>
      <c r="BE1253" s="17"/>
      <c r="BF1253" s="17"/>
      <c r="BG1253" s="17"/>
      <c r="BH1253" s="17"/>
      <c r="BI1253" s="17"/>
      <c r="BJ1253" s="17"/>
      <c r="BK1253" s="17"/>
      <c r="BL1253" s="17"/>
      <c r="BM1253" s="17"/>
      <c r="BN1253" s="17"/>
      <c r="BO1253" s="17"/>
      <c r="BP1253" s="17"/>
      <c r="BQ1253" s="17"/>
      <c r="BR1253" s="17"/>
      <c r="BS1253" s="17"/>
      <c r="BT1253" s="17"/>
      <c r="BU1253" s="17"/>
      <c r="BV1253" s="17"/>
      <c r="BW1253" s="17"/>
      <c r="BX1253" s="17"/>
    </row>
    <row r="1254" customHeight="1" spans="1:76">
      <c r="A1254" s="17"/>
      <c r="B1254" s="17"/>
      <c r="C1254" s="17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17"/>
      <c r="AF1254" s="17"/>
      <c r="AG1254" s="17"/>
      <c r="AH1254" s="17"/>
      <c r="AI1254" s="17"/>
      <c r="AJ1254" s="17"/>
      <c r="AK1254" s="17"/>
      <c r="AL1254" s="17"/>
      <c r="AM1254" s="17"/>
      <c r="AN1254" s="17"/>
      <c r="AO1254" s="17"/>
      <c r="AP1254" s="17"/>
      <c r="AQ1254" s="17"/>
      <c r="AR1254" s="17"/>
      <c r="AS1254" s="17"/>
      <c r="AT1254" s="17"/>
      <c r="AU1254" s="17"/>
      <c r="AV1254" s="17"/>
      <c r="AW1254" s="17"/>
      <c r="AX1254" s="17"/>
      <c r="AY1254" s="17"/>
      <c r="AZ1254" s="17"/>
      <c r="BA1254" s="17"/>
      <c r="BB1254" s="17"/>
      <c r="BC1254" s="17"/>
      <c r="BD1254" s="17"/>
      <c r="BE1254" s="17"/>
      <c r="BF1254" s="17"/>
      <c r="BG1254" s="17"/>
      <c r="BH1254" s="17"/>
      <c r="BI1254" s="17"/>
      <c r="BJ1254" s="17"/>
      <c r="BK1254" s="17"/>
      <c r="BL1254" s="17"/>
      <c r="BM1254" s="17"/>
      <c r="BN1254" s="17"/>
      <c r="BO1254" s="17"/>
      <c r="BP1254" s="17"/>
      <c r="BQ1254" s="17"/>
      <c r="BR1254" s="17"/>
      <c r="BS1254" s="17"/>
      <c r="BT1254" s="17"/>
      <c r="BU1254" s="17"/>
      <c r="BV1254" s="17"/>
      <c r="BW1254" s="17"/>
      <c r="BX1254" s="17"/>
    </row>
    <row r="1255" customHeight="1" spans="1:76">
      <c r="A1255" s="17"/>
      <c r="B1255" s="17"/>
      <c r="C1255" s="17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17"/>
      <c r="AF1255" s="17"/>
      <c r="AG1255" s="17"/>
      <c r="AH1255" s="17"/>
      <c r="AI1255" s="17"/>
      <c r="AJ1255" s="17"/>
      <c r="AK1255" s="17"/>
      <c r="AL1255" s="17"/>
      <c r="AM1255" s="17"/>
      <c r="AN1255" s="17"/>
      <c r="AO1255" s="17"/>
      <c r="AP1255" s="17"/>
      <c r="AQ1255" s="17"/>
      <c r="AR1255" s="17"/>
      <c r="AS1255" s="17"/>
      <c r="AT1255" s="17"/>
      <c r="AU1255" s="17"/>
      <c r="AV1255" s="17"/>
      <c r="AW1255" s="17"/>
      <c r="AX1255" s="17"/>
      <c r="AY1255" s="17"/>
      <c r="AZ1255" s="17"/>
      <c r="BA1255" s="17"/>
      <c r="BB1255" s="17"/>
      <c r="BC1255" s="17"/>
      <c r="BD1255" s="17"/>
      <c r="BE1255" s="17"/>
      <c r="BF1255" s="17"/>
      <c r="BG1255" s="17"/>
      <c r="BH1255" s="17"/>
      <c r="BI1255" s="17"/>
      <c r="BJ1255" s="17"/>
      <c r="BK1255" s="17"/>
      <c r="BL1255" s="17"/>
      <c r="BM1255" s="17"/>
      <c r="BN1255" s="17"/>
      <c r="BO1255" s="17"/>
      <c r="BP1255" s="17"/>
      <c r="BQ1255" s="17"/>
      <c r="BR1255" s="17"/>
      <c r="BS1255" s="17"/>
      <c r="BT1255" s="17"/>
      <c r="BU1255" s="17"/>
      <c r="BV1255" s="17"/>
      <c r="BW1255" s="17"/>
      <c r="BX1255" s="17"/>
    </row>
    <row r="1256" customHeight="1" spans="1:76">
      <c r="A1256" s="17"/>
      <c r="B1256" s="17"/>
      <c r="C1256" s="17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7"/>
      <c r="AH1256" s="17"/>
      <c r="AI1256" s="17"/>
      <c r="AJ1256" s="17"/>
      <c r="AK1256" s="17"/>
      <c r="AL1256" s="17"/>
      <c r="AM1256" s="17"/>
      <c r="AN1256" s="17"/>
      <c r="AO1256" s="17"/>
      <c r="AP1256" s="17"/>
      <c r="AQ1256" s="17"/>
      <c r="AR1256" s="17"/>
      <c r="AS1256" s="17"/>
      <c r="AT1256" s="17"/>
      <c r="AU1256" s="17"/>
      <c r="AV1256" s="17"/>
      <c r="AW1256" s="17"/>
      <c r="AX1256" s="17"/>
      <c r="AY1256" s="17"/>
      <c r="AZ1256" s="17"/>
      <c r="BA1256" s="17"/>
      <c r="BB1256" s="17"/>
      <c r="BC1256" s="17"/>
      <c r="BD1256" s="17"/>
      <c r="BE1256" s="17"/>
      <c r="BF1256" s="17"/>
      <c r="BG1256" s="17"/>
      <c r="BH1256" s="17"/>
      <c r="BI1256" s="17"/>
      <c r="BJ1256" s="17"/>
      <c r="BK1256" s="17"/>
      <c r="BL1256" s="17"/>
      <c r="BM1256" s="17"/>
      <c r="BN1256" s="17"/>
      <c r="BO1256" s="17"/>
      <c r="BP1256" s="17"/>
      <c r="BQ1256" s="17"/>
      <c r="BR1256" s="17"/>
      <c r="BS1256" s="17"/>
      <c r="BT1256" s="17"/>
      <c r="BU1256" s="17"/>
      <c r="BV1256" s="17"/>
      <c r="BW1256" s="17"/>
      <c r="BX1256" s="17"/>
    </row>
    <row r="1257" customHeight="1" spans="1:76">
      <c r="A1257" s="17"/>
      <c r="B1257" s="17"/>
      <c r="C1257" s="17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17"/>
      <c r="AF1257" s="17"/>
      <c r="AG1257" s="17"/>
      <c r="AH1257" s="17"/>
      <c r="AI1257" s="17"/>
      <c r="AJ1257" s="17"/>
      <c r="AK1257" s="17"/>
      <c r="AL1257" s="17"/>
      <c r="AM1257" s="17"/>
      <c r="AN1257" s="17"/>
      <c r="AO1257" s="17"/>
      <c r="AP1257" s="17"/>
      <c r="AQ1257" s="17"/>
      <c r="AR1257" s="17"/>
      <c r="AS1257" s="17"/>
      <c r="AT1257" s="17"/>
      <c r="AU1257" s="17"/>
      <c r="AV1257" s="17"/>
      <c r="AW1257" s="17"/>
      <c r="AX1257" s="17"/>
      <c r="AY1257" s="17"/>
      <c r="AZ1257" s="17"/>
      <c r="BA1257" s="17"/>
      <c r="BB1257" s="17"/>
      <c r="BC1257" s="17"/>
      <c r="BD1257" s="17"/>
      <c r="BE1257" s="17"/>
      <c r="BF1257" s="17"/>
      <c r="BG1257" s="17"/>
      <c r="BH1257" s="17"/>
      <c r="BI1257" s="17"/>
      <c r="BJ1257" s="17"/>
      <c r="BK1257" s="17"/>
      <c r="BL1257" s="17"/>
      <c r="BM1257" s="17"/>
      <c r="BN1257" s="17"/>
      <c r="BO1257" s="17"/>
      <c r="BP1257" s="17"/>
      <c r="BQ1257" s="17"/>
      <c r="BR1257" s="17"/>
      <c r="BS1257" s="17"/>
      <c r="BT1257" s="17"/>
      <c r="BU1257" s="17"/>
      <c r="BV1257" s="17"/>
      <c r="BW1257" s="17"/>
      <c r="BX1257" s="17"/>
    </row>
    <row r="1258" customHeight="1" spans="1:76">
      <c r="A1258" s="17"/>
      <c r="B1258" s="17"/>
      <c r="C1258" s="17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  <c r="AH1258" s="17"/>
      <c r="AI1258" s="17"/>
      <c r="AJ1258" s="17"/>
      <c r="AK1258" s="17"/>
      <c r="AL1258" s="17"/>
      <c r="AM1258" s="17"/>
      <c r="AN1258" s="17"/>
      <c r="AO1258" s="17"/>
      <c r="AP1258" s="17"/>
      <c r="AQ1258" s="17"/>
      <c r="AR1258" s="17"/>
      <c r="AS1258" s="17"/>
      <c r="AT1258" s="17"/>
      <c r="AU1258" s="17"/>
      <c r="AV1258" s="17"/>
      <c r="AW1258" s="17"/>
      <c r="AX1258" s="17"/>
      <c r="AY1258" s="17"/>
      <c r="AZ1258" s="17"/>
      <c r="BA1258" s="17"/>
      <c r="BB1258" s="17"/>
      <c r="BC1258" s="17"/>
      <c r="BD1258" s="17"/>
      <c r="BE1258" s="17"/>
      <c r="BF1258" s="17"/>
      <c r="BG1258" s="17"/>
      <c r="BH1258" s="17"/>
      <c r="BI1258" s="17"/>
      <c r="BJ1258" s="17"/>
      <c r="BK1258" s="17"/>
      <c r="BL1258" s="17"/>
      <c r="BM1258" s="17"/>
      <c r="BN1258" s="17"/>
      <c r="BO1258" s="17"/>
      <c r="BP1258" s="17"/>
      <c r="BQ1258" s="17"/>
      <c r="BR1258" s="17"/>
      <c r="BS1258" s="17"/>
      <c r="BT1258" s="17"/>
      <c r="BU1258" s="17"/>
      <c r="BV1258" s="17"/>
      <c r="BW1258" s="17"/>
      <c r="BX1258" s="17"/>
    </row>
    <row r="1259" customHeight="1" spans="1:76">
      <c r="A1259" s="17"/>
      <c r="B1259" s="17"/>
      <c r="C1259" s="17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7"/>
      <c r="AI1259" s="17"/>
      <c r="AJ1259" s="17"/>
      <c r="AK1259" s="17"/>
      <c r="AL1259" s="17"/>
      <c r="AM1259" s="17"/>
      <c r="AN1259" s="17"/>
      <c r="AO1259" s="17"/>
      <c r="AP1259" s="17"/>
      <c r="AQ1259" s="17"/>
      <c r="AR1259" s="17"/>
      <c r="AS1259" s="17"/>
      <c r="AT1259" s="17"/>
      <c r="AU1259" s="17"/>
      <c r="AV1259" s="17"/>
      <c r="AW1259" s="17"/>
      <c r="AX1259" s="17"/>
      <c r="AY1259" s="17"/>
      <c r="AZ1259" s="17"/>
      <c r="BA1259" s="17"/>
      <c r="BB1259" s="17"/>
      <c r="BC1259" s="17"/>
      <c r="BD1259" s="17"/>
      <c r="BE1259" s="17"/>
      <c r="BF1259" s="17"/>
      <c r="BG1259" s="17"/>
      <c r="BH1259" s="17"/>
      <c r="BI1259" s="17"/>
      <c r="BJ1259" s="17"/>
      <c r="BK1259" s="17"/>
      <c r="BL1259" s="17"/>
      <c r="BM1259" s="17"/>
      <c r="BN1259" s="17"/>
      <c r="BO1259" s="17"/>
      <c r="BP1259" s="17"/>
      <c r="BQ1259" s="17"/>
      <c r="BR1259" s="17"/>
      <c r="BS1259" s="17"/>
      <c r="BT1259" s="17"/>
      <c r="BU1259" s="17"/>
      <c r="BV1259" s="17"/>
      <c r="BW1259" s="17"/>
      <c r="BX1259" s="17"/>
    </row>
    <row r="1260" customHeight="1" spans="1:76">
      <c r="A1260" s="17"/>
      <c r="B1260" s="17"/>
      <c r="C1260" s="17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7"/>
      <c r="AI1260" s="17"/>
      <c r="AJ1260" s="17"/>
      <c r="AK1260" s="17"/>
      <c r="AL1260" s="17"/>
      <c r="AM1260" s="17"/>
      <c r="AN1260" s="17"/>
      <c r="AO1260" s="17"/>
      <c r="AP1260" s="17"/>
      <c r="AQ1260" s="17"/>
      <c r="AR1260" s="17"/>
      <c r="AS1260" s="17"/>
      <c r="AT1260" s="17"/>
      <c r="AU1260" s="17"/>
      <c r="AV1260" s="17"/>
      <c r="AW1260" s="17"/>
      <c r="AX1260" s="17"/>
      <c r="AY1260" s="17"/>
      <c r="AZ1260" s="17"/>
      <c r="BA1260" s="17"/>
      <c r="BB1260" s="17"/>
      <c r="BC1260" s="17"/>
      <c r="BD1260" s="17"/>
      <c r="BE1260" s="17"/>
      <c r="BF1260" s="17"/>
      <c r="BG1260" s="17"/>
      <c r="BH1260" s="17"/>
      <c r="BI1260" s="17"/>
      <c r="BJ1260" s="17"/>
      <c r="BK1260" s="17"/>
      <c r="BL1260" s="17"/>
      <c r="BM1260" s="17"/>
      <c r="BN1260" s="17"/>
      <c r="BO1260" s="17"/>
      <c r="BP1260" s="17"/>
      <c r="BQ1260" s="17"/>
      <c r="BR1260" s="17"/>
      <c r="BS1260" s="17"/>
      <c r="BT1260" s="17"/>
      <c r="BU1260" s="17"/>
      <c r="BV1260" s="17"/>
      <c r="BW1260" s="17"/>
      <c r="BX1260" s="17"/>
    </row>
    <row r="1261" customHeight="1" spans="1:76">
      <c r="A1261" s="17"/>
      <c r="B1261" s="17"/>
      <c r="C1261" s="17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  <c r="AH1261" s="17"/>
      <c r="AI1261" s="17"/>
      <c r="AJ1261" s="17"/>
      <c r="AK1261" s="17"/>
      <c r="AL1261" s="17"/>
      <c r="AM1261" s="17"/>
      <c r="AN1261" s="17"/>
      <c r="AO1261" s="17"/>
      <c r="AP1261" s="17"/>
      <c r="AQ1261" s="17"/>
      <c r="AR1261" s="17"/>
      <c r="AS1261" s="17"/>
      <c r="AT1261" s="17"/>
      <c r="AU1261" s="17"/>
      <c r="AV1261" s="17"/>
      <c r="AW1261" s="17"/>
      <c r="AX1261" s="17"/>
      <c r="AY1261" s="17"/>
      <c r="AZ1261" s="17"/>
      <c r="BA1261" s="17"/>
      <c r="BB1261" s="17"/>
      <c r="BC1261" s="17"/>
      <c r="BD1261" s="17"/>
      <c r="BE1261" s="17"/>
      <c r="BF1261" s="17"/>
      <c r="BG1261" s="17"/>
      <c r="BH1261" s="17"/>
      <c r="BI1261" s="17"/>
      <c r="BJ1261" s="17"/>
      <c r="BK1261" s="17"/>
      <c r="BL1261" s="17"/>
      <c r="BM1261" s="17"/>
      <c r="BN1261" s="17"/>
      <c r="BO1261" s="17"/>
      <c r="BP1261" s="17"/>
      <c r="BQ1261" s="17"/>
      <c r="BR1261" s="17"/>
      <c r="BS1261" s="17"/>
      <c r="BT1261" s="17"/>
      <c r="BU1261" s="17"/>
      <c r="BV1261" s="17"/>
      <c r="BW1261" s="17"/>
      <c r="BX1261" s="17"/>
    </row>
    <row r="1262" customHeight="1" spans="1:76">
      <c r="A1262" s="17"/>
      <c r="B1262" s="17"/>
      <c r="C1262" s="17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17"/>
      <c r="AF1262" s="17"/>
      <c r="AG1262" s="17"/>
      <c r="AH1262" s="17"/>
      <c r="AI1262" s="17"/>
      <c r="AJ1262" s="17"/>
      <c r="AK1262" s="17"/>
      <c r="AL1262" s="17"/>
      <c r="AM1262" s="17"/>
      <c r="AN1262" s="17"/>
      <c r="AO1262" s="17"/>
      <c r="AP1262" s="17"/>
      <c r="AQ1262" s="17"/>
      <c r="AR1262" s="17"/>
      <c r="AS1262" s="17"/>
      <c r="AT1262" s="17"/>
      <c r="AU1262" s="17"/>
      <c r="AV1262" s="17"/>
      <c r="AW1262" s="17"/>
      <c r="AX1262" s="17"/>
      <c r="AY1262" s="17"/>
      <c r="AZ1262" s="17"/>
      <c r="BA1262" s="17"/>
      <c r="BB1262" s="17"/>
      <c r="BC1262" s="17"/>
      <c r="BD1262" s="17"/>
      <c r="BE1262" s="17"/>
      <c r="BF1262" s="17"/>
      <c r="BG1262" s="17"/>
      <c r="BH1262" s="17"/>
      <c r="BI1262" s="17"/>
      <c r="BJ1262" s="17"/>
      <c r="BK1262" s="17"/>
      <c r="BL1262" s="17"/>
      <c r="BM1262" s="17"/>
      <c r="BN1262" s="17"/>
      <c r="BO1262" s="17"/>
      <c r="BP1262" s="17"/>
      <c r="BQ1262" s="17"/>
      <c r="BR1262" s="17"/>
      <c r="BS1262" s="17"/>
      <c r="BT1262" s="17"/>
      <c r="BU1262" s="17"/>
      <c r="BV1262" s="17"/>
      <c r="BW1262" s="17"/>
      <c r="BX1262" s="17"/>
    </row>
    <row r="1263" customHeight="1" spans="1:76">
      <c r="A1263" s="17"/>
      <c r="B1263" s="17"/>
      <c r="C1263" s="17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17"/>
      <c r="AF1263" s="17"/>
      <c r="AG1263" s="17"/>
      <c r="AH1263" s="17"/>
      <c r="AI1263" s="17"/>
      <c r="AJ1263" s="17"/>
      <c r="AK1263" s="17"/>
      <c r="AL1263" s="17"/>
      <c r="AM1263" s="17"/>
      <c r="AN1263" s="17"/>
      <c r="AO1263" s="17"/>
      <c r="AP1263" s="17"/>
      <c r="AQ1263" s="17"/>
      <c r="AR1263" s="17"/>
      <c r="AS1263" s="17"/>
      <c r="AT1263" s="17"/>
      <c r="AU1263" s="17"/>
      <c r="AV1263" s="17"/>
      <c r="AW1263" s="17"/>
      <c r="AX1263" s="17"/>
      <c r="AY1263" s="17"/>
      <c r="AZ1263" s="17"/>
      <c r="BA1263" s="17"/>
      <c r="BB1263" s="17"/>
      <c r="BC1263" s="17"/>
      <c r="BD1263" s="17"/>
      <c r="BE1263" s="17"/>
      <c r="BF1263" s="17"/>
      <c r="BG1263" s="17"/>
      <c r="BH1263" s="17"/>
      <c r="BI1263" s="17"/>
      <c r="BJ1263" s="17"/>
      <c r="BK1263" s="17"/>
      <c r="BL1263" s="17"/>
      <c r="BM1263" s="17"/>
      <c r="BN1263" s="17"/>
      <c r="BO1263" s="17"/>
      <c r="BP1263" s="17"/>
      <c r="BQ1263" s="17"/>
      <c r="BR1263" s="17"/>
      <c r="BS1263" s="17"/>
      <c r="BT1263" s="17"/>
      <c r="BU1263" s="17"/>
      <c r="BV1263" s="17"/>
      <c r="BW1263" s="17"/>
      <c r="BX1263" s="17"/>
    </row>
    <row r="1264" customHeight="1" spans="1:76">
      <c r="A1264" s="17"/>
      <c r="B1264" s="17"/>
      <c r="C1264" s="17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  <c r="AH1264" s="17"/>
      <c r="AI1264" s="17"/>
      <c r="AJ1264" s="17"/>
      <c r="AK1264" s="17"/>
      <c r="AL1264" s="17"/>
      <c r="AM1264" s="17"/>
      <c r="AN1264" s="17"/>
      <c r="AO1264" s="17"/>
      <c r="AP1264" s="17"/>
      <c r="AQ1264" s="17"/>
      <c r="AR1264" s="17"/>
      <c r="AS1264" s="17"/>
      <c r="AT1264" s="17"/>
      <c r="AU1264" s="17"/>
      <c r="AV1264" s="17"/>
      <c r="AW1264" s="17"/>
      <c r="AX1264" s="17"/>
      <c r="AY1264" s="17"/>
      <c r="AZ1264" s="17"/>
      <c r="BA1264" s="17"/>
      <c r="BB1264" s="17"/>
      <c r="BC1264" s="17"/>
      <c r="BD1264" s="17"/>
      <c r="BE1264" s="17"/>
      <c r="BF1264" s="17"/>
      <c r="BG1264" s="17"/>
      <c r="BH1264" s="17"/>
      <c r="BI1264" s="17"/>
      <c r="BJ1264" s="17"/>
      <c r="BK1264" s="17"/>
      <c r="BL1264" s="17"/>
      <c r="BM1264" s="17"/>
      <c r="BN1264" s="17"/>
      <c r="BO1264" s="17"/>
      <c r="BP1264" s="17"/>
      <c r="BQ1264" s="17"/>
      <c r="BR1264" s="17"/>
      <c r="BS1264" s="17"/>
      <c r="BT1264" s="17"/>
      <c r="BU1264" s="17"/>
      <c r="BV1264" s="17"/>
      <c r="BW1264" s="17"/>
      <c r="BX1264" s="17"/>
    </row>
    <row r="1265" customHeight="1" spans="1:76">
      <c r="A1265" s="17"/>
      <c r="B1265" s="17"/>
      <c r="C1265" s="17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  <c r="AH1265" s="17"/>
      <c r="AI1265" s="17"/>
      <c r="AJ1265" s="17"/>
      <c r="AK1265" s="17"/>
      <c r="AL1265" s="17"/>
      <c r="AM1265" s="17"/>
      <c r="AN1265" s="17"/>
      <c r="AO1265" s="17"/>
      <c r="AP1265" s="17"/>
      <c r="AQ1265" s="17"/>
      <c r="AR1265" s="17"/>
      <c r="AS1265" s="17"/>
      <c r="AT1265" s="17"/>
      <c r="AU1265" s="17"/>
      <c r="AV1265" s="17"/>
      <c r="AW1265" s="17"/>
      <c r="AX1265" s="17"/>
      <c r="AY1265" s="17"/>
      <c r="AZ1265" s="17"/>
      <c r="BA1265" s="17"/>
      <c r="BB1265" s="17"/>
      <c r="BC1265" s="17"/>
      <c r="BD1265" s="17"/>
      <c r="BE1265" s="17"/>
      <c r="BF1265" s="17"/>
      <c r="BG1265" s="17"/>
      <c r="BH1265" s="17"/>
      <c r="BI1265" s="17"/>
      <c r="BJ1265" s="17"/>
      <c r="BK1265" s="17"/>
      <c r="BL1265" s="17"/>
      <c r="BM1265" s="17"/>
      <c r="BN1265" s="17"/>
      <c r="BO1265" s="17"/>
      <c r="BP1265" s="17"/>
      <c r="BQ1265" s="17"/>
      <c r="BR1265" s="17"/>
      <c r="BS1265" s="17"/>
      <c r="BT1265" s="17"/>
      <c r="BU1265" s="17"/>
      <c r="BV1265" s="17"/>
      <c r="BW1265" s="17"/>
      <c r="BX1265" s="17"/>
    </row>
    <row r="1266" customHeight="1" spans="1:76">
      <c r="A1266" s="17"/>
      <c r="B1266" s="17"/>
      <c r="C1266" s="17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17"/>
      <c r="AF1266" s="17"/>
      <c r="AG1266" s="17"/>
      <c r="AH1266" s="17"/>
      <c r="AI1266" s="17"/>
      <c r="AJ1266" s="17"/>
      <c r="AK1266" s="17"/>
      <c r="AL1266" s="17"/>
      <c r="AM1266" s="17"/>
      <c r="AN1266" s="17"/>
      <c r="AO1266" s="17"/>
      <c r="AP1266" s="17"/>
      <c r="AQ1266" s="17"/>
      <c r="AR1266" s="17"/>
      <c r="AS1266" s="17"/>
      <c r="AT1266" s="17"/>
      <c r="AU1266" s="17"/>
      <c r="AV1266" s="17"/>
      <c r="AW1266" s="17"/>
      <c r="AX1266" s="17"/>
      <c r="AY1266" s="17"/>
      <c r="AZ1266" s="17"/>
      <c r="BA1266" s="17"/>
      <c r="BB1266" s="17"/>
      <c r="BC1266" s="17"/>
      <c r="BD1266" s="17"/>
      <c r="BE1266" s="17"/>
      <c r="BF1266" s="17"/>
      <c r="BG1266" s="17"/>
      <c r="BH1266" s="17"/>
      <c r="BI1266" s="17"/>
      <c r="BJ1266" s="17"/>
      <c r="BK1266" s="17"/>
      <c r="BL1266" s="17"/>
      <c r="BM1266" s="17"/>
      <c r="BN1266" s="17"/>
      <c r="BO1266" s="17"/>
      <c r="BP1266" s="17"/>
      <c r="BQ1266" s="17"/>
      <c r="BR1266" s="17"/>
      <c r="BS1266" s="17"/>
      <c r="BT1266" s="17"/>
      <c r="BU1266" s="17"/>
      <c r="BV1266" s="17"/>
      <c r="BW1266" s="17"/>
      <c r="BX1266" s="17"/>
    </row>
    <row r="1267" customHeight="1" spans="1:76">
      <c r="A1267" s="17"/>
      <c r="B1267" s="17"/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17"/>
      <c r="AF1267" s="17"/>
      <c r="AG1267" s="17"/>
      <c r="AH1267" s="17"/>
      <c r="AI1267" s="17"/>
      <c r="AJ1267" s="17"/>
      <c r="AK1267" s="17"/>
      <c r="AL1267" s="17"/>
      <c r="AM1267" s="17"/>
      <c r="AN1267" s="17"/>
      <c r="AO1267" s="17"/>
      <c r="AP1267" s="17"/>
      <c r="AQ1267" s="17"/>
      <c r="AR1267" s="17"/>
      <c r="AS1267" s="17"/>
      <c r="AT1267" s="17"/>
      <c r="AU1267" s="17"/>
      <c r="AV1267" s="17"/>
      <c r="AW1267" s="17"/>
      <c r="AX1267" s="17"/>
      <c r="AY1267" s="17"/>
      <c r="AZ1267" s="17"/>
      <c r="BA1267" s="17"/>
      <c r="BB1267" s="17"/>
      <c r="BC1267" s="17"/>
      <c r="BD1267" s="17"/>
      <c r="BE1267" s="17"/>
      <c r="BF1267" s="17"/>
      <c r="BG1267" s="17"/>
      <c r="BH1267" s="17"/>
      <c r="BI1267" s="17"/>
      <c r="BJ1267" s="17"/>
      <c r="BK1267" s="17"/>
      <c r="BL1267" s="17"/>
      <c r="BM1267" s="17"/>
      <c r="BN1267" s="17"/>
      <c r="BO1267" s="17"/>
      <c r="BP1267" s="17"/>
      <c r="BQ1267" s="17"/>
      <c r="BR1267" s="17"/>
      <c r="BS1267" s="17"/>
      <c r="BT1267" s="17"/>
      <c r="BU1267" s="17"/>
      <c r="BV1267" s="17"/>
      <c r="BW1267" s="17"/>
      <c r="BX1267" s="17"/>
    </row>
    <row r="1268" customHeight="1" spans="1:76">
      <c r="A1268" s="17"/>
      <c r="B1268" s="17"/>
      <c r="C1268" s="17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17"/>
      <c r="AF1268" s="17"/>
      <c r="AG1268" s="17"/>
      <c r="AH1268" s="17"/>
      <c r="AI1268" s="17"/>
      <c r="AJ1268" s="17"/>
      <c r="AK1268" s="17"/>
      <c r="AL1268" s="17"/>
      <c r="AM1268" s="17"/>
      <c r="AN1268" s="17"/>
      <c r="AO1268" s="17"/>
      <c r="AP1268" s="17"/>
      <c r="AQ1268" s="17"/>
      <c r="AR1268" s="17"/>
      <c r="AS1268" s="17"/>
      <c r="AT1268" s="17"/>
      <c r="AU1268" s="17"/>
      <c r="AV1268" s="17"/>
      <c r="AW1268" s="17"/>
      <c r="AX1268" s="17"/>
      <c r="AY1268" s="17"/>
      <c r="AZ1268" s="17"/>
      <c r="BA1268" s="17"/>
      <c r="BB1268" s="17"/>
      <c r="BC1268" s="17"/>
      <c r="BD1268" s="17"/>
      <c r="BE1268" s="17"/>
      <c r="BF1268" s="17"/>
      <c r="BG1268" s="17"/>
      <c r="BH1268" s="17"/>
      <c r="BI1268" s="17"/>
      <c r="BJ1268" s="17"/>
      <c r="BK1268" s="17"/>
      <c r="BL1268" s="17"/>
      <c r="BM1268" s="17"/>
      <c r="BN1268" s="17"/>
      <c r="BO1268" s="17"/>
      <c r="BP1268" s="17"/>
      <c r="BQ1268" s="17"/>
      <c r="BR1268" s="17"/>
      <c r="BS1268" s="17"/>
      <c r="BT1268" s="17"/>
      <c r="BU1268" s="17"/>
      <c r="BV1268" s="17"/>
      <c r="BW1268" s="17"/>
      <c r="BX1268" s="17"/>
    </row>
    <row r="1269" customHeight="1" spans="1:76">
      <c r="A1269" s="17"/>
      <c r="B1269" s="17"/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17"/>
      <c r="AF1269" s="17"/>
      <c r="AG1269" s="17"/>
      <c r="AH1269" s="17"/>
      <c r="AI1269" s="17"/>
      <c r="AJ1269" s="17"/>
      <c r="AK1269" s="17"/>
      <c r="AL1269" s="17"/>
      <c r="AM1269" s="17"/>
      <c r="AN1269" s="17"/>
      <c r="AO1269" s="17"/>
      <c r="AP1269" s="17"/>
      <c r="AQ1269" s="17"/>
      <c r="AR1269" s="17"/>
      <c r="AS1269" s="17"/>
      <c r="AT1269" s="17"/>
      <c r="AU1269" s="17"/>
      <c r="AV1269" s="17"/>
      <c r="AW1269" s="17"/>
      <c r="AX1269" s="17"/>
      <c r="AY1269" s="17"/>
      <c r="AZ1269" s="17"/>
      <c r="BA1269" s="17"/>
      <c r="BB1269" s="17"/>
      <c r="BC1269" s="17"/>
      <c r="BD1269" s="17"/>
      <c r="BE1269" s="17"/>
      <c r="BF1269" s="17"/>
      <c r="BG1269" s="17"/>
      <c r="BH1269" s="17"/>
      <c r="BI1269" s="17"/>
      <c r="BJ1269" s="17"/>
      <c r="BK1269" s="17"/>
      <c r="BL1269" s="17"/>
      <c r="BM1269" s="17"/>
      <c r="BN1269" s="17"/>
      <c r="BO1269" s="17"/>
      <c r="BP1269" s="17"/>
      <c r="BQ1269" s="17"/>
      <c r="BR1269" s="17"/>
      <c r="BS1269" s="17"/>
      <c r="BT1269" s="17"/>
      <c r="BU1269" s="17"/>
      <c r="BV1269" s="17"/>
      <c r="BW1269" s="17"/>
      <c r="BX1269" s="17"/>
    </row>
    <row r="1270" customHeight="1" spans="1:76">
      <c r="A1270" s="17"/>
      <c r="B1270" s="17"/>
      <c r="C1270" s="17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17"/>
      <c r="AF1270" s="17"/>
      <c r="AG1270" s="17"/>
      <c r="AH1270" s="17"/>
      <c r="AI1270" s="17"/>
      <c r="AJ1270" s="17"/>
      <c r="AK1270" s="17"/>
      <c r="AL1270" s="17"/>
      <c r="AM1270" s="17"/>
      <c r="AN1270" s="17"/>
      <c r="AO1270" s="17"/>
      <c r="AP1270" s="17"/>
      <c r="AQ1270" s="17"/>
      <c r="AR1270" s="17"/>
      <c r="AS1270" s="17"/>
      <c r="AT1270" s="17"/>
      <c r="AU1270" s="17"/>
      <c r="AV1270" s="17"/>
      <c r="AW1270" s="17"/>
      <c r="AX1270" s="17"/>
      <c r="AY1270" s="17"/>
      <c r="AZ1270" s="17"/>
      <c r="BA1270" s="17"/>
      <c r="BB1270" s="17"/>
      <c r="BC1270" s="17"/>
      <c r="BD1270" s="17"/>
      <c r="BE1270" s="17"/>
      <c r="BF1270" s="17"/>
      <c r="BG1270" s="17"/>
      <c r="BH1270" s="17"/>
      <c r="BI1270" s="17"/>
      <c r="BJ1270" s="17"/>
      <c r="BK1270" s="17"/>
      <c r="BL1270" s="17"/>
      <c r="BM1270" s="17"/>
      <c r="BN1270" s="17"/>
      <c r="BO1270" s="17"/>
      <c r="BP1270" s="17"/>
      <c r="BQ1270" s="17"/>
      <c r="BR1270" s="17"/>
      <c r="BS1270" s="17"/>
      <c r="BT1270" s="17"/>
      <c r="BU1270" s="17"/>
      <c r="BV1270" s="17"/>
      <c r="BW1270" s="17"/>
      <c r="BX1270" s="17"/>
    </row>
    <row r="1271" customHeight="1" spans="1:76">
      <c r="A1271" s="17"/>
      <c r="B1271" s="17"/>
      <c r="C1271" s="17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17"/>
      <c r="AF1271" s="17"/>
      <c r="AG1271" s="17"/>
      <c r="AH1271" s="17"/>
      <c r="AI1271" s="17"/>
      <c r="AJ1271" s="17"/>
      <c r="AK1271" s="17"/>
      <c r="AL1271" s="17"/>
      <c r="AM1271" s="17"/>
      <c r="AN1271" s="17"/>
      <c r="AO1271" s="17"/>
      <c r="AP1271" s="17"/>
      <c r="AQ1271" s="17"/>
      <c r="AR1271" s="17"/>
      <c r="AS1271" s="17"/>
      <c r="AT1271" s="17"/>
      <c r="AU1271" s="17"/>
      <c r="AV1271" s="17"/>
      <c r="AW1271" s="17"/>
      <c r="AX1271" s="17"/>
      <c r="AY1271" s="17"/>
      <c r="AZ1271" s="17"/>
      <c r="BA1271" s="17"/>
      <c r="BB1271" s="17"/>
      <c r="BC1271" s="17"/>
      <c r="BD1271" s="17"/>
      <c r="BE1271" s="17"/>
      <c r="BF1271" s="17"/>
      <c r="BG1271" s="17"/>
      <c r="BH1271" s="17"/>
      <c r="BI1271" s="17"/>
      <c r="BJ1271" s="17"/>
      <c r="BK1271" s="17"/>
      <c r="BL1271" s="17"/>
      <c r="BM1271" s="17"/>
      <c r="BN1271" s="17"/>
      <c r="BO1271" s="17"/>
      <c r="BP1271" s="17"/>
      <c r="BQ1271" s="17"/>
      <c r="BR1271" s="17"/>
      <c r="BS1271" s="17"/>
      <c r="BT1271" s="17"/>
      <c r="BU1271" s="17"/>
      <c r="BV1271" s="17"/>
      <c r="BW1271" s="17"/>
      <c r="BX1271" s="17"/>
    </row>
    <row r="1272" customHeight="1" spans="1:76">
      <c r="A1272" s="17"/>
      <c r="B1272" s="17"/>
      <c r="C1272" s="17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17"/>
      <c r="AF1272" s="17"/>
      <c r="AG1272" s="17"/>
      <c r="AH1272" s="17"/>
      <c r="AI1272" s="17"/>
      <c r="AJ1272" s="17"/>
      <c r="AK1272" s="17"/>
      <c r="AL1272" s="17"/>
      <c r="AM1272" s="17"/>
      <c r="AN1272" s="17"/>
      <c r="AO1272" s="17"/>
      <c r="AP1272" s="17"/>
      <c r="AQ1272" s="17"/>
      <c r="AR1272" s="17"/>
      <c r="AS1272" s="17"/>
      <c r="AT1272" s="17"/>
      <c r="AU1272" s="17"/>
      <c r="AV1272" s="17"/>
      <c r="AW1272" s="17"/>
      <c r="AX1272" s="17"/>
      <c r="AY1272" s="17"/>
      <c r="AZ1272" s="17"/>
      <c r="BA1272" s="17"/>
      <c r="BB1272" s="17"/>
      <c r="BC1272" s="17"/>
      <c r="BD1272" s="17"/>
      <c r="BE1272" s="17"/>
      <c r="BF1272" s="17"/>
      <c r="BG1272" s="17"/>
      <c r="BH1272" s="17"/>
      <c r="BI1272" s="17"/>
      <c r="BJ1272" s="17"/>
      <c r="BK1272" s="17"/>
      <c r="BL1272" s="17"/>
      <c r="BM1272" s="17"/>
      <c r="BN1272" s="17"/>
      <c r="BO1272" s="17"/>
      <c r="BP1272" s="17"/>
      <c r="BQ1272" s="17"/>
      <c r="BR1272" s="17"/>
      <c r="BS1272" s="17"/>
      <c r="BT1272" s="17"/>
      <c r="BU1272" s="17"/>
      <c r="BV1272" s="17"/>
      <c r="BW1272" s="17"/>
      <c r="BX1272" s="17"/>
    </row>
    <row r="1273" customHeight="1" spans="1:76">
      <c r="A1273" s="17"/>
      <c r="B1273" s="17"/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  <c r="AD1273" s="17"/>
      <c r="AE1273" s="17"/>
      <c r="AF1273" s="17"/>
      <c r="AG1273" s="17"/>
      <c r="AH1273" s="17"/>
      <c r="AI1273" s="17"/>
      <c r="AJ1273" s="17"/>
      <c r="AK1273" s="17"/>
      <c r="AL1273" s="17"/>
      <c r="AM1273" s="17"/>
      <c r="AN1273" s="17"/>
      <c r="AO1273" s="17"/>
      <c r="AP1273" s="17"/>
      <c r="AQ1273" s="17"/>
      <c r="AR1273" s="17"/>
      <c r="AS1273" s="17"/>
      <c r="AT1273" s="17"/>
      <c r="AU1273" s="17"/>
      <c r="AV1273" s="17"/>
      <c r="AW1273" s="17"/>
      <c r="AX1273" s="17"/>
      <c r="AY1273" s="17"/>
      <c r="AZ1273" s="17"/>
      <c r="BA1273" s="17"/>
      <c r="BB1273" s="17"/>
      <c r="BC1273" s="17"/>
      <c r="BD1273" s="17"/>
      <c r="BE1273" s="17"/>
      <c r="BF1273" s="17"/>
      <c r="BG1273" s="17"/>
      <c r="BH1273" s="17"/>
      <c r="BI1273" s="17"/>
      <c r="BJ1273" s="17"/>
      <c r="BK1273" s="17"/>
      <c r="BL1273" s="17"/>
      <c r="BM1273" s="17"/>
      <c r="BN1273" s="17"/>
      <c r="BO1273" s="17"/>
      <c r="BP1273" s="17"/>
      <c r="BQ1273" s="17"/>
      <c r="BR1273" s="17"/>
      <c r="BS1273" s="17"/>
      <c r="BT1273" s="17"/>
      <c r="BU1273" s="17"/>
      <c r="BV1273" s="17"/>
      <c r="BW1273" s="17"/>
      <c r="BX1273" s="17"/>
    </row>
    <row r="1274" customHeight="1" spans="1:76">
      <c r="A1274" s="17"/>
      <c r="B1274" s="17"/>
      <c r="C1274" s="17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17"/>
      <c r="AF1274" s="17"/>
      <c r="AG1274" s="17"/>
      <c r="AH1274" s="17"/>
      <c r="AI1274" s="17"/>
      <c r="AJ1274" s="17"/>
      <c r="AK1274" s="17"/>
      <c r="AL1274" s="17"/>
      <c r="AM1274" s="17"/>
      <c r="AN1274" s="17"/>
      <c r="AO1274" s="17"/>
      <c r="AP1274" s="17"/>
      <c r="AQ1274" s="17"/>
      <c r="AR1274" s="17"/>
      <c r="AS1274" s="17"/>
      <c r="AT1274" s="17"/>
      <c r="AU1274" s="17"/>
      <c r="AV1274" s="17"/>
      <c r="AW1274" s="17"/>
      <c r="AX1274" s="17"/>
      <c r="AY1274" s="17"/>
      <c r="AZ1274" s="17"/>
      <c r="BA1274" s="17"/>
      <c r="BB1274" s="17"/>
      <c r="BC1274" s="17"/>
      <c r="BD1274" s="17"/>
      <c r="BE1274" s="17"/>
      <c r="BF1274" s="17"/>
      <c r="BG1274" s="17"/>
      <c r="BH1274" s="17"/>
      <c r="BI1274" s="17"/>
      <c r="BJ1274" s="17"/>
      <c r="BK1274" s="17"/>
      <c r="BL1274" s="17"/>
      <c r="BM1274" s="17"/>
      <c r="BN1274" s="17"/>
      <c r="BO1274" s="17"/>
      <c r="BP1274" s="17"/>
      <c r="BQ1274" s="17"/>
      <c r="BR1274" s="17"/>
      <c r="BS1274" s="17"/>
      <c r="BT1274" s="17"/>
      <c r="BU1274" s="17"/>
      <c r="BV1274" s="17"/>
      <c r="BW1274" s="17"/>
      <c r="BX1274" s="17"/>
    </row>
    <row r="1275" customHeight="1" spans="1:76">
      <c r="A1275" s="17"/>
      <c r="B1275" s="17"/>
      <c r="C1275" s="17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17"/>
      <c r="AF1275" s="17"/>
      <c r="AG1275" s="17"/>
      <c r="AH1275" s="17"/>
      <c r="AI1275" s="17"/>
      <c r="AJ1275" s="17"/>
      <c r="AK1275" s="17"/>
      <c r="AL1275" s="17"/>
      <c r="AM1275" s="17"/>
      <c r="AN1275" s="17"/>
      <c r="AO1275" s="17"/>
      <c r="AP1275" s="17"/>
      <c r="AQ1275" s="17"/>
      <c r="AR1275" s="17"/>
      <c r="AS1275" s="17"/>
      <c r="AT1275" s="17"/>
      <c r="AU1275" s="17"/>
      <c r="AV1275" s="17"/>
      <c r="AW1275" s="17"/>
      <c r="AX1275" s="17"/>
      <c r="AY1275" s="17"/>
      <c r="AZ1275" s="17"/>
      <c r="BA1275" s="17"/>
      <c r="BB1275" s="17"/>
      <c r="BC1275" s="17"/>
      <c r="BD1275" s="17"/>
      <c r="BE1275" s="17"/>
      <c r="BF1275" s="17"/>
      <c r="BG1275" s="17"/>
      <c r="BH1275" s="17"/>
      <c r="BI1275" s="17"/>
      <c r="BJ1275" s="17"/>
      <c r="BK1275" s="17"/>
      <c r="BL1275" s="17"/>
      <c r="BM1275" s="17"/>
      <c r="BN1275" s="17"/>
      <c r="BO1275" s="17"/>
      <c r="BP1275" s="17"/>
      <c r="BQ1275" s="17"/>
      <c r="BR1275" s="17"/>
      <c r="BS1275" s="17"/>
      <c r="BT1275" s="17"/>
      <c r="BU1275" s="17"/>
      <c r="BV1275" s="17"/>
      <c r="BW1275" s="17"/>
      <c r="BX1275" s="17"/>
    </row>
    <row r="1276" customHeight="1" spans="1:76">
      <c r="A1276" s="17"/>
      <c r="B1276" s="17"/>
      <c r="C1276" s="17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17"/>
      <c r="AF1276" s="17"/>
      <c r="AG1276" s="17"/>
      <c r="AH1276" s="17"/>
      <c r="AI1276" s="17"/>
      <c r="AJ1276" s="17"/>
      <c r="AK1276" s="17"/>
      <c r="AL1276" s="17"/>
      <c r="AM1276" s="17"/>
      <c r="AN1276" s="17"/>
      <c r="AO1276" s="17"/>
      <c r="AP1276" s="17"/>
      <c r="AQ1276" s="17"/>
      <c r="AR1276" s="17"/>
      <c r="AS1276" s="17"/>
      <c r="AT1276" s="17"/>
      <c r="AU1276" s="17"/>
      <c r="AV1276" s="17"/>
      <c r="AW1276" s="17"/>
      <c r="AX1276" s="17"/>
      <c r="AY1276" s="17"/>
      <c r="AZ1276" s="17"/>
      <c r="BA1276" s="17"/>
      <c r="BB1276" s="17"/>
      <c r="BC1276" s="17"/>
      <c r="BD1276" s="17"/>
      <c r="BE1276" s="17"/>
      <c r="BF1276" s="17"/>
      <c r="BG1276" s="17"/>
      <c r="BH1276" s="17"/>
      <c r="BI1276" s="17"/>
      <c r="BJ1276" s="17"/>
      <c r="BK1276" s="17"/>
      <c r="BL1276" s="17"/>
      <c r="BM1276" s="17"/>
      <c r="BN1276" s="17"/>
      <c r="BO1276" s="17"/>
      <c r="BP1276" s="17"/>
      <c r="BQ1276" s="17"/>
      <c r="BR1276" s="17"/>
      <c r="BS1276" s="17"/>
      <c r="BT1276" s="17"/>
      <c r="BU1276" s="17"/>
      <c r="BV1276" s="17"/>
      <c r="BW1276" s="17"/>
      <c r="BX1276" s="17"/>
    </row>
    <row r="1277" customHeight="1" spans="1:76">
      <c r="A1277" s="17"/>
      <c r="B1277" s="17"/>
      <c r="C1277" s="17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s="17"/>
      <c r="AP1277" s="17"/>
      <c r="AQ1277" s="17"/>
      <c r="AR1277" s="17"/>
      <c r="AS1277" s="17"/>
      <c r="AT1277" s="17"/>
      <c r="AU1277" s="17"/>
      <c r="AV1277" s="17"/>
      <c r="AW1277" s="17"/>
      <c r="AX1277" s="17"/>
      <c r="AY1277" s="17"/>
      <c r="AZ1277" s="17"/>
      <c r="BA1277" s="17"/>
      <c r="BB1277" s="17"/>
      <c r="BC1277" s="17"/>
      <c r="BD1277" s="17"/>
      <c r="BE1277" s="17"/>
      <c r="BF1277" s="17"/>
      <c r="BG1277" s="17"/>
      <c r="BH1277" s="17"/>
      <c r="BI1277" s="17"/>
      <c r="BJ1277" s="17"/>
      <c r="BK1277" s="17"/>
      <c r="BL1277" s="17"/>
      <c r="BM1277" s="17"/>
      <c r="BN1277" s="17"/>
      <c r="BO1277" s="17"/>
      <c r="BP1277" s="17"/>
      <c r="BQ1277" s="17"/>
      <c r="BR1277" s="17"/>
      <c r="BS1277" s="17"/>
      <c r="BT1277" s="17"/>
      <c r="BU1277" s="17"/>
      <c r="BV1277" s="17"/>
      <c r="BW1277" s="17"/>
      <c r="BX1277" s="17"/>
    </row>
    <row r="1278" customHeight="1" spans="1:76">
      <c r="A1278" s="17"/>
      <c r="B1278" s="17"/>
      <c r="C1278" s="17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7"/>
      <c r="AM1278" s="17"/>
      <c r="AN1278" s="17"/>
      <c r="AO1278" s="17"/>
      <c r="AP1278" s="17"/>
      <c r="AQ1278" s="17"/>
      <c r="AR1278" s="17"/>
      <c r="AS1278" s="17"/>
      <c r="AT1278" s="17"/>
      <c r="AU1278" s="17"/>
      <c r="AV1278" s="17"/>
      <c r="AW1278" s="17"/>
      <c r="AX1278" s="17"/>
      <c r="AY1278" s="17"/>
      <c r="AZ1278" s="17"/>
      <c r="BA1278" s="17"/>
      <c r="BB1278" s="17"/>
      <c r="BC1278" s="17"/>
      <c r="BD1278" s="17"/>
      <c r="BE1278" s="17"/>
      <c r="BF1278" s="17"/>
      <c r="BG1278" s="17"/>
      <c r="BH1278" s="17"/>
      <c r="BI1278" s="17"/>
      <c r="BJ1278" s="17"/>
      <c r="BK1278" s="17"/>
      <c r="BL1278" s="17"/>
      <c r="BM1278" s="17"/>
      <c r="BN1278" s="17"/>
      <c r="BO1278" s="17"/>
      <c r="BP1278" s="17"/>
      <c r="BQ1278" s="17"/>
      <c r="BR1278" s="17"/>
      <c r="BS1278" s="17"/>
      <c r="BT1278" s="17"/>
      <c r="BU1278" s="17"/>
      <c r="BV1278" s="17"/>
      <c r="BW1278" s="17"/>
      <c r="BX1278" s="17"/>
    </row>
    <row r="1279" customHeight="1" spans="1:76">
      <c r="A1279" s="17"/>
      <c r="B1279" s="17"/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  <c r="AH1279" s="17"/>
      <c r="AI1279" s="17"/>
      <c r="AJ1279" s="17"/>
      <c r="AK1279" s="17"/>
      <c r="AL1279" s="17"/>
      <c r="AM1279" s="17"/>
      <c r="AN1279" s="17"/>
      <c r="AO1279" s="17"/>
      <c r="AP1279" s="17"/>
      <c r="AQ1279" s="17"/>
      <c r="AR1279" s="17"/>
      <c r="AS1279" s="17"/>
      <c r="AT1279" s="17"/>
      <c r="AU1279" s="17"/>
      <c r="AV1279" s="17"/>
      <c r="AW1279" s="17"/>
      <c r="AX1279" s="17"/>
      <c r="AY1279" s="17"/>
      <c r="AZ1279" s="17"/>
      <c r="BA1279" s="17"/>
      <c r="BB1279" s="17"/>
      <c r="BC1279" s="17"/>
      <c r="BD1279" s="17"/>
      <c r="BE1279" s="17"/>
      <c r="BF1279" s="17"/>
      <c r="BG1279" s="17"/>
      <c r="BH1279" s="17"/>
      <c r="BI1279" s="17"/>
      <c r="BJ1279" s="17"/>
      <c r="BK1279" s="17"/>
      <c r="BL1279" s="17"/>
      <c r="BM1279" s="17"/>
      <c r="BN1279" s="17"/>
      <c r="BO1279" s="17"/>
      <c r="BP1279" s="17"/>
      <c r="BQ1279" s="17"/>
      <c r="BR1279" s="17"/>
      <c r="BS1279" s="17"/>
      <c r="BT1279" s="17"/>
      <c r="BU1279" s="17"/>
      <c r="BV1279" s="17"/>
      <c r="BW1279" s="17"/>
      <c r="BX1279" s="17"/>
    </row>
    <row r="1280" customHeight="1" spans="1:76">
      <c r="A1280" s="17"/>
      <c r="B1280" s="17"/>
      <c r="C1280" s="17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17"/>
      <c r="AF1280" s="17"/>
      <c r="AG1280" s="17"/>
      <c r="AH1280" s="17"/>
      <c r="AI1280" s="17"/>
      <c r="AJ1280" s="17"/>
      <c r="AK1280" s="17"/>
      <c r="AL1280" s="17"/>
      <c r="AM1280" s="17"/>
      <c r="AN1280" s="17"/>
      <c r="AO1280" s="17"/>
      <c r="AP1280" s="17"/>
      <c r="AQ1280" s="17"/>
      <c r="AR1280" s="17"/>
      <c r="AS1280" s="17"/>
      <c r="AT1280" s="17"/>
      <c r="AU1280" s="17"/>
      <c r="AV1280" s="17"/>
      <c r="AW1280" s="17"/>
      <c r="AX1280" s="17"/>
      <c r="AY1280" s="17"/>
      <c r="AZ1280" s="17"/>
      <c r="BA1280" s="17"/>
      <c r="BB1280" s="17"/>
      <c r="BC1280" s="17"/>
      <c r="BD1280" s="17"/>
      <c r="BE1280" s="17"/>
      <c r="BF1280" s="17"/>
      <c r="BG1280" s="17"/>
      <c r="BH1280" s="17"/>
      <c r="BI1280" s="17"/>
      <c r="BJ1280" s="17"/>
      <c r="BK1280" s="17"/>
      <c r="BL1280" s="17"/>
      <c r="BM1280" s="17"/>
      <c r="BN1280" s="17"/>
      <c r="BO1280" s="17"/>
      <c r="BP1280" s="17"/>
      <c r="BQ1280" s="17"/>
      <c r="BR1280" s="17"/>
      <c r="BS1280" s="17"/>
      <c r="BT1280" s="17"/>
      <c r="BU1280" s="17"/>
      <c r="BV1280" s="17"/>
      <c r="BW1280" s="17"/>
      <c r="BX1280" s="17"/>
    </row>
    <row r="1281" customHeight="1" spans="1:76">
      <c r="A1281" s="17"/>
      <c r="B1281" s="17"/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17"/>
      <c r="AF1281" s="17"/>
      <c r="AG1281" s="17"/>
      <c r="AH1281" s="17"/>
      <c r="AI1281" s="17"/>
      <c r="AJ1281" s="17"/>
      <c r="AK1281" s="17"/>
      <c r="AL1281" s="17"/>
      <c r="AM1281" s="17"/>
      <c r="AN1281" s="17"/>
      <c r="AO1281" s="17"/>
      <c r="AP1281" s="17"/>
      <c r="AQ1281" s="17"/>
      <c r="AR1281" s="17"/>
      <c r="AS1281" s="17"/>
      <c r="AT1281" s="17"/>
      <c r="AU1281" s="17"/>
      <c r="AV1281" s="17"/>
      <c r="AW1281" s="17"/>
      <c r="AX1281" s="17"/>
      <c r="AY1281" s="17"/>
      <c r="AZ1281" s="17"/>
      <c r="BA1281" s="17"/>
      <c r="BB1281" s="17"/>
      <c r="BC1281" s="17"/>
      <c r="BD1281" s="17"/>
      <c r="BE1281" s="17"/>
      <c r="BF1281" s="17"/>
      <c r="BG1281" s="17"/>
      <c r="BH1281" s="17"/>
      <c r="BI1281" s="17"/>
      <c r="BJ1281" s="17"/>
      <c r="BK1281" s="17"/>
      <c r="BL1281" s="17"/>
      <c r="BM1281" s="17"/>
      <c r="BN1281" s="17"/>
      <c r="BO1281" s="17"/>
      <c r="BP1281" s="17"/>
      <c r="BQ1281" s="17"/>
      <c r="BR1281" s="17"/>
      <c r="BS1281" s="17"/>
      <c r="BT1281" s="17"/>
      <c r="BU1281" s="17"/>
      <c r="BV1281" s="17"/>
      <c r="BW1281" s="17"/>
      <c r="BX1281" s="17"/>
    </row>
    <row r="1282" customHeight="1" spans="1:76">
      <c r="A1282" s="17"/>
      <c r="B1282" s="17"/>
      <c r="C1282" s="17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7"/>
      <c r="AI1282" s="17"/>
      <c r="AJ1282" s="17"/>
      <c r="AK1282" s="17"/>
      <c r="AL1282" s="17"/>
      <c r="AM1282" s="17"/>
      <c r="AN1282" s="17"/>
      <c r="AO1282" s="17"/>
      <c r="AP1282" s="17"/>
      <c r="AQ1282" s="17"/>
      <c r="AR1282" s="17"/>
      <c r="AS1282" s="17"/>
      <c r="AT1282" s="17"/>
      <c r="AU1282" s="17"/>
      <c r="AV1282" s="17"/>
      <c r="AW1282" s="17"/>
      <c r="AX1282" s="17"/>
      <c r="AY1282" s="17"/>
      <c r="AZ1282" s="17"/>
      <c r="BA1282" s="17"/>
      <c r="BB1282" s="17"/>
      <c r="BC1282" s="17"/>
      <c r="BD1282" s="17"/>
      <c r="BE1282" s="17"/>
      <c r="BF1282" s="17"/>
      <c r="BG1282" s="17"/>
      <c r="BH1282" s="17"/>
      <c r="BI1282" s="17"/>
      <c r="BJ1282" s="17"/>
      <c r="BK1282" s="17"/>
      <c r="BL1282" s="17"/>
      <c r="BM1282" s="17"/>
      <c r="BN1282" s="17"/>
      <c r="BO1282" s="17"/>
      <c r="BP1282" s="17"/>
      <c r="BQ1282" s="17"/>
      <c r="BR1282" s="17"/>
      <c r="BS1282" s="17"/>
      <c r="BT1282" s="17"/>
      <c r="BU1282" s="17"/>
      <c r="BV1282" s="17"/>
      <c r="BW1282" s="17"/>
      <c r="BX1282" s="17"/>
    </row>
    <row r="1283" customHeight="1" spans="1:76">
      <c r="A1283" s="17"/>
      <c r="B1283" s="17"/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17"/>
      <c r="AF1283" s="17"/>
      <c r="AG1283" s="17"/>
      <c r="AH1283" s="17"/>
      <c r="AI1283" s="17"/>
      <c r="AJ1283" s="17"/>
      <c r="AK1283" s="17"/>
      <c r="AL1283" s="17"/>
      <c r="AM1283" s="17"/>
      <c r="AN1283" s="17"/>
      <c r="AO1283" s="17"/>
      <c r="AP1283" s="17"/>
      <c r="AQ1283" s="17"/>
      <c r="AR1283" s="17"/>
      <c r="AS1283" s="17"/>
      <c r="AT1283" s="17"/>
      <c r="AU1283" s="17"/>
      <c r="AV1283" s="17"/>
      <c r="AW1283" s="17"/>
      <c r="AX1283" s="17"/>
      <c r="AY1283" s="17"/>
      <c r="AZ1283" s="17"/>
      <c r="BA1283" s="17"/>
      <c r="BB1283" s="17"/>
      <c r="BC1283" s="17"/>
      <c r="BD1283" s="17"/>
      <c r="BE1283" s="17"/>
      <c r="BF1283" s="17"/>
      <c r="BG1283" s="17"/>
      <c r="BH1283" s="17"/>
      <c r="BI1283" s="17"/>
      <c r="BJ1283" s="17"/>
      <c r="BK1283" s="17"/>
      <c r="BL1283" s="17"/>
      <c r="BM1283" s="17"/>
      <c r="BN1283" s="17"/>
      <c r="BO1283" s="17"/>
      <c r="BP1283" s="17"/>
      <c r="BQ1283" s="17"/>
      <c r="BR1283" s="17"/>
      <c r="BS1283" s="17"/>
      <c r="BT1283" s="17"/>
      <c r="BU1283" s="17"/>
      <c r="BV1283" s="17"/>
      <c r="BW1283" s="17"/>
      <c r="BX1283" s="17"/>
    </row>
    <row r="1284" customHeight="1" spans="1:76">
      <c r="A1284" s="17"/>
      <c r="B1284" s="17"/>
      <c r="C1284" s="17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  <c r="AH1284" s="17"/>
      <c r="AI1284" s="17"/>
      <c r="AJ1284" s="17"/>
      <c r="AK1284" s="17"/>
      <c r="AL1284" s="17"/>
      <c r="AM1284" s="17"/>
      <c r="AN1284" s="17"/>
      <c r="AO1284" s="17"/>
      <c r="AP1284" s="17"/>
      <c r="AQ1284" s="17"/>
      <c r="AR1284" s="17"/>
      <c r="AS1284" s="17"/>
      <c r="AT1284" s="17"/>
      <c r="AU1284" s="17"/>
      <c r="AV1284" s="17"/>
      <c r="AW1284" s="17"/>
      <c r="AX1284" s="17"/>
      <c r="AY1284" s="17"/>
      <c r="AZ1284" s="17"/>
      <c r="BA1284" s="17"/>
      <c r="BB1284" s="17"/>
      <c r="BC1284" s="17"/>
      <c r="BD1284" s="17"/>
      <c r="BE1284" s="17"/>
      <c r="BF1284" s="17"/>
      <c r="BG1284" s="17"/>
      <c r="BH1284" s="17"/>
      <c r="BI1284" s="17"/>
      <c r="BJ1284" s="17"/>
      <c r="BK1284" s="17"/>
      <c r="BL1284" s="17"/>
      <c r="BM1284" s="17"/>
      <c r="BN1284" s="17"/>
      <c r="BO1284" s="17"/>
      <c r="BP1284" s="17"/>
      <c r="BQ1284" s="17"/>
      <c r="BR1284" s="17"/>
      <c r="BS1284" s="17"/>
      <c r="BT1284" s="17"/>
      <c r="BU1284" s="17"/>
      <c r="BV1284" s="17"/>
      <c r="BW1284" s="17"/>
      <c r="BX1284" s="17"/>
    </row>
    <row r="1285" customHeight="1" spans="1:76">
      <c r="A1285" s="17"/>
      <c r="B1285" s="17"/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  <c r="AH1285" s="17"/>
      <c r="AI1285" s="17"/>
      <c r="AJ1285" s="17"/>
      <c r="AK1285" s="17"/>
      <c r="AL1285" s="17"/>
      <c r="AM1285" s="17"/>
      <c r="AN1285" s="17"/>
      <c r="AO1285" s="17"/>
      <c r="AP1285" s="17"/>
      <c r="AQ1285" s="17"/>
      <c r="AR1285" s="17"/>
      <c r="AS1285" s="17"/>
      <c r="AT1285" s="17"/>
      <c r="AU1285" s="17"/>
      <c r="AV1285" s="17"/>
      <c r="AW1285" s="17"/>
      <c r="AX1285" s="17"/>
      <c r="AY1285" s="17"/>
      <c r="AZ1285" s="17"/>
      <c r="BA1285" s="17"/>
      <c r="BB1285" s="17"/>
      <c r="BC1285" s="17"/>
      <c r="BD1285" s="17"/>
      <c r="BE1285" s="17"/>
      <c r="BF1285" s="17"/>
      <c r="BG1285" s="17"/>
      <c r="BH1285" s="17"/>
      <c r="BI1285" s="17"/>
      <c r="BJ1285" s="17"/>
      <c r="BK1285" s="17"/>
      <c r="BL1285" s="17"/>
      <c r="BM1285" s="17"/>
      <c r="BN1285" s="17"/>
      <c r="BO1285" s="17"/>
      <c r="BP1285" s="17"/>
      <c r="BQ1285" s="17"/>
      <c r="BR1285" s="17"/>
      <c r="BS1285" s="17"/>
      <c r="BT1285" s="17"/>
      <c r="BU1285" s="17"/>
      <c r="BV1285" s="17"/>
      <c r="BW1285" s="17"/>
      <c r="BX1285" s="17"/>
    </row>
    <row r="1286" customHeight="1" spans="1:76">
      <c r="A1286" s="17"/>
      <c r="B1286" s="17"/>
      <c r="C1286" s="17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17"/>
      <c r="AF1286" s="17"/>
      <c r="AG1286" s="17"/>
      <c r="AH1286" s="17"/>
      <c r="AI1286" s="17"/>
      <c r="AJ1286" s="17"/>
      <c r="AK1286" s="17"/>
      <c r="AL1286" s="17"/>
      <c r="AM1286" s="17"/>
      <c r="AN1286" s="17"/>
      <c r="AO1286" s="17"/>
      <c r="AP1286" s="17"/>
      <c r="AQ1286" s="17"/>
      <c r="AR1286" s="17"/>
      <c r="AS1286" s="17"/>
      <c r="AT1286" s="17"/>
      <c r="AU1286" s="17"/>
      <c r="AV1286" s="17"/>
      <c r="AW1286" s="17"/>
      <c r="AX1286" s="17"/>
      <c r="AY1286" s="17"/>
      <c r="AZ1286" s="17"/>
      <c r="BA1286" s="17"/>
      <c r="BB1286" s="17"/>
      <c r="BC1286" s="17"/>
      <c r="BD1286" s="17"/>
      <c r="BE1286" s="17"/>
      <c r="BF1286" s="17"/>
      <c r="BG1286" s="17"/>
      <c r="BH1286" s="17"/>
      <c r="BI1286" s="17"/>
      <c r="BJ1286" s="17"/>
      <c r="BK1286" s="17"/>
      <c r="BL1286" s="17"/>
      <c r="BM1286" s="17"/>
      <c r="BN1286" s="17"/>
      <c r="BO1286" s="17"/>
      <c r="BP1286" s="17"/>
      <c r="BQ1286" s="17"/>
      <c r="BR1286" s="17"/>
      <c r="BS1286" s="17"/>
      <c r="BT1286" s="17"/>
      <c r="BU1286" s="17"/>
      <c r="BV1286" s="17"/>
      <c r="BW1286" s="17"/>
      <c r="BX1286" s="17"/>
    </row>
    <row r="1287" customHeight="1" spans="1:76">
      <c r="A1287" s="17"/>
      <c r="B1287" s="17"/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17"/>
      <c r="AF1287" s="17"/>
      <c r="AG1287" s="17"/>
      <c r="AH1287" s="17"/>
      <c r="AI1287" s="17"/>
      <c r="AJ1287" s="17"/>
      <c r="AK1287" s="17"/>
      <c r="AL1287" s="17"/>
      <c r="AM1287" s="17"/>
      <c r="AN1287" s="17"/>
      <c r="AO1287" s="17"/>
      <c r="AP1287" s="17"/>
      <c r="AQ1287" s="17"/>
      <c r="AR1287" s="17"/>
      <c r="AS1287" s="17"/>
      <c r="AT1287" s="17"/>
      <c r="AU1287" s="17"/>
      <c r="AV1287" s="17"/>
      <c r="AW1287" s="17"/>
      <c r="AX1287" s="17"/>
      <c r="AY1287" s="17"/>
      <c r="AZ1287" s="17"/>
      <c r="BA1287" s="17"/>
      <c r="BB1287" s="17"/>
      <c r="BC1287" s="17"/>
      <c r="BD1287" s="17"/>
      <c r="BE1287" s="17"/>
      <c r="BF1287" s="17"/>
      <c r="BG1287" s="17"/>
      <c r="BH1287" s="17"/>
      <c r="BI1287" s="17"/>
      <c r="BJ1287" s="17"/>
      <c r="BK1287" s="17"/>
      <c r="BL1287" s="17"/>
      <c r="BM1287" s="17"/>
      <c r="BN1287" s="17"/>
      <c r="BO1287" s="17"/>
      <c r="BP1287" s="17"/>
      <c r="BQ1287" s="17"/>
      <c r="BR1287" s="17"/>
      <c r="BS1287" s="17"/>
      <c r="BT1287" s="17"/>
      <c r="BU1287" s="17"/>
      <c r="BV1287" s="17"/>
      <c r="BW1287" s="17"/>
      <c r="BX1287" s="17"/>
    </row>
    <row r="1288" customHeight="1" spans="1:76">
      <c r="A1288" s="17"/>
      <c r="B1288" s="17"/>
      <c r="C1288" s="17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17"/>
      <c r="AF1288" s="17"/>
      <c r="AG1288" s="17"/>
      <c r="AH1288" s="17"/>
      <c r="AI1288" s="17"/>
      <c r="AJ1288" s="17"/>
      <c r="AK1288" s="17"/>
      <c r="AL1288" s="17"/>
      <c r="AM1288" s="17"/>
      <c r="AN1288" s="17"/>
      <c r="AO1288" s="17"/>
      <c r="AP1288" s="17"/>
      <c r="AQ1288" s="17"/>
      <c r="AR1288" s="17"/>
      <c r="AS1288" s="17"/>
      <c r="AT1288" s="17"/>
      <c r="AU1288" s="17"/>
      <c r="AV1288" s="17"/>
      <c r="AW1288" s="17"/>
      <c r="AX1288" s="17"/>
      <c r="AY1288" s="17"/>
      <c r="AZ1288" s="17"/>
      <c r="BA1288" s="17"/>
      <c r="BB1288" s="17"/>
      <c r="BC1288" s="17"/>
      <c r="BD1288" s="17"/>
      <c r="BE1288" s="17"/>
      <c r="BF1288" s="17"/>
      <c r="BG1288" s="17"/>
      <c r="BH1288" s="17"/>
      <c r="BI1288" s="17"/>
      <c r="BJ1288" s="17"/>
      <c r="BK1288" s="17"/>
      <c r="BL1288" s="17"/>
      <c r="BM1288" s="17"/>
      <c r="BN1288" s="17"/>
      <c r="BO1288" s="17"/>
      <c r="BP1288" s="17"/>
      <c r="BQ1288" s="17"/>
      <c r="BR1288" s="17"/>
      <c r="BS1288" s="17"/>
      <c r="BT1288" s="17"/>
      <c r="BU1288" s="17"/>
      <c r="BV1288" s="17"/>
      <c r="BW1288" s="17"/>
      <c r="BX1288" s="17"/>
    </row>
    <row r="1289" customHeight="1" spans="1:76">
      <c r="A1289" s="17"/>
      <c r="B1289" s="17"/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17"/>
      <c r="AF1289" s="17"/>
      <c r="AG1289" s="17"/>
      <c r="AH1289" s="17"/>
      <c r="AI1289" s="17"/>
      <c r="AJ1289" s="17"/>
      <c r="AK1289" s="17"/>
      <c r="AL1289" s="17"/>
      <c r="AM1289" s="17"/>
      <c r="AN1289" s="17"/>
      <c r="AO1289" s="17"/>
      <c r="AP1289" s="17"/>
      <c r="AQ1289" s="17"/>
      <c r="AR1289" s="17"/>
      <c r="AS1289" s="17"/>
      <c r="AT1289" s="17"/>
      <c r="AU1289" s="17"/>
      <c r="AV1289" s="17"/>
      <c r="AW1289" s="17"/>
      <c r="AX1289" s="17"/>
      <c r="AY1289" s="17"/>
      <c r="AZ1289" s="17"/>
      <c r="BA1289" s="17"/>
      <c r="BB1289" s="17"/>
      <c r="BC1289" s="17"/>
      <c r="BD1289" s="17"/>
      <c r="BE1289" s="17"/>
      <c r="BF1289" s="17"/>
      <c r="BG1289" s="17"/>
      <c r="BH1289" s="17"/>
      <c r="BI1289" s="17"/>
      <c r="BJ1289" s="17"/>
      <c r="BK1289" s="17"/>
      <c r="BL1289" s="17"/>
      <c r="BM1289" s="17"/>
      <c r="BN1289" s="17"/>
      <c r="BO1289" s="17"/>
      <c r="BP1289" s="17"/>
      <c r="BQ1289" s="17"/>
      <c r="BR1289" s="17"/>
      <c r="BS1289" s="17"/>
      <c r="BT1289" s="17"/>
      <c r="BU1289" s="17"/>
      <c r="BV1289" s="17"/>
      <c r="BW1289" s="17"/>
      <c r="BX1289" s="17"/>
    </row>
    <row r="1290" customHeight="1" spans="1:76">
      <c r="A1290" s="17"/>
      <c r="B1290" s="17"/>
      <c r="C1290" s="17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  <c r="AH1290" s="17"/>
      <c r="AI1290" s="17"/>
      <c r="AJ1290" s="17"/>
      <c r="AK1290" s="17"/>
      <c r="AL1290" s="17"/>
      <c r="AM1290" s="17"/>
      <c r="AN1290" s="17"/>
      <c r="AO1290" s="17"/>
      <c r="AP1290" s="17"/>
      <c r="AQ1290" s="17"/>
      <c r="AR1290" s="17"/>
      <c r="AS1290" s="17"/>
      <c r="AT1290" s="17"/>
      <c r="AU1290" s="17"/>
      <c r="AV1290" s="17"/>
      <c r="AW1290" s="17"/>
      <c r="AX1290" s="17"/>
      <c r="AY1290" s="17"/>
      <c r="AZ1290" s="17"/>
      <c r="BA1290" s="17"/>
      <c r="BB1290" s="17"/>
      <c r="BC1290" s="17"/>
      <c r="BD1290" s="17"/>
      <c r="BE1290" s="17"/>
      <c r="BF1290" s="17"/>
      <c r="BG1290" s="17"/>
      <c r="BH1290" s="17"/>
      <c r="BI1290" s="17"/>
      <c r="BJ1290" s="17"/>
      <c r="BK1290" s="17"/>
      <c r="BL1290" s="17"/>
      <c r="BM1290" s="17"/>
      <c r="BN1290" s="17"/>
      <c r="BO1290" s="17"/>
      <c r="BP1290" s="17"/>
      <c r="BQ1290" s="17"/>
      <c r="BR1290" s="17"/>
      <c r="BS1290" s="17"/>
      <c r="BT1290" s="17"/>
      <c r="BU1290" s="17"/>
      <c r="BV1290" s="17"/>
      <c r="BW1290" s="17"/>
      <c r="BX1290" s="17"/>
    </row>
    <row r="1291" customHeight="1" spans="1:76">
      <c r="A1291" s="17"/>
      <c r="B1291" s="17"/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17"/>
      <c r="AF1291" s="17"/>
      <c r="AG1291" s="17"/>
      <c r="AH1291" s="17"/>
      <c r="AI1291" s="17"/>
      <c r="AJ1291" s="17"/>
      <c r="AK1291" s="17"/>
      <c r="AL1291" s="17"/>
      <c r="AM1291" s="17"/>
      <c r="AN1291" s="17"/>
      <c r="AO1291" s="17"/>
      <c r="AP1291" s="17"/>
      <c r="AQ1291" s="17"/>
      <c r="AR1291" s="17"/>
      <c r="AS1291" s="17"/>
      <c r="AT1291" s="17"/>
      <c r="AU1291" s="17"/>
      <c r="AV1291" s="17"/>
      <c r="AW1291" s="17"/>
      <c r="AX1291" s="17"/>
      <c r="AY1291" s="17"/>
      <c r="AZ1291" s="17"/>
      <c r="BA1291" s="17"/>
      <c r="BB1291" s="17"/>
      <c r="BC1291" s="17"/>
      <c r="BD1291" s="17"/>
      <c r="BE1291" s="17"/>
      <c r="BF1291" s="17"/>
      <c r="BG1291" s="17"/>
      <c r="BH1291" s="17"/>
      <c r="BI1291" s="17"/>
      <c r="BJ1291" s="17"/>
      <c r="BK1291" s="17"/>
      <c r="BL1291" s="17"/>
      <c r="BM1291" s="17"/>
      <c r="BN1291" s="17"/>
      <c r="BO1291" s="17"/>
      <c r="BP1291" s="17"/>
      <c r="BQ1291" s="17"/>
      <c r="BR1291" s="17"/>
      <c r="BS1291" s="17"/>
      <c r="BT1291" s="17"/>
      <c r="BU1291" s="17"/>
      <c r="BV1291" s="17"/>
      <c r="BW1291" s="17"/>
      <c r="BX1291" s="17"/>
    </row>
    <row r="1292" customHeight="1" spans="1:76">
      <c r="A1292" s="17"/>
      <c r="B1292" s="17"/>
      <c r="C1292" s="17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17"/>
      <c r="AF1292" s="17"/>
      <c r="AG1292" s="17"/>
      <c r="AH1292" s="17"/>
      <c r="AI1292" s="17"/>
      <c r="AJ1292" s="17"/>
      <c r="AK1292" s="17"/>
      <c r="AL1292" s="17"/>
      <c r="AM1292" s="17"/>
      <c r="AN1292" s="17"/>
      <c r="AO1292" s="17"/>
      <c r="AP1292" s="17"/>
      <c r="AQ1292" s="17"/>
      <c r="AR1292" s="17"/>
      <c r="AS1292" s="17"/>
      <c r="AT1292" s="17"/>
      <c r="AU1292" s="17"/>
      <c r="AV1292" s="17"/>
      <c r="AW1292" s="17"/>
      <c r="AX1292" s="17"/>
      <c r="AY1292" s="17"/>
      <c r="AZ1292" s="17"/>
      <c r="BA1292" s="17"/>
      <c r="BB1292" s="17"/>
      <c r="BC1292" s="17"/>
      <c r="BD1292" s="17"/>
      <c r="BE1292" s="17"/>
      <c r="BF1292" s="17"/>
      <c r="BG1292" s="17"/>
      <c r="BH1292" s="17"/>
      <c r="BI1292" s="17"/>
      <c r="BJ1292" s="17"/>
      <c r="BK1292" s="17"/>
      <c r="BL1292" s="17"/>
      <c r="BM1292" s="17"/>
      <c r="BN1292" s="17"/>
      <c r="BO1292" s="17"/>
      <c r="BP1292" s="17"/>
      <c r="BQ1292" s="17"/>
      <c r="BR1292" s="17"/>
      <c r="BS1292" s="17"/>
      <c r="BT1292" s="17"/>
      <c r="BU1292" s="17"/>
      <c r="BV1292" s="17"/>
      <c r="BW1292" s="17"/>
      <c r="BX1292" s="17"/>
    </row>
    <row r="1293" customHeight="1" spans="1:76">
      <c r="A1293" s="17"/>
      <c r="B1293" s="17"/>
      <c r="C1293" s="17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17"/>
      <c r="AF1293" s="17"/>
      <c r="AG1293" s="17"/>
      <c r="AH1293" s="17"/>
      <c r="AI1293" s="17"/>
      <c r="AJ1293" s="17"/>
      <c r="AK1293" s="17"/>
      <c r="AL1293" s="17"/>
      <c r="AM1293" s="17"/>
      <c r="AN1293" s="17"/>
      <c r="AO1293" s="17"/>
      <c r="AP1293" s="17"/>
      <c r="AQ1293" s="17"/>
      <c r="AR1293" s="17"/>
      <c r="AS1293" s="17"/>
      <c r="AT1293" s="17"/>
      <c r="AU1293" s="17"/>
      <c r="AV1293" s="17"/>
      <c r="AW1293" s="17"/>
      <c r="AX1293" s="17"/>
      <c r="AY1293" s="17"/>
      <c r="AZ1293" s="17"/>
      <c r="BA1293" s="17"/>
      <c r="BB1293" s="17"/>
      <c r="BC1293" s="17"/>
      <c r="BD1293" s="17"/>
      <c r="BE1293" s="17"/>
      <c r="BF1293" s="17"/>
      <c r="BG1293" s="17"/>
      <c r="BH1293" s="17"/>
      <c r="BI1293" s="17"/>
      <c r="BJ1293" s="17"/>
      <c r="BK1293" s="17"/>
      <c r="BL1293" s="17"/>
      <c r="BM1293" s="17"/>
      <c r="BN1293" s="17"/>
      <c r="BO1293" s="17"/>
      <c r="BP1293" s="17"/>
      <c r="BQ1293" s="17"/>
      <c r="BR1293" s="17"/>
      <c r="BS1293" s="17"/>
      <c r="BT1293" s="17"/>
      <c r="BU1293" s="17"/>
      <c r="BV1293" s="17"/>
      <c r="BW1293" s="17"/>
      <c r="BX1293" s="17"/>
    </row>
    <row r="1294" customHeight="1" spans="1:76">
      <c r="A1294" s="17"/>
      <c r="B1294" s="17"/>
      <c r="C1294" s="17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17"/>
      <c r="AF1294" s="17"/>
      <c r="AG1294" s="17"/>
      <c r="AH1294" s="17"/>
      <c r="AI1294" s="17"/>
      <c r="AJ1294" s="17"/>
      <c r="AK1294" s="17"/>
      <c r="AL1294" s="17"/>
      <c r="AM1294" s="17"/>
      <c r="AN1294" s="17"/>
      <c r="AO1294" s="17"/>
      <c r="AP1294" s="17"/>
      <c r="AQ1294" s="17"/>
      <c r="AR1294" s="17"/>
      <c r="AS1294" s="17"/>
      <c r="AT1294" s="17"/>
      <c r="AU1294" s="17"/>
      <c r="AV1294" s="17"/>
      <c r="AW1294" s="17"/>
      <c r="AX1294" s="17"/>
      <c r="AY1294" s="17"/>
      <c r="AZ1294" s="17"/>
      <c r="BA1294" s="17"/>
      <c r="BB1294" s="17"/>
      <c r="BC1294" s="17"/>
      <c r="BD1294" s="17"/>
      <c r="BE1294" s="17"/>
      <c r="BF1294" s="17"/>
      <c r="BG1294" s="17"/>
      <c r="BH1294" s="17"/>
      <c r="BI1294" s="17"/>
      <c r="BJ1294" s="17"/>
      <c r="BK1294" s="17"/>
      <c r="BL1294" s="17"/>
      <c r="BM1294" s="17"/>
      <c r="BN1294" s="17"/>
      <c r="BO1294" s="17"/>
      <c r="BP1294" s="17"/>
      <c r="BQ1294" s="17"/>
      <c r="BR1294" s="17"/>
      <c r="BS1294" s="17"/>
      <c r="BT1294" s="17"/>
      <c r="BU1294" s="17"/>
      <c r="BV1294" s="17"/>
      <c r="BW1294" s="17"/>
      <c r="BX1294" s="17"/>
    </row>
    <row r="1295" customHeight="1" spans="1:76">
      <c r="A1295" s="17"/>
      <c r="B1295" s="17"/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  <c r="AH1295" s="17"/>
      <c r="AI1295" s="17"/>
      <c r="AJ1295" s="17"/>
      <c r="AK1295" s="17"/>
      <c r="AL1295" s="17"/>
      <c r="AM1295" s="17"/>
      <c r="AN1295" s="17"/>
      <c r="AO1295" s="17"/>
      <c r="AP1295" s="17"/>
      <c r="AQ1295" s="17"/>
      <c r="AR1295" s="17"/>
      <c r="AS1295" s="17"/>
      <c r="AT1295" s="17"/>
      <c r="AU1295" s="17"/>
      <c r="AV1295" s="17"/>
      <c r="AW1295" s="17"/>
      <c r="AX1295" s="17"/>
      <c r="AY1295" s="17"/>
      <c r="AZ1295" s="17"/>
      <c r="BA1295" s="17"/>
      <c r="BB1295" s="17"/>
      <c r="BC1295" s="17"/>
      <c r="BD1295" s="17"/>
      <c r="BE1295" s="17"/>
      <c r="BF1295" s="17"/>
      <c r="BG1295" s="17"/>
      <c r="BH1295" s="17"/>
      <c r="BI1295" s="17"/>
      <c r="BJ1295" s="17"/>
      <c r="BK1295" s="17"/>
      <c r="BL1295" s="17"/>
      <c r="BM1295" s="17"/>
      <c r="BN1295" s="17"/>
      <c r="BO1295" s="17"/>
      <c r="BP1295" s="17"/>
      <c r="BQ1295" s="17"/>
      <c r="BR1295" s="17"/>
      <c r="BS1295" s="17"/>
      <c r="BT1295" s="17"/>
      <c r="BU1295" s="17"/>
      <c r="BV1295" s="17"/>
      <c r="BW1295" s="17"/>
      <c r="BX1295" s="17"/>
    </row>
    <row r="1296" customHeight="1" spans="1:76">
      <c r="A1296" s="17"/>
      <c r="B1296" s="17"/>
      <c r="C1296" s="17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17"/>
      <c r="AF1296" s="17"/>
      <c r="AG1296" s="17"/>
      <c r="AH1296" s="17"/>
      <c r="AI1296" s="17"/>
      <c r="AJ1296" s="17"/>
      <c r="AK1296" s="17"/>
      <c r="AL1296" s="17"/>
      <c r="AM1296" s="17"/>
      <c r="AN1296" s="17"/>
      <c r="AO1296" s="17"/>
      <c r="AP1296" s="17"/>
      <c r="AQ1296" s="17"/>
      <c r="AR1296" s="17"/>
      <c r="AS1296" s="17"/>
      <c r="AT1296" s="17"/>
      <c r="AU1296" s="17"/>
      <c r="AV1296" s="17"/>
      <c r="AW1296" s="17"/>
      <c r="AX1296" s="17"/>
      <c r="AY1296" s="17"/>
      <c r="AZ1296" s="17"/>
      <c r="BA1296" s="17"/>
      <c r="BB1296" s="17"/>
      <c r="BC1296" s="17"/>
      <c r="BD1296" s="17"/>
      <c r="BE1296" s="17"/>
      <c r="BF1296" s="17"/>
      <c r="BG1296" s="17"/>
      <c r="BH1296" s="17"/>
      <c r="BI1296" s="17"/>
      <c r="BJ1296" s="17"/>
      <c r="BK1296" s="17"/>
      <c r="BL1296" s="17"/>
      <c r="BM1296" s="17"/>
      <c r="BN1296" s="17"/>
      <c r="BO1296" s="17"/>
      <c r="BP1296" s="17"/>
      <c r="BQ1296" s="17"/>
      <c r="BR1296" s="17"/>
      <c r="BS1296" s="17"/>
      <c r="BT1296" s="17"/>
      <c r="BU1296" s="17"/>
      <c r="BV1296" s="17"/>
      <c r="BW1296" s="17"/>
      <c r="BX1296" s="17"/>
    </row>
    <row r="1297" customHeight="1" spans="1:76">
      <c r="A1297" s="17"/>
      <c r="B1297" s="17"/>
      <c r="C1297" s="17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17"/>
      <c r="AF1297" s="17"/>
      <c r="AG1297" s="17"/>
      <c r="AH1297" s="17"/>
      <c r="AI1297" s="17"/>
      <c r="AJ1297" s="17"/>
      <c r="AK1297" s="17"/>
      <c r="AL1297" s="17"/>
      <c r="AM1297" s="17"/>
      <c r="AN1297" s="17"/>
      <c r="AO1297" s="17"/>
      <c r="AP1297" s="17"/>
      <c r="AQ1297" s="17"/>
      <c r="AR1297" s="17"/>
      <c r="AS1297" s="17"/>
      <c r="AT1297" s="17"/>
      <c r="AU1297" s="17"/>
      <c r="AV1297" s="17"/>
      <c r="AW1297" s="17"/>
      <c r="AX1297" s="17"/>
      <c r="AY1297" s="17"/>
      <c r="AZ1297" s="17"/>
      <c r="BA1297" s="17"/>
      <c r="BB1297" s="17"/>
      <c r="BC1297" s="17"/>
      <c r="BD1297" s="17"/>
      <c r="BE1297" s="17"/>
      <c r="BF1297" s="17"/>
      <c r="BG1297" s="17"/>
      <c r="BH1297" s="17"/>
      <c r="BI1297" s="17"/>
      <c r="BJ1297" s="17"/>
      <c r="BK1297" s="17"/>
      <c r="BL1297" s="17"/>
      <c r="BM1297" s="17"/>
      <c r="BN1297" s="17"/>
      <c r="BO1297" s="17"/>
      <c r="BP1297" s="17"/>
      <c r="BQ1297" s="17"/>
      <c r="BR1297" s="17"/>
      <c r="BS1297" s="17"/>
      <c r="BT1297" s="17"/>
      <c r="BU1297" s="17"/>
      <c r="BV1297" s="17"/>
      <c r="BW1297" s="17"/>
      <c r="BX1297" s="17"/>
    </row>
    <row r="1298" customHeight="1" spans="1:76">
      <c r="A1298" s="17"/>
      <c r="B1298" s="17"/>
      <c r="C1298" s="17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17"/>
      <c r="AF1298" s="17"/>
      <c r="AG1298" s="17"/>
      <c r="AH1298" s="17"/>
      <c r="AI1298" s="17"/>
      <c r="AJ1298" s="17"/>
      <c r="AK1298" s="17"/>
      <c r="AL1298" s="17"/>
      <c r="AM1298" s="17"/>
      <c r="AN1298" s="17"/>
      <c r="AO1298" s="17"/>
      <c r="AP1298" s="17"/>
      <c r="AQ1298" s="17"/>
      <c r="AR1298" s="17"/>
      <c r="AS1298" s="17"/>
      <c r="AT1298" s="17"/>
      <c r="AU1298" s="17"/>
      <c r="AV1298" s="17"/>
      <c r="AW1298" s="17"/>
      <c r="AX1298" s="17"/>
      <c r="AY1298" s="17"/>
      <c r="AZ1298" s="17"/>
      <c r="BA1298" s="17"/>
      <c r="BB1298" s="17"/>
      <c r="BC1298" s="17"/>
      <c r="BD1298" s="17"/>
      <c r="BE1298" s="17"/>
      <c r="BF1298" s="17"/>
      <c r="BG1298" s="17"/>
      <c r="BH1298" s="17"/>
      <c r="BI1298" s="17"/>
      <c r="BJ1298" s="17"/>
      <c r="BK1298" s="17"/>
      <c r="BL1298" s="17"/>
      <c r="BM1298" s="17"/>
      <c r="BN1298" s="17"/>
      <c r="BO1298" s="17"/>
      <c r="BP1298" s="17"/>
      <c r="BQ1298" s="17"/>
      <c r="BR1298" s="17"/>
      <c r="BS1298" s="17"/>
      <c r="BT1298" s="17"/>
      <c r="BU1298" s="17"/>
      <c r="BV1298" s="17"/>
      <c r="BW1298" s="17"/>
      <c r="BX1298" s="17"/>
    </row>
    <row r="1299" customHeight="1" spans="1:76">
      <c r="A1299" s="17"/>
      <c r="B1299" s="17"/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17"/>
      <c r="AF1299" s="17"/>
      <c r="AG1299" s="17"/>
      <c r="AH1299" s="17"/>
      <c r="AI1299" s="17"/>
      <c r="AJ1299" s="17"/>
      <c r="AK1299" s="17"/>
      <c r="AL1299" s="17"/>
      <c r="AM1299" s="17"/>
      <c r="AN1299" s="17"/>
      <c r="AO1299" s="17"/>
      <c r="AP1299" s="17"/>
      <c r="AQ1299" s="17"/>
      <c r="AR1299" s="17"/>
      <c r="AS1299" s="17"/>
      <c r="AT1299" s="17"/>
      <c r="AU1299" s="17"/>
      <c r="AV1299" s="17"/>
      <c r="AW1299" s="17"/>
      <c r="AX1299" s="17"/>
      <c r="AY1299" s="17"/>
      <c r="AZ1299" s="17"/>
      <c r="BA1299" s="17"/>
      <c r="BB1299" s="17"/>
      <c r="BC1299" s="17"/>
      <c r="BD1299" s="17"/>
      <c r="BE1299" s="17"/>
      <c r="BF1299" s="17"/>
      <c r="BG1299" s="17"/>
      <c r="BH1299" s="17"/>
      <c r="BI1299" s="17"/>
      <c r="BJ1299" s="17"/>
      <c r="BK1299" s="17"/>
      <c r="BL1299" s="17"/>
      <c r="BM1299" s="17"/>
      <c r="BN1299" s="17"/>
      <c r="BO1299" s="17"/>
      <c r="BP1299" s="17"/>
      <c r="BQ1299" s="17"/>
      <c r="BR1299" s="17"/>
      <c r="BS1299" s="17"/>
      <c r="BT1299" s="17"/>
      <c r="BU1299" s="17"/>
      <c r="BV1299" s="17"/>
      <c r="BW1299" s="17"/>
      <c r="BX1299" s="17"/>
    </row>
    <row r="1300" customHeight="1" spans="1:76">
      <c r="A1300" s="17"/>
      <c r="B1300" s="17"/>
      <c r="C1300" s="17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17"/>
      <c r="AF1300" s="17"/>
      <c r="AG1300" s="17"/>
      <c r="AH1300" s="17"/>
      <c r="AI1300" s="17"/>
      <c r="AJ1300" s="17"/>
      <c r="AK1300" s="17"/>
      <c r="AL1300" s="17"/>
      <c r="AM1300" s="17"/>
      <c r="AN1300" s="17"/>
      <c r="AO1300" s="17"/>
      <c r="AP1300" s="17"/>
      <c r="AQ1300" s="17"/>
      <c r="AR1300" s="17"/>
      <c r="AS1300" s="17"/>
      <c r="AT1300" s="17"/>
      <c r="AU1300" s="17"/>
      <c r="AV1300" s="17"/>
      <c r="AW1300" s="17"/>
      <c r="AX1300" s="17"/>
      <c r="AY1300" s="17"/>
      <c r="AZ1300" s="17"/>
      <c r="BA1300" s="17"/>
      <c r="BB1300" s="17"/>
      <c r="BC1300" s="17"/>
      <c r="BD1300" s="17"/>
      <c r="BE1300" s="17"/>
      <c r="BF1300" s="17"/>
      <c r="BG1300" s="17"/>
      <c r="BH1300" s="17"/>
      <c r="BI1300" s="17"/>
      <c r="BJ1300" s="17"/>
      <c r="BK1300" s="17"/>
      <c r="BL1300" s="17"/>
      <c r="BM1300" s="17"/>
      <c r="BN1300" s="17"/>
      <c r="BO1300" s="17"/>
      <c r="BP1300" s="17"/>
      <c r="BQ1300" s="17"/>
      <c r="BR1300" s="17"/>
      <c r="BS1300" s="17"/>
      <c r="BT1300" s="17"/>
      <c r="BU1300" s="17"/>
      <c r="BV1300" s="17"/>
      <c r="BW1300" s="17"/>
      <c r="BX1300" s="17"/>
    </row>
    <row r="1301" customHeight="1" spans="1:76">
      <c r="A1301" s="17"/>
      <c r="B1301" s="17"/>
      <c r="C1301" s="17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17"/>
      <c r="AF1301" s="17"/>
      <c r="AG1301" s="17"/>
      <c r="AH1301" s="17"/>
      <c r="AI1301" s="17"/>
      <c r="AJ1301" s="17"/>
      <c r="AK1301" s="17"/>
      <c r="AL1301" s="17"/>
      <c r="AM1301" s="17"/>
      <c r="AN1301" s="17"/>
      <c r="AO1301" s="17"/>
      <c r="AP1301" s="17"/>
      <c r="AQ1301" s="17"/>
      <c r="AR1301" s="17"/>
      <c r="AS1301" s="17"/>
      <c r="AT1301" s="17"/>
      <c r="AU1301" s="17"/>
      <c r="AV1301" s="17"/>
      <c r="AW1301" s="17"/>
      <c r="AX1301" s="17"/>
      <c r="AY1301" s="17"/>
      <c r="AZ1301" s="17"/>
      <c r="BA1301" s="17"/>
      <c r="BB1301" s="17"/>
      <c r="BC1301" s="17"/>
      <c r="BD1301" s="17"/>
      <c r="BE1301" s="17"/>
      <c r="BF1301" s="17"/>
      <c r="BG1301" s="17"/>
      <c r="BH1301" s="17"/>
      <c r="BI1301" s="17"/>
      <c r="BJ1301" s="17"/>
      <c r="BK1301" s="17"/>
      <c r="BL1301" s="17"/>
      <c r="BM1301" s="17"/>
      <c r="BN1301" s="17"/>
      <c r="BO1301" s="17"/>
      <c r="BP1301" s="17"/>
      <c r="BQ1301" s="17"/>
      <c r="BR1301" s="17"/>
      <c r="BS1301" s="17"/>
      <c r="BT1301" s="17"/>
      <c r="BU1301" s="17"/>
      <c r="BV1301" s="17"/>
      <c r="BW1301" s="17"/>
      <c r="BX1301" s="17"/>
    </row>
    <row r="1302" customHeight="1" spans="1:76">
      <c r="A1302" s="17"/>
      <c r="B1302" s="17"/>
      <c r="C1302" s="17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17"/>
      <c r="AF1302" s="17"/>
      <c r="AG1302" s="17"/>
      <c r="AH1302" s="17"/>
      <c r="AI1302" s="17"/>
      <c r="AJ1302" s="17"/>
      <c r="AK1302" s="17"/>
      <c r="AL1302" s="17"/>
      <c r="AM1302" s="17"/>
      <c r="AN1302" s="17"/>
      <c r="AO1302" s="17"/>
      <c r="AP1302" s="17"/>
      <c r="AQ1302" s="17"/>
      <c r="AR1302" s="17"/>
      <c r="AS1302" s="17"/>
      <c r="AT1302" s="17"/>
      <c r="AU1302" s="17"/>
      <c r="AV1302" s="17"/>
      <c r="AW1302" s="17"/>
      <c r="AX1302" s="17"/>
      <c r="AY1302" s="17"/>
      <c r="AZ1302" s="17"/>
      <c r="BA1302" s="17"/>
      <c r="BB1302" s="17"/>
      <c r="BC1302" s="17"/>
      <c r="BD1302" s="17"/>
      <c r="BE1302" s="17"/>
      <c r="BF1302" s="17"/>
      <c r="BG1302" s="17"/>
      <c r="BH1302" s="17"/>
      <c r="BI1302" s="17"/>
      <c r="BJ1302" s="17"/>
      <c r="BK1302" s="17"/>
      <c r="BL1302" s="17"/>
      <c r="BM1302" s="17"/>
      <c r="BN1302" s="17"/>
      <c r="BO1302" s="17"/>
      <c r="BP1302" s="17"/>
      <c r="BQ1302" s="17"/>
      <c r="BR1302" s="17"/>
      <c r="BS1302" s="17"/>
      <c r="BT1302" s="17"/>
      <c r="BU1302" s="17"/>
      <c r="BV1302" s="17"/>
      <c r="BW1302" s="17"/>
      <c r="BX1302" s="17"/>
    </row>
    <row r="1303" customHeight="1" spans="1:76">
      <c r="A1303" s="17"/>
      <c r="B1303" s="17"/>
      <c r="C1303" s="17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17"/>
      <c r="AF1303" s="17"/>
      <c r="AG1303" s="17"/>
      <c r="AH1303" s="17"/>
      <c r="AI1303" s="17"/>
      <c r="AJ1303" s="17"/>
      <c r="AK1303" s="17"/>
      <c r="AL1303" s="17"/>
      <c r="AM1303" s="17"/>
      <c r="AN1303" s="17"/>
      <c r="AO1303" s="17"/>
      <c r="AP1303" s="17"/>
      <c r="AQ1303" s="17"/>
      <c r="AR1303" s="17"/>
      <c r="AS1303" s="17"/>
      <c r="AT1303" s="17"/>
      <c r="AU1303" s="17"/>
      <c r="AV1303" s="17"/>
      <c r="AW1303" s="17"/>
      <c r="AX1303" s="17"/>
      <c r="AY1303" s="17"/>
      <c r="AZ1303" s="17"/>
      <c r="BA1303" s="17"/>
      <c r="BB1303" s="17"/>
      <c r="BC1303" s="17"/>
      <c r="BD1303" s="17"/>
      <c r="BE1303" s="17"/>
      <c r="BF1303" s="17"/>
      <c r="BG1303" s="17"/>
      <c r="BH1303" s="17"/>
      <c r="BI1303" s="17"/>
      <c r="BJ1303" s="17"/>
      <c r="BK1303" s="17"/>
      <c r="BL1303" s="17"/>
      <c r="BM1303" s="17"/>
      <c r="BN1303" s="17"/>
      <c r="BO1303" s="17"/>
      <c r="BP1303" s="17"/>
      <c r="BQ1303" s="17"/>
      <c r="BR1303" s="17"/>
      <c r="BS1303" s="17"/>
      <c r="BT1303" s="17"/>
      <c r="BU1303" s="17"/>
      <c r="BV1303" s="17"/>
      <c r="BW1303" s="17"/>
      <c r="BX1303" s="17"/>
    </row>
    <row r="1304" customHeight="1" spans="1:76">
      <c r="A1304" s="17"/>
      <c r="B1304" s="17"/>
      <c r="C1304" s="17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17"/>
      <c r="AF1304" s="17"/>
      <c r="AG1304" s="17"/>
      <c r="AH1304" s="17"/>
      <c r="AI1304" s="17"/>
      <c r="AJ1304" s="17"/>
      <c r="AK1304" s="17"/>
      <c r="AL1304" s="17"/>
      <c r="AM1304" s="17"/>
      <c r="AN1304" s="17"/>
      <c r="AO1304" s="17"/>
      <c r="AP1304" s="17"/>
      <c r="AQ1304" s="17"/>
      <c r="AR1304" s="17"/>
      <c r="AS1304" s="17"/>
      <c r="AT1304" s="17"/>
      <c r="AU1304" s="17"/>
      <c r="AV1304" s="17"/>
      <c r="AW1304" s="17"/>
      <c r="AX1304" s="17"/>
      <c r="AY1304" s="17"/>
      <c r="AZ1304" s="17"/>
      <c r="BA1304" s="17"/>
      <c r="BB1304" s="17"/>
      <c r="BC1304" s="17"/>
      <c r="BD1304" s="17"/>
      <c r="BE1304" s="17"/>
      <c r="BF1304" s="17"/>
      <c r="BG1304" s="17"/>
      <c r="BH1304" s="17"/>
      <c r="BI1304" s="17"/>
      <c r="BJ1304" s="17"/>
      <c r="BK1304" s="17"/>
      <c r="BL1304" s="17"/>
      <c r="BM1304" s="17"/>
      <c r="BN1304" s="17"/>
      <c r="BO1304" s="17"/>
      <c r="BP1304" s="17"/>
      <c r="BQ1304" s="17"/>
      <c r="BR1304" s="17"/>
      <c r="BS1304" s="17"/>
      <c r="BT1304" s="17"/>
      <c r="BU1304" s="17"/>
      <c r="BV1304" s="17"/>
      <c r="BW1304" s="17"/>
      <c r="BX1304" s="17"/>
    </row>
    <row r="1305" customHeight="1" spans="1:76">
      <c r="A1305" s="17"/>
      <c r="B1305" s="17"/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17"/>
      <c r="AF1305" s="17"/>
      <c r="AG1305" s="17"/>
      <c r="AH1305" s="17"/>
      <c r="AI1305" s="17"/>
      <c r="AJ1305" s="17"/>
      <c r="AK1305" s="17"/>
      <c r="AL1305" s="17"/>
      <c r="AM1305" s="17"/>
      <c r="AN1305" s="17"/>
      <c r="AO1305" s="17"/>
      <c r="AP1305" s="17"/>
      <c r="AQ1305" s="17"/>
      <c r="AR1305" s="17"/>
      <c r="AS1305" s="17"/>
      <c r="AT1305" s="17"/>
      <c r="AU1305" s="17"/>
      <c r="AV1305" s="17"/>
      <c r="AW1305" s="17"/>
      <c r="AX1305" s="17"/>
      <c r="AY1305" s="17"/>
      <c r="AZ1305" s="17"/>
      <c r="BA1305" s="17"/>
      <c r="BB1305" s="17"/>
      <c r="BC1305" s="17"/>
      <c r="BD1305" s="17"/>
      <c r="BE1305" s="17"/>
      <c r="BF1305" s="17"/>
      <c r="BG1305" s="17"/>
      <c r="BH1305" s="17"/>
      <c r="BI1305" s="17"/>
      <c r="BJ1305" s="17"/>
      <c r="BK1305" s="17"/>
      <c r="BL1305" s="17"/>
      <c r="BM1305" s="17"/>
      <c r="BN1305" s="17"/>
      <c r="BO1305" s="17"/>
      <c r="BP1305" s="17"/>
      <c r="BQ1305" s="17"/>
      <c r="BR1305" s="17"/>
      <c r="BS1305" s="17"/>
      <c r="BT1305" s="17"/>
      <c r="BU1305" s="17"/>
      <c r="BV1305" s="17"/>
      <c r="BW1305" s="17"/>
      <c r="BX1305" s="17"/>
    </row>
    <row r="1306" customHeight="1" spans="1:76">
      <c r="A1306" s="17"/>
      <c r="B1306" s="17"/>
      <c r="C1306" s="17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  <c r="AH1306" s="17"/>
      <c r="AI1306" s="17"/>
      <c r="AJ1306" s="17"/>
      <c r="AK1306" s="17"/>
      <c r="AL1306" s="17"/>
      <c r="AM1306" s="17"/>
      <c r="AN1306" s="17"/>
      <c r="AO1306" s="17"/>
      <c r="AP1306" s="17"/>
      <c r="AQ1306" s="17"/>
      <c r="AR1306" s="17"/>
      <c r="AS1306" s="17"/>
      <c r="AT1306" s="17"/>
      <c r="AU1306" s="17"/>
      <c r="AV1306" s="17"/>
      <c r="AW1306" s="17"/>
      <c r="AX1306" s="17"/>
      <c r="AY1306" s="17"/>
      <c r="AZ1306" s="17"/>
      <c r="BA1306" s="17"/>
      <c r="BB1306" s="17"/>
      <c r="BC1306" s="17"/>
      <c r="BD1306" s="17"/>
      <c r="BE1306" s="17"/>
      <c r="BF1306" s="17"/>
      <c r="BG1306" s="17"/>
      <c r="BH1306" s="17"/>
      <c r="BI1306" s="17"/>
      <c r="BJ1306" s="17"/>
      <c r="BK1306" s="17"/>
      <c r="BL1306" s="17"/>
      <c r="BM1306" s="17"/>
      <c r="BN1306" s="17"/>
      <c r="BO1306" s="17"/>
      <c r="BP1306" s="17"/>
      <c r="BQ1306" s="17"/>
      <c r="BR1306" s="17"/>
      <c r="BS1306" s="17"/>
      <c r="BT1306" s="17"/>
      <c r="BU1306" s="17"/>
      <c r="BV1306" s="17"/>
      <c r="BW1306" s="17"/>
      <c r="BX1306" s="17"/>
    </row>
    <row r="1307" customHeight="1" spans="1:76">
      <c r="A1307" s="17"/>
      <c r="B1307" s="17"/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  <c r="AH1307" s="17"/>
      <c r="AI1307" s="17"/>
      <c r="AJ1307" s="17"/>
      <c r="AK1307" s="17"/>
      <c r="AL1307" s="17"/>
      <c r="AM1307" s="17"/>
      <c r="AN1307" s="17"/>
      <c r="AO1307" s="17"/>
      <c r="AP1307" s="17"/>
      <c r="AQ1307" s="17"/>
      <c r="AR1307" s="17"/>
      <c r="AS1307" s="17"/>
      <c r="AT1307" s="17"/>
      <c r="AU1307" s="17"/>
      <c r="AV1307" s="17"/>
      <c r="AW1307" s="17"/>
      <c r="AX1307" s="17"/>
      <c r="AY1307" s="17"/>
      <c r="AZ1307" s="17"/>
      <c r="BA1307" s="17"/>
      <c r="BB1307" s="17"/>
      <c r="BC1307" s="17"/>
      <c r="BD1307" s="17"/>
      <c r="BE1307" s="17"/>
      <c r="BF1307" s="17"/>
      <c r="BG1307" s="17"/>
      <c r="BH1307" s="17"/>
      <c r="BI1307" s="17"/>
      <c r="BJ1307" s="17"/>
      <c r="BK1307" s="17"/>
      <c r="BL1307" s="17"/>
      <c r="BM1307" s="17"/>
      <c r="BN1307" s="17"/>
      <c r="BO1307" s="17"/>
      <c r="BP1307" s="17"/>
      <c r="BQ1307" s="17"/>
      <c r="BR1307" s="17"/>
      <c r="BS1307" s="17"/>
      <c r="BT1307" s="17"/>
      <c r="BU1307" s="17"/>
      <c r="BV1307" s="17"/>
      <c r="BW1307" s="17"/>
      <c r="BX1307" s="17"/>
    </row>
    <row r="1308" customHeight="1" spans="1:76">
      <c r="A1308" s="17"/>
      <c r="B1308" s="17"/>
      <c r="C1308" s="17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  <c r="AH1308" s="17"/>
      <c r="AI1308" s="17"/>
      <c r="AJ1308" s="17"/>
      <c r="AK1308" s="17"/>
      <c r="AL1308" s="17"/>
      <c r="AM1308" s="17"/>
      <c r="AN1308" s="17"/>
      <c r="AO1308" s="17"/>
      <c r="AP1308" s="17"/>
      <c r="AQ1308" s="17"/>
      <c r="AR1308" s="17"/>
      <c r="AS1308" s="17"/>
      <c r="AT1308" s="17"/>
      <c r="AU1308" s="17"/>
      <c r="AV1308" s="17"/>
      <c r="AW1308" s="17"/>
      <c r="AX1308" s="17"/>
      <c r="AY1308" s="17"/>
      <c r="AZ1308" s="17"/>
      <c r="BA1308" s="17"/>
      <c r="BB1308" s="17"/>
      <c r="BC1308" s="17"/>
      <c r="BD1308" s="17"/>
      <c r="BE1308" s="17"/>
      <c r="BF1308" s="17"/>
      <c r="BG1308" s="17"/>
      <c r="BH1308" s="17"/>
      <c r="BI1308" s="17"/>
      <c r="BJ1308" s="17"/>
      <c r="BK1308" s="17"/>
      <c r="BL1308" s="17"/>
      <c r="BM1308" s="17"/>
      <c r="BN1308" s="17"/>
      <c r="BO1308" s="17"/>
      <c r="BP1308" s="17"/>
      <c r="BQ1308" s="17"/>
      <c r="BR1308" s="17"/>
      <c r="BS1308" s="17"/>
      <c r="BT1308" s="17"/>
      <c r="BU1308" s="17"/>
      <c r="BV1308" s="17"/>
      <c r="BW1308" s="17"/>
      <c r="BX1308" s="17"/>
    </row>
    <row r="1309" customHeight="1" spans="1:76">
      <c r="A1309" s="17"/>
      <c r="B1309" s="17"/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17"/>
      <c r="AF1309" s="17"/>
      <c r="AG1309" s="17"/>
      <c r="AH1309" s="17"/>
      <c r="AI1309" s="17"/>
      <c r="AJ1309" s="17"/>
      <c r="AK1309" s="17"/>
      <c r="AL1309" s="17"/>
      <c r="AM1309" s="17"/>
      <c r="AN1309" s="17"/>
      <c r="AO1309" s="17"/>
      <c r="AP1309" s="17"/>
      <c r="AQ1309" s="17"/>
      <c r="AR1309" s="17"/>
      <c r="AS1309" s="17"/>
      <c r="AT1309" s="17"/>
      <c r="AU1309" s="17"/>
      <c r="AV1309" s="17"/>
      <c r="AW1309" s="17"/>
      <c r="AX1309" s="17"/>
      <c r="AY1309" s="17"/>
      <c r="AZ1309" s="17"/>
      <c r="BA1309" s="17"/>
      <c r="BB1309" s="17"/>
      <c r="BC1309" s="17"/>
      <c r="BD1309" s="17"/>
      <c r="BE1309" s="17"/>
      <c r="BF1309" s="17"/>
      <c r="BG1309" s="17"/>
      <c r="BH1309" s="17"/>
      <c r="BI1309" s="17"/>
      <c r="BJ1309" s="17"/>
      <c r="BK1309" s="17"/>
      <c r="BL1309" s="17"/>
      <c r="BM1309" s="17"/>
      <c r="BN1309" s="17"/>
      <c r="BO1309" s="17"/>
      <c r="BP1309" s="17"/>
      <c r="BQ1309" s="17"/>
      <c r="BR1309" s="17"/>
      <c r="BS1309" s="17"/>
      <c r="BT1309" s="17"/>
      <c r="BU1309" s="17"/>
      <c r="BV1309" s="17"/>
      <c r="BW1309" s="17"/>
      <c r="BX1309" s="17"/>
    </row>
    <row r="1310" customHeight="1" spans="1:76">
      <c r="A1310" s="17"/>
      <c r="B1310" s="17"/>
      <c r="C1310" s="17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17"/>
      <c r="AF1310" s="17"/>
      <c r="AG1310" s="17"/>
      <c r="AH1310" s="17"/>
      <c r="AI1310" s="17"/>
      <c r="AJ1310" s="17"/>
      <c r="AK1310" s="17"/>
      <c r="AL1310" s="17"/>
      <c r="AM1310" s="17"/>
      <c r="AN1310" s="17"/>
      <c r="AO1310" s="17"/>
      <c r="AP1310" s="17"/>
      <c r="AQ1310" s="17"/>
      <c r="AR1310" s="17"/>
      <c r="AS1310" s="17"/>
      <c r="AT1310" s="17"/>
      <c r="AU1310" s="17"/>
      <c r="AV1310" s="17"/>
      <c r="AW1310" s="17"/>
      <c r="AX1310" s="17"/>
      <c r="AY1310" s="17"/>
      <c r="AZ1310" s="17"/>
      <c r="BA1310" s="17"/>
      <c r="BB1310" s="17"/>
      <c r="BC1310" s="17"/>
      <c r="BD1310" s="17"/>
      <c r="BE1310" s="17"/>
      <c r="BF1310" s="17"/>
      <c r="BG1310" s="17"/>
      <c r="BH1310" s="17"/>
      <c r="BI1310" s="17"/>
      <c r="BJ1310" s="17"/>
      <c r="BK1310" s="17"/>
      <c r="BL1310" s="17"/>
      <c r="BM1310" s="17"/>
      <c r="BN1310" s="17"/>
      <c r="BO1310" s="17"/>
      <c r="BP1310" s="17"/>
      <c r="BQ1310" s="17"/>
      <c r="BR1310" s="17"/>
      <c r="BS1310" s="17"/>
      <c r="BT1310" s="17"/>
      <c r="BU1310" s="17"/>
      <c r="BV1310" s="17"/>
      <c r="BW1310" s="17"/>
      <c r="BX1310" s="17"/>
    </row>
    <row r="1311" customHeight="1" spans="1:76">
      <c r="A1311" s="17"/>
      <c r="B1311" s="17"/>
      <c r="C1311" s="17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17"/>
      <c r="AF1311" s="17"/>
      <c r="AG1311" s="17"/>
      <c r="AH1311" s="17"/>
      <c r="AI1311" s="17"/>
      <c r="AJ1311" s="17"/>
      <c r="AK1311" s="17"/>
      <c r="AL1311" s="17"/>
      <c r="AM1311" s="17"/>
      <c r="AN1311" s="17"/>
      <c r="AO1311" s="17"/>
      <c r="AP1311" s="17"/>
      <c r="AQ1311" s="17"/>
      <c r="AR1311" s="17"/>
      <c r="AS1311" s="17"/>
      <c r="AT1311" s="17"/>
      <c r="AU1311" s="17"/>
      <c r="AV1311" s="17"/>
      <c r="AW1311" s="17"/>
      <c r="AX1311" s="17"/>
      <c r="AY1311" s="17"/>
      <c r="AZ1311" s="17"/>
      <c r="BA1311" s="17"/>
      <c r="BB1311" s="17"/>
      <c r="BC1311" s="17"/>
      <c r="BD1311" s="17"/>
      <c r="BE1311" s="17"/>
      <c r="BF1311" s="17"/>
      <c r="BG1311" s="17"/>
      <c r="BH1311" s="17"/>
      <c r="BI1311" s="17"/>
      <c r="BJ1311" s="17"/>
      <c r="BK1311" s="17"/>
      <c r="BL1311" s="17"/>
      <c r="BM1311" s="17"/>
      <c r="BN1311" s="17"/>
      <c r="BO1311" s="17"/>
      <c r="BP1311" s="17"/>
      <c r="BQ1311" s="17"/>
      <c r="BR1311" s="17"/>
      <c r="BS1311" s="17"/>
      <c r="BT1311" s="17"/>
      <c r="BU1311" s="17"/>
      <c r="BV1311" s="17"/>
      <c r="BW1311" s="17"/>
      <c r="BX1311" s="17"/>
    </row>
    <row r="1312" customHeight="1" spans="1:76">
      <c r="A1312" s="17"/>
      <c r="B1312" s="17"/>
      <c r="C1312" s="17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17"/>
      <c r="AF1312" s="17"/>
      <c r="AG1312" s="17"/>
      <c r="AH1312" s="17"/>
      <c r="AI1312" s="17"/>
      <c r="AJ1312" s="17"/>
      <c r="AK1312" s="17"/>
      <c r="AL1312" s="17"/>
      <c r="AM1312" s="17"/>
      <c r="AN1312" s="17"/>
      <c r="AO1312" s="17"/>
      <c r="AP1312" s="17"/>
      <c r="AQ1312" s="17"/>
      <c r="AR1312" s="17"/>
      <c r="AS1312" s="17"/>
      <c r="AT1312" s="17"/>
      <c r="AU1312" s="17"/>
      <c r="AV1312" s="17"/>
      <c r="AW1312" s="17"/>
      <c r="AX1312" s="17"/>
      <c r="AY1312" s="17"/>
      <c r="AZ1312" s="17"/>
      <c r="BA1312" s="17"/>
      <c r="BB1312" s="17"/>
      <c r="BC1312" s="17"/>
      <c r="BD1312" s="17"/>
      <c r="BE1312" s="17"/>
      <c r="BF1312" s="17"/>
      <c r="BG1312" s="17"/>
      <c r="BH1312" s="17"/>
      <c r="BI1312" s="17"/>
      <c r="BJ1312" s="17"/>
      <c r="BK1312" s="17"/>
      <c r="BL1312" s="17"/>
      <c r="BM1312" s="17"/>
      <c r="BN1312" s="17"/>
      <c r="BO1312" s="17"/>
      <c r="BP1312" s="17"/>
      <c r="BQ1312" s="17"/>
      <c r="BR1312" s="17"/>
      <c r="BS1312" s="17"/>
      <c r="BT1312" s="17"/>
      <c r="BU1312" s="17"/>
      <c r="BV1312" s="17"/>
      <c r="BW1312" s="17"/>
      <c r="BX1312" s="17"/>
    </row>
    <row r="1313" customHeight="1" spans="1:76">
      <c r="A1313" s="17"/>
      <c r="B1313" s="17"/>
      <c r="C1313" s="17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17"/>
      <c r="AP1313" s="17"/>
      <c r="AQ1313" s="17"/>
      <c r="AR1313" s="17"/>
      <c r="AS1313" s="17"/>
      <c r="AT1313" s="17"/>
      <c r="AU1313" s="17"/>
      <c r="AV1313" s="17"/>
      <c r="AW1313" s="17"/>
      <c r="AX1313" s="17"/>
      <c r="AY1313" s="17"/>
      <c r="AZ1313" s="17"/>
      <c r="BA1313" s="17"/>
      <c r="BB1313" s="17"/>
      <c r="BC1313" s="17"/>
      <c r="BD1313" s="17"/>
      <c r="BE1313" s="17"/>
      <c r="BF1313" s="17"/>
      <c r="BG1313" s="17"/>
      <c r="BH1313" s="17"/>
      <c r="BI1313" s="17"/>
      <c r="BJ1313" s="17"/>
      <c r="BK1313" s="17"/>
      <c r="BL1313" s="17"/>
      <c r="BM1313" s="17"/>
      <c r="BN1313" s="17"/>
      <c r="BO1313" s="17"/>
      <c r="BP1313" s="17"/>
      <c r="BQ1313" s="17"/>
      <c r="BR1313" s="17"/>
      <c r="BS1313" s="17"/>
      <c r="BT1313" s="17"/>
      <c r="BU1313" s="17"/>
      <c r="BV1313" s="17"/>
      <c r="BW1313" s="17"/>
      <c r="BX1313" s="17"/>
    </row>
    <row r="1314" customHeight="1" spans="1:76">
      <c r="A1314" s="17"/>
      <c r="B1314" s="17"/>
      <c r="C1314" s="17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17"/>
      <c r="AF1314" s="17"/>
      <c r="AG1314" s="17"/>
      <c r="AH1314" s="17"/>
      <c r="AI1314" s="17"/>
      <c r="AJ1314" s="17"/>
      <c r="AK1314" s="17"/>
      <c r="AL1314" s="17"/>
      <c r="AM1314" s="17"/>
      <c r="AN1314" s="17"/>
      <c r="AO1314" s="17"/>
      <c r="AP1314" s="17"/>
      <c r="AQ1314" s="17"/>
      <c r="AR1314" s="17"/>
      <c r="AS1314" s="17"/>
      <c r="AT1314" s="17"/>
      <c r="AU1314" s="17"/>
      <c r="AV1314" s="17"/>
      <c r="AW1314" s="17"/>
      <c r="AX1314" s="17"/>
      <c r="AY1314" s="17"/>
      <c r="AZ1314" s="17"/>
      <c r="BA1314" s="17"/>
      <c r="BB1314" s="17"/>
      <c r="BC1314" s="17"/>
      <c r="BD1314" s="17"/>
      <c r="BE1314" s="17"/>
      <c r="BF1314" s="17"/>
      <c r="BG1314" s="17"/>
      <c r="BH1314" s="17"/>
      <c r="BI1314" s="17"/>
      <c r="BJ1314" s="17"/>
      <c r="BK1314" s="17"/>
      <c r="BL1314" s="17"/>
      <c r="BM1314" s="17"/>
      <c r="BN1314" s="17"/>
      <c r="BO1314" s="17"/>
      <c r="BP1314" s="17"/>
      <c r="BQ1314" s="17"/>
      <c r="BR1314" s="17"/>
      <c r="BS1314" s="17"/>
      <c r="BT1314" s="17"/>
      <c r="BU1314" s="17"/>
      <c r="BV1314" s="17"/>
      <c r="BW1314" s="17"/>
      <c r="BX1314" s="17"/>
    </row>
    <row r="1315" customHeight="1" spans="1:76">
      <c r="A1315" s="17"/>
      <c r="B1315" s="17"/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17"/>
      <c r="AF1315" s="17"/>
      <c r="AG1315" s="17"/>
      <c r="AH1315" s="17"/>
      <c r="AI1315" s="17"/>
      <c r="AJ1315" s="17"/>
      <c r="AK1315" s="17"/>
      <c r="AL1315" s="17"/>
      <c r="AM1315" s="17"/>
      <c r="AN1315" s="17"/>
      <c r="AO1315" s="17"/>
      <c r="AP1315" s="17"/>
      <c r="AQ1315" s="17"/>
      <c r="AR1315" s="17"/>
      <c r="AS1315" s="17"/>
      <c r="AT1315" s="17"/>
      <c r="AU1315" s="17"/>
      <c r="AV1315" s="17"/>
      <c r="AW1315" s="17"/>
      <c r="AX1315" s="17"/>
      <c r="AY1315" s="17"/>
      <c r="AZ1315" s="17"/>
      <c r="BA1315" s="17"/>
      <c r="BB1315" s="17"/>
      <c r="BC1315" s="17"/>
      <c r="BD1315" s="17"/>
      <c r="BE1315" s="17"/>
      <c r="BF1315" s="17"/>
      <c r="BG1315" s="17"/>
      <c r="BH1315" s="17"/>
      <c r="BI1315" s="17"/>
      <c r="BJ1315" s="17"/>
      <c r="BK1315" s="17"/>
      <c r="BL1315" s="17"/>
      <c r="BM1315" s="17"/>
      <c r="BN1315" s="17"/>
      <c r="BO1315" s="17"/>
      <c r="BP1315" s="17"/>
      <c r="BQ1315" s="17"/>
      <c r="BR1315" s="17"/>
      <c r="BS1315" s="17"/>
      <c r="BT1315" s="17"/>
      <c r="BU1315" s="17"/>
      <c r="BV1315" s="17"/>
      <c r="BW1315" s="17"/>
      <c r="BX1315" s="17"/>
    </row>
    <row r="1316" customHeight="1" spans="1:76">
      <c r="A1316" s="17"/>
      <c r="B1316" s="17"/>
      <c r="C1316" s="17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17"/>
      <c r="AF1316" s="17"/>
      <c r="AG1316" s="17"/>
      <c r="AH1316" s="17"/>
      <c r="AI1316" s="17"/>
      <c r="AJ1316" s="17"/>
      <c r="AK1316" s="17"/>
      <c r="AL1316" s="17"/>
      <c r="AM1316" s="17"/>
      <c r="AN1316" s="17"/>
      <c r="AO1316" s="17"/>
      <c r="AP1316" s="17"/>
      <c r="AQ1316" s="17"/>
      <c r="AR1316" s="17"/>
      <c r="AS1316" s="17"/>
      <c r="AT1316" s="17"/>
      <c r="AU1316" s="17"/>
      <c r="AV1316" s="17"/>
      <c r="AW1316" s="17"/>
      <c r="AX1316" s="17"/>
      <c r="AY1316" s="17"/>
      <c r="AZ1316" s="17"/>
      <c r="BA1316" s="17"/>
      <c r="BB1316" s="17"/>
      <c r="BC1316" s="17"/>
      <c r="BD1316" s="17"/>
      <c r="BE1316" s="17"/>
      <c r="BF1316" s="17"/>
      <c r="BG1316" s="17"/>
      <c r="BH1316" s="17"/>
      <c r="BI1316" s="17"/>
      <c r="BJ1316" s="17"/>
      <c r="BK1316" s="17"/>
      <c r="BL1316" s="17"/>
      <c r="BM1316" s="17"/>
      <c r="BN1316" s="17"/>
      <c r="BO1316" s="17"/>
      <c r="BP1316" s="17"/>
      <c r="BQ1316" s="17"/>
      <c r="BR1316" s="17"/>
      <c r="BS1316" s="17"/>
      <c r="BT1316" s="17"/>
      <c r="BU1316" s="17"/>
      <c r="BV1316" s="17"/>
      <c r="BW1316" s="17"/>
      <c r="BX1316" s="17"/>
    </row>
    <row r="1317" customHeight="1" spans="1:76">
      <c r="A1317" s="17"/>
      <c r="B1317" s="17"/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17"/>
      <c r="AF1317" s="17"/>
      <c r="AG1317" s="17"/>
      <c r="AH1317" s="17"/>
      <c r="AI1317" s="17"/>
      <c r="AJ1317" s="17"/>
      <c r="AK1317" s="17"/>
      <c r="AL1317" s="17"/>
      <c r="AM1317" s="17"/>
      <c r="AN1317" s="17"/>
      <c r="AO1317" s="17"/>
      <c r="AP1317" s="17"/>
      <c r="AQ1317" s="17"/>
      <c r="AR1317" s="17"/>
      <c r="AS1317" s="17"/>
      <c r="AT1317" s="17"/>
      <c r="AU1317" s="17"/>
      <c r="AV1317" s="17"/>
      <c r="AW1317" s="17"/>
      <c r="AX1317" s="17"/>
      <c r="AY1317" s="17"/>
      <c r="AZ1317" s="17"/>
      <c r="BA1317" s="17"/>
      <c r="BB1317" s="17"/>
      <c r="BC1317" s="17"/>
      <c r="BD1317" s="17"/>
      <c r="BE1317" s="17"/>
      <c r="BF1317" s="17"/>
      <c r="BG1317" s="17"/>
      <c r="BH1317" s="17"/>
      <c r="BI1317" s="17"/>
      <c r="BJ1317" s="17"/>
      <c r="BK1317" s="17"/>
      <c r="BL1317" s="17"/>
      <c r="BM1317" s="17"/>
      <c r="BN1317" s="17"/>
      <c r="BO1317" s="17"/>
      <c r="BP1317" s="17"/>
      <c r="BQ1317" s="17"/>
      <c r="BR1317" s="17"/>
      <c r="BS1317" s="17"/>
      <c r="BT1317" s="17"/>
      <c r="BU1317" s="17"/>
      <c r="BV1317" s="17"/>
      <c r="BW1317" s="17"/>
      <c r="BX1317" s="17"/>
    </row>
    <row r="1318" customHeight="1" spans="1:76">
      <c r="A1318" s="17"/>
      <c r="B1318" s="17"/>
      <c r="C1318" s="17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17"/>
      <c r="AF1318" s="17"/>
      <c r="AG1318" s="17"/>
      <c r="AH1318" s="17"/>
      <c r="AI1318" s="17"/>
      <c r="AJ1318" s="17"/>
      <c r="AK1318" s="17"/>
      <c r="AL1318" s="17"/>
      <c r="AM1318" s="17"/>
      <c r="AN1318" s="17"/>
      <c r="AO1318" s="17"/>
      <c r="AP1318" s="17"/>
      <c r="AQ1318" s="17"/>
      <c r="AR1318" s="17"/>
      <c r="AS1318" s="17"/>
      <c r="AT1318" s="17"/>
      <c r="AU1318" s="17"/>
      <c r="AV1318" s="17"/>
      <c r="AW1318" s="17"/>
      <c r="AX1318" s="17"/>
      <c r="AY1318" s="17"/>
      <c r="AZ1318" s="17"/>
      <c r="BA1318" s="17"/>
      <c r="BB1318" s="17"/>
      <c r="BC1318" s="17"/>
      <c r="BD1318" s="17"/>
      <c r="BE1318" s="17"/>
      <c r="BF1318" s="17"/>
      <c r="BG1318" s="17"/>
      <c r="BH1318" s="17"/>
      <c r="BI1318" s="17"/>
      <c r="BJ1318" s="17"/>
      <c r="BK1318" s="17"/>
      <c r="BL1318" s="17"/>
      <c r="BM1318" s="17"/>
      <c r="BN1318" s="17"/>
      <c r="BO1318" s="17"/>
      <c r="BP1318" s="17"/>
      <c r="BQ1318" s="17"/>
      <c r="BR1318" s="17"/>
      <c r="BS1318" s="17"/>
      <c r="BT1318" s="17"/>
      <c r="BU1318" s="17"/>
      <c r="BV1318" s="17"/>
      <c r="BW1318" s="17"/>
      <c r="BX1318" s="17"/>
    </row>
    <row r="1319" customHeight="1" spans="1:76">
      <c r="A1319" s="17"/>
      <c r="B1319" s="17"/>
      <c r="C1319" s="17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17"/>
      <c r="AF1319" s="17"/>
      <c r="AG1319" s="17"/>
      <c r="AH1319" s="17"/>
      <c r="AI1319" s="17"/>
      <c r="AJ1319" s="17"/>
      <c r="AK1319" s="17"/>
      <c r="AL1319" s="17"/>
      <c r="AM1319" s="17"/>
      <c r="AN1319" s="17"/>
      <c r="AO1319" s="17"/>
      <c r="AP1319" s="17"/>
      <c r="AQ1319" s="17"/>
      <c r="AR1319" s="17"/>
      <c r="AS1319" s="17"/>
      <c r="AT1319" s="17"/>
      <c r="AU1319" s="17"/>
      <c r="AV1319" s="17"/>
      <c r="AW1319" s="17"/>
      <c r="AX1319" s="17"/>
      <c r="AY1319" s="17"/>
      <c r="AZ1319" s="17"/>
      <c r="BA1319" s="17"/>
      <c r="BB1319" s="17"/>
      <c r="BC1319" s="17"/>
      <c r="BD1319" s="17"/>
      <c r="BE1319" s="17"/>
      <c r="BF1319" s="17"/>
      <c r="BG1319" s="17"/>
      <c r="BH1319" s="17"/>
      <c r="BI1319" s="17"/>
      <c r="BJ1319" s="17"/>
      <c r="BK1319" s="17"/>
      <c r="BL1319" s="17"/>
      <c r="BM1319" s="17"/>
      <c r="BN1319" s="17"/>
      <c r="BO1319" s="17"/>
      <c r="BP1319" s="17"/>
      <c r="BQ1319" s="17"/>
      <c r="BR1319" s="17"/>
      <c r="BS1319" s="17"/>
      <c r="BT1319" s="17"/>
      <c r="BU1319" s="17"/>
      <c r="BV1319" s="17"/>
      <c r="BW1319" s="17"/>
      <c r="BX1319" s="17"/>
    </row>
    <row r="1320" customHeight="1" spans="1:76">
      <c r="A1320" s="17"/>
      <c r="B1320" s="17"/>
      <c r="C1320" s="17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/>
      <c r="AH1320" s="17"/>
      <c r="AI1320" s="17"/>
      <c r="AJ1320" s="17"/>
      <c r="AK1320" s="17"/>
      <c r="AL1320" s="17"/>
      <c r="AM1320" s="17"/>
      <c r="AN1320" s="17"/>
      <c r="AO1320" s="17"/>
      <c r="AP1320" s="17"/>
      <c r="AQ1320" s="17"/>
      <c r="AR1320" s="17"/>
      <c r="AS1320" s="17"/>
      <c r="AT1320" s="17"/>
      <c r="AU1320" s="17"/>
      <c r="AV1320" s="17"/>
      <c r="AW1320" s="17"/>
      <c r="AX1320" s="17"/>
      <c r="AY1320" s="17"/>
      <c r="AZ1320" s="17"/>
      <c r="BA1320" s="17"/>
      <c r="BB1320" s="17"/>
      <c r="BC1320" s="17"/>
      <c r="BD1320" s="17"/>
      <c r="BE1320" s="17"/>
      <c r="BF1320" s="17"/>
      <c r="BG1320" s="17"/>
      <c r="BH1320" s="17"/>
      <c r="BI1320" s="17"/>
      <c r="BJ1320" s="17"/>
      <c r="BK1320" s="17"/>
      <c r="BL1320" s="17"/>
      <c r="BM1320" s="17"/>
      <c r="BN1320" s="17"/>
      <c r="BO1320" s="17"/>
      <c r="BP1320" s="17"/>
      <c r="BQ1320" s="17"/>
      <c r="BR1320" s="17"/>
      <c r="BS1320" s="17"/>
      <c r="BT1320" s="17"/>
      <c r="BU1320" s="17"/>
      <c r="BV1320" s="17"/>
      <c r="BW1320" s="17"/>
      <c r="BX1320" s="17"/>
    </row>
    <row r="1321" customHeight="1" spans="1:76">
      <c r="A1321" s="17"/>
      <c r="B1321" s="17"/>
      <c r="C1321" s="17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7"/>
      <c r="AM1321" s="17"/>
      <c r="AN1321" s="17"/>
      <c r="AO1321" s="17"/>
      <c r="AP1321" s="17"/>
      <c r="AQ1321" s="17"/>
      <c r="AR1321" s="17"/>
      <c r="AS1321" s="17"/>
      <c r="AT1321" s="17"/>
      <c r="AU1321" s="17"/>
      <c r="AV1321" s="17"/>
      <c r="AW1321" s="17"/>
      <c r="AX1321" s="17"/>
      <c r="AY1321" s="17"/>
      <c r="AZ1321" s="17"/>
      <c r="BA1321" s="17"/>
      <c r="BB1321" s="17"/>
      <c r="BC1321" s="17"/>
      <c r="BD1321" s="17"/>
      <c r="BE1321" s="17"/>
      <c r="BF1321" s="17"/>
      <c r="BG1321" s="17"/>
      <c r="BH1321" s="17"/>
      <c r="BI1321" s="17"/>
      <c r="BJ1321" s="17"/>
      <c r="BK1321" s="17"/>
      <c r="BL1321" s="17"/>
      <c r="BM1321" s="17"/>
      <c r="BN1321" s="17"/>
      <c r="BO1321" s="17"/>
      <c r="BP1321" s="17"/>
      <c r="BQ1321" s="17"/>
      <c r="BR1321" s="17"/>
      <c r="BS1321" s="17"/>
      <c r="BT1321" s="17"/>
      <c r="BU1321" s="17"/>
      <c r="BV1321" s="17"/>
      <c r="BW1321" s="17"/>
      <c r="BX1321" s="17"/>
    </row>
    <row r="1322" customHeight="1" spans="1:76">
      <c r="A1322" s="17"/>
      <c r="B1322" s="17"/>
      <c r="C1322" s="17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  <c r="AH1322" s="17"/>
      <c r="AI1322" s="17"/>
      <c r="AJ1322" s="17"/>
      <c r="AK1322" s="17"/>
      <c r="AL1322" s="17"/>
      <c r="AM1322" s="17"/>
      <c r="AN1322" s="17"/>
      <c r="AO1322" s="17"/>
      <c r="AP1322" s="17"/>
      <c r="AQ1322" s="17"/>
      <c r="AR1322" s="17"/>
      <c r="AS1322" s="17"/>
      <c r="AT1322" s="17"/>
      <c r="AU1322" s="17"/>
      <c r="AV1322" s="17"/>
      <c r="AW1322" s="17"/>
      <c r="AX1322" s="17"/>
      <c r="AY1322" s="17"/>
      <c r="AZ1322" s="17"/>
      <c r="BA1322" s="17"/>
      <c r="BB1322" s="17"/>
      <c r="BC1322" s="17"/>
      <c r="BD1322" s="17"/>
      <c r="BE1322" s="17"/>
      <c r="BF1322" s="17"/>
      <c r="BG1322" s="17"/>
      <c r="BH1322" s="17"/>
      <c r="BI1322" s="17"/>
      <c r="BJ1322" s="17"/>
      <c r="BK1322" s="17"/>
      <c r="BL1322" s="17"/>
      <c r="BM1322" s="17"/>
      <c r="BN1322" s="17"/>
      <c r="BO1322" s="17"/>
      <c r="BP1322" s="17"/>
      <c r="BQ1322" s="17"/>
      <c r="BR1322" s="17"/>
      <c r="BS1322" s="17"/>
      <c r="BT1322" s="17"/>
      <c r="BU1322" s="17"/>
      <c r="BV1322" s="17"/>
      <c r="BW1322" s="17"/>
      <c r="BX1322" s="17"/>
    </row>
    <row r="1323" customHeight="1" spans="1:76">
      <c r="A1323" s="17"/>
      <c r="B1323" s="17"/>
      <c r="C1323" s="17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  <c r="AH1323" s="17"/>
      <c r="AI1323" s="17"/>
      <c r="AJ1323" s="17"/>
      <c r="AK1323" s="17"/>
      <c r="AL1323" s="17"/>
      <c r="AM1323" s="17"/>
      <c r="AN1323" s="17"/>
      <c r="AO1323" s="17"/>
      <c r="AP1323" s="17"/>
      <c r="AQ1323" s="17"/>
      <c r="AR1323" s="17"/>
      <c r="AS1323" s="17"/>
      <c r="AT1323" s="17"/>
      <c r="AU1323" s="17"/>
      <c r="AV1323" s="17"/>
      <c r="AW1323" s="17"/>
      <c r="AX1323" s="17"/>
      <c r="AY1323" s="17"/>
      <c r="AZ1323" s="17"/>
      <c r="BA1323" s="17"/>
      <c r="BB1323" s="17"/>
      <c r="BC1323" s="17"/>
      <c r="BD1323" s="17"/>
      <c r="BE1323" s="17"/>
      <c r="BF1323" s="17"/>
      <c r="BG1323" s="17"/>
      <c r="BH1323" s="17"/>
      <c r="BI1323" s="17"/>
      <c r="BJ1323" s="17"/>
      <c r="BK1323" s="17"/>
      <c r="BL1323" s="17"/>
      <c r="BM1323" s="17"/>
      <c r="BN1323" s="17"/>
      <c r="BO1323" s="17"/>
      <c r="BP1323" s="17"/>
      <c r="BQ1323" s="17"/>
      <c r="BR1323" s="17"/>
      <c r="BS1323" s="17"/>
      <c r="BT1323" s="17"/>
      <c r="BU1323" s="17"/>
      <c r="BV1323" s="17"/>
      <c r="BW1323" s="17"/>
      <c r="BX1323" s="17"/>
    </row>
    <row r="1324" customHeight="1" spans="1:76">
      <c r="A1324" s="17"/>
      <c r="B1324" s="17"/>
      <c r="C1324" s="17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7"/>
      <c r="AK1324" s="17"/>
      <c r="AL1324" s="17"/>
      <c r="AM1324" s="17"/>
      <c r="AN1324" s="17"/>
      <c r="AO1324" s="17"/>
      <c r="AP1324" s="17"/>
      <c r="AQ1324" s="17"/>
      <c r="AR1324" s="17"/>
      <c r="AS1324" s="17"/>
      <c r="AT1324" s="17"/>
      <c r="AU1324" s="17"/>
      <c r="AV1324" s="17"/>
      <c r="AW1324" s="17"/>
      <c r="AX1324" s="17"/>
      <c r="AY1324" s="17"/>
      <c r="AZ1324" s="17"/>
      <c r="BA1324" s="17"/>
      <c r="BB1324" s="17"/>
      <c r="BC1324" s="17"/>
      <c r="BD1324" s="17"/>
      <c r="BE1324" s="17"/>
      <c r="BF1324" s="17"/>
      <c r="BG1324" s="17"/>
      <c r="BH1324" s="17"/>
      <c r="BI1324" s="17"/>
      <c r="BJ1324" s="17"/>
      <c r="BK1324" s="17"/>
      <c r="BL1324" s="17"/>
      <c r="BM1324" s="17"/>
      <c r="BN1324" s="17"/>
      <c r="BO1324" s="17"/>
      <c r="BP1324" s="17"/>
      <c r="BQ1324" s="17"/>
      <c r="BR1324" s="17"/>
      <c r="BS1324" s="17"/>
      <c r="BT1324" s="17"/>
      <c r="BU1324" s="17"/>
      <c r="BV1324" s="17"/>
      <c r="BW1324" s="17"/>
      <c r="BX1324" s="17"/>
    </row>
    <row r="1325" customHeight="1" spans="1:76">
      <c r="A1325" s="17"/>
      <c r="B1325" s="17"/>
      <c r="C1325" s="17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  <c r="AF1325" s="17"/>
      <c r="AG1325" s="17"/>
      <c r="AH1325" s="17"/>
      <c r="AI1325" s="17"/>
      <c r="AJ1325" s="17"/>
      <c r="AK1325" s="17"/>
      <c r="AL1325" s="17"/>
      <c r="AM1325" s="17"/>
      <c r="AN1325" s="17"/>
      <c r="AO1325" s="17"/>
      <c r="AP1325" s="17"/>
      <c r="AQ1325" s="17"/>
      <c r="AR1325" s="17"/>
      <c r="AS1325" s="17"/>
      <c r="AT1325" s="17"/>
      <c r="AU1325" s="17"/>
      <c r="AV1325" s="17"/>
      <c r="AW1325" s="17"/>
      <c r="AX1325" s="17"/>
      <c r="AY1325" s="17"/>
      <c r="AZ1325" s="17"/>
      <c r="BA1325" s="17"/>
      <c r="BB1325" s="17"/>
      <c r="BC1325" s="17"/>
      <c r="BD1325" s="17"/>
      <c r="BE1325" s="17"/>
      <c r="BF1325" s="17"/>
      <c r="BG1325" s="17"/>
      <c r="BH1325" s="17"/>
      <c r="BI1325" s="17"/>
      <c r="BJ1325" s="17"/>
      <c r="BK1325" s="17"/>
      <c r="BL1325" s="17"/>
      <c r="BM1325" s="17"/>
      <c r="BN1325" s="17"/>
      <c r="BO1325" s="17"/>
      <c r="BP1325" s="17"/>
      <c r="BQ1325" s="17"/>
      <c r="BR1325" s="17"/>
      <c r="BS1325" s="17"/>
      <c r="BT1325" s="17"/>
      <c r="BU1325" s="17"/>
      <c r="BV1325" s="17"/>
      <c r="BW1325" s="17"/>
      <c r="BX1325" s="17"/>
    </row>
    <row r="1326" customHeight="1" spans="1:76">
      <c r="A1326" s="17"/>
      <c r="B1326" s="17"/>
      <c r="C1326" s="17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17"/>
      <c r="AF1326" s="17"/>
      <c r="AG1326" s="17"/>
      <c r="AH1326" s="17"/>
      <c r="AI1326" s="17"/>
      <c r="AJ1326" s="17"/>
      <c r="AK1326" s="17"/>
      <c r="AL1326" s="17"/>
      <c r="AM1326" s="17"/>
      <c r="AN1326" s="17"/>
      <c r="AO1326" s="17"/>
      <c r="AP1326" s="17"/>
      <c r="AQ1326" s="17"/>
      <c r="AR1326" s="17"/>
      <c r="AS1326" s="17"/>
      <c r="AT1326" s="17"/>
      <c r="AU1326" s="17"/>
      <c r="AV1326" s="17"/>
      <c r="AW1326" s="17"/>
      <c r="AX1326" s="17"/>
      <c r="AY1326" s="17"/>
      <c r="AZ1326" s="17"/>
      <c r="BA1326" s="17"/>
      <c r="BB1326" s="17"/>
      <c r="BC1326" s="17"/>
      <c r="BD1326" s="17"/>
      <c r="BE1326" s="17"/>
      <c r="BF1326" s="17"/>
      <c r="BG1326" s="17"/>
      <c r="BH1326" s="17"/>
      <c r="BI1326" s="17"/>
      <c r="BJ1326" s="17"/>
      <c r="BK1326" s="17"/>
      <c r="BL1326" s="17"/>
      <c r="BM1326" s="17"/>
      <c r="BN1326" s="17"/>
      <c r="BO1326" s="17"/>
      <c r="BP1326" s="17"/>
      <c r="BQ1326" s="17"/>
      <c r="BR1326" s="17"/>
      <c r="BS1326" s="17"/>
      <c r="BT1326" s="17"/>
      <c r="BU1326" s="17"/>
      <c r="BV1326" s="17"/>
      <c r="BW1326" s="17"/>
      <c r="BX1326" s="17"/>
    </row>
    <row r="1327" customHeight="1" spans="1:76">
      <c r="A1327" s="17"/>
      <c r="B1327" s="17"/>
      <c r="C1327" s="17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17"/>
      <c r="AF1327" s="17"/>
      <c r="AG1327" s="17"/>
      <c r="AH1327" s="17"/>
      <c r="AI1327" s="17"/>
      <c r="AJ1327" s="17"/>
      <c r="AK1327" s="17"/>
      <c r="AL1327" s="17"/>
      <c r="AM1327" s="17"/>
      <c r="AN1327" s="17"/>
      <c r="AO1327" s="17"/>
      <c r="AP1327" s="17"/>
      <c r="AQ1327" s="17"/>
      <c r="AR1327" s="17"/>
      <c r="AS1327" s="17"/>
      <c r="AT1327" s="17"/>
      <c r="AU1327" s="17"/>
      <c r="AV1327" s="17"/>
      <c r="AW1327" s="17"/>
      <c r="AX1327" s="17"/>
      <c r="AY1327" s="17"/>
      <c r="AZ1327" s="17"/>
      <c r="BA1327" s="17"/>
      <c r="BB1327" s="17"/>
      <c r="BC1327" s="17"/>
      <c r="BD1327" s="17"/>
      <c r="BE1327" s="17"/>
      <c r="BF1327" s="17"/>
      <c r="BG1327" s="17"/>
      <c r="BH1327" s="17"/>
      <c r="BI1327" s="17"/>
      <c r="BJ1327" s="17"/>
      <c r="BK1327" s="17"/>
      <c r="BL1327" s="17"/>
      <c r="BM1327" s="17"/>
      <c r="BN1327" s="17"/>
      <c r="BO1327" s="17"/>
      <c r="BP1327" s="17"/>
      <c r="BQ1327" s="17"/>
      <c r="BR1327" s="17"/>
      <c r="BS1327" s="17"/>
      <c r="BT1327" s="17"/>
      <c r="BU1327" s="17"/>
      <c r="BV1327" s="17"/>
      <c r="BW1327" s="17"/>
      <c r="BX1327" s="17"/>
    </row>
    <row r="1328" customHeight="1" spans="1:76">
      <c r="A1328" s="17"/>
      <c r="B1328" s="17"/>
      <c r="C1328" s="17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17"/>
      <c r="AF1328" s="17"/>
      <c r="AG1328" s="17"/>
      <c r="AH1328" s="17"/>
      <c r="AI1328" s="17"/>
      <c r="AJ1328" s="17"/>
      <c r="AK1328" s="17"/>
      <c r="AL1328" s="17"/>
      <c r="AM1328" s="17"/>
      <c r="AN1328" s="17"/>
      <c r="AO1328" s="17"/>
      <c r="AP1328" s="17"/>
      <c r="AQ1328" s="17"/>
      <c r="AR1328" s="17"/>
      <c r="AS1328" s="17"/>
      <c r="AT1328" s="17"/>
      <c r="AU1328" s="17"/>
      <c r="AV1328" s="17"/>
      <c r="AW1328" s="17"/>
      <c r="AX1328" s="17"/>
      <c r="AY1328" s="17"/>
      <c r="AZ1328" s="17"/>
      <c r="BA1328" s="17"/>
      <c r="BB1328" s="17"/>
      <c r="BC1328" s="17"/>
      <c r="BD1328" s="17"/>
      <c r="BE1328" s="17"/>
      <c r="BF1328" s="17"/>
      <c r="BG1328" s="17"/>
      <c r="BH1328" s="17"/>
      <c r="BI1328" s="17"/>
      <c r="BJ1328" s="17"/>
      <c r="BK1328" s="17"/>
      <c r="BL1328" s="17"/>
      <c r="BM1328" s="17"/>
      <c r="BN1328" s="17"/>
      <c r="BO1328" s="17"/>
      <c r="BP1328" s="17"/>
      <c r="BQ1328" s="17"/>
      <c r="BR1328" s="17"/>
      <c r="BS1328" s="17"/>
      <c r="BT1328" s="17"/>
      <c r="BU1328" s="17"/>
      <c r="BV1328" s="17"/>
      <c r="BW1328" s="17"/>
      <c r="BX1328" s="17"/>
    </row>
    <row r="1329" customHeight="1" spans="1:76">
      <c r="A1329" s="17"/>
      <c r="B1329" s="17"/>
      <c r="C1329" s="17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7"/>
      <c r="AK1329" s="17"/>
      <c r="AL1329" s="17"/>
      <c r="AM1329" s="17"/>
      <c r="AN1329" s="17"/>
      <c r="AO1329" s="17"/>
      <c r="AP1329" s="17"/>
      <c r="AQ1329" s="17"/>
      <c r="AR1329" s="17"/>
      <c r="AS1329" s="17"/>
      <c r="AT1329" s="17"/>
      <c r="AU1329" s="17"/>
      <c r="AV1329" s="17"/>
      <c r="AW1329" s="17"/>
      <c r="AX1329" s="17"/>
      <c r="AY1329" s="17"/>
      <c r="AZ1329" s="17"/>
      <c r="BA1329" s="17"/>
      <c r="BB1329" s="17"/>
      <c r="BC1329" s="17"/>
      <c r="BD1329" s="17"/>
      <c r="BE1329" s="17"/>
      <c r="BF1329" s="17"/>
      <c r="BG1329" s="17"/>
      <c r="BH1329" s="17"/>
      <c r="BI1329" s="17"/>
      <c r="BJ1329" s="17"/>
      <c r="BK1329" s="17"/>
      <c r="BL1329" s="17"/>
      <c r="BM1329" s="17"/>
      <c r="BN1329" s="17"/>
      <c r="BO1329" s="17"/>
      <c r="BP1329" s="17"/>
      <c r="BQ1329" s="17"/>
      <c r="BR1329" s="17"/>
      <c r="BS1329" s="17"/>
      <c r="BT1329" s="17"/>
      <c r="BU1329" s="17"/>
      <c r="BV1329" s="17"/>
      <c r="BW1329" s="17"/>
      <c r="BX1329" s="17"/>
    </row>
    <row r="1330" customHeight="1" spans="1:76">
      <c r="A1330" s="17"/>
      <c r="B1330" s="17"/>
      <c r="C1330" s="17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/>
      <c r="AE1330" s="17"/>
      <c r="AF1330" s="17"/>
      <c r="AG1330" s="17"/>
      <c r="AH1330" s="17"/>
      <c r="AI1330" s="17"/>
      <c r="AJ1330" s="17"/>
      <c r="AK1330" s="17"/>
      <c r="AL1330" s="17"/>
      <c r="AM1330" s="17"/>
      <c r="AN1330" s="17"/>
      <c r="AO1330" s="17"/>
      <c r="AP1330" s="17"/>
      <c r="AQ1330" s="17"/>
      <c r="AR1330" s="17"/>
      <c r="AS1330" s="17"/>
      <c r="AT1330" s="17"/>
      <c r="AU1330" s="17"/>
      <c r="AV1330" s="17"/>
      <c r="AW1330" s="17"/>
      <c r="AX1330" s="17"/>
      <c r="AY1330" s="17"/>
      <c r="AZ1330" s="17"/>
      <c r="BA1330" s="17"/>
      <c r="BB1330" s="17"/>
      <c r="BC1330" s="17"/>
      <c r="BD1330" s="17"/>
      <c r="BE1330" s="17"/>
      <c r="BF1330" s="17"/>
      <c r="BG1330" s="17"/>
      <c r="BH1330" s="17"/>
      <c r="BI1330" s="17"/>
      <c r="BJ1330" s="17"/>
      <c r="BK1330" s="17"/>
      <c r="BL1330" s="17"/>
      <c r="BM1330" s="17"/>
      <c r="BN1330" s="17"/>
      <c r="BO1330" s="17"/>
      <c r="BP1330" s="17"/>
      <c r="BQ1330" s="17"/>
      <c r="BR1330" s="17"/>
      <c r="BS1330" s="17"/>
      <c r="BT1330" s="17"/>
      <c r="BU1330" s="17"/>
      <c r="BV1330" s="17"/>
      <c r="BW1330" s="17"/>
      <c r="BX1330" s="17"/>
    </row>
    <row r="1331" customHeight="1" spans="1:76">
      <c r="A1331" s="17"/>
      <c r="B1331" s="17"/>
      <c r="C1331" s="17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  <c r="AD1331" s="17"/>
      <c r="AE1331" s="17"/>
      <c r="AF1331" s="17"/>
      <c r="AG1331" s="17"/>
      <c r="AH1331" s="17"/>
      <c r="AI1331" s="17"/>
      <c r="AJ1331" s="17"/>
      <c r="AK1331" s="17"/>
      <c r="AL1331" s="17"/>
      <c r="AM1331" s="17"/>
      <c r="AN1331" s="17"/>
      <c r="AO1331" s="17"/>
      <c r="AP1331" s="17"/>
      <c r="AQ1331" s="17"/>
      <c r="AR1331" s="17"/>
      <c r="AS1331" s="17"/>
      <c r="AT1331" s="17"/>
      <c r="AU1331" s="17"/>
      <c r="AV1331" s="17"/>
      <c r="AW1331" s="17"/>
      <c r="AX1331" s="17"/>
      <c r="AY1331" s="17"/>
      <c r="AZ1331" s="17"/>
      <c r="BA1331" s="17"/>
      <c r="BB1331" s="17"/>
      <c r="BC1331" s="17"/>
      <c r="BD1331" s="17"/>
      <c r="BE1331" s="17"/>
      <c r="BF1331" s="17"/>
      <c r="BG1331" s="17"/>
      <c r="BH1331" s="17"/>
      <c r="BI1331" s="17"/>
      <c r="BJ1331" s="17"/>
      <c r="BK1331" s="17"/>
      <c r="BL1331" s="17"/>
      <c r="BM1331" s="17"/>
      <c r="BN1331" s="17"/>
      <c r="BO1331" s="17"/>
      <c r="BP1331" s="17"/>
      <c r="BQ1331" s="17"/>
      <c r="BR1331" s="17"/>
      <c r="BS1331" s="17"/>
      <c r="BT1331" s="17"/>
      <c r="BU1331" s="17"/>
      <c r="BV1331" s="17"/>
      <c r="BW1331" s="17"/>
      <c r="BX1331" s="17"/>
    </row>
    <row r="1332" customHeight="1" spans="1:76">
      <c r="A1332" s="17"/>
      <c r="B1332" s="17"/>
      <c r="C1332" s="17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17"/>
      <c r="AF1332" s="17"/>
      <c r="AG1332" s="17"/>
      <c r="AH1332" s="17"/>
      <c r="AI1332" s="17"/>
      <c r="AJ1332" s="17"/>
      <c r="AK1332" s="17"/>
      <c r="AL1332" s="17"/>
      <c r="AM1332" s="17"/>
      <c r="AN1332" s="17"/>
      <c r="AO1332" s="17"/>
      <c r="AP1332" s="17"/>
      <c r="AQ1332" s="17"/>
      <c r="AR1332" s="17"/>
      <c r="AS1332" s="17"/>
      <c r="AT1332" s="17"/>
      <c r="AU1332" s="17"/>
      <c r="AV1332" s="17"/>
      <c r="AW1332" s="17"/>
      <c r="AX1332" s="17"/>
      <c r="AY1332" s="17"/>
      <c r="AZ1332" s="17"/>
      <c r="BA1332" s="17"/>
      <c r="BB1332" s="17"/>
      <c r="BC1332" s="17"/>
      <c r="BD1332" s="17"/>
      <c r="BE1332" s="17"/>
      <c r="BF1332" s="17"/>
      <c r="BG1332" s="17"/>
      <c r="BH1332" s="17"/>
      <c r="BI1332" s="17"/>
      <c r="BJ1332" s="17"/>
      <c r="BK1332" s="17"/>
      <c r="BL1332" s="17"/>
      <c r="BM1332" s="17"/>
      <c r="BN1332" s="17"/>
      <c r="BO1332" s="17"/>
      <c r="BP1332" s="17"/>
      <c r="BQ1332" s="17"/>
      <c r="BR1332" s="17"/>
      <c r="BS1332" s="17"/>
      <c r="BT1332" s="17"/>
      <c r="BU1332" s="17"/>
      <c r="BV1332" s="17"/>
      <c r="BW1332" s="17"/>
      <c r="BX1332" s="17"/>
    </row>
    <row r="1333" customHeight="1" spans="1:76">
      <c r="A1333" s="17"/>
      <c r="B1333" s="17"/>
      <c r="C1333" s="17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17"/>
      <c r="AF1333" s="17"/>
      <c r="AG1333" s="17"/>
      <c r="AH1333" s="17"/>
      <c r="AI1333" s="17"/>
      <c r="AJ1333" s="17"/>
      <c r="AK1333" s="17"/>
      <c r="AL1333" s="17"/>
      <c r="AM1333" s="17"/>
      <c r="AN1333" s="17"/>
      <c r="AO1333" s="17"/>
      <c r="AP1333" s="17"/>
      <c r="AQ1333" s="17"/>
      <c r="AR1333" s="17"/>
      <c r="AS1333" s="17"/>
      <c r="AT1333" s="17"/>
      <c r="AU1333" s="17"/>
      <c r="AV1333" s="17"/>
      <c r="AW1333" s="17"/>
      <c r="AX1333" s="17"/>
      <c r="AY1333" s="17"/>
      <c r="AZ1333" s="17"/>
      <c r="BA1333" s="17"/>
      <c r="BB1333" s="17"/>
      <c r="BC1333" s="17"/>
      <c r="BD1333" s="17"/>
      <c r="BE1333" s="17"/>
      <c r="BF1333" s="17"/>
      <c r="BG1333" s="17"/>
      <c r="BH1333" s="17"/>
      <c r="BI1333" s="17"/>
      <c r="BJ1333" s="17"/>
      <c r="BK1333" s="17"/>
      <c r="BL1333" s="17"/>
      <c r="BM1333" s="17"/>
      <c r="BN1333" s="17"/>
      <c r="BO1333" s="17"/>
      <c r="BP1333" s="17"/>
      <c r="BQ1333" s="17"/>
      <c r="BR1333" s="17"/>
      <c r="BS1333" s="17"/>
      <c r="BT1333" s="17"/>
      <c r="BU1333" s="17"/>
      <c r="BV1333" s="17"/>
      <c r="BW1333" s="17"/>
      <c r="BX1333" s="17"/>
    </row>
    <row r="1334" customHeight="1" spans="1:76">
      <c r="A1334" s="17"/>
      <c r="B1334" s="17"/>
      <c r="C1334" s="17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  <c r="AD1334" s="17"/>
      <c r="AE1334" s="17"/>
      <c r="AF1334" s="17"/>
      <c r="AG1334" s="17"/>
      <c r="AH1334" s="17"/>
      <c r="AI1334" s="17"/>
      <c r="AJ1334" s="17"/>
      <c r="AK1334" s="17"/>
      <c r="AL1334" s="17"/>
      <c r="AM1334" s="17"/>
      <c r="AN1334" s="17"/>
      <c r="AO1334" s="17"/>
      <c r="AP1334" s="17"/>
      <c r="AQ1334" s="17"/>
      <c r="AR1334" s="17"/>
      <c r="AS1334" s="17"/>
      <c r="AT1334" s="17"/>
      <c r="AU1334" s="17"/>
      <c r="AV1334" s="17"/>
      <c r="AW1334" s="17"/>
      <c r="AX1334" s="17"/>
      <c r="AY1334" s="17"/>
      <c r="AZ1334" s="17"/>
      <c r="BA1334" s="17"/>
      <c r="BB1334" s="17"/>
      <c r="BC1334" s="17"/>
      <c r="BD1334" s="17"/>
      <c r="BE1334" s="17"/>
      <c r="BF1334" s="17"/>
      <c r="BG1334" s="17"/>
      <c r="BH1334" s="17"/>
      <c r="BI1334" s="17"/>
      <c r="BJ1334" s="17"/>
      <c r="BK1334" s="17"/>
      <c r="BL1334" s="17"/>
      <c r="BM1334" s="17"/>
      <c r="BN1334" s="17"/>
      <c r="BO1334" s="17"/>
      <c r="BP1334" s="17"/>
      <c r="BQ1334" s="17"/>
      <c r="BR1334" s="17"/>
      <c r="BS1334" s="17"/>
      <c r="BT1334" s="17"/>
      <c r="BU1334" s="17"/>
      <c r="BV1334" s="17"/>
      <c r="BW1334" s="17"/>
      <c r="BX1334" s="17"/>
    </row>
    <row r="1335" customHeight="1" spans="1:76">
      <c r="A1335" s="17"/>
      <c r="B1335" s="17"/>
      <c r="C1335" s="17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17"/>
      <c r="AF1335" s="17"/>
      <c r="AG1335" s="17"/>
      <c r="AH1335" s="17"/>
      <c r="AI1335" s="17"/>
      <c r="AJ1335" s="17"/>
      <c r="AK1335" s="17"/>
      <c r="AL1335" s="17"/>
      <c r="AM1335" s="17"/>
      <c r="AN1335" s="17"/>
      <c r="AO1335" s="17"/>
      <c r="AP1335" s="17"/>
      <c r="AQ1335" s="17"/>
      <c r="AR1335" s="17"/>
      <c r="AS1335" s="17"/>
      <c r="AT1335" s="17"/>
      <c r="AU1335" s="17"/>
      <c r="AV1335" s="17"/>
      <c r="AW1335" s="17"/>
      <c r="AX1335" s="17"/>
      <c r="AY1335" s="17"/>
      <c r="AZ1335" s="17"/>
      <c r="BA1335" s="17"/>
      <c r="BB1335" s="17"/>
      <c r="BC1335" s="17"/>
      <c r="BD1335" s="17"/>
      <c r="BE1335" s="17"/>
      <c r="BF1335" s="17"/>
      <c r="BG1335" s="17"/>
      <c r="BH1335" s="17"/>
      <c r="BI1335" s="17"/>
      <c r="BJ1335" s="17"/>
      <c r="BK1335" s="17"/>
      <c r="BL1335" s="17"/>
      <c r="BM1335" s="17"/>
      <c r="BN1335" s="17"/>
      <c r="BO1335" s="17"/>
      <c r="BP1335" s="17"/>
      <c r="BQ1335" s="17"/>
      <c r="BR1335" s="17"/>
      <c r="BS1335" s="17"/>
      <c r="BT1335" s="17"/>
      <c r="BU1335" s="17"/>
      <c r="BV1335" s="17"/>
      <c r="BW1335" s="17"/>
      <c r="BX1335" s="17"/>
    </row>
    <row r="1336" customHeight="1" spans="1:76">
      <c r="A1336" s="17"/>
      <c r="B1336" s="17"/>
      <c r="C1336" s="17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17"/>
      <c r="AF1336" s="17"/>
      <c r="AG1336" s="17"/>
      <c r="AH1336" s="17"/>
      <c r="AI1336" s="17"/>
      <c r="AJ1336" s="17"/>
      <c r="AK1336" s="17"/>
      <c r="AL1336" s="17"/>
      <c r="AM1336" s="17"/>
      <c r="AN1336" s="17"/>
      <c r="AO1336" s="17"/>
      <c r="AP1336" s="17"/>
      <c r="AQ1336" s="17"/>
      <c r="AR1336" s="17"/>
      <c r="AS1336" s="17"/>
      <c r="AT1336" s="17"/>
      <c r="AU1336" s="17"/>
      <c r="AV1336" s="17"/>
      <c r="AW1336" s="17"/>
      <c r="AX1336" s="17"/>
      <c r="AY1336" s="17"/>
      <c r="AZ1336" s="17"/>
      <c r="BA1336" s="17"/>
      <c r="BB1336" s="17"/>
      <c r="BC1336" s="17"/>
      <c r="BD1336" s="17"/>
      <c r="BE1336" s="17"/>
      <c r="BF1336" s="17"/>
      <c r="BG1336" s="17"/>
      <c r="BH1336" s="17"/>
      <c r="BI1336" s="17"/>
      <c r="BJ1336" s="17"/>
      <c r="BK1336" s="17"/>
      <c r="BL1336" s="17"/>
      <c r="BM1336" s="17"/>
      <c r="BN1336" s="17"/>
      <c r="BO1336" s="17"/>
      <c r="BP1336" s="17"/>
      <c r="BQ1336" s="17"/>
      <c r="BR1336" s="17"/>
      <c r="BS1336" s="17"/>
      <c r="BT1336" s="17"/>
      <c r="BU1336" s="17"/>
      <c r="BV1336" s="17"/>
      <c r="BW1336" s="17"/>
      <c r="BX1336" s="17"/>
    </row>
    <row r="1337" customHeight="1" spans="1:76">
      <c r="A1337" s="17"/>
      <c r="B1337" s="17"/>
      <c r="C1337" s="17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17"/>
      <c r="AF1337" s="17"/>
      <c r="AG1337" s="17"/>
      <c r="AH1337" s="17"/>
      <c r="AI1337" s="17"/>
      <c r="AJ1337" s="17"/>
      <c r="AK1337" s="17"/>
      <c r="AL1337" s="17"/>
      <c r="AM1337" s="17"/>
      <c r="AN1337" s="17"/>
      <c r="AO1337" s="17"/>
      <c r="AP1337" s="17"/>
      <c r="AQ1337" s="17"/>
      <c r="AR1337" s="17"/>
      <c r="AS1337" s="17"/>
      <c r="AT1337" s="17"/>
      <c r="AU1337" s="17"/>
      <c r="AV1337" s="17"/>
      <c r="AW1337" s="17"/>
      <c r="AX1337" s="17"/>
      <c r="AY1337" s="17"/>
      <c r="AZ1337" s="17"/>
      <c r="BA1337" s="17"/>
      <c r="BB1337" s="17"/>
      <c r="BC1337" s="17"/>
      <c r="BD1337" s="17"/>
      <c r="BE1337" s="17"/>
      <c r="BF1337" s="17"/>
      <c r="BG1337" s="17"/>
      <c r="BH1337" s="17"/>
      <c r="BI1337" s="17"/>
      <c r="BJ1337" s="17"/>
      <c r="BK1337" s="17"/>
      <c r="BL1337" s="17"/>
      <c r="BM1337" s="17"/>
      <c r="BN1337" s="17"/>
      <c r="BO1337" s="17"/>
      <c r="BP1337" s="17"/>
      <c r="BQ1337" s="17"/>
      <c r="BR1337" s="17"/>
      <c r="BS1337" s="17"/>
      <c r="BT1337" s="17"/>
      <c r="BU1337" s="17"/>
      <c r="BV1337" s="17"/>
      <c r="BW1337" s="17"/>
      <c r="BX1337" s="17"/>
    </row>
    <row r="1338" customHeight="1" spans="1:76">
      <c r="A1338" s="17"/>
      <c r="B1338" s="17"/>
      <c r="C1338" s="17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17"/>
      <c r="AF1338" s="17"/>
      <c r="AG1338" s="17"/>
      <c r="AH1338" s="17"/>
      <c r="AI1338" s="17"/>
      <c r="AJ1338" s="17"/>
      <c r="AK1338" s="17"/>
      <c r="AL1338" s="17"/>
      <c r="AM1338" s="17"/>
      <c r="AN1338" s="17"/>
      <c r="AO1338" s="17"/>
      <c r="AP1338" s="17"/>
      <c r="AQ1338" s="17"/>
      <c r="AR1338" s="17"/>
      <c r="AS1338" s="17"/>
      <c r="AT1338" s="17"/>
      <c r="AU1338" s="17"/>
      <c r="AV1338" s="17"/>
      <c r="AW1338" s="17"/>
      <c r="AX1338" s="17"/>
      <c r="AY1338" s="17"/>
      <c r="AZ1338" s="17"/>
      <c r="BA1338" s="17"/>
      <c r="BB1338" s="17"/>
      <c r="BC1338" s="17"/>
      <c r="BD1338" s="17"/>
      <c r="BE1338" s="17"/>
      <c r="BF1338" s="17"/>
      <c r="BG1338" s="17"/>
      <c r="BH1338" s="17"/>
      <c r="BI1338" s="17"/>
      <c r="BJ1338" s="17"/>
      <c r="BK1338" s="17"/>
      <c r="BL1338" s="17"/>
      <c r="BM1338" s="17"/>
      <c r="BN1338" s="17"/>
      <c r="BO1338" s="17"/>
      <c r="BP1338" s="17"/>
      <c r="BQ1338" s="17"/>
      <c r="BR1338" s="17"/>
      <c r="BS1338" s="17"/>
      <c r="BT1338" s="17"/>
      <c r="BU1338" s="17"/>
      <c r="BV1338" s="17"/>
      <c r="BW1338" s="17"/>
      <c r="BX1338" s="17"/>
    </row>
    <row r="1339" customHeight="1" spans="1:76">
      <c r="A1339" s="17"/>
      <c r="B1339" s="17"/>
      <c r="C1339" s="17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17"/>
      <c r="AF1339" s="17"/>
      <c r="AG1339" s="17"/>
      <c r="AH1339" s="17"/>
      <c r="AI1339" s="17"/>
      <c r="AJ1339" s="17"/>
      <c r="AK1339" s="17"/>
      <c r="AL1339" s="17"/>
      <c r="AM1339" s="17"/>
      <c r="AN1339" s="17"/>
      <c r="AO1339" s="17"/>
      <c r="AP1339" s="17"/>
      <c r="AQ1339" s="17"/>
      <c r="AR1339" s="17"/>
      <c r="AS1339" s="17"/>
      <c r="AT1339" s="17"/>
      <c r="AU1339" s="17"/>
      <c r="AV1339" s="17"/>
      <c r="AW1339" s="17"/>
      <c r="AX1339" s="17"/>
      <c r="AY1339" s="17"/>
      <c r="AZ1339" s="17"/>
      <c r="BA1339" s="17"/>
      <c r="BB1339" s="17"/>
      <c r="BC1339" s="17"/>
      <c r="BD1339" s="17"/>
      <c r="BE1339" s="17"/>
      <c r="BF1339" s="17"/>
      <c r="BG1339" s="17"/>
      <c r="BH1339" s="17"/>
      <c r="BI1339" s="17"/>
      <c r="BJ1339" s="17"/>
      <c r="BK1339" s="17"/>
      <c r="BL1339" s="17"/>
      <c r="BM1339" s="17"/>
      <c r="BN1339" s="17"/>
      <c r="BO1339" s="17"/>
      <c r="BP1339" s="17"/>
      <c r="BQ1339" s="17"/>
      <c r="BR1339" s="17"/>
      <c r="BS1339" s="17"/>
      <c r="BT1339" s="17"/>
      <c r="BU1339" s="17"/>
      <c r="BV1339" s="17"/>
      <c r="BW1339" s="17"/>
      <c r="BX1339" s="17"/>
    </row>
    <row r="1340" customHeight="1" spans="1:76">
      <c r="A1340" s="17"/>
      <c r="B1340" s="17"/>
      <c r="C1340" s="17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17"/>
      <c r="AF1340" s="17"/>
      <c r="AG1340" s="17"/>
      <c r="AH1340" s="17"/>
      <c r="AI1340" s="17"/>
      <c r="AJ1340" s="17"/>
      <c r="AK1340" s="17"/>
      <c r="AL1340" s="17"/>
      <c r="AM1340" s="17"/>
      <c r="AN1340" s="17"/>
      <c r="AO1340" s="17"/>
      <c r="AP1340" s="17"/>
      <c r="AQ1340" s="17"/>
      <c r="AR1340" s="17"/>
      <c r="AS1340" s="17"/>
      <c r="AT1340" s="17"/>
      <c r="AU1340" s="17"/>
      <c r="AV1340" s="17"/>
      <c r="AW1340" s="17"/>
      <c r="AX1340" s="17"/>
      <c r="AY1340" s="17"/>
      <c r="AZ1340" s="17"/>
      <c r="BA1340" s="17"/>
      <c r="BB1340" s="17"/>
      <c r="BC1340" s="17"/>
      <c r="BD1340" s="17"/>
      <c r="BE1340" s="17"/>
      <c r="BF1340" s="17"/>
      <c r="BG1340" s="17"/>
      <c r="BH1340" s="17"/>
      <c r="BI1340" s="17"/>
      <c r="BJ1340" s="17"/>
      <c r="BK1340" s="17"/>
      <c r="BL1340" s="17"/>
      <c r="BM1340" s="17"/>
      <c r="BN1340" s="17"/>
      <c r="BO1340" s="17"/>
      <c r="BP1340" s="17"/>
      <c r="BQ1340" s="17"/>
      <c r="BR1340" s="17"/>
      <c r="BS1340" s="17"/>
      <c r="BT1340" s="17"/>
      <c r="BU1340" s="17"/>
      <c r="BV1340" s="17"/>
      <c r="BW1340" s="17"/>
      <c r="BX1340" s="17"/>
    </row>
    <row r="1341" customHeight="1" spans="1:76">
      <c r="A1341" s="17"/>
      <c r="B1341" s="17"/>
      <c r="C1341" s="17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17"/>
      <c r="AF1341" s="17"/>
      <c r="AG1341" s="17"/>
      <c r="AH1341" s="17"/>
      <c r="AI1341" s="17"/>
      <c r="AJ1341" s="17"/>
      <c r="AK1341" s="17"/>
      <c r="AL1341" s="17"/>
      <c r="AM1341" s="17"/>
      <c r="AN1341" s="17"/>
      <c r="AO1341" s="17"/>
      <c r="AP1341" s="17"/>
      <c r="AQ1341" s="17"/>
      <c r="AR1341" s="17"/>
      <c r="AS1341" s="17"/>
      <c r="AT1341" s="17"/>
      <c r="AU1341" s="17"/>
      <c r="AV1341" s="17"/>
      <c r="AW1341" s="17"/>
      <c r="AX1341" s="17"/>
      <c r="AY1341" s="17"/>
      <c r="AZ1341" s="17"/>
      <c r="BA1341" s="17"/>
      <c r="BB1341" s="17"/>
      <c r="BC1341" s="17"/>
      <c r="BD1341" s="17"/>
      <c r="BE1341" s="17"/>
      <c r="BF1341" s="17"/>
      <c r="BG1341" s="17"/>
      <c r="BH1341" s="17"/>
      <c r="BI1341" s="17"/>
      <c r="BJ1341" s="17"/>
      <c r="BK1341" s="17"/>
      <c r="BL1341" s="17"/>
      <c r="BM1341" s="17"/>
      <c r="BN1341" s="17"/>
      <c r="BO1341" s="17"/>
      <c r="BP1341" s="17"/>
      <c r="BQ1341" s="17"/>
      <c r="BR1341" s="17"/>
      <c r="BS1341" s="17"/>
      <c r="BT1341" s="17"/>
      <c r="BU1341" s="17"/>
      <c r="BV1341" s="17"/>
      <c r="BW1341" s="17"/>
      <c r="BX1341" s="17"/>
    </row>
    <row r="1342" customHeight="1" spans="1:76">
      <c r="A1342" s="17"/>
      <c r="B1342" s="17"/>
      <c r="C1342" s="17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17"/>
      <c r="AF1342" s="17"/>
      <c r="AG1342" s="17"/>
      <c r="AH1342" s="17"/>
      <c r="AI1342" s="17"/>
      <c r="AJ1342" s="17"/>
      <c r="AK1342" s="17"/>
      <c r="AL1342" s="17"/>
      <c r="AM1342" s="17"/>
      <c r="AN1342" s="17"/>
      <c r="AO1342" s="17"/>
      <c r="AP1342" s="17"/>
      <c r="AQ1342" s="17"/>
      <c r="AR1342" s="17"/>
      <c r="AS1342" s="17"/>
      <c r="AT1342" s="17"/>
      <c r="AU1342" s="17"/>
      <c r="AV1342" s="17"/>
      <c r="AW1342" s="17"/>
      <c r="AX1342" s="17"/>
      <c r="AY1342" s="17"/>
      <c r="AZ1342" s="17"/>
      <c r="BA1342" s="17"/>
      <c r="BB1342" s="17"/>
      <c r="BC1342" s="17"/>
      <c r="BD1342" s="17"/>
      <c r="BE1342" s="17"/>
      <c r="BF1342" s="17"/>
      <c r="BG1342" s="17"/>
      <c r="BH1342" s="17"/>
      <c r="BI1342" s="17"/>
      <c r="BJ1342" s="17"/>
      <c r="BK1342" s="17"/>
      <c r="BL1342" s="17"/>
      <c r="BM1342" s="17"/>
      <c r="BN1342" s="17"/>
      <c r="BO1342" s="17"/>
      <c r="BP1342" s="17"/>
      <c r="BQ1342" s="17"/>
      <c r="BR1342" s="17"/>
      <c r="BS1342" s="17"/>
      <c r="BT1342" s="17"/>
      <c r="BU1342" s="17"/>
      <c r="BV1342" s="17"/>
      <c r="BW1342" s="17"/>
      <c r="BX1342" s="17"/>
    </row>
    <row r="1343" customHeight="1" spans="1:76">
      <c r="A1343" s="17"/>
      <c r="B1343" s="17"/>
      <c r="C1343" s="17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17"/>
      <c r="AF1343" s="17"/>
      <c r="AG1343" s="17"/>
      <c r="AH1343" s="17"/>
      <c r="AI1343" s="17"/>
      <c r="AJ1343" s="17"/>
      <c r="AK1343" s="17"/>
      <c r="AL1343" s="17"/>
      <c r="AM1343" s="17"/>
      <c r="AN1343" s="17"/>
      <c r="AO1343" s="17"/>
      <c r="AP1343" s="17"/>
      <c r="AQ1343" s="17"/>
      <c r="AR1343" s="17"/>
      <c r="AS1343" s="17"/>
      <c r="AT1343" s="17"/>
      <c r="AU1343" s="17"/>
      <c r="AV1343" s="17"/>
      <c r="AW1343" s="17"/>
      <c r="AX1343" s="17"/>
      <c r="AY1343" s="17"/>
      <c r="AZ1343" s="17"/>
      <c r="BA1343" s="17"/>
      <c r="BB1343" s="17"/>
      <c r="BC1343" s="17"/>
      <c r="BD1343" s="17"/>
      <c r="BE1343" s="17"/>
      <c r="BF1343" s="17"/>
      <c r="BG1343" s="17"/>
      <c r="BH1343" s="17"/>
      <c r="BI1343" s="17"/>
      <c r="BJ1343" s="17"/>
      <c r="BK1343" s="17"/>
      <c r="BL1343" s="17"/>
      <c r="BM1343" s="17"/>
      <c r="BN1343" s="17"/>
      <c r="BO1343" s="17"/>
      <c r="BP1343" s="17"/>
      <c r="BQ1343" s="17"/>
      <c r="BR1343" s="17"/>
      <c r="BS1343" s="17"/>
      <c r="BT1343" s="17"/>
      <c r="BU1343" s="17"/>
      <c r="BV1343" s="17"/>
      <c r="BW1343" s="17"/>
      <c r="BX1343" s="17"/>
    </row>
    <row r="1344" customHeight="1" spans="1:76">
      <c r="A1344" s="17"/>
      <c r="B1344" s="17"/>
      <c r="C1344" s="17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  <c r="AD1344" s="17"/>
      <c r="AE1344" s="17"/>
      <c r="AF1344" s="17"/>
      <c r="AG1344" s="17"/>
      <c r="AH1344" s="17"/>
      <c r="AI1344" s="17"/>
      <c r="AJ1344" s="17"/>
      <c r="AK1344" s="17"/>
      <c r="AL1344" s="17"/>
      <c r="AM1344" s="17"/>
      <c r="AN1344" s="17"/>
      <c r="AO1344" s="17"/>
      <c r="AP1344" s="17"/>
      <c r="AQ1344" s="17"/>
      <c r="AR1344" s="17"/>
      <c r="AS1344" s="17"/>
      <c r="AT1344" s="17"/>
      <c r="AU1344" s="17"/>
      <c r="AV1344" s="17"/>
      <c r="AW1344" s="17"/>
      <c r="AX1344" s="17"/>
      <c r="AY1344" s="17"/>
      <c r="AZ1344" s="17"/>
      <c r="BA1344" s="17"/>
      <c r="BB1344" s="17"/>
      <c r="BC1344" s="17"/>
      <c r="BD1344" s="17"/>
      <c r="BE1344" s="17"/>
      <c r="BF1344" s="17"/>
      <c r="BG1344" s="17"/>
      <c r="BH1344" s="17"/>
      <c r="BI1344" s="17"/>
      <c r="BJ1344" s="17"/>
      <c r="BK1344" s="17"/>
      <c r="BL1344" s="17"/>
      <c r="BM1344" s="17"/>
      <c r="BN1344" s="17"/>
      <c r="BO1344" s="17"/>
      <c r="BP1344" s="17"/>
      <c r="BQ1344" s="17"/>
      <c r="BR1344" s="17"/>
      <c r="BS1344" s="17"/>
      <c r="BT1344" s="17"/>
      <c r="BU1344" s="17"/>
      <c r="BV1344" s="17"/>
      <c r="BW1344" s="17"/>
      <c r="BX1344" s="17"/>
    </row>
    <row r="1345" customHeight="1" spans="1:76">
      <c r="A1345" s="17"/>
      <c r="B1345" s="17"/>
      <c r="C1345" s="17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/>
      <c r="AE1345" s="17"/>
      <c r="AF1345" s="17"/>
      <c r="AG1345" s="17"/>
      <c r="AH1345" s="17"/>
      <c r="AI1345" s="17"/>
      <c r="AJ1345" s="17"/>
      <c r="AK1345" s="17"/>
      <c r="AL1345" s="17"/>
      <c r="AM1345" s="17"/>
      <c r="AN1345" s="17"/>
      <c r="AO1345" s="17"/>
      <c r="AP1345" s="17"/>
      <c r="AQ1345" s="17"/>
      <c r="AR1345" s="17"/>
      <c r="AS1345" s="17"/>
      <c r="AT1345" s="17"/>
      <c r="AU1345" s="17"/>
      <c r="AV1345" s="17"/>
      <c r="AW1345" s="17"/>
      <c r="AX1345" s="17"/>
      <c r="AY1345" s="17"/>
      <c r="AZ1345" s="17"/>
      <c r="BA1345" s="17"/>
      <c r="BB1345" s="17"/>
      <c r="BC1345" s="17"/>
      <c r="BD1345" s="17"/>
      <c r="BE1345" s="17"/>
      <c r="BF1345" s="17"/>
      <c r="BG1345" s="17"/>
      <c r="BH1345" s="17"/>
      <c r="BI1345" s="17"/>
      <c r="BJ1345" s="17"/>
      <c r="BK1345" s="17"/>
      <c r="BL1345" s="17"/>
      <c r="BM1345" s="17"/>
      <c r="BN1345" s="17"/>
      <c r="BO1345" s="17"/>
      <c r="BP1345" s="17"/>
      <c r="BQ1345" s="17"/>
      <c r="BR1345" s="17"/>
      <c r="BS1345" s="17"/>
      <c r="BT1345" s="17"/>
      <c r="BU1345" s="17"/>
      <c r="BV1345" s="17"/>
      <c r="BW1345" s="17"/>
      <c r="BX1345" s="17"/>
    </row>
    <row r="1346" customHeight="1" spans="1:76">
      <c r="A1346" s="17"/>
      <c r="B1346" s="17"/>
      <c r="C1346" s="17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  <c r="AD1346" s="17"/>
      <c r="AE1346" s="17"/>
      <c r="AF1346" s="17"/>
      <c r="AG1346" s="17"/>
      <c r="AH1346" s="17"/>
      <c r="AI1346" s="17"/>
      <c r="AJ1346" s="17"/>
      <c r="AK1346" s="17"/>
      <c r="AL1346" s="17"/>
      <c r="AM1346" s="17"/>
      <c r="AN1346" s="17"/>
      <c r="AO1346" s="17"/>
      <c r="AP1346" s="17"/>
      <c r="AQ1346" s="17"/>
      <c r="AR1346" s="17"/>
      <c r="AS1346" s="17"/>
      <c r="AT1346" s="17"/>
      <c r="AU1346" s="17"/>
      <c r="AV1346" s="17"/>
      <c r="AW1346" s="17"/>
      <c r="AX1346" s="17"/>
      <c r="AY1346" s="17"/>
      <c r="AZ1346" s="17"/>
      <c r="BA1346" s="17"/>
      <c r="BB1346" s="17"/>
      <c r="BC1346" s="17"/>
      <c r="BD1346" s="17"/>
      <c r="BE1346" s="17"/>
      <c r="BF1346" s="17"/>
      <c r="BG1346" s="17"/>
      <c r="BH1346" s="17"/>
      <c r="BI1346" s="17"/>
      <c r="BJ1346" s="17"/>
      <c r="BK1346" s="17"/>
      <c r="BL1346" s="17"/>
      <c r="BM1346" s="17"/>
      <c r="BN1346" s="17"/>
      <c r="BO1346" s="17"/>
      <c r="BP1346" s="17"/>
      <c r="BQ1346" s="17"/>
      <c r="BR1346" s="17"/>
      <c r="BS1346" s="17"/>
      <c r="BT1346" s="17"/>
      <c r="BU1346" s="17"/>
      <c r="BV1346" s="17"/>
      <c r="BW1346" s="17"/>
      <c r="BX1346" s="17"/>
    </row>
    <row r="1347" customHeight="1" spans="1:76">
      <c r="A1347" s="17"/>
      <c r="B1347" s="17"/>
      <c r="C1347" s="17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  <c r="AD1347" s="17"/>
      <c r="AE1347" s="17"/>
      <c r="AF1347" s="17"/>
      <c r="AG1347" s="17"/>
      <c r="AH1347" s="17"/>
      <c r="AI1347" s="17"/>
      <c r="AJ1347" s="17"/>
      <c r="AK1347" s="17"/>
      <c r="AL1347" s="17"/>
      <c r="AM1347" s="17"/>
      <c r="AN1347" s="17"/>
      <c r="AO1347" s="17"/>
      <c r="AP1347" s="17"/>
      <c r="AQ1347" s="17"/>
      <c r="AR1347" s="17"/>
      <c r="AS1347" s="17"/>
      <c r="AT1347" s="17"/>
      <c r="AU1347" s="17"/>
      <c r="AV1347" s="17"/>
      <c r="AW1347" s="17"/>
      <c r="AX1347" s="17"/>
      <c r="AY1347" s="17"/>
      <c r="AZ1347" s="17"/>
      <c r="BA1347" s="17"/>
      <c r="BB1347" s="17"/>
      <c r="BC1347" s="17"/>
      <c r="BD1347" s="17"/>
      <c r="BE1347" s="17"/>
      <c r="BF1347" s="17"/>
      <c r="BG1347" s="17"/>
      <c r="BH1347" s="17"/>
      <c r="BI1347" s="17"/>
      <c r="BJ1347" s="17"/>
      <c r="BK1347" s="17"/>
      <c r="BL1347" s="17"/>
      <c r="BM1347" s="17"/>
      <c r="BN1347" s="17"/>
      <c r="BO1347" s="17"/>
      <c r="BP1347" s="17"/>
      <c r="BQ1347" s="17"/>
      <c r="BR1347" s="17"/>
      <c r="BS1347" s="17"/>
      <c r="BT1347" s="17"/>
      <c r="BU1347" s="17"/>
      <c r="BV1347" s="17"/>
      <c r="BW1347" s="17"/>
      <c r="BX1347" s="17"/>
    </row>
    <row r="1348" customHeight="1" spans="1:76">
      <c r="A1348" s="17"/>
      <c r="B1348" s="17"/>
      <c r="C1348" s="17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17"/>
      <c r="AF1348" s="17"/>
      <c r="AG1348" s="17"/>
      <c r="AH1348" s="17"/>
      <c r="AI1348" s="17"/>
      <c r="AJ1348" s="17"/>
      <c r="AK1348" s="17"/>
      <c r="AL1348" s="17"/>
      <c r="AM1348" s="17"/>
      <c r="AN1348" s="17"/>
      <c r="AO1348" s="17"/>
      <c r="AP1348" s="17"/>
      <c r="AQ1348" s="17"/>
      <c r="AR1348" s="17"/>
      <c r="AS1348" s="17"/>
      <c r="AT1348" s="17"/>
      <c r="AU1348" s="17"/>
      <c r="AV1348" s="17"/>
      <c r="AW1348" s="17"/>
      <c r="AX1348" s="17"/>
      <c r="AY1348" s="17"/>
      <c r="AZ1348" s="17"/>
      <c r="BA1348" s="17"/>
      <c r="BB1348" s="17"/>
      <c r="BC1348" s="17"/>
      <c r="BD1348" s="17"/>
      <c r="BE1348" s="17"/>
      <c r="BF1348" s="17"/>
      <c r="BG1348" s="17"/>
      <c r="BH1348" s="17"/>
      <c r="BI1348" s="17"/>
      <c r="BJ1348" s="17"/>
      <c r="BK1348" s="17"/>
      <c r="BL1348" s="17"/>
      <c r="BM1348" s="17"/>
      <c r="BN1348" s="17"/>
      <c r="BO1348" s="17"/>
      <c r="BP1348" s="17"/>
      <c r="BQ1348" s="17"/>
      <c r="BR1348" s="17"/>
      <c r="BS1348" s="17"/>
      <c r="BT1348" s="17"/>
      <c r="BU1348" s="17"/>
      <c r="BV1348" s="17"/>
      <c r="BW1348" s="17"/>
      <c r="BX1348" s="17"/>
    </row>
    <row r="1349" customHeight="1" spans="1:76">
      <c r="A1349" s="17"/>
      <c r="B1349" s="17"/>
      <c r="C1349" s="17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  <c r="AD1349" s="17"/>
      <c r="AE1349" s="17"/>
      <c r="AF1349" s="17"/>
      <c r="AG1349" s="17"/>
      <c r="AH1349" s="17"/>
      <c r="AI1349" s="17"/>
      <c r="AJ1349" s="17"/>
      <c r="AK1349" s="17"/>
      <c r="AL1349" s="17"/>
      <c r="AM1349" s="17"/>
      <c r="AN1349" s="17"/>
      <c r="AO1349" s="17"/>
      <c r="AP1349" s="17"/>
      <c r="AQ1349" s="17"/>
      <c r="AR1349" s="17"/>
      <c r="AS1349" s="17"/>
      <c r="AT1349" s="17"/>
      <c r="AU1349" s="17"/>
      <c r="AV1349" s="17"/>
      <c r="AW1349" s="17"/>
      <c r="AX1349" s="17"/>
      <c r="AY1349" s="17"/>
      <c r="AZ1349" s="17"/>
      <c r="BA1349" s="17"/>
      <c r="BB1349" s="17"/>
      <c r="BC1349" s="17"/>
      <c r="BD1349" s="17"/>
      <c r="BE1349" s="17"/>
      <c r="BF1349" s="17"/>
      <c r="BG1349" s="17"/>
      <c r="BH1349" s="17"/>
      <c r="BI1349" s="17"/>
      <c r="BJ1349" s="17"/>
      <c r="BK1349" s="17"/>
      <c r="BL1349" s="17"/>
      <c r="BM1349" s="17"/>
      <c r="BN1349" s="17"/>
      <c r="BO1349" s="17"/>
      <c r="BP1349" s="17"/>
      <c r="BQ1349" s="17"/>
      <c r="BR1349" s="17"/>
      <c r="BS1349" s="17"/>
      <c r="BT1349" s="17"/>
      <c r="BU1349" s="17"/>
      <c r="BV1349" s="17"/>
      <c r="BW1349" s="17"/>
      <c r="BX1349" s="17"/>
    </row>
    <row r="1350" customHeight="1" spans="1:76">
      <c r="A1350" s="17"/>
      <c r="B1350" s="17"/>
      <c r="C1350" s="17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  <c r="AD1350" s="17"/>
      <c r="AE1350" s="17"/>
      <c r="AF1350" s="17"/>
      <c r="AG1350" s="17"/>
      <c r="AH1350" s="17"/>
      <c r="AI1350" s="17"/>
      <c r="AJ1350" s="17"/>
      <c r="AK1350" s="17"/>
      <c r="AL1350" s="17"/>
      <c r="AM1350" s="17"/>
      <c r="AN1350" s="17"/>
      <c r="AO1350" s="17"/>
      <c r="AP1350" s="17"/>
      <c r="AQ1350" s="17"/>
      <c r="AR1350" s="17"/>
      <c r="AS1350" s="17"/>
      <c r="AT1350" s="17"/>
      <c r="AU1350" s="17"/>
      <c r="AV1350" s="17"/>
      <c r="AW1350" s="17"/>
      <c r="AX1350" s="17"/>
      <c r="AY1350" s="17"/>
      <c r="AZ1350" s="17"/>
      <c r="BA1350" s="17"/>
      <c r="BB1350" s="17"/>
      <c r="BC1350" s="17"/>
      <c r="BD1350" s="17"/>
      <c r="BE1350" s="17"/>
      <c r="BF1350" s="17"/>
      <c r="BG1350" s="17"/>
      <c r="BH1350" s="17"/>
      <c r="BI1350" s="17"/>
      <c r="BJ1350" s="17"/>
      <c r="BK1350" s="17"/>
      <c r="BL1350" s="17"/>
      <c r="BM1350" s="17"/>
      <c r="BN1350" s="17"/>
      <c r="BO1350" s="17"/>
      <c r="BP1350" s="17"/>
      <c r="BQ1350" s="17"/>
      <c r="BR1350" s="17"/>
      <c r="BS1350" s="17"/>
      <c r="BT1350" s="17"/>
      <c r="BU1350" s="17"/>
      <c r="BV1350" s="17"/>
      <c r="BW1350" s="17"/>
      <c r="BX1350" s="17"/>
    </row>
    <row r="1351" customHeight="1" spans="1:76">
      <c r="A1351" s="17"/>
      <c r="B1351" s="17"/>
      <c r="C1351" s="17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  <c r="AD1351" s="17"/>
      <c r="AE1351" s="17"/>
      <c r="AF1351" s="17"/>
      <c r="AG1351" s="17"/>
      <c r="AH1351" s="17"/>
      <c r="AI1351" s="17"/>
      <c r="AJ1351" s="17"/>
      <c r="AK1351" s="17"/>
      <c r="AL1351" s="17"/>
      <c r="AM1351" s="17"/>
      <c r="AN1351" s="17"/>
      <c r="AO1351" s="17"/>
      <c r="AP1351" s="17"/>
      <c r="AQ1351" s="17"/>
      <c r="AR1351" s="17"/>
      <c r="AS1351" s="17"/>
      <c r="AT1351" s="17"/>
      <c r="AU1351" s="17"/>
      <c r="AV1351" s="17"/>
      <c r="AW1351" s="17"/>
      <c r="AX1351" s="17"/>
      <c r="AY1351" s="17"/>
      <c r="AZ1351" s="17"/>
      <c r="BA1351" s="17"/>
      <c r="BB1351" s="17"/>
      <c r="BC1351" s="17"/>
      <c r="BD1351" s="17"/>
      <c r="BE1351" s="17"/>
      <c r="BF1351" s="17"/>
      <c r="BG1351" s="17"/>
      <c r="BH1351" s="17"/>
      <c r="BI1351" s="17"/>
      <c r="BJ1351" s="17"/>
      <c r="BK1351" s="17"/>
      <c r="BL1351" s="17"/>
      <c r="BM1351" s="17"/>
      <c r="BN1351" s="17"/>
      <c r="BO1351" s="17"/>
      <c r="BP1351" s="17"/>
      <c r="BQ1351" s="17"/>
      <c r="BR1351" s="17"/>
      <c r="BS1351" s="17"/>
      <c r="BT1351" s="17"/>
      <c r="BU1351" s="17"/>
      <c r="BV1351" s="17"/>
      <c r="BW1351" s="17"/>
      <c r="BX1351" s="17"/>
    </row>
    <row r="1352" customHeight="1" spans="1:76">
      <c r="A1352" s="17"/>
      <c r="B1352" s="17"/>
      <c r="C1352" s="17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  <c r="AD1352" s="17"/>
      <c r="AE1352" s="17"/>
      <c r="AF1352" s="17"/>
      <c r="AG1352" s="17"/>
      <c r="AH1352" s="17"/>
      <c r="AI1352" s="17"/>
      <c r="AJ1352" s="17"/>
      <c r="AK1352" s="17"/>
      <c r="AL1352" s="17"/>
      <c r="AM1352" s="17"/>
      <c r="AN1352" s="17"/>
      <c r="AO1352" s="17"/>
      <c r="AP1352" s="17"/>
      <c r="AQ1352" s="17"/>
      <c r="AR1352" s="17"/>
      <c r="AS1352" s="17"/>
      <c r="AT1352" s="17"/>
      <c r="AU1352" s="17"/>
      <c r="AV1352" s="17"/>
      <c r="AW1352" s="17"/>
      <c r="AX1352" s="17"/>
      <c r="AY1352" s="17"/>
      <c r="AZ1352" s="17"/>
      <c r="BA1352" s="17"/>
      <c r="BB1352" s="17"/>
      <c r="BC1352" s="17"/>
      <c r="BD1352" s="17"/>
      <c r="BE1352" s="17"/>
      <c r="BF1352" s="17"/>
      <c r="BG1352" s="17"/>
      <c r="BH1352" s="17"/>
      <c r="BI1352" s="17"/>
      <c r="BJ1352" s="17"/>
      <c r="BK1352" s="17"/>
      <c r="BL1352" s="17"/>
      <c r="BM1352" s="17"/>
      <c r="BN1352" s="17"/>
      <c r="BO1352" s="17"/>
      <c r="BP1352" s="17"/>
      <c r="BQ1352" s="17"/>
      <c r="BR1352" s="17"/>
      <c r="BS1352" s="17"/>
      <c r="BT1352" s="17"/>
      <c r="BU1352" s="17"/>
      <c r="BV1352" s="17"/>
      <c r="BW1352" s="17"/>
      <c r="BX1352" s="17"/>
    </row>
    <row r="1353" customHeight="1" spans="1:76">
      <c r="A1353" s="17"/>
      <c r="B1353" s="17"/>
      <c r="C1353" s="17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  <c r="AD1353" s="17"/>
      <c r="AE1353" s="17"/>
      <c r="AF1353" s="17"/>
      <c r="AG1353" s="17"/>
      <c r="AH1353" s="17"/>
      <c r="AI1353" s="17"/>
      <c r="AJ1353" s="17"/>
      <c r="AK1353" s="17"/>
      <c r="AL1353" s="17"/>
      <c r="AM1353" s="17"/>
      <c r="AN1353" s="17"/>
      <c r="AO1353" s="17"/>
      <c r="AP1353" s="17"/>
      <c r="AQ1353" s="17"/>
      <c r="AR1353" s="17"/>
      <c r="AS1353" s="17"/>
      <c r="AT1353" s="17"/>
      <c r="AU1353" s="17"/>
      <c r="AV1353" s="17"/>
      <c r="AW1353" s="17"/>
      <c r="AX1353" s="17"/>
      <c r="AY1353" s="17"/>
      <c r="AZ1353" s="17"/>
      <c r="BA1353" s="17"/>
      <c r="BB1353" s="17"/>
      <c r="BC1353" s="17"/>
      <c r="BD1353" s="17"/>
      <c r="BE1353" s="17"/>
      <c r="BF1353" s="17"/>
      <c r="BG1353" s="17"/>
      <c r="BH1353" s="17"/>
      <c r="BI1353" s="17"/>
      <c r="BJ1353" s="17"/>
      <c r="BK1353" s="17"/>
      <c r="BL1353" s="17"/>
      <c r="BM1353" s="17"/>
      <c r="BN1353" s="17"/>
      <c r="BO1353" s="17"/>
      <c r="BP1353" s="17"/>
      <c r="BQ1353" s="17"/>
      <c r="BR1353" s="17"/>
      <c r="BS1353" s="17"/>
      <c r="BT1353" s="17"/>
      <c r="BU1353" s="17"/>
      <c r="BV1353" s="17"/>
      <c r="BW1353" s="17"/>
      <c r="BX1353" s="17"/>
    </row>
    <row r="1354" customHeight="1" spans="1:76">
      <c r="A1354" s="17"/>
      <c r="B1354" s="17"/>
      <c r="C1354" s="17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  <c r="AD1354" s="17"/>
      <c r="AE1354" s="17"/>
      <c r="AF1354" s="17"/>
      <c r="AG1354" s="17"/>
      <c r="AH1354" s="17"/>
      <c r="AI1354" s="17"/>
      <c r="AJ1354" s="17"/>
      <c r="AK1354" s="17"/>
      <c r="AL1354" s="17"/>
      <c r="AM1354" s="17"/>
      <c r="AN1354" s="17"/>
      <c r="AO1354" s="17"/>
      <c r="AP1354" s="17"/>
      <c r="AQ1354" s="17"/>
      <c r="AR1354" s="17"/>
      <c r="AS1354" s="17"/>
      <c r="AT1354" s="17"/>
      <c r="AU1354" s="17"/>
      <c r="AV1354" s="17"/>
      <c r="AW1354" s="17"/>
      <c r="AX1354" s="17"/>
      <c r="AY1354" s="17"/>
      <c r="AZ1354" s="17"/>
      <c r="BA1354" s="17"/>
      <c r="BB1354" s="17"/>
      <c r="BC1354" s="17"/>
      <c r="BD1354" s="17"/>
      <c r="BE1354" s="17"/>
      <c r="BF1354" s="17"/>
      <c r="BG1354" s="17"/>
      <c r="BH1354" s="17"/>
      <c r="BI1354" s="17"/>
      <c r="BJ1354" s="17"/>
      <c r="BK1354" s="17"/>
      <c r="BL1354" s="17"/>
      <c r="BM1354" s="17"/>
      <c r="BN1354" s="17"/>
      <c r="BO1354" s="17"/>
      <c r="BP1354" s="17"/>
      <c r="BQ1354" s="17"/>
      <c r="BR1354" s="17"/>
      <c r="BS1354" s="17"/>
      <c r="BT1354" s="17"/>
      <c r="BU1354" s="17"/>
      <c r="BV1354" s="17"/>
      <c r="BW1354" s="17"/>
      <c r="BX1354" s="17"/>
    </row>
    <row r="1355" customHeight="1" spans="1:76">
      <c r="A1355" s="17"/>
      <c r="B1355" s="17"/>
      <c r="C1355" s="17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  <c r="AH1355" s="17"/>
      <c r="AI1355" s="17"/>
      <c r="AJ1355" s="17"/>
      <c r="AK1355" s="17"/>
      <c r="AL1355" s="17"/>
      <c r="AM1355" s="17"/>
      <c r="AN1355" s="17"/>
      <c r="AO1355" s="17"/>
      <c r="AP1355" s="17"/>
      <c r="AQ1355" s="17"/>
      <c r="AR1355" s="17"/>
      <c r="AS1355" s="17"/>
      <c r="AT1355" s="17"/>
      <c r="AU1355" s="17"/>
      <c r="AV1355" s="17"/>
      <c r="AW1355" s="17"/>
      <c r="AX1355" s="17"/>
      <c r="AY1355" s="17"/>
      <c r="AZ1355" s="17"/>
      <c r="BA1355" s="17"/>
      <c r="BB1355" s="17"/>
      <c r="BC1355" s="17"/>
      <c r="BD1355" s="17"/>
      <c r="BE1355" s="17"/>
      <c r="BF1355" s="17"/>
      <c r="BG1355" s="17"/>
      <c r="BH1355" s="17"/>
      <c r="BI1355" s="17"/>
      <c r="BJ1355" s="17"/>
      <c r="BK1355" s="17"/>
      <c r="BL1355" s="17"/>
      <c r="BM1355" s="17"/>
      <c r="BN1355" s="17"/>
      <c r="BO1355" s="17"/>
      <c r="BP1355" s="17"/>
      <c r="BQ1355" s="17"/>
      <c r="BR1355" s="17"/>
      <c r="BS1355" s="17"/>
      <c r="BT1355" s="17"/>
      <c r="BU1355" s="17"/>
      <c r="BV1355" s="17"/>
      <c r="BW1355" s="17"/>
      <c r="BX1355" s="17"/>
    </row>
    <row r="1356" customHeight="1" spans="1:76">
      <c r="A1356" s="17"/>
      <c r="B1356" s="17"/>
      <c r="C1356" s="17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17"/>
      <c r="AF1356" s="17"/>
      <c r="AG1356" s="17"/>
      <c r="AH1356" s="17"/>
      <c r="AI1356" s="17"/>
      <c r="AJ1356" s="17"/>
      <c r="AK1356" s="17"/>
      <c r="AL1356" s="17"/>
      <c r="AM1356" s="17"/>
      <c r="AN1356" s="17"/>
      <c r="AO1356" s="17"/>
      <c r="AP1356" s="17"/>
      <c r="AQ1356" s="17"/>
      <c r="AR1356" s="17"/>
      <c r="AS1356" s="17"/>
      <c r="AT1356" s="17"/>
      <c r="AU1356" s="17"/>
      <c r="AV1356" s="17"/>
      <c r="AW1356" s="17"/>
      <c r="AX1356" s="17"/>
      <c r="AY1356" s="17"/>
      <c r="AZ1356" s="17"/>
      <c r="BA1356" s="17"/>
      <c r="BB1356" s="17"/>
      <c r="BC1356" s="17"/>
      <c r="BD1356" s="17"/>
      <c r="BE1356" s="17"/>
      <c r="BF1356" s="17"/>
      <c r="BG1356" s="17"/>
      <c r="BH1356" s="17"/>
      <c r="BI1356" s="17"/>
      <c r="BJ1356" s="17"/>
      <c r="BK1356" s="17"/>
      <c r="BL1356" s="17"/>
      <c r="BM1356" s="17"/>
      <c r="BN1356" s="17"/>
      <c r="BO1356" s="17"/>
      <c r="BP1356" s="17"/>
      <c r="BQ1356" s="17"/>
      <c r="BR1356" s="17"/>
      <c r="BS1356" s="17"/>
      <c r="BT1356" s="17"/>
      <c r="BU1356" s="17"/>
      <c r="BV1356" s="17"/>
      <c r="BW1356" s="17"/>
      <c r="BX1356" s="17"/>
    </row>
    <row r="1357" customHeight="1" spans="1:76">
      <c r="A1357" s="17"/>
      <c r="B1357" s="17"/>
      <c r="C1357" s="17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  <c r="AE1357" s="17"/>
      <c r="AF1357" s="17"/>
      <c r="AG1357" s="17"/>
      <c r="AH1357" s="17"/>
      <c r="AI1357" s="17"/>
      <c r="AJ1357" s="17"/>
      <c r="AK1357" s="17"/>
      <c r="AL1357" s="17"/>
      <c r="AM1357" s="17"/>
      <c r="AN1357" s="17"/>
      <c r="AO1357" s="17"/>
      <c r="AP1357" s="17"/>
      <c r="AQ1357" s="17"/>
      <c r="AR1357" s="17"/>
      <c r="AS1357" s="17"/>
      <c r="AT1357" s="17"/>
      <c r="AU1357" s="17"/>
      <c r="AV1357" s="17"/>
      <c r="AW1357" s="17"/>
      <c r="AX1357" s="17"/>
      <c r="AY1357" s="17"/>
      <c r="AZ1357" s="17"/>
      <c r="BA1357" s="17"/>
      <c r="BB1357" s="17"/>
      <c r="BC1357" s="17"/>
      <c r="BD1357" s="17"/>
      <c r="BE1357" s="17"/>
      <c r="BF1357" s="17"/>
      <c r="BG1357" s="17"/>
      <c r="BH1357" s="17"/>
      <c r="BI1357" s="17"/>
      <c r="BJ1357" s="17"/>
      <c r="BK1357" s="17"/>
      <c r="BL1357" s="17"/>
      <c r="BM1357" s="17"/>
      <c r="BN1357" s="17"/>
      <c r="BO1357" s="17"/>
      <c r="BP1357" s="17"/>
      <c r="BQ1357" s="17"/>
      <c r="BR1357" s="17"/>
      <c r="BS1357" s="17"/>
      <c r="BT1357" s="17"/>
      <c r="BU1357" s="17"/>
      <c r="BV1357" s="17"/>
      <c r="BW1357" s="17"/>
      <c r="BX1357" s="17"/>
    </row>
    <row r="1358" customHeight="1" spans="1:76">
      <c r="A1358" s="17"/>
      <c r="B1358" s="17"/>
      <c r="C1358" s="17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17"/>
      <c r="AF1358" s="17"/>
      <c r="AG1358" s="17"/>
      <c r="AH1358" s="17"/>
      <c r="AI1358" s="17"/>
      <c r="AJ1358" s="17"/>
      <c r="AK1358" s="17"/>
      <c r="AL1358" s="17"/>
      <c r="AM1358" s="17"/>
      <c r="AN1358" s="17"/>
      <c r="AO1358" s="17"/>
      <c r="AP1358" s="17"/>
      <c r="AQ1358" s="17"/>
      <c r="AR1358" s="17"/>
      <c r="AS1358" s="17"/>
      <c r="AT1358" s="17"/>
      <c r="AU1358" s="17"/>
      <c r="AV1358" s="17"/>
      <c r="AW1358" s="17"/>
      <c r="AX1358" s="17"/>
      <c r="AY1358" s="17"/>
      <c r="AZ1358" s="17"/>
      <c r="BA1358" s="17"/>
      <c r="BB1358" s="17"/>
      <c r="BC1358" s="17"/>
      <c r="BD1358" s="17"/>
      <c r="BE1358" s="17"/>
      <c r="BF1358" s="17"/>
      <c r="BG1358" s="17"/>
      <c r="BH1358" s="17"/>
      <c r="BI1358" s="17"/>
      <c r="BJ1358" s="17"/>
      <c r="BK1358" s="17"/>
      <c r="BL1358" s="17"/>
      <c r="BM1358" s="17"/>
      <c r="BN1358" s="17"/>
      <c r="BO1358" s="17"/>
      <c r="BP1358" s="17"/>
      <c r="BQ1358" s="17"/>
      <c r="BR1358" s="17"/>
      <c r="BS1358" s="17"/>
      <c r="BT1358" s="17"/>
      <c r="BU1358" s="17"/>
      <c r="BV1358" s="17"/>
      <c r="BW1358" s="17"/>
      <c r="BX1358" s="17"/>
    </row>
    <row r="1359" customHeight="1" spans="1:76">
      <c r="A1359" s="17"/>
      <c r="B1359" s="17"/>
      <c r="C1359" s="17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  <c r="AD1359" s="17"/>
      <c r="AE1359" s="17"/>
      <c r="AF1359" s="17"/>
      <c r="AG1359" s="17"/>
      <c r="AH1359" s="17"/>
      <c r="AI1359" s="17"/>
      <c r="AJ1359" s="17"/>
      <c r="AK1359" s="17"/>
      <c r="AL1359" s="17"/>
      <c r="AM1359" s="17"/>
      <c r="AN1359" s="17"/>
      <c r="AO1359" s="17"/>
      <c r="AP1359" s="17"/>
      <c r="AQ1359" s="17"/>
      <c r="AR1359" s="17"/>
      <c r="AS1359" s="17"/>
      <c r="AT1359" s="17"/>
      <c r="AU1359" s="17"/>
      <c r="AV1359" s="17"/>
      <c r="AW1359" s="17"/>
      <c r="AX1359" s="17"/>
      <c r="AY1359" s="17"/>
      <c r="AZ1359" s="17"/>
      <c r="BA1359" s="17"/>
      <c r="BB1359" s="17"/>
      <c r="BC1359" s="17"/>
      <c r="BD1359" s="17"/>
      <c r="BE1359" s="17"/>
      <c r="BF1359" s="17"/>
      <c r="BG1359" s="17"/>
      <c r="BH1359" s="17"/>
      <c r="BI1359" s="17"/>
      <c r="BJ1359" s="17"/>
      <c r="BK1359" s="17"/>
      <c r="BL1359" s="17"/>
      <c r="BM1359" s="17"/>
      <c r="BN1359" s="17"/>
      <c r="BO1359" s="17"/>
      <c r="BP1359" s="17"/>
      <c r="BQ1359" s="17"/>
      <c r="BR1359" s="17"/>
      <c r="BS1359" s="17"/>
      <c r="BT1359" s="17"/>
      <c r="BU1359" s="17"/>
      <c r="BV1359" s="17"/>
      <c r="BW1359" s="17"/>
      <c r="BX1359" s="17"/>
    </row>
    <row r="1360" customHeight="1" spans="1:76">
      <c r="A1360" s="17"/>
      <c r="B1360" s="17"/>
      <c r="C1360" s="17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17"/>
      <c r="AF1360" s="17"/>
      <c r="AG1360" s="17"/>
      <c r="AH1360" s="17"/>
      <c r="AI1360" s="17"/>
      <c r="AJ1360" s="17"/>
      <c r="AK1360" s="17"/>
      <c r="AL1360" s="17"/>
      <c r="AM1360" s="17"/>
      <c r="AN1360" s="17"/>
      <c r="AO1360" s="17"/>
      <c r="AP1360" s="17"/>
      <c r="AQ1360" s="17"/>
      <c r="AR1360" s="17"/>
      <c r="AS1360" s="17"/>
      <c r="AT1360" s="17"/>
      <c r="AU1360" s="17"/>
      <c r="AV1360" s="17"/>
      <c r="AW1360" s="17"/>
      <c r="AX1360" s="17"/>
      <c r="AY1360" s="17"/>
      <c r="AZ1360" s="17"/>
      <c r="BA1360" s="17"/>
      <c r="BB1360" s="17"/>
      <c r="BC1360" s="17"/>
      <c r="BD1360" s="17"/>
      <c r="BE1360" s="17"/>
      <c r="BF1360" s="17"/>
      <c r="BG1360" s="17"/>
      <c r="BH1360" s="17"/>
      <c r="BI1360" s="17"/>
      <c r="BJ1360" s="17"/>
      <c r="BK1360" s="17"/>
      <c r="BL1360" s="17"/>
      <c r="BM1360" s="17"/>
      <c r="BN1360" s="17"/>
      <c r="BO1360" s="17"/>
      <c r="BP1360" s="17"/>
      <c r="BQ1360" s="17"/>
      <c r="BR1360" s="17"/>
      <c r="BS1360" s="17"/>
      <c r="BT1360" s="17"/>
      <c r="BU1360" s="17"/>
      <c r="BV1360" s="17"/>
      <c r="BW1360" s="17"/>
      <c r="BX1360" s="17"/>
    </row>
    <row r="1361" customHeight="1" spans="1:76">
      <c r="A1361" s="17"/>
      <c r="B1361" s="17"/>
      <c r="C1361" s="17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17"/>
      <c r="AF1361" s="17"/>
      <c r="AG1361" s="17"/>
      <c r="AH1361" s="17"/>
      <c r="AI1361" s="17"/>
      <c r="AJ1361" s="17"/>
      <c r="AK1361" s="17"/>
      <c r="AL1361" s="17"/>
      <c r="AM1361" s="17"/>
      <c r="AN1361" s="17"/>
      <c r="AO1361" s="17"/>
      <c r="AP1361" s="17"/>
      <c r="AQ1361" s="17"/>
      <c r="AR1361" s="17"/>
      <c r="AS1361" s="17"/>
      <c r="AT1361" s="17"/>
      <c r="AU1361" s="17"/>
      <c r="AV1361" s="17"/>
      <c r="AW1361" s="17"/>
      <c r="AX1361" s="17"/>
      <c r="AY1361" s="17"/>
      <c r="AZ1361" s="17"/>
      <c r="BA1361" s="17"/>
      <c r="BB1361" s="17"/>
      <c r="BC1361" s="17"/>
      <c r="BD1361" s="17"/>
      <c r="BE1361" s="17"/>
      <c r="BF1361" s="17"/>
      <c r="BG1361" s="17"/>
      <c r="BH1361" s="17"/>
      <c r="BI1361" s="17"/>
      <c r="BJ1361" s="17"/>
      <c r="BK1361" s="17"/>
      <c r="BL1361" s="17"/>
      <c r="BM1361" s="17"/>
      <c r="BN1361" s="17"/>
      <c r="BO1361" s="17"/>
      <c r="BP1361" s="17"/>
      <c r="BQ1361" s="17"/>
      <c r="BR1361" s="17"/>
      <c r="BS1361" s="17"/>
      <c r="BT1361" s="17"/>
      <c r="BU1361" s="17"/>
      <c r="BV1361" s="17"/>
      <c r="BW1361" s="17"/>
      <c r="BX1361" s="17"/>
    </row>
    <row r="1362" customHeight="1" spans="1:76">
      <c r="A1362" s="17"/>
      <c r="B1362" s="17"/>
      <c r="C1362" s="17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17"/>
      <c r="AF1362" s="17"/>
      <c r="AG1362" s="17"/>
      <c r="AH1362" s="17"/>
      <c r="AI1362" s="17"/>
      <c r="AJ1362" s="17"/>
      <c r="AK1362" s="17"/>
      <c r="AL1362" s="17"/>
      <c r="AM1362" s="17"/>
      <c r="AN1362" s="17"/>
      <c r="AO1362" s="17"/>
      <c r="AP1362" s="17"/>
      <c r="AQ1362" s="17"/>
      <c r="AR1362" s="17"/>
      <c r="AS1362" s="17"/>
      <c r="AT1362" s="17"/>
      <c r="AU1362" s="17"/>
      <c r="AV1362" s="17"/>
      <c r="AW1362" s="17"/>
      <c r="AX1362" s="17"/>
      <c r="AY1362" s="17"/>
      <c r="AZ1362" s="17"/>
      <c r="BA1362" s="17"/>
      <c r="BB1362" s="17"/>
      <c r="BC1362" s="17"/>
      <c r="BD1362" s="17"/>
      <c r="BE1362" s="17"/>
      <c r="BF1362" s="17"/>
      <c r="BG1362" s="17"/>
      <c r="BH1362" s="17"/>
      <c r="BI1362" s="17"/>
      <c r="BJ1362" s="17"/>
      <c r="BK1362" s="17"/>
      <c r="BL1362" s="17"/>
      <c r="BM1362" s="17"/>
      <c r="BN1362" s="17"/>
      <c r="BO1362" s="17"/>
      <c r="BP1362" s="17"/>
      <c r="BQ1362" s="17"/>
      <c r="BR1362" s="17"/>
      <c r="BS1362" s="17"/>
      <c r="BT1362" s="17"/>
      <c r="BU1362" s="17"/>
      <c r="BV1362" s="17"/>
      <c r="BW1362" s="17"/>
      <c r="BX1362" s="17"/>
    </row>
    <row r="1363" customHeight="1" spans="1:76">
      <c r="A1363" s="17"/>
      <c r="B1363" s="17"/>
      <c r="C1363" s="17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17"/>
      <c r="AF1363" s="17"/>
      <c r="AG1363" s="17"/>
      <c r="AH1363" s="17"/>
      <c r="AI1363" s="17"/>
      <c r="AJ1363" s="17"/>
      <c r="AK1363" s="17"/>
      <c r="AL1363" s="17"/>
      <c r="AM1363" s="17"/>
      <c r="AN1363" s="17"/>
      <c r="AO1363" s="17"/>
      <c r="AP1363" s="17"/>
      <c r="AQ1363" s="17"/>
      <c r="AR1363" s="17"/>
      <c r="AS1363" s="17"/>
      <c r="AT1363" s="17"/>
      <c r="AU1363" s="17"/>
      <c r="AV1363" s="17"/>
      <c r="AW1363" s="17"/>
      <c r="AX1363" s="17"/>
      <c r="AY1363" s="17"/>
      <c r="AZ1363" s="17"/>
      <c r="BA1363" s="17"/>
      <c r="BB1363" s="17"/>
      <c r="BC1363" s="17"/>
      <c r="BD1363" s="17"/>
      <c r="BE1363" s="17"/>
      <c r="BF1363" s="17"/>
      <c r="BG1363" s="17"/>
      <c r="BH1363" s="17"/>
      <c r="BI1363" s="17"/>
      <c r="BJ1363" s="17"/>
      <c r="BK1363" s="17"/>
      <c r="BL1363" s="17"/>
      <c r="BM1363" s="17"/>
      <c r="BN1363" s="17"/>
      <c r="BO1363" s="17"/>
      <c r="BP1363" s="17"/>
      <c r="BQ1363" s="17"/>
      <c r="BR1363" s="17"/>
      <c r="BS1363" s="17"/>
      <c r="BT1363" s="17"/>
      <c r="BU1363" s="17"/>
      <c r="BV1363" s="17"/>
      <c r="BW1363" s="17"/>
      <c r="BX1363" s="17"/>
    </row>
    <row r="1364" customHeight="1" spans="1:76">
      <c r="A1364" s="17"/>
      <c r="B1364" s="17"/>
      <c r="C1364" s="17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17"/>
      <c r="AF1364" s="17"/>
      <c r="AG1364" s="17"/>
      <c r="AH1364" s="17"/>
      <c r="AI1364" s="17"/>
      <c r="AJ1364" s="17"/>
      <c r="AK1364" s="17"/>
      <c r="AL1364" s="17"/>
      <c r="AM1364" s="17"/>
      <c r="AN1364" s="17"/>
      <c r="AO1364" s="17"/>
      <c r="AP1364" s="17"/>
      <c r="AQ1364" s="17"/>
      <c r="AR1364" s="17"/>
      <c r="AS1364" s="17"/>
      <c r="AT1364" s="17"/>
      <c r="AU1364" s="17"/>
      <c r="AV1364" s="17"/>
      <c r="AW1364" s="17"/>
      <c r="AX1364" s="17"/>
      <c r="AY1364" s="17"/>
      <c r="AZ1364" s="17"/>
      <c r="BA1364" s="17"/>
      <c r="BB1364" s="17"/>
      <c r="BC1364" s="17"/>
      <c r="BD1364" s="17"/>
      <c r="BE1364" s="17"/>
      <c r="BF1364" s="17"/>
      <c r="BG1364" s="17"/>
      <c r="BH1364" s="17"/>
      <c r="BI1364" s="17"/>
      <c r="BJ1364" s="17"/>
      <c r="BK1364" s="17"/>
      <c r="BL1364" s="17"/>
      <c r="BM1364" s="17"/>
      <c r="BN1364" s="17"/>
      <c r="BO1364" s="17"/>
      <c r="BP1364" s="17"/>
      <c r="BQ1364" s="17"/>
      <c r="BR1364" s="17"/>
      <c r="BS1364" s="17"/>
      <c r="BT1364" s="17"/>
      <c r="BU1364" s="17"/>
      <c r="BV1364" s="17"/>
      <c r="BW1364" s="17"/>
      <c r="BX1364" s="17"/>
    </row>
    <row r="1365" customHeight="1" spans="1:76">
      <c r="A1365" s="17"/>
      <c r="B1365" s="17"/>
      <c r="C1365" s="17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17"/>
      <c r="AF1365" s="17"/>
      <c r="AG1365" s="17"/>
      <c r="AH1365" s="17"/>
      <c r="AI1365" s="17"/>
      <c r="AJ1365" s="17"/>
      <c r="AK1365" s="17"/>
      <c r="AL1365" s="17"/>
      <c r="AM1365" s="17"/>
      <c r="AN1365" s="17"/>
      <c r="AO1365" s="17"/>
      <c r="AP1365" s="17"/>
      <c r="AQ1365" s="17"/>
      <c r="AR1365" s="17"/>
      <c r="AS1365" s="17"/>
      <c r="AT1365" s="17"/>
      <c r="AU1365" s="17"/>
      <c r="AV1365" s="17"/>
      <c r="AW1365" s="17"/>
      <c r="AX1365" s="17"/>
      <c r="AY1365" s="17"/>
      <c r="AZ1365" s="17"/>
      <c r="BA1365" s="17"/>
      <c r="BB1365" s="17"/>
      <c r="BC1365" s="17"/>
      <c r="BD1365" s="17"/>
      <c r="BE1365" s="17"/>
      <c r="BF1365" s="17"/>
      <c r="BG1365" s="17"/>
      <c r="BH1365" s="17"/>
      <c r="BI1365" s="17"/>
      <c r="BJ1365" s="17"/>
      <c r="BK1365" s="17"/>
      <c r="BL1365" s="17"/>
      <c r="BM1365" s="17"/>
      <c r="BN1365" s="17"/>
      <c r="BO1365" s="17"/>
      <c r="BP1365" s="17"/>
      <c r="BQ1365" s="17"/>
      <c r="BR1365" s="17"/>
      <c r="BS1365" s="17"/>
      <c r="BT1365" s="17"/>
      <c r="BU1365" s="17"/>
      <c r="BV1365" s="17"/>
      <c r="BW1365" s="17"/>
      <c r="BX1365" s="17"/>
    </row>
    <row r="1366" customHeight="1" spans="1:76">
      <c r="A1366" s="17"/>
      <c r="B1366" s="17"/>
      <c r="C1366" s="17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17"/>
      <c r="AF1366" s="17"/>
      <c r="AG1366" s="17"/>
      <c r="AH1366" s="17"/>
      <c r="AI1366" s="17"/>
      <c r="AJ1366" s="17"/>
      <c r="AK1366" s="17"/>
      <c r="AL1366" s="17"/>
      <c r="AM1366" s="17"/>
      <c r="AN1366" s="17"/>
      <c r="AO1366" s="17"/>
      <c r="AP1366" s="17"/>
      <c r="AQ1366" s="17"/>
      <c r="AR1366" s="17"/>
      <c r="AS1366" s="17"/>
      <c r="AT1366" s="17"/>
      <c r="AU1366" s="17"/>
      <c r="AV1366" s="17"/>
      <c r="AW1366" s="17"/>
      <c r="AX1366" s="17"/>
      <c r="AY1366" s="17"/>
      <c r="AZ1366" s="17"/>
      <c r="BA1366" s="17"/>
      <c r="BB1366" s="17"/>
      <c r="BC1366" s="17"/>
      <c r="BD1366" s="17"/>
      <c r="BE1366" s="17"/>
      <c r="BF1366" s="17"/>
      <c r="BG1366" s="17"/>
      <c r="BH1366" s="17"/>
      <c r="BI1366" s="17"/>
      <c r="BJ1366" s="17"/>
      <c r="BK1366" s="17"/>
      <c r="BL1366" s="17"/>
      <c r="BM1366" s="17"/>
      <c r="BN1366" s="17"/>
      <c r="BO1366" s="17"/>
      <c r="BP1366" s="17"/>
      <c r="BQ1366" s="17"/>
      <c r="BR1366" s="17"/>
      <c r="BS1366" s="17"/>
      <c r="BT1366" s="17"/>
      <c r="BU1366" s="17"/>
      <c r="BV1366" s="17"/>
      <c r="BW1366" s="17"/>
      <c r="BX1366" s="17"/>
    </row>
    <row r="1367" customHeight="1" spans="1:76">
      <c r="A1367" s="17"/>
      <c r="B1367" s="17"/>
      <c r="C1367" s="17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  <c r="AH1367" s="17"/>
      <c r="AI1367" s="17"/>
      <c r="AJ1367" s="17"/>
      <c r="AK1367" s="17"/>
      <c r="AL1367" s="17"/>
      <c r="AM1367" s="17"/>
      <c r="AN1367" s="17"/>
      <c r="AO1367" s="17"/>
      <c r="AP1367" s="17"/>
      <c r="AQ1367" s="17"/>
      <c r="AR1367" s="17"/>
      <c r="AS1367" s="17"/>
      <c r="AT1367" s="17"/>
      <c r="AU1367" s="17"/>
      <c r="AV1367" s="17"/>
      <c r="AW1367" s="17"/>
      <c r="AX1367" s="17"/>
      <c r="AY1367" s="17"/>
      <c r="AZ1367" s="17"/>
      <c r="BA1367" s="17"/>
      <c r="BB1367" s="17"/>
      <c r="BC1367" s="17"/>
      <c r="BD1367" s="17"/>
      <c r="BE1367" s="17"/>
      <c r="BF1367" s="17"/>
      <c r="BG1367" s="17"/>
      <c r="BH1367" s="17"/>
      <c r="BI1367" s="17"/>
      <c r="BJ1367" s="17"/>
      <c r="BK1367" s="17"/>
      <c r="BL1367" s="17"/>
      <c r="BM1367" s="17"/>
      <c r="BN1367" s="17"/>
      <c r="BO1367" s="17"/>
      <c r="BP1367" s="17"/>
      <c r="BQ1367" s="17"/>
      <c r="BR1367" s="17"/>
      <c r="BS1367" s="17"/>
      <c r="BT1367" s="17"/>
      <c r="BU1367" s="17"/>
      <c r="BV1367" s="17"/>
      <c r="BW1367" s="17"/>
      <c r="BX1367" s="17"/>
    </row>
    <row r="1368" customHeight="1" spans="1:76">
      <c r="A1368" s="17"/>
      <c r="B1368" s="17"/>
      <c r="C1368" s="17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  <c r="AD1368" s="17"/>
      <c r="AE1368" s="17"/>
      <c r="AF1368" s="17"/>
      <c r="AG1368" s="17"/>
      <c r="AH1368" s="17"/>
      <c r="AI1368" s="17"/>
      <c r="AJ1368" s="17"/>
      <c r="AK1368" s="17"/>
      <c r="AL1368" s="17"/>
      <c r="AM1368" s="17"/>
      <c r="AN1368" s="17"/>
      <c r="AO1368" s="17"/>
      <c r="AP1368" s="17"/>
      <c r="AQ1368" s="17"/>
      <c r="AR1368" s="17"/>
      <c r="AS1368" s="17"/>
      <c r="AT1368" s="17"/>
      <c r="AU1368" s="17"/>
      <c r="AV1368" s="17"/>
      <c r="AW1368" s="17"/>
      <c r="AX1368" s="17"/>
      <c r="AY1368" s="17"/>
      <c r="AZ1368" s="17"/>
      <c r="BA1368" s="17"/>
      <c r="BB1368" s="17"/>
      <c r="BC1368" s="17"/>
      <c r="BD1368" s="17"/>
      <c r="BE1368" s="17"/>
      <c r="BF1368" s="17"/>
      <c r="BG1368" s="17"/>
      <c r="BH1368" s="17"/>
      <c r="BI1368" s="17"/>
      <c r="BJ1368" s="17"/>
      <c r="BK1368" s="17"/>
      <c r="BL1368" s="17"/>
      <c r="BM1368" s="17"/>
      <c r="BN1368" s="17"/>
      <c r="BO1368" s="17"/>
      <c r="BP1368" s="17"/>
      <c r="BQ1368" s="17"/>
      <c r="BR1368" s="17"/>
      <c r="BS1368" s="17"/>
      <c r="BT1368" s="17"/>
      <c r="BU1368" s="17"/>
      <c r="BV1368" s="17"/>
      <c r="BW1368" s="17"/>
      <c r="BX1368" s="17"/>
    </row>
    <row r="1369" customHeight="1" spans="1:76">
      <c r="A1369" s="17"/>
      <c r="B1369" s="17"/>
      <c r="C1369" s="17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17"/>
      <c r="AF1369" s="17"/>
      <c r="AG1369" s="17"/>
      <c r="AH1369" s="17"/>
      <c r="AI1369" s="17"/>
      <c r="AJ1369" s="17"/>
      <c r="AK1369" s="17"/>
      <c r="AL1369" s="17"/>
      <c r="AM1369" s="17"/>
      <c r="AN1369" s="17"/>
      <c r="AO1369" s="17"/>
      <c r="AP1369" s="17"/>
      <c r="AQ1369" s="17"/>
      <c r="AR1369" s="17"/>
      <c r="AS1369" s="17"/>
      <c r="AT1369" s="17"/>
      <c r="AU1369" s="17"/>
      <c r="AV1369" s="17"/>
      <c r="AW1369" s="17"/>
      <c r="AX1369" s="17"/>
      <c r="AY1369" s="17"/>
      <c r="AZ1369" s="17"/>
      <c r="BA1369" s="17"/>
      <c r="BB1369" s="17"/>
      <c r="BC1369" s="17"/>
      <c r="BD1369" s="17"/>
      <c r="BE1369" s="17"/>
      <c r="BF1369" s="17"/>
      <c r="BG1369" s="17"/>
      <c r="BH1369" s="17"/>
      <c r="BI1369" s="17"/>
      <c r="BJ1369" s="17"/>
      <c r="BK1369" s="17"/>
      <c r="BL1369" s="17"/>
      <c r="BM1369" s="17"/>
      <c r="BN1369" s="17"/>
      <c r="BO1369" s="17"/>
      <c r="BP1369" s="17"/>
      <c r="BQ1369" s="17"/>
      <c r="BR1369" s="17"/>
      <c r="BS1369" s="17"/>
      <c r="BT1369" s="17"/>
      <c r="BU1369" s="17"/>
      <c r="BV1369" s="17"/>
      <c r="BW1369" s="17"/>
      <c r="BX1369" s="17"/>
    </row>
    <row r="1370" customHeight="1" spans="1:76">
      <c r="A1370" s="17"/>
      <c r="B1370" s="17"/>
      <c r="C1370" s="17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  <c r="AD1370" s="17"/>
      <c r="AE1370" s="17"/>
      <c r="AF1370" s="17"/>
      <c r="AG1370" s="17"/>
      <c r="AH1370" s="17"/>
      <c r="AI1370" s="17"/>
      <c r="AJ1370" s="17"/>
      <c r="AK1370" s="17"/>
      <c r="AL1370" s="17"/>
      <c r="AM1370" s="17"/>
      <c r="AN1370" s="17"/>
      <c r="AO1370" s="17"/>
      <c r="AP1370" s="17"/>
      <c r="AQ1370" s="17"/>
      <c r="AR1370" s="17"/>
      <c r="AS1370" s="17"/>
      <c r="AT1370" s="17"/>
      <c r="AU1370" s="17"/>
      <c r="AV1370" s="17"/>
      <c r="AW1370" s="17"/>
      <c r="AX1370" s="17"/>
      <c r="AY1370" s="17"/>
      <c r="AZ1370" s="17"/>
      <c r="BA1370" s="17"/>
      <c r="BB1370" s="17"/>
      <c r="BC1370" s="17"/>
      <c r="BD1370" s="17"/>
      <c r="BE1370" s="17"/>
      <c r="BF1370" s="17"/>
      <c r="BG1370" s="17"/>
      <c r="BH1370" s="17"/>
      <c r="BI1370" s="17"/>
      <c r="BJ1370" s="17"/>
      <c r="BK1370" s="17"/>
      <c r="BL1370" s="17"/>
      <c r="BM1370" s="17"/>
      <c r="BN1370" s="17"/>
      <c r="BO1370" s="17"/>
      <c r="BP1370" s="17"/>
      <c r="BQ1370" s="17"/>
      <c r="BR1370" s="17"/>
      <c r="BS1370" s="17"/>
      <c r="BT1370" s="17"/>
      <c r="BU1370" s="17"/>
      <c r="BV1370" s="17"/>
      <c r="BW1370" s="17"/>
      <c r="BX1370" s="17"/>
    </row>
    <row r="1371" customHeight="1" spans="1:76">
      <c r="A1371" s="17"/>
      <c r="B1371" s="17"/>
      <c r="C1371" s="17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17"/>
      <c r="AF1371" s="17"/>
      <c r="AG1371" s="17"/>
      <c r="AH1371" s="17"/>
      <c r="AI1371" s="17"/>
      <c r="AJ1371" s="17"/>
      <c r="AK1371" s="17"/>
      <c r="AL1371" s="17"/>
      <c r="AM1371" s="17"/>
      <c r="AN1371" s="17"/>
      <c r="AO1371" s="17"/>
      <c r="AP1371" s="17"/>
      <c r="AQ1371" s="17"/>
      <c r="AR1371" s="17"/>
      <c r="AS1371" s="17"/>
      <c r="AT1371" s="17"/>
      <c r="AU1371" s="17"/>
      <c r="AV1371" s="17"/>
      <c r="AW1371" s="17"/>
      <c r="AX1371" s="17"/>
      <c r="AY1371" s="17"/>
      <c r="AZ1371" s="17"/>
      <c r="BA1371" s="17"/>
      <c r="BB1371" s="17"/>
      <c r="BC1371" s="17"/>
      <c r="BD1371" s="17"/>
      <c r="BE1371" s="17"/>
      <c r="BF1371" s="17"/>
      <c r="BG1371" s="17"/>
      <c r="BH1371" s="17"/>
      <c r="BI1371" s="17"/>
      <c r="BJ1371" s="17"/>
      <c r="BK1371" s="17"/>
      <c r="BL1371" s="17"/>
      <c r="BM1371" s="17"/>
      <c r="BN1371" s="17"/>
      <c r="BO1371" s="17"/>
      <c r="BP1371" s="17"/>
      <c r="BQ1371" s="17"/>
      <c r="BR1371" s="17"/>
      <c r="BS1371" s="17"/>
      <c r="BT1371" s="17"/>
      <c r="BU1371" s="17"/>
      <c r="BV1371" s="17"/>
      <c r="BW1371" s="17"/>
      <c r="BX1371" s="17"/>
    </row>
    <row r="1372" customHeight="1" spans="1:76">
      <c r="A1372" s="17"/>
      <c r="B1372" s="17"/>
      <c r="C1372" s="17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17"/>
      <c r="AF1372" s="17"/>
      <c r="AG1372" s="17"/>
      <c r="AH1372" s="17"/>
      <c r="AI1372" s="17"/>
      <c r="AJ1372" s="17"/>
      <c r="AK1372" s="17"/>
      <c r="AL1372" s="17"/>
      <c r="AM1372" s="17"/>
      <c r="AN1372" s="17"/>
      <c r="AO1372" s="17"/>
      <c r="AP1372" s="17"/>
      <c r="AQ1372" s="17"/>
      <c r="AR1372" s="17"/>
      <c r="AS1372" s="17"/>
      <c r="AT1372" s="17"/>
      <c r="AU1372" s="17"/>
      <c r="AV1372" s="17"/>
      <c r="AW1372" s="17"/>
      <c r="AX1372" s="17"/>
      <c r="AY1372" s="17"/>
      <c r="AZ1372" s="17"/>
      <c r="BA1372" s="17"/>
      <c r="BB1372" s="17"/>
      <c r="BC1372" s="17"/>
      <c r="BD1372" s="17"/>
      <c r="BE1372" s="17"/>
      <c r="BF1372" s="17"/>
      <c r="BG1372" s="17"/>
      <c r="BH1372" s="17"/>
      <c r="BI1372" s="17"/>
      <c r="BJ1372" s="17"/>
      <c r="BK1372" s="17"/>
      <c r="BL1372" s="17"/>
      <c r="BM1372" s="17"/>
      <c r="BN1372" s="17"/>
      <c r="BO1372" s="17"/>
      <c r="BP1372" s="17"/>
      <c r="BQ1372" s="17"/>
      <c r="BR1372" s="17"/>
      <c r="BS1372" s="17"/>
      <c r="BT1372" s="17"/>
      <c r="BU1372" s="17"/>
      <c r="BV1372" s="17"/>
      <c r="BW1372" s="17"/>
      <c r="BX1372" s="17"/>
    </row>
    <row r="1373" customHeight="1" spans="1:76">
      <c r="A1373" s="17"/>
      <c r="B1373" s="17"/>
      <c r="C1373" s="17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17"/>
      <c r="AF1373" s="17"/>
      <c r="AG1373" s="17"/>
      <c r="AH1373" s="17"/>
      <c r="AI1373" s="17"/>
      <c r="AJ1373" s="17"/>
      <c r="AK1373" s="17"/>
      <c r="AL1373" s="17"/>
      <c r="AM1373" s="17"/>
      <c r="AN1373" s="17"/>
      <c r="AO1373" s="17"/>
      <c r="AP1373" s="17"/>
      <c r="AQ1373" s="17"/>
      <c r="AR1373" s="17"/>
      <c r="AS1373" s="17"/>
      <c r="AT1373" s="17"/>
      <c r="AU1373" s="17"/>
      <c r="AV1373" s="17"/>
      <c r="AW1373" s="17"/>
      <c r="AX1373" s="17"/>
      <c r="AY1373" s="17"/>
      <c r="AZ1373" s="17"/>
      <c r="BA1373" s="17"/>
      <c r="BB1373" s="17"/>
      <c r="BC1373" s="17"/>
      <c r="BD1373" s="17"/>
      <c r="BE1373" s="17"/>
      <c r="BF1373" s="17"/>
      <c r="BG1373" s="17"/>
      <c r="BH1373" s="17"/>
      <c r="BI1373" s="17"/>
      <c r="BJ1373" s="17"/>
      <c r="BK1373" s="17"/>
      <c r="BL1373" s="17"/>
      <c r="BM1373" s="17"/>
      <c r="BN1373" s="17"/>
      <c r="BO1373" s="17"/>
      <c r="BP1373" s="17"/>
      <c r="BQ1373" s="17"/>
      <c r="BR1373" s="17"/>
      <c r="BS1373" s="17"/>
      <c r="BT1373" s="17"/>
      <c r="BU1373" s="17"/>
      <c r="BV1373" s="17"/>
      <c r="BW1373" s="17"/>
      <c r="BX1373" s="17"/>
    </row>
    <row r="1374" customHeight="1" spans="1:76">
      <c r="A1374" s="17"/>
      <c r="B1374" s="17"/>
      <c r="C1374" s="17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17"/>
      <c r="AF1374" s="17"/>
      <c r="AG1374" s="17"/>
      <c r="AH1374" s="17"/>
      <c r="AI1374" s="17"/>
      <c r="AJ1374" s="17"/>
      <c r="AK1374" s="17"/>
      <c r="AL1374" s="17"/>
      <c r="AM1374" s="17"/>
      <c r="AN1374" s="17"/>
      <c r="AO1374" s="17"/>
      <c r="AP1374" s="17"/>
      <c r="AQ1374" s="17"/>
      <c r="AR1374" s="17"/>
      <c r="AS1374" s="17"/>
      <c r="AT1374" s="17"/>
      <c r="AU1374" s="17"/>
      <c r="AV1374" s="17"/>
      <c r="AW1374" s="17"/>
      <c r="AX1374" s="17"/>
      <c r="AY1374" s="17"/>
      <c r="AZ1374" s="17"/>
      <c r="BA1374" s="17"/>
      <c r="BB1374" s="17"/>
      <c r="BC1374" s="17"/>
      <c r="BD1374" s="17"/>
      <c r="BE1374" s="17"/>
      <c r="BF1374" s="17"/>
      <c r="BG1374" s="17"/>
      <c r="BH1374" s="17"/>
      <c r="BI1374" s="17"/>
      <c r="BJ1374" s="17"/>
      <c r="BK1374" s="17"/>
      <c r="BL1374" s="17"/>
      <c r="BM1374" s="17"/>
      <c r="BN1374" s="17"/>
      <c r="BO1374" s="17"/>
      <c r="BP1374" s="17"/>
      <c r="BQ1374" s="17"/>
      <c r="BR1374" s="17"/>
      <c r="BS1374" s="17"/>
      <c r="BT1374" s="17"/>
      <c r="BU1374" s="17"/>
      <c r="BV1374" s="17"/>
      <c r="BW1374" s="17"/>
      <c r="BX1374" s="17"/>
    </row>
    <row r="1375" customHeight="1" spans="1:76">
      <c r="A1375" s="17"/>
      <c r="B1375" s="17"/>
      <c r="C1375" s="17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17"/>
      <c r="AF1375" s="17"/>
      <c r="AG1375" s="17"/>
      <c r="AH1375" s="17"/>
      <c r="AI1375" s="17"/>
      <c r="AJ1375" s="17"/>
      <c r="AK1375" s="17"/>
      <c r="AL1375" s="17"/>
      <c r="AM1375" s="17"/>
      <c r="AN1375" s="17"/>
      <c r="AO1375" s="17"/>
      <c r="AP1375" s="17"/>
      <c r="AQ1375" s="17"/>
      <c r="AR1375" s="17"/>
      <c r="AS1375" s="17"/>
      <c r="AT1375" s="17"/>
      <c r="AU1375" s="17"/>
      <c r="AV1375" s="17"/>
      <c r="AW1375" s="17"/>
      <c r="AX1375" s="17"/>
      <c r="AY1375" s="17"/>
      <c r="AZ1375" s="17"/>
      <c r="BA1375" s="17"/>
      <c r="BB1375" s="17"/>
      <c r="BC1375" s="17"/>
      <c r="BD1375" s="17"/>
      <c r="BE1375" s="17"/>
      <c r="BF1375" s="17"/>
      <c r="BG1375" s="17"/>
      <c r="BH1375" s="17"/>
      <c r="BI1375" s="17"/>
      <c r="BJ1375" s="17"/>
      <c r="BK1375" s="17"/>
      <c r="BL1375" s="17"/>
      <c r="BM1375" s="17"/>
      <c r="BN1375" s="17"/>
      <c r="BO1375" s="17"/>
      <c r="BP1375" s="17"/>
      <c r="BQ1375" s="17"/>
      <c r="BR1375" s="17"/>
      <c r="BS1375" s="17"/>
      <c r="BT1375" s="17"/>
      <c r="BU1375" s="17"/>
      <c r="BV1375" s="17"/>
      <c r="BW1375" s="17"/>
      <c r="BX1375" s="17"/>
    </row>
    <row r="1376" customHeight="1" spans="1:76">
      <c r="A1376" s="17"/>
      <c r="B1376" s="17"/>
      <c r="C1376" s="17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  <c r="AD1376" s="17"/>
      <c r="AE1376" s="17"/>
      <c r="AF1376" s="17"/>
      <c r="AG1376" s="17"/>
      <c r="AH1376" s="17"/>
      <c r="AI1376" s="17"/>
      <c r="AJ1376" s="17"/>
      <c r="AK1376" s="17"/>
      <c r="AL1376" s="17"/>
      <c r="AM1376" s="17"/>
      <c r="AN1376" s="17"/>
      <c r="AO1376" s="17"/>
      <c r="AP1376" s="17"/>
      <c r="AQ1376" s="17"/>
      <c r="AR1376" s="17"/>
      <c r="AS1376" s="17"/>
      <c r="AT1376" s="17"/>
      <c r="AU1376" s="17"/>
      <c r="AV1376" s="17"/>
      <c r="AW1376" s="17"/>
      <c r="AX1376" s="17"/>
      <c r="AY1376" s="17"/>
      <c r="AZ1376" s="17"/>
      <c r="BA1376" s="17"/>
      <c r="BB1376" s="17"/>
      <c r="BC1376" s="17"/>
      <c r="BD1376" s="17"/>
      <c r="BE1376" s="17"/>
      <c r="BF1376" s="17"/>
      <c r="BG1376" s="17"/>
      <c r="BH1376" s="17"/>
      <c r="BI1376" s="17"/>
      <c r="BJ1376" s="17"/>
      <c r="BK1376" s="17"/>
      <c r="BL1376" s="17"/>
      <c r="BM1376" s="17"/>
      <c r="BN1376" s="17"/>
      <c r="BO1376" s="17"/>
      <c r="BP1376" s="17"/>
      <c r="BQ1376" s="17"/>
      <c r="BR1376" s="17"/>
      <c r="BS1376" s="17"/>
      <c r="BT1376" s="17"/>
      <c r="BU1376" s="17"/>
      <c r="BV1376" s="17"/>
      <c r="BW1376" s="17"/>
      <c r="BX1376" s="17"/>
    </row>
    <row r="1377" customHeight="1" spans="1:76">
      <c r="A1377" s="17"/>
      <c r="B1377" s="17"/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17"/>
      <c r="AF1377" s="17"/>
      <c r="AG1377" s="17"/>
      <c r="AH1377" s="17"/>
      <c r="AI1377" s="17"/>
      <c r="AJ1377" s="17"/>
      <c r="AK1377" s="17"/>
      <c r="AL1377" s="17"/>
      <c r="AM1377" s="17"/>
      <c r="AN1377" s="17"/>
      <c r="AO1377" s="17"/>
      <c r="AP1377" s="17"/>
      <c r="AQ1377" s="17"/>
      <c r="AR1377" s="17"/>
      <c r="AS1377" s="17"/>
      <c r="AT1377" s="17"/>
      <c r="AU1377" s="17"/>
      <c r="AV1377" s="17"/>
      <c r="AW1377" s="17"/>
      <c r="AX1377" s="17"/>
      <c r="AY1377" s="17"/>
      <c r="AZ1377" s="17"/>
      <c r="BA1377" s="17"/>
      <c r="BB1377" s="17"/>
      <c r="BC1377" s="17"/>
      <c r="BD1377" s="17"/>
      <c r="BE1377" s="17"/>
      <c r="BF1377" s="17"/>
      <c r="BG1377" s="17"/>
      <c r="BH1377" s="17"/>
      <c r="BI1377" s="17"/>
      <c r="BJ1377" s="17"/>
      <c r="BK1377" s="17"/>
      <c r="BL1377" s="17"/>
      <c r="BM1377" s="17"/>
      <c r="BN1377" s="17"/>
      <c r="BO1377" s="17"/>
      <c r="BP1377" s="17"/>
      <c r="BQ1377" s="17"/>
      <c r="BR1377" s="17"/>
      <c r="BS1377" s="17"/>
      <c r="BT1377" s="17"/>
      <c r="BU1377" s="17"/>
      <c r="BV1377" s="17"/>
      <c r="BW1377" s="17"/>
      <c r="BX1377" s="17"/>
    </row>
    <row r="1378" customHeight="1" spans="1:76">
      <c r="A1378" s="17"/>
      <c r="B1378" s="17"/>
      <c r="C1378" s="17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17"/>
      <c r="AF1378" s="17"/>
      <c r="AG1378" s="17"/>
      <c r="AH1378" s="17"/>
      <c r="AI1378" s="17"/>
      <c r="AJ1378" s="17"/>
      <c r="AK1378" s="17"/>
      <c r="AL1378" s="17"/>
      <c r="AM1378" s="17"/>
      <c r="AN1378" s="17"/>
      <c r="AO1378" s="17"/>
      <c r="AP1378" s="17"/>
      <c r="AQ1378" s="17"/>
      <c r="AR1378" s="17"/>
      <c r="AS1378" s="17"/>
      <c r="AT1378" s="17"/>
      <c r="AU1378" s="17"/>
      <c r="AV1378" s="17"/>
      <c r="AW1378" s="17"/>
      <c r="AX1378" s="17"/>
      <c r="AY1378" s="17"/>
      <c r="AZ1378" s="17"/>
      <c r="BA1378" s="17"/>
      <c r="BB1378" s="17"/>
      <c r="BC1378" s="17"/>
      <c r="BD1378" s="17"/>
      <c r="BE1378" s="17"/>
      <c r="BF1378" s="17"/>
      <c r="BG1378" s="17"/>
      <c r="BH1378" s="17"/>
      <c r="BI1378" s="17"/>
      <c r="BJ1378" s="17"/>
      <c r="BK1378" s="17"/>
      <c r="BL1378" s="17"/>
      <c r="BM1378" s="17"/>
      <c r="BN1378" s="17"/>
      <c r="BO1378" s="17"/>
      <c r="BP1378" s="17"/>
      <c r="BQ1378" s="17"/>
      <c r="BR1378" s="17"/>
      <c r="BS1378" s="17"/>
      <c r="BT1378" s="17"/>
      <c r="BU1378" s="17"/>
      <c r="BV1378" s="17"/>
      <c r="BW1378" s="17"/>
      <c r="BX1378" s="17"/>
    </row>
    <row r="1379" customHeight="1" spans="1:76">
      <c r="A1379" s="17"/>
      <c r="B1379" s="17"/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  <c r="AD1379" s="17"/>
      <c r="AE1379" s="17"/>
      <c r="AF1379" s="17"/>
      <c r="AG1379" s="17"/>
      <c r="AH1379" s="17"/>
      <c r="AI1379" s="17"/>
      <c r="AJ1379" s="17"/>
      <c r="AK1379" s="17"/>
      <c r="AL1379" s="17"/>
      <c r="AM1379" s="17"/>
      <c r="AN1379" s="17"/>
      <c r="AO1379" s="17"/>
      <c r="AP1379" s="17"/>
      <c r="AQ1379" s="17"/>
      <c r="AR1379" s="17"/>
      <c r="AS1379" s="17"/>
      <c r="AT1379" s="17"/>
      <c r="AU1379" s="17"/>
      <c r="AV1379" s="17"/>
      <c r="AW1379" s="17"/>
      <c r="AX1379" s="17"/>
      <c r="AY1379" s="17"/>
      <c r="AZ1379" s="17"/>
      <c r="BA1379" s="17"/>
      <c r="BB1379" s="17"/>
      <c r="BC1379" s="17"/>
      <c r="BD1379" s="17"/>
      <c r="BE1379" s="17"/>
      <c r="BF1379" s="17"/>
      <c r="BG1379" s="17"/>
      <c r="BH1379" s="17"/>
      <c r="BI1379" s="17"/>
      <c r="BJ1379" s="17"/>
      <c r="BK1379" s="17"/>
      <c r="BL1379" s="17"/>
      <c r="BM1379" s="17"/>
      <c r="BN1379" s="17"/>
      <c r="BO1379" s="17"/>
      <c r="BP1379" s="17"/>
      <c r="BQ1379" s="17"/>
      <c r="BR1379" s="17"/>
      <c r="BS1379" s="17"/>
      <c r="BT1379" s="17"/>
      <c r="BU1379" s="17"/>
      <c r="BV1379" s="17"/>
      <c r="BW1379" s="17"/>
      <c r="BX1379" s="17"/>
    </row>
    <row r="1380" customHeight="1" spans="1:76">
      <c r="A1380" s="17"/>
      <c r="B1380" s="17"/>
      <c r="C1380" s="17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17"/>
      <c r="AF1380" s="17"/>
      <c r="AG1380" s="17"/>
      <c r="AH1380" s="17"/>
      <c r="AI1380" s="17"/>
      <c r="AJ1380" s="17"/>
      <c r="AK1380" s="17"/>
      <c r="AL1380" s="17"/>
      <c r="AM1380" s="17"/>
      <c r="AN1380" s="17"/>
      <c r="AO1380" s="17"/>
      <c r="AP1380" s="17"/>
      <c r="AQ1380" s="17"/>
      <c r="AR1380" s="17"/>
      <c r="AS1380" s="17"/>
      <c r="AT1380" s="17"/>
      <c r="AU1380" s="17"/>
      <c r="AV1380" s="17"/>
      <c r="AW1380" s="17"/>
      <c r="AX1380" s="17"/>
      <c r="AY1380" s="17"/>
      <c r="AZ1380" s="17"/>
      <c r="BA1380" s="17"/>
      <c r="BB1380" s="17"/>
      <c r="BC1380" s="17"/>
      <c r="BD1380" s="17"/>
      <c r="BE1380" s="17"/>
      <c r="BF1380" s="17"/>
      <c r="BG1380" s="17"/>
      <c r="BH1380" s="17"/>
      <c r="BI1380" s="17"/>
      <c r="BJ1380" s="17"/>
      <c r="BK1380" s="17"/>
      <c r="BL1380" s="17"/>
      <c r="BM1380" s="17"/>
      <c r="BN1380" s="17"/>
      <c r="BO1380" s="17"/>
      <c r="BP1380" s="17"/>
      <c r="BQ1380" s="17"/>
      <c r="BR1380" s="17"/>
      <c r="BS1380" s="17"/>
      <c r="BT1380" s="17"/>
      <c r="BU1380" s="17"/>
      <c r="BV1380" s="17"/>
      <c r="BW1380" s="17"/>
      <c r="BX1380" s="17"/>
    </row>
    <row r="1381" customHeight="1" spans="1:76">
      <c r="A1381" s="17"/>
      <c r="B1381" s="17"/>
      <c r="C1381" s="17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17"/>
      <c r="AF1381" s="17"/>
      <c r="AG1381" s="17"/>
      <c r="AH1381" s="17"/>
      <c r="AI1381" s="17"/>
      <c r="AJ1381" s="17"/>
      <c r="AK1381" s="17"/>
      <c r="AL1381" s="17"/>
      <c r="AM1381" s="17"/>
      <c r="AN1381" s="17"/>
      <c r="AO1381" s="17"/>
      <c r="AP1381" s="17"/>
      <c r="AQ1381" s="17"/>
      <c r="AR1381" s="17"/>
      <c r="AS1381" s="17"/>
      <c r="AT1381" s="17"/>
      <c r="AU1381" s="17"/>
      <c r="AV1381" s="17"/>
      <c r="AW1381" s="17"/>
      <c r="AX1381" s="17"/>
      <c r="AY1381" s="17"/>
      <c r="AZ1381" s="17"/>
      <c r="BA1381" s="17"/>
      <c r="BB1381" s="17"/>
      <c r="BC1381" s="17"/>
      <c r="BD1381" s="17"/>
      <c r="BE1381" s="17"/>
      <c r="BF1381" s="17"/>
      <c r="BG1381" s="17"/>
      <c r="BH1381" s="17"/>
      <c r="BI1381" s="17"/>
      <c r="BJ1381" s="17"/>
      <c r="BK1381" s="17"/>
      <c r="BL1381" s="17"/>
      <c r="BM1381" s="17"/>
      <c r="BN1381" s="17"/>
      <c r="BO1381" s="17"/>
      <c r="BP1381" s="17"/>
      <c r="BQ1381" s="17"/>
      <c r="BR1381" s="17"/>
      <c r="BS1381" s="17"/>
      <c r="BT1381" s="17"/>
      <c r="BU1381" s="17"/>
      <c r="BV1381" s="17"/>
      <c r="BW1381" s="17"/>
      <c r="BX1381" s="17"/>
    </row>
    <row r="1382" customHeight="1" spans="1:76">
      <c r="A1382" s="17"/>
      <c r="B1382" s="17"/>
      <c r="C1382" s="17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17"/>
      <c r="AF1382" s="17"/>
      <c r="AG1382" s="17"/>
      <c r="AH1382" s="17"/>
      <c r="AI1382" s="17"/>
      <c r="AJ1382" s="17"/>
      <c r="AK1382" s="17"/>
      <c r="AL1382" s="17"/>
      <c r="AM1382" s="17"/>
      <c r="AN1382" s="17"/>
      <c r="AO1382" s="17"/>
      <c r="AP1382" s="17"/>
      <c r="AQ1382" s="17"/>
      <c r="AR1382" s="17"/>
      <c r="AS1382" s="17"/>
      <c r="AT1382" s="17"/>
      <c r="AU1382" s="17"/>
      <c r="AV1382" s="17"/>
      <c r="AW1382" s="17"/>
      <c r="AX1382" s="17"/>
      <c r="AY1382" s="17"/>
      <c r="AZ1382" s="17"/>
      <c r="BA1382" s="17"/>
      <c r="BB1382" s="17"/>
      <c r="BC1382" s="17"/>
      <c r="BD1382" s="17"/>
      <c r="BE1382" s="17"/>
      <c r="BF1382" s="17"/>
      <c r="BG1382" s="17"/>
      <c r="BH1382" s="17"/>
      <c r="BI1382" s="17"/>
      <c r="BJ1382" s="17"/>
      <c r="BK1382" s="17"/>
      <c r="BL1382" s="17"/>
      <c r="BM1382" s="17"/>
      <c r="BN1382" s="17"/>
      <c r="BO1382" s="17"/>
      <c r="BP1382" s="17"/>
      <c r="BQ1382" s="17"/>
      <c r="BR1382" s="17"/>
      <c r="BS1382" s="17"/>
      <c r="BT1382" s="17"/>
      <c r="BU1382" s="17"/>
      <c r="BV1382" s="17"/>
      <c r="BW1382" s="17"/>
      <c r="BX1382" s="17"/>
    </row>
    <row r="1383" customHeight="1" spans="1:76">
      <c r="A1383" s="17"/>
      <c r="B1383" s="17"/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7"/>
      <c r="AG1383" s="17"/>
      <c r="AH1383" s="17"/>
      <c r="AI1383" s="17"/>
      <c r="AJ1383" s="17"/>
      <c r="AK1383" s="17"/>
      <c r="AL1383" s="17"/>
      <c r="AM1383" s="17"/>
      <c r="AN1383" s="17"/>
      <c r="AO1383" s="17"/>
      <c r="AP1383" s="17"/>
      <c r="AQ1383" s="17"/>
      <c r="AR1383" s="17"/>
      <c r="AS1383" s="17"/>
      <c r="AT1383" s="17"/>
      <c r="AU1383" s="17"/>
      <c r="AV1383" s="17"/>
      <c r="AW1383" s="17"/>
      <c r="AX1383" s="17"/>
      <c r="AY1383" s="17"/>
      <c r="AZ1383" s="17"/>
      <c r="BA1383" s="17"/>
      <c r="BB1383" s="17"/>
      <c r="BC1383" s="17"/>
      <c r="BD1383" s="17"/>
      <c r="BE1383" s="17"/>
      <c r="BF1383" s="17"/>
      <c r="BG1383" s="17"/>
      <c r="BH1383" s="17"/>
      <c r="BI1383" s="17"/>
      <c r="BJ1383" s="17"/>
      <c r="BK1383" s="17"/>
      <c r="BL1383" s="17"/>
      <c r="BM1383" s="17"/>
      <c r="BN1383" s="17"/>
      <c r="BO1383" s="17"/>
      <c r="BP1383" s="17"/>
      <c r="BQ1383" s="17"/>
      <c r="BR1383" s="17"/>
      <c r="BS1383" s="17"/>
      <c r="BT1383" s="17"/>
      <c r="BU1383" s="17"/>
      <c r="BV1383" s="17"/>
      <c r="BW1383" s="17"/>
      <c r="BX1383" s="17"/>
    </row>
    <row r="1384" customHeight="1" spans="1:76">
      <c r="A1384" s="17"/>
      <c r="B1384" s="17"/>
      <c r="C1384" s="17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17"/>
      <c r="AF1384" s="17"/>
      <c r="AG1384" s="17"/>
      <c r="AH1384" s="17"/>
      <c r="AI1384" s="17"/>
      <c r="AJ1384" s="17"/>
      <c r="AK1384" s="17"/>
      <c r="AL1384" s="17"/>
      <c r="AM1384" s="17"/>
      <c r="AN1384" s="17"/>
      <c r="AO1384" s="17"/>
      <c r="AP1384" s="17"/>
      <c r="AQ1384" s="17"/>
      <c r="AR1384" s="17"/>
      <c r="AS1384" s="17"/>
      <c r="AT1384" s="17"/>
      <c r="AU1384" s="17"/>
      <c r="AV1384" s="17"/>
      <c r="AW1384" s="17"/>
      <c r="AX1384" s="17"/>
      <c r="AY1384" s="17"/>
      <c r="AZ1384" s="17"/>
      <c r="BA1384" s="17"/>
      <c r="BB1384" s="17"/>
      <c r="BC1384" s="17"/>
      <c r="BD1384" s="17"/>
      <c r="BE1384" s="17"/>
      <c r="BF1384" s="17"/>
      <c r="BG1384" s="17"/>
      <c r="BH1384" s="17"/>
      <c r="BI1384" s="17"/>
      <c r="BJ1384" s="17"/>
      <c r="BK1384" s="17"/>
      <c r="BL1384" s="17"/>
      <c r="BM1384" s="17"/>
      <c r="BN1384" s="17"/>
      <c r="BO1384" s="17"/>
      <c r="BP1384" s="17"/>
      <c r="BQ1384" s="17"/>
      <c r="BR1384" s="17"/>
      <c r="BS1384" s="17"/>
      <c r="BT1384" s="17"/>
      <c r="BU1384" s="17"/>
      <c r="BV1384" s="17"/>
      <c r="BW1384" s="17"/>
      <c r="BX1384" s="17"/>
    </row>
    <row r="1385" customHeight="1" spans="1:76">
      <c r="A1385" s="17"/>
      <c r="B1385" s="17"/>
      <c r="C1385" s="17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  <c r="AH1385" s="17"/>
      <c r="AI1385" s="17"/>
      <c r="AJ1385" s="17"/>
      <c r="AK1385" s="17"/>
      <c r="AL1385" s="17"/>
      <c r="AM1385" s="17"/>
      <c r="AN1385" s="17"/>
      <c r="AO1385" s="17"/>
      <c r="AP1385" s="17"/>
      <c r="AQ1385" s="17"/>
      <c r="AR1385" s="17"/>
      <c r="AS1385" s="17"/>
      <c r="AT1385" s="17"/>
      <c r="AU1385" s="17"/>
      <c r="AV1385" s="17"/>
      <c r="AW1385" s="17"/>
      <c r="AX1385" s="17"/>
      <c r="AY1385" s="17"/>
      <c r="AZ1385" s="17"/>
      <c r="BA1385" s="17"/>
      <c r="BB1385" s="17"/>
      <c r="BC1385" s="17"/>
      <c r="BD1385" s="17"/>
      <c r="BE1385" s="17"/>
      <c r="BF1385" s="17"/>
      <c r="BG1385" s="17"/>
      <c r="BH1385" s="17"/>
      <c r="BI1385" s="17"/>
      <c r="BJ1385" s="17"/>
      <c r="BK1385" s="17"/>
      <c r="BL1385" s="17"/>
      <c r="BM1385" s="17"/>
      <c r="BN1385" s="17"/>
      <c r="BO1385" s="17"/>
      <c r="BP1385" s="17"/>
      <c r="BQ1385" s="17"/>
      <c r="BR1385" s="17"/>
      <c r="BS1385" s="17"/>
      <c r="BT1385" s="17"/>
      <c r="BU1385" s="17"/>
      <c r="BV1385" s="17"/>
      <c r="BW1385" s="17"/>
      <c r="BX1385" s="17"/>
    </row>
    <row r="1386" customHeight="1" spans="1:76">
      <c r="A1386" s="17"/>
      <c r="B1386" s="17"/>
      <c r="C1386" s="17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  <c r="AD1386" s="17"/>
      <c r="AE1386" s="17"/>
      <c r="AF1386" s="17"/>
      <c r="AG1386" s="17"/>
      <c r="AH1386" s="17"/>
      <c r="AI1386" s="17"/>
      <c r="AJ1386" s="17"/>
      <c r="AK1386" s="17"/>
      <c r="AL1386" s="17"/>
      <c r="AM1386" s="17"/>
      <c r="AN1386" s="17"/>
      <c r="AO1386" s="17"/>
      <c r="AP1386" s="17"/>
      <c r="AQ1386" s="17"/>
      <c r="AR1386" s="17"/>
      <c r="AS1386" s="17"/>
      <c r="AT1386" s="17"/>
      <c r="AU1386" s="17"/>
      <c r="AV1386" s="17"/>
      <c r="AW1386" s="17"/>
      <c r="AX1386" s="17"/>
      <c r="AY1386" s="17"/>
      <c r="AZ1386" s="17"/>
      <c r="BA1386" s="17"/>
      <c r="BB1386" s="17"/>
      <c r="BC1386" s="17"/>
      <c r="BD1386" s="17"/>
      <c r="BE1386" s="17"/>
      <c r="BF1386" s="17"/>
      <c r="BG1386" s="17"/>
      <c r="BH1386" s="17"/>
      <c r="BI1386" s="17"/>
      <c r="BJ1386" s="17"/>
      <c r="BK1386" s="17"/>
      <c r="BL1386" s="17"/>
      <c r="BM1386" s="17"/>
      <c r="BN1386" s="17"/>
      <c r="BO1386" s="17"/>
      <c r="BP1386" s="17"/>
      <c r="BQ1386" s="17"/>
      <c r="BR1386" s="17"/>
      <c r="BS1386" s="17"/>
      <c r="BT1386" s="17"/>
      <c r="BU1386" s="17"/>
      <c r="BV1386" s="17"/>
      <c r="BW1386" s="17"/>
      <c r="BX1386" s="17"/>
    </row>
    <row r="1387" customHeight="1" spans="1:76">
      <c r="A1387" s="17"/>
      <c r="B1387" s="17"/>
      <c r="C1387" s="17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17"/>
      <c r="AF1387" s="17"/>
      <c r="AG1387" s="17"/>
      <c r="AH1387" s="17"/>
      <c r="AI1387" s="17"/>
      <c r="AJ1387" s="17"/>
      <c r="AK1387" s="17"/>
      <c r="AL1387" s="17"/>
      <c r="AM1387" s="17"/>
      <c r="AN1387" s="17"/>
      <c r="AO1387" s="17"/>
      <c r="AP1387" s="17"/>
      <c r="AQ1387" s="17"/>
      <c r="AR1387" s="17"/>
      <c r="AS1387" s="17"/>
      <c r="AT1387" s="17"/>
      <c r="AU1387" s="17"/>
      <c r="AV1387" s="17"/>
      <c r="AW1387" s="17"/>
      <c r="AX1387" s="17"/>
      <c r="AY1387" s="17"/>
      <c r="AZ1387" s="17"/>
      <c r="BA1387" s="17"/>
      <c r="BB1387" s="17"/>
      <c r="BC1387" s="17"/>
      <c r="BD1387" s="17"/>
      <c r="BE1387" s="17"/>
      <c r="BF1387" s="17"/>
      <c r="BG1387" s="17"/>
      <c r="BH1387" s="17"/>
      <c r="BI1387" s="17"/>
      <c r="BJ1387" s="17"/>
      <c r="BK1387" s="17"/>
      <c r="BL1387" s="17"/>
      <c r="BM1387" s="17"/>
      <c r="BN1387" s="17"/>
      <c r="BO1387" s="17"/>
      <c r="BP1387" s="17"/>
      <c r="BQ1387" s="17"/>
      <c r="BR1387" s="17"/>
      <c r="BS1387" s="17"/>
      <c r="BT1387" s="17"/>
      <c r="BU1387" s="17"/>
      <c r="BV1387" s="17"/>
      <c r="BW1387" s="17"/>
      <c r="BX1387" s="17"/>
    </row>
    <row r="1388" customHeight="1" spans="1:76">
      <c r="A1388" s="17"/>
      <c r="B1388" s="17"/>
      <c r="C1388" s="17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17"/>
      <c r="AF1388" s="17"/>
      <c r="AG1388" s="17"/>
      <c r="AH1388" s="17"/>
      <c r="AI1388" s="17"/>
      <c r="AJ1388" s="17"/>
      <c r="AK1388" s="17"/>
      <c r="AL1388" s="17"/>
      <c r="AM1388" s="17"/>
      <c r="AN1388" s="17"/>
      <c r="AO1388" s="17"/>
      <c r="AP1388" s="17"/>
      <c r="AQ1388" s="17"/>
      <c r="AR1388" s="17"/>
      <c r="AS1388" s="17"/>
      <c r="AT1388" s="17"/>
      <c r="AU1388" s="17"/>
      <c r="AV1388" s="17"/>
      <c r="AW1388" s="17"/>
      <c r="AX1388" s="17"/>
      <c r="AY1388" s="17"/>
      <c r="AZ1388" s="17"/>
      <c r="BA1388" s="17"/>
      <c r="BB1388" s="17"/>
      <c r="BC1388" s="17"/>
      <c r="BD1388" s="17"/>
      <c r="BE1388" s="17"/>
      <c r="BF1388" s="17"/>
      <c r="BG1388" s="17"/>
      <c r="BH1388" s="17"/>
      <c r="BI1388" s="17"/>
      <c r="BJ1388" s="17"/>
      <c r="BK1388" s="17"/>
      <c r="BL1388" s="17"/>
      <c r="BM1388" s="17"/>
      <c r="BN1388" s="17"/>
      <c r="BO1388" s="17"/>
      <c r="BP1388" s="17"/>
      <c r="BQ1388" s="17"/>
      <c r="BR1388" s="17"/>
      <c r="BS1388" s="17"/>
      <c r="BT1388" s="17"/>
      <c r="BU1388" s="17"/>
      <c r="BV1388" s="17"/>
      <c r="BW1388" s="17"/>
      <c r="BX1388" s="17"/>
    </row>
    <row r="1389" customHeight="1" spans="1:76">
      <c r="A1389" s="17"/>
      <c r="B1389" s="17"/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  <c r="AF1389" s="17"/>
      <c r="AG1389" s="17"/>
      <c r="AH1389" s="17"/>
      <c r="AI1389" s="17"/>
      <c r="AJ1389" s="17"/>
      <c r="AK1389" s="17"/>
      <c r="AL1389" s="17"/>
      <c r="AM1389" s="17"/>
      <c r="AN1389" s="17"/>
      <c r="AO1389" s="17"/>
      <c r="AP1389" s="17"/>
      <c r="AQ1389" s="17"/>
      <c r="AR1389" s="17"/>
      <c r="AS1389" s="17"/>
      <c r="AT1389" s="17"/>
      <c r="AU1389" s="17"/>
      <c r="AV1389" s="17"/>
      <c r="AW1389" s="17"/>
      <c r="AX1389" s="17"/>
      <c r="AY1389" s="17"/>
      <c r="AZ1389" s="17"/>
      <c r="BA1389" s="17"/>
      <c r="BB1389" s="17"/>
      <c r="BC1389" s="17"/>
      <c r="BD1389" s="17"/>
      <c r="BE1389" s="17"/>
      <c r="BF1389" s="17"/>
      <c r="BG1389" s="17"/>
      <c r="BH1389" s="17"/>
      <c r="BI1389" s="17"/>
      <c r="BJ1389" s="17"/>
      <c r="BK1389" s="17"/>
      <c r="BL1389" s="17"/>
      <c r="BM1389" s="17"/>
      <c r="BN1389" s="17"/>
      <c r="BO1389" s="17"/>
      <c r="BP1389" s="17"/>
      <c r="BQ1389" s="17"/>
      <c r="BR1389" s="17"/>
      <c r="BS1389" s="17"/>
      <c r="BT1389" s="17"/>
      <c r="BU1389" s="17"/>
      <c r="BV1389" s="17"/>
      <c r="BW1389" s="17"/>
      <c r="BX1389" s="17"/>
    </row>
    <row r="1390" customHeight="1" spans="1:76">
      <c r="A1390" s="17"/>
      <c r="B1390" s="17"/>
      <c r="C1390" s="17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  <c r="AE1390" s="17"/>
      <c r="AF1390" s="17"/>
      <c r="AG1390" s="17"/>
      <c r="AH1390" s="17"/>
      <c r="AI1390" s="17"/>
      <c r="AJ1390" s="17"/>
      <c r="AK1390" s="17"/>
      <c r="AL1390" s="17"/>
      <c r="AM1390" s="17"/>
      <c r="AN1390" s="17"/>
      <c r="AO1390" s="17"/>
      <c r="AP1390" s="17"/>
      <c r="AQ1390" s="17"/>
      <c r="AR1390" s="17"/>
      <c r="AS1390" s="17"/>
      <c r="AT1390" s="17"/>
      <c r="AU1390" s="17"/>
      <c r="AV1390" s="17"/>
      <c r="AW1390" s="17"/>
      <c r="AX1390" s="17"/>
      <c r="AY1390" s="17"/>
      <c r="AZ1390" s="17"/>
      <c r="BA1390" s="17"/>
      <c r="BB1390" s="17"/>
      <c r="BC1390" s="17"/>
      <c r="BD1390" s="17"/>
      <c r="BE1390" s="17"/>
      <c r="BF1390" s="17"/>
      <c r="BG1390" s="17"/>
      <c r="BH1390" s="17"/>
      <c r="BI1390" s="17"/>
      <c r="BJ1390" s="17"/>
      <c r="BK1390" s="17"/>
      <c r="BL1390" s="17"/>
      <c r="BM1390" s="17"/>
      <c r="BN1390" s="17"/>
      <c r="BO1390" s="17"/>
      <c r="BP1390" s="17"/>
      <c r="BQ1390" s="17"/>
      <c r="BR1390" s="17"/>
      <c r="BS1390" s="17"/>
      <c r="BT1390" s="17"/>
      <c r="BU1390" s="17"/>
      <c r="BV1390" s="17"/>
      <c r="BW1390" s="17"/>
      <c r="BX1390" s="17"/>
    </row>
    <row r="1391" customHeight="1" spans="1:76">
      <c r="A1391" s="17"/>
      <c r="B1391" s="17"/>
      <c r="C1391" s="17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7"/>
      <c r="AD1391" s="17"/>
      <c r="AE1391" s="17"/>
      <c r="AF1391" s="17"/>
      <c r="AG1391" s="17"/>
      <c r="AH1391" s="17"/>
      <c r="AI1391" s="17"/>
      <c r="AJ1391" s="17"/>
      <c r="AK1391" s="17"/>
      <c r="AL1391" s="17"/>
      <c r="AM1391" s="17"/>
      <c r="AN1391" s="17"/>
      <c r="AO1391" s="17"/>
      <c r="AP1391" s="17"/>
      <c r="AQ1391" s="17"/>
      <c r="AR1391" s="17"/>
      <c r="AS1391" s="17"/>
      <c r="AT1391" s="17"/>
      <c r="AU1391" s="17"/>
      <c r="AV1391" s="17"/>
      <c r="AW1391" s="17"/>
      <c r="AX1391" s="17"/>
      <c r="AY1391" s="17"/>
      <c r="AZ1391" s="17"/>
      <c r="BA1391" s="17"/>
      <c r="BB1391" s="17"/>
      <c r="BC1391" s="17"/>
      <c r="BD1391" s="17"/>
      <c r="BE1391" s="17"/>
      <c r="BF1391" s="17"/>
      <c r="BG1391" s="17"/>
      <c r="BH1391" s="17"/>
      <c r="BI1391" s="17"/>
      <c r="BJ1391" s="17"/>
      <c r="BK1391" s="17"/>
      <c r="BL1391" s="17"/>
      <c r="BM1391" s="17"/>
      <c r="BN1391" s="17"/>
      <c r="BO1391" s="17"/>
      <c r="BP1391" s="17"/>
      <c r="BQ1391" s="17"/>
      <c r="BR1391" s="17"/>
      <c r="BS1391" s="17"/>
      <c r="BT1391" s="17"/>
      <c r="BU1391" s="17"/>
      <c r="BV1391" s="17"/>
      <c r="BW1391" s="17"/>
      <c r="BX1391" s="17"/>
    </row>
    <row r="1392" customHeight="1" spans="1:76">
      <c r="A1392" s="17"/>
      <c r="B1392" s="17"/>
      <c r="C1392" s="17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  <c r="AD1392" s="17"/>
      <c r="AE1392" s="17"/>
      <c r="AF1392" s="17"/>
      <c r="AG1392" s="17"/>
      <c r="AH1392" s="17"/>
      <c r="AI1392" s="17"/>
      <c r="AJ1392" s="17"/>
      <c r="AK1392" s="17"/>
      <c r="AL1392" s="17"/>
      <c r="AM1392" s="17"/>
      <c r="AN1392" s="17"/>
      <c r="AO1392" s="17"/>
      <c r="AP1392" s="17"/>
      <c r="AQ1392" s="17"/>
      <c r="AR1392" s="17"/>
      <c r="AS1392" s="17"/>
      <c r="AT1392" s="17"/>
      <c r="AU1392" s="17"/>
      <c r="AV1392" s="17"/>
      <c r="AW1392" s="17"/>
      <c r="AX1392" s="17"/>
      <c r="AY1392" s="17"/>
      <c r="AZ1392" s="17"/>
      <c r="BA1392" s="17"/>
      <c r="BB1392" s="17"/>
      <c r="BC1392" s="17"/>
      <c r="BD1392" s="17"/>
      <c r="BE1392" s="17"/>
      <c r="BF1392" s="17"/>
      <c r="BG1392" s="17"/>
      <c r="BH1392" s="17"/>
      <c r="BI1392" s="17"/>
      <c r="BJ1392" s="17"/>
      <c r="BK1392" s="17"/>
      <c r="BL1392" s="17"/>
      <c r="BM1392" s="17"/>
      <c r="BN1392" s="17"/>
      <c r="BO1392" s="17"/>
      <c r="BP1392" s="17"/>
      <c r="BQ1392" s="17"/>
      <c r="BR1392" s="17"/>
      <c r="BS1392" s="17"/>
      <c r="BT1392" s="17"/>
      <c r="BU1392" s="17"/>
      <c r="BV1392" s="17"/>
      <c r="BW1392" s="17"/>
      <c r="BX1392" s="17"/>
    </row>
    <row r="1393" customHeight="1" spans="1:76">
      <c r="A1393" s="17"/>
      <c r="B1393" s="17"/>
      <c r="C1393" s="17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17"/>
      <c r="AF1393" s="17"/>
      <c r="AG1393" s="17"/>
      <c r="AH1393" s="17"/>
      <c r="AI1393" s="17"/>
      <c r="AJ1393" s="17"/>
      <c r="AK1393" s="17"/>
      <c r="AL1393" s="17"/>
      <c r="AM1393" s="17"/>
      <c r="AN1393" s="17"/>
      <c r="AO1393" s="17"/>
      <c r="AP1393" s="17"/>
      <c r="AQ1393" s="17"/>
      <c r="AR1393" s="17"/>
      <c r="AS1393" s="17"/>
      <c r="AT1393" s="17"/>
      <c r="AU1393" s="17"/>
      <c r="AV1393" s="17"/>
      <c r="AW1393" s="17"/>
      <c r="AX1393" s="17"/>
      <c r="AY1393" s="17"/>
      <c r="AZ1393" s="17"/>
      <c r="BA1393" s="17"/>
      <c r="BB1393" s="17"/>
      <c r="BC1393" s="17"/>
      <c r="BD1393" s="17"/>
      <c r="BE1393" s="17"/>
      <c r="BF1393" s="17"/>
      <c r="BG1393" s="17"/>
      <c r="BH1393" s="17"/>
      <c r="BI1393" s="17"/>
      <c r="BJ1393" s="17"/>
      <c r="BK1393" s="17"/>
      <c r="BL1393" s="17"/>
      <c r="BM1393" s="17"/>
      <c r="BN1393" s="17"/>
      <c r="BO1393" s="17"/>
      <c r="BP1393" s="17"/>
      <c r="BQ1393" s="17"/>
      <c r="BR1393" s="17"/>
      <c r="BS1393" s="17"/>
      <c r="BT1393" s="17"/>
      <c r="BU1393" s="17"/>
      <c r="BV1393" s="17"/>
      <c r="BW1393" s="17"/>
      <c r="BX1393" s="17"/>
    </row>
    <row r="1394" customHeight="1" spans="1:76">
      <c r="A1394" s="17"/>
      <c r="B1394" s="17"/>
      <c r="C1394" s="17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  <c r="AD1394" s="17"/>
      <c r="AE1394" s="17"/>
      <c r="AF1394" s="17"/>
      <c r="AG1394" s="17"/>
      <c r="AH1394" s="17"/>
      <c r="AI1394" s="17"/>
      <c r="AJ1394" s="17"/>
      <c r="AK1394" s="17"/>
      <c r="AL1394" s="17"/>
      <c r="AM1394" s="17"/>
      <c r="AN1394" s="17"/>
      <c r="AO1394" s="17"/>
      <c r="AP1394" s="17"/>
      <c r="AQ1394" s="17"/>
      <c r="AR1394" s="17"/>
      <c r="AS1394" s="17"/>
      <c r="AT1394" s="17"/>
      <c r="AU1394" s="17"/>
      <c r="AV1394" s="17"/>
      <c r="AW1394" s="17"/>
      <c r="AX1394" s="17"/>
      <c r="AY1394" s="17"/>
      <c r="AZ1394" s="17"/>
      <c r="BA1394" s="17"/>
      <c r="BB1394" s="17"/>
      <c r="BC1394" s="17"/>
      <c r="BD1394" s="17"/>
      <c r="BE1394" s="17"/>
      <c r="BF1394" s="17"/>
      <c r="BG1394" s="17"/>
      <c r="BH1394" s="17"/>
      <c r="BI1394" s="17"/>
      <c r="BJ1394" s="17"/>
      <c r="BK1394" s="17"/>
      <c r="BL1394" s="17"/>
      <c r="BM1394" s="17"/>
      <c r="BN1394" s="17"/>
      <c r="BO1394" s="17"/>
      <c r="BP1394" s="17"/>
      <c r="BQ1394" s="17"/>
      <c r="BR1394" s="17"/>
      <c r="BS1394" s="17"/>
      <c r="BT1394" s="17"/>
      <c r="BU1394" s="17"/>
      <c r="BV1394" s="17"/>
      <c r="BW1394" s="17"/>
      <c r="BX1394" s="17"/>
    </row>
    <row r="1395" customHeight="1" spans="1:76">
      <c r="A1395" s="17"/>
      <c r="B1395" s="17"/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  <c r="AD1395" s="17"/>
      <c r="AE1395" s="17"/>
      <c r="AF1395" s="17"/>
      <c r="AG1395" s="17"/>
      <c r="AH1395" s="17"/>
      <c r="AI1395" s="17"/>
      <c r="AJ1395" s="17"/>
      <c r="AK1395" s="17"/>
      <c r="AL1395" s="17"/>
      <c r="AM1395" s="17"/>
      <c r="AN1395" s="17"/>
      <c r="AO1395" s="17"/>
      <c r="AP1395" s="17"/>
      <c r="AQ1395" s="17"/>
      <c r="AR1395" s="17"/>
      <c r="AS1395" s="17"/>
      <c r="AT1395" s="17"/>
      <c r="AU1395" s="17"/>
      <c r="AV1395" s="17"/>
      <c r="AW1395" s="17"/>
      <c r="AX1395" s="17"/>
      <c r="AY1395" s="17"/>
      <c r="AZ1395" s="17"/>
      <c r="BA1395" s="17"/>
      <c r="BB1395" s="17"/>
      <c r="BC1395" s="17"/>
      <c r="BD1395" s="17"/>
      <c r="BE1395" s="17"/>
      <c r="BF1395" s="17"/>
      <c r="BG1395" s="17"/>
      <c r="BH1395" s="17"/>
      <c r="BI1395" s="17"/>
      <c r="BJ1395" s="17"/>
      <c r="BK1395" s="17"/>
      <c r="BL1395" s="17"/>
      <c r="BM1395" s="17"/>
      <c r="BN1395" s="17"/>
      <c r="BO1395" s="17"/>
      <c r="BP1395" s="17"/>
      <c r="BQ1395" s="17"/>
      <c r="BR1395" s="17"/>
      <c r="BS1395" s="17"/>
      <c r="BT1395" s="17"/>
      <c r="BU1395" s="17"/>
      <c r="BV1395" s="17"/>
      <c r="BW1395" s="17"/>
      <c r="BX1395" s="17"/>
    </row>
    <row r="1396" customHeight="1" spans="1:76">
      <c r="A1396" s="17"/>
      <c r="B1396" s="17"/>
      <c r="C1396" s="17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17"/>
      <c r="AF1396" s="17"/>
      <c r="AG1396" s="17"/>
      <c r="AH1396" s="17"/>
      <c r="AI1396" s="17"/>
      <c r="AJ1396" s="17"/>
      <c r="AK1396" s="17"/>
      <c r="AL1396" s="17"/>
      <c r="AM1396" s="17"/>
      <c r="AN1396" s="17"/>
      <c r="AO1396" s="17"/>
      <c r="AP1396" s="17"/>
      <c r="AQ1396" s="17"/>
      <c r="AR1396" s="17"/>
      <c r="AS1396" s="17"/>
      <c r="AT1396" s="17"/>
      <c r="AU1396" s="17"/>
      <c r="AV1396" s="17"/>
      <c r="AW1396" s="17"/>
      <c r="AX1396" s="17"/>
      <c r="AY1396" s="17"/>
      <c r="AZ1396" s="17"/>
      <c r="BA1396" s="17"/>
      <c r="BB1396" s="17"/>
      <c r="BC1396" s="17"/>
      <c r="BD1396" s="17"/>
      <c r="BE1396" s="17"/>
      <c r="BF1396" s="17"/>
      <c r="BG1396" s="17"/>
      <c r="BH1396" s="17"/>
      <c r="BI1396" s="17"/>
      <c r="BJ1396" s="17"/>
      <c r="BK1396" s="17"/>
      <c r="BL1396" s="17"/>
      <c r="BM1396" s="17"/>
      <c r="BN1396" s="17"/>
      <c r="BO1396" s="17"/>
      <c r="BP1396" s="17"/>
      <c r="BQ1396" s="17"/>
      <c r="BR1396" s="17"/>
      <c r="BS1396" s="17"/>
      <c r="BT1396" s="17"/>
      <c r="BU1396" s="17"/>
      <c r="BV1396" s="17"/>
      <c r="BW1396" s="17"/>
      <c r="BX1396" s="17"/>
    </row>
    <row r="1397" customHeight="1" spans="1:76">
      <c r="A1397" s="17"/>
      <c r="B1397" s="17"/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17"/>
      <c r="AF1397" s="17"/>
      <c r="AG1397" s="17"/>
      <c r="AH1397" s="17"/>
      <c r="AI1397" s="17"/>
      <c r="AJ1397" s="17"/>
      <c r="AK1397" s="17"/>
      <c r="AL1397" s="17"/>
      <c r="AM1397" s="17"/>
      <c r="AN1397" s="17"/>
      <c r="AO1397" s="17"/>
      <c r="AP1397" s="17"/>
      <c r="AQ1397" s="17"/>
      <c r="AR1397" s="17"/>
      <c r="AS1397" s="17"/>
      <c r="AT1397" s="17"/>
      <c r="AU1397" s="17"/>
      <c r="AV1397" s="17"/>
      <c r="AW1397" s="17"/>
      <c r="AX1397" s="17"/>
      <c r="AY1397" s="17"/>
      <c r="AZ1397" s="17"/>
      <c r="BA1397" s="17"/>
      <c r="BB1397" s="17"/>
      <c r="BC1397" s="17"/>
      <c r="BD1397" s="17"/>
      <c r="BE1397" s="17"/>
      <c r="BF1397" s="17"/>
      <c r="BG1397" s="17"/>
      <c r="BH1397" s="17"/>
      <c r="BI1397" s="17"/>
      <c r="BJ1397" s="17"/>
      <c r="BK1397" s="17"/>
      <c r="BL1397" s="17"/>
      <c r="BM1397" s="17"/>
      <c r="BN1397" s="17"/>
      <c r="BO1397" s="17"/>
      <c r="BP1397" s="17"/>
      <c r="BQ1397" s="17"/>
      <c r="BR1397" s="17"/>
      <c r="BS1397" s="17"/>
      <c r="BT1397" s="17"/>
      <c r="BU1397" s="17"/>
      <c r="BV1397" s="17"/>
      <c r="BW1397" s="17"/>
      <c r="BX1397" s="17"/>
    </row>
    <row r="1398" customHeight="1" spans="1:76">
      <c r="A1398" s="17"/>
      <c r="B1398" s="17"/>
      <c r="C1398" s="17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17"/>
      <c r="AF1398" s="17"/>
      <c r="AG1398" s="17"/>
      <c r="AH1398" s="17"/>
      <c r="AI1398" s="17"/>
      <c r="AJ1398" s="17"/>
      <c r="AK1398" s="17"/>
      <c r="AL1398" s="17"/>
      <c r="AM1398" s="17"/>
      <c r="AN1398" s="17"/>
      <c r="AO1398" s="17"/>
      <c r="AP1398" s="17"/>
      <c r="AQ1398" s="17"/>
      <c r="AR1398" s="17"/>
      <c r="AS1398" s="17"/>
      <c r="AT1398" s="17"/>
      <c r="AU1398" s="17"/>
      <c r="AV1398" s="17"/>
      <c r="AW1398" s="17"/>
      <c r="AX1398" s="17"/>
      <c r="AY1398" s="17"/>
      <c r="AZ1398" s="17"/>
      <c r="BA1398" s="17"/>
      <c r="BB1398" s="17"/>
      <c r="BC1398" s="17"/>
      <c r="BD1398" s="17"/>
      <c r="BE1398" s="17"/>
      <c r="BF1398" s="17"/>
      <c r="BG1398" s="17"/>
      <c r="BH1398" s="17"/>
      <c r="BI1398" s="17"/>
      <c r="BJ1398" s="17"/>
      <c r="BK1398" s="17"/>
      <c r="BL1398" s="17"/>
      <c r="BM1398" s="17"/>
      <c r="BN1398" s="17"/>
      <c r="BO1398" s="17"/>
      <c r="BP1398" s="17"/>
      <c r="BQ1398" s="17"/>
      <c r="BR1398" s="17"/>
      <c r="BS1398" s="17"/>
      <c r="BT1398" s="17"/>
      <c r="BU1398" s="17"/>
      <c r="BV1398" s="17"/>
      <c r="BW1398" s="17"/>
      <c r="BX1398" s="17"/>
    </row>
    <row r="1399" customHeight="1" spans="1:76">
      <c r="A1399" s="17"/>
      <c r="B1399" s="17"/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17"/>
      <c r="AF1399" s="17"/>
      <c r="AG1399" s="17"/>
      <c r="AH1399" s="17"/>
      <c r="AI1399" s="17"/>
      <c r="AJ1399" s="17"/>
      <c r="AK1399" s="17"/>
      <c r="AL1399" s="17"/>
      <c r="AM1399" s="17"/>
      <c r="AN1399" s="17"/>
      <c r="AO1399" s="17"/>
      <c r="AP1399" s="17"/>
      <c r="AQ1399" s="17"/>
      <c r="AR1399" s="17"/>
      <c r="AS1399" s="17"/>
      <c r="AT1399" s="17"/>
      <c r="AU1399" s="17"/>
      <c r="AV1399" s="17"/>
      <c r="AW1399" s="17"/>
      <c r="AX1399" s="17"/>
      <c r="AY1399" s="17"/>
      <c r="AZ1399" s="17"/>
      <c r="BA1399" s="17"/>
      <c r="BB1399" s="17"/>
      <c r="BC1399" s="17"/>
      <c r="BD1399" s="17"/>
      <c r="BE1399" s="17"/>
      <c r="BF1399" s="17"/>
      <c r="BG1399" s="17"/>
      <c r="BH1399" s="17"/>
      <c r="BI1399" s="17"/>
      <c r="BJ1399" s="17"/>
      <c r="BK1399" s="17"/>
      <c r="BL1399" s="17"/>
      <c r="BM1399" s="17"/>
      <c r="BN1399" s="17"/>
      <c r="BO1399" s="17"/>
      <c r="BP1399" s="17"/>
      <c r="BQ1399" s="17"/>
      <c r="BR1399" s="17"/>
      <c r="BS1399" s="17"/>
      <c r="BT1399" s="17"/>
      <c r="BU1399" s="17"/>
      <c r="BV1399" s="17"/>
      <c r="BW1399" s="17"/>
      <c r="BX1399" s="17"/>
    </row>
    <row r="1400" customHeight="1" spans="1:76">
      <c r="A1400" s="17"/>
      <c r="B1400" s="17"/>
      <c r="C1400" s="17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17"/>
      <c r="AF1400" s="17"/>
      <c r="AG1400" s="17"/>
      <c r="AH1400" s="17"/>
      <c r="AI1400" s="17"/>
      <c r="AJ1400" s="17"/>
      <c r="AK1400" s="17"/>
      <c r="AL1400" s="17"/>
      <c r="AM1400" s="17"/>
      <c r="AN1400" s="17"/>
      <c r="AO1400" s="17"/>
      <c r="AP1400" s="17"/>
      <c r="AQ1400" s="17"/>
      <c r="AR1400" s="17"/>
      <c r="AS1400" s="17"/>
      <c r="AT1400" s="17"/>
      <c r="AU1400" s="17"/>
      <c r="AV1400" s="17"/>
      <c r="AW1400" s="17"/>
      <c r="AX1400" s="17"/>
      <c r="AY1400" s="17"/>
      <c r="AZ1400" s="17"/>
      <c r="BA1400" s="17"/>
      <c r="BB1400" s="17"/>
      <c r="BC1400" s="17"/>
      <c r="BD1400" s="17"/>
      <c r="BE1400" s="17"/>
      <c r="BF1400" s="17"/>
      <c r="BG1400" s="17"/>
      <c r="BH1400" s="17"/>
      <c r="BI1400" s="17"/>
      <c r="BJ1400" s="17"/>
      <c r="BK1400" s="17"/>
      <c r="BL1400" s="17"/>
      <c r="BM1400" s="17"/>
      <c r="BN1400" s="17"/>
      <c r="BO1400" s="17"/>
      <c r="BP1400" s="17"/>
      <c r="BQ1400" s="17"/>
      <c r="BR1400" s="17"/>
      <c r="BS1400" s="17"/>
      <c r="BT1400" s="17"/>
      <c r="BU1400" s="17"/>
      <c r="BV1400" s="17"/>
      <c r="BW1400" s="17"/>
      <c r="BX1400" s="17"/>
    </row>
    <row r="1401" customHeight="1" spans="1:76">
      <c r="A1401" s="17"/>
      <c r="B1401" s="17"/>
      <c r="C1401" s="17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17"/>
      <c r="AF1401" s="17"/>
      <c r="AG1401" s="17"/>
      <c r="AH1401" s="17"/>
      <c r="AI1401" s="17"/>
      <c r="AJ1401" s="17"/>
      <c r="AK1401" s="17"/>
      <c r="AL1401" s="17"/>
      <c r="AM1401" s="17"/>
      <c r="AN1401" s="17"/>
      <c r="AO1401" s="17"/>
      <c r="AP1401" s="17"/>
      <c r="AQ1401" s="17"/>
      <c r="AR1401" s="17"/>
      <c r="AS1401" s="17"/>
      <c r="AT1401" s="17"/>
      <c r="AU1401" s="17"/>
      <c r="AV1401" s="17"/>
      <c r="AW1401" s="17"/>
      <c r="AX1401" s="17"/>
      <c r="AY1401" s="17"/>
      <c r="AZ1401" s="17"/>
      <c r="BA1401" s="17"/>
      <c r="BB1401" s="17"/>
      <c r="BC1401" s="17"/>
      <c r="BD1401" s="17"/>
      <c r="BE1401" s="17"/>
      <c r="BF1401" s="17"/>
      <c r="BG1401" s="17"/>
      <c r="BH1401" s="17"/>
      <c r="BI1401" s="17"/>
      <c r="BJ1401" s="17"/>
      <c r="BK1401" s="17"/>
      <c r="BL1401" s="17"/>
      <c r="BM1401" s="17"/>
      <c r="BN1401" s="17"/>
      <c r="BO1401" s="17"/>
      <c r="BP1401" s="17"/>
      <c r="BQ1401" s="17"/>
      <c r="BR1401" s="17"/>
      <c r="BS1401" s="17"/>
      <c r="BT1401" s="17"/>
      <c r="BU1401" s="17"/>
      <c r="BV1401" s="17"/>
      <c r="BW1401" s="17"/>
      <c r="BX1401" s="17"/>
    </row>
    <row r="1402" customHeight="1" spans="1:76">
      <c r="A1402" s="17"/>
      <c r="B1402" s="17"/>
      <c r="C1402" s="17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17"/>
      <c r="AF1402" s="17"/>
      <c r="AG1402" s="17"/>
      <c r="AH1402" s="17"/>
      <c r="AI1402" s="17"/>
      <c r="AJ1402" s="17"/>
      <c r="AK1402" s="17"/>
      <c r="AL1402" s="17"/>
      <c r="AM1402" s="17"/>
      <c r="AN1402" s="17"/>
      <c r="AO1402" s="17"/>
      <c r="AP1402" s="17"/>
      <c r="AQ1402" s="17"/>
      <c r="AR1402" s="17"/>
      <c r="AS1402" s="17"/>
      <c r="AT1402" s="17"/>
      <c r="AU1402" s="17"/>
      <c r="AV1402" s="17"/>
      <c r="AW1402" s="17"/>
      <c r="AX1402" s="17"/>
      <c r="AY1402" s="17"/>
      <c r="AZ1402" s="17"/>
      <c r="BA1402" s="17"/>
      <c r="BB1402" s="17"/>
      <c r="BC1402" s="17"/>
      <c r="BD1402" s="17"/>
      <c r="BE1402" s="17"/>
      <c r="BF1402" s="17"/>
      <c r="BG1402" s="17"/>
      <c r="BH1402" s="17"/>
      <c r="BI1402" s="17"/>
      <c r="BJ1402" s="17"/>
      <c r="BK1402" s="17"/>
      <c r="BL1402" s="17"/>
      <c r="BM1402" s="17"/>
      <c r="BN1402" s="17"/>
      <c r="BO1402" s="17"/>
      <c r="BP1402" s="17"/>
      <c r="BQ1402" s="17"/>
      <c r="BR1402" s="17"/>
      <c r="BS1402" s="17"/>
      <c r="BT1402" s="17"/>
      <c r="BU1402" s="17"/>
      <c r="BV1402" s="17"/>
      <c r="BW1402" s="17"/>
      <c r="BX1402" s="17"/>
    </row>
    <row r="1403" customHeight="1" spans="1:76">
      <c r="A1403" s="17"/>
      <c r="B1403" s="17"/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  <c r="AH1403" s="17"/>
      <c r="AI1403" s="17"/>
      <c r="AJ1403" s="17"/>
      <c r="AK1403" s="17"/>
      <c r="AL1403" s="17"/>
      <c r="AM1403" s="17"/>
      <c r="AN1403" s="17"/>
      <c r="AO1403" s="17"/>
      <c r="AP1403" s="17"/>
      <c r="AQ1403" s="17"/>
      <c r="AR1403" s="17"/>
      <c r="AS1403" s="17"/>
      <c r="AT1403" s="17"/>
      <c r="AU1403" s="17"/>
      <c r="AV1403" s="17"/>
      <c r="AW1403" s="17"/>
      <c r="AX1403" s="17"/>
      <c r="AY1403" s="17"/>
      <c r="AZ1403" s="17"/>
      <c r="BA1403" s="17"/>
      <c r="BB1403" s="17"/>
      <c r="BC1403" s="17"/>
      <c r="BD1403" s="17"/>
      <c r="BE1403" s="17"/>
      <c r="BF1403" s="17"/>
      <c r="BG1403" s="17"/>
      <c r="BH1403" s="17"/>
      <c r="BI1403" s="17"/>
      <c r="BJ1403" s="17"/>
      <c r="BK1403" s="17"/>
      <c r="BL1403" s="17"/>
      <c r="BM1403" s="17"/>
      <c r="BN1403" s="17"/>
      <c r="BO1403" s="17"/>
      <c r="BP1403" s="17"/>
      <c r="BQ1403" s="17"/>
      <c r="BR1403" s="17"/>
      <c r="BS1403" s="17"/>
      <c r="BT1403" s="17"/>
      <c r="BU1403" s="17"/>
      <c r="BV1403" s="17"/>
      <c r="BW1403" s="17"/>
      <c r="BX1403" s="17"/>
    </row>
    <row r="1404" customHeight="1" spans="1:76">
      <c r="A1404" s="17"/>
      <c r="B1404" s="17"/>
      <c r="C1404" s="17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17"/>
      <c r="AF1404" s="17"/>
      <c r="AG1404" s="17"/>
      <c r="AH1404" s="17"/>
      <c r="AI1404" s="17"/>
      <c r="AJ1404" s="17"/>
      <c r="AK1404" s="17"/>
      <c r="AL1404" s="17"/>
      <c r="AM1404" s="17"/>
      <c r="AN1404" s="17"/>
      <c r="AO1404" s="17"/>
      <c r="AP1404" s="17"/>
      <c r="AQ1404" s="17"/>
      <c r="AR1404" s="17"/>
      <c r="AS1404" s="17"/>
      <c r="AT1404" s="17"/>
      <c r="AU1404" s="17"/>
      <c r="AV1404" s="17"/>
      <c r="AW1404" s="17"/>
      <c r="AX1404" s="17"/>
      <c r="AY1404" s="17"/>
      <c r="AZ1404" s="17"/>
      <c r="BA1404" s="17"/>
      <c r="BB1404" s="17"/>
      <c r="BC1404" s="17"/>
      <c r="BD1404" s="17"/>
      <c r="BE1404" s="17"/>
      <c r="BF1404" s="17"/>
      <c r="BG1404" s="17"/>
      <c r="BH1404" s="17"/>
      <c r="BI1404" s="17"/>
      <c r="BJ1404" s="17"/>
      <c r="BK1404" s="17"/>
      <c r="BL1404" s="17"/>
      <c r="BM1404" s="17"/>
      <c r="BN1404" s="17"/>
      <c r="BO1404" s="17"/>
      <c r="BP1404" s="17"/>
      <c r="BQ1404" s="17"/>
      <c r="BR1404" s="17"/>
      <c r="BS1404" s="17"/>
      <c r="BT1404" s="17"/>
      <c r="BU1404" s="17"/>
      <c r="BV1404" s="17"/>
      <c r="BW1404" s="17"/>
      <c r="BX1404" s="17"/>
    </row>
    <row r="1405" customHeight="1" spans="1:76">
      <c r="A1405" s="17"/>
      <c r="B1405" s="17"/>
      <c r="C1405" s="17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  <c r="AH1405" s="17"/>
      <c r="AI1405" s="17"/>
      <c r="AJ1405" s="17"/>
      <c r="AK1405" s="17"/>
      <c r="AL1405" s="17"/>
      <c r="AM1405" s="17"/>
      <c r="AN1405" s="17"/>
      <c r="AO1405" s="17"/>
      <c r="AP1405" s="17"/>
      <c r="AQ1405" s="17"/>
      <c r="AR1405" s="17"/>
      <c r="AS1405" s="17"/>
      <c r="AT1405" s="17"/>
      <c r="AU1405" s="17"/>
      <c r="AV1405" s="17"/>
      <c r="AW1405" s="17"/>
      <c r="AX1405" s="17"/>
      <c r="AY1405" s="17"/>
      <c r="AZ1405" s="17"/>
      <c r="BA1405" s="17"/>
      <c r="BB1405" s="17"/>
      <c r="BC1405" s="17"/>
      <c r="BD1405" s="17"/>
      <c r="BE1405" s="17"/>
      <c r="BF1405" s="17"/>
      <c r="BG1405" s="17"/>
      <c r="BH1405" s="17"/>
      <c r="BI1405" s="17"/>
      <c r="BJ1405" s="17"/>
      <c r="BK1405" s="17"/>
      <c r="BL1405" s="17"/>
      <c r="BM1405" s="17"/>
      <c r="BN1405" s="17"/>
      <c r="BO1405" s="17"/>
      <c r="BP1405" s="17"/>
      <c r="BQ1405" s="17"/>
      <c r="BR1405" s="17"/>
      <c r="BS1405" s="17"/>
      <c r="BT1405" s="17"/>
      <c r="BU1405" s="17"/>
      <c r="BV1405" s="17"/>
      <c r="BW1405" s="17"/>
      <c r="BX1405" s="17"/>
    </row>
    <row r="1406" customHeight="1" spans="1:76">
      <c r="A1406" s="17"/>
      <c r="B1406" s="17"/>
      <c r="C1406" s="17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17"/>
      <c r="AF1406" s="17"/>
      <c r="AG1406" s="17"/>
      <c r="AH1406" s="17"/>
      <c r="AI1406" s="17"/>
      <c r="AJ1406" s="17"/>
      <c r="AK1406" s="17"/>
      <c r="AL1406" s="17"/>
      <c r="AM1406" s="17"/>
      <c r="AN1406" s="17"/>
      <c r="AO1406" s="17"/>
      <c r="AP1406" s="17"/>
      <c r="AQ1406" s="17"/>
      <c r="AR1406" s="17"/>
      <c r="AS1406" s="17"/>
      <c r="AT1406" s="17"/>
      <c r="AU1406" s="17"/>
      <c r="AV1406" s="17"/>
      <c r="AW1406" s="17"/>
      <c r="AX1406" s="17"/>
      <c r="AY1406" s="17"/>
      <c r="AZ1406" s="17"/>
      <c r="BA1406" s="17"/>
      <c r="BB1406" s="17"/>
      <c r="BC1406" s="17"/>
      <c r="BD1406" s="17"/>
      <c r="BE1406" s="17"/>
      <c r="BF1406" s="17"/>
      <c r="BG1406" s="17"/>
      <c r="BH1406" s="17"/>
      <c r="BI1406" s="17"/>
      <c r="BJ1406" s="17"/>
      <c r="BK1406" s="17"/>
      <c r="BL1406" s="17"/>
      <c r="BM1406" s="17"/>
      <c r="BN1406" s="17"/>
      <c r="BO1406" s="17"/>
      <c r="BP1406" s="17"/>
      <c r="BQ1406" s="17"/>
      <c r="BR1406" s="17"/>
      <c r="BS1406" s="17"/>
      <c r="BT1406" s="17"/>
      <c r="BU1406" s="17"/>
      <c r="BV1406" s="17"/>
      <c r="BW1406" s="17"/>
      <c r="BX1406" s="17"/>
    </row>
    <row r="1407" customHeight="1" spans="1:76">
      <c r="A1407" s="17"/>
      <c r="B1407" s="17"/>
      <c r="C1407" s="17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17"/>
      <c r="AF1407" s="17"/>
      <c r="AG1407" s="17"/>
      <c r="AH1407" s="17"/>
      <c r="AI1407" s="17"/>
      <c r="AJ1407" s="17"/>
      <c r="AK1407" s="17"/>
      <c r="AL1407" s="17"/>
      <c r="AM1407" s="17"/>
      <c r="AN1407" s="17"/>
      <c r="AO1407" s="17"/>
      <c r="AP1407" s="17"/>
      <c r="AQ1407" s="17"/>
      <c r="AR1407" s="17"/>
      <c r="AS1407" s="17"/>
      <c r="AT1407" s="17"/>
      <c r="AU1407" s="17"/>
      <c r="AV1407" s="17"/>
      <c r="AW1407" s="17"/>
      <c r="AX1407" s="17"/>
      <c r="AY1407" s="17"/>
      <c r="AZ1407" s="17"/>
      <c r="BA1407" s="17"/>
      <c r="BB1407" s="17"/>
      <c r="BC1407" s="17"/>
      <c r="BD1407" s="17"/>
      <c r="BE1407" s="17"/>
      <c r="BF1407" s="17"/>
      <c r="BG1407" s="17"/>
      <c r="BH1407" s="17"/>
      <c r="BI1407" s="17"/>
      <c r="BJ1407" s="17"/>
      <c r="BK1407" s="17"/>
      <c r="BL1407" s="17"/>
      <c r="BM1407" s="17"/>
      <c r="BN1407" s="17"/>
      <c r="BO1407" s="17"/>
      <c r="BP1407" s="17"/>
      <c r="BQ1407" s="17"/>
      <c r="BR1407" s="17"/>
      <c r="BS1407" s="17"/>
      <c r="BT1407" s="17"/>
      <c r="BU1407" s="17"/>
      <c r="BV1407" s="17"/>
      <c r="BW1407" s="17"/>
      <c r="BX1407" s="17"/>
    </row>
    <row r="1408" customHeight="1" spans="1:76">
      <c r="A1408" s="17"/>
      <c r="B1408" s="17"/>
      <c r="C1408" s="17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17"/>
      <c r="AF1408" s="17"/>
      <c r="AG1408" s="17"/>
      <c r="AH1408" s="17"/>
      <c r="AI1408" s="17"/>
      <c r="AJ1408" s="17"/>
      <c r="AK1408" s="17"/>
      <c r="AL1408" s="17"/>
      <c r="AM1408" s="17"/>
      <c r="AN1408" s="17"/>
      <c r="AO1408" s="17"/>
      <c r="AP1408" s="17"/>
      <c r="AQ1408" s="17"/>
      <c r="AR1408" s="17"/>
      <c r="AS1408" s="17"/>
      <c r="AT1408" s="17"/>
      <c r="AU1408" s="17"/>
      <c r="AV1408" s="17"/>
      <c r="AW1408" s="17"/>
      <c r="AX1408" s="17"/>
      <c r="AY1408" s="17"/>
      <c r="AZ1408" s="17"/>
      <c r="BA1408" s="17"/>
      <c r="BB1408" s="17"/>
      <c r="BC1408" s="17"/>
      <c r="BD1408" s="17"/>
      <c r="BE1408" s="17"/>
      <c r="BF1408" s="17"/>
      <c r="BG1408" s="17"/>
      <c r="BH1408" s="17"/>
      <c r="BI1408" s="17"/>
      <c r="BJ1408" s="17"/>
      <c r="BK1408" s="17"/>
      <c r="BL1408" s="17"/>
      <c r="BM1408" s="17"/>
      <c r="BN1408" s="17"/>
      <c r="BO1408" s="17"/>
      <c r="BP1408" s="17"/>
      <c r="BQ1408" s="17"/>
      <c r="BR1408" s="17"/>
      <c r="BS1408" s="17"/>
      <c r="BT1408" s="17"/>
      <c r="BU1408" s="17"/>
      <c r="BV1408" s="17"/>
      <c r="BW1408" s="17"/>
      <c r="BX1408" s="17"/>
    </row>
    <row r="1409" customHeight="1" spans="1:76">
      <c r="A1409" s="17"/>
      <c r="B1409" s="17"/>
      <c r="C1409" s="17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17"/>
      <c r="AF1409" s="17"/>
      <c r="AG1409" s="17"/>
      <c r="AH1409" s="17"/>
      <c r="AI1409" s="17"/>
      <c r="AJ1409" s="17"/>
      <c r="AK1409" s="17"/>
      <c r="AL1409" s="17"/>
      <c r="AM1409" s="17"/>
      <c r="AN1409" s="17"/>
      <c r="AO1409" s="17"/>
      <c r="AP1409" s="17"/>
      <c r="AQ1409" s="17"/>
      <c r="AR1409" s="17"/>
      <c r="AS1409" s="17"/>
      <c r="AT1409" s="17"/>
      <c r="AU1409" s="17"/>
      <c r="AV1409" s="17"/>
      <c r="AW1409" s="17"/>
      <c r="AX1409" s="17"/>
      <c r="AY1409" s="17"/>
      <c r="AZ1409" s="17"/>
      <c r="BA1409" s="17"/>
      <c r="BB1409" s="17"/>
      <c r="BC1409" s="17"/>
      <c r="BD1409" s="17"/>
      <c r="BE1409" s="17"/>
      <c r="BF1409" s="17"/>
      <c r="BG1409" s="17"/>
      <c r="BH1409" s="17"/>
      <c r="BI1409" s="17"/>
      <c r="BJ1409" s="17"/>
      <c r="BK1409" s="17"/>
      <c r="BL1409" s="17"/>
      <c r="BM1409" s="17"/>
      <c r="BN1409" s="17"/>
      <c r="BO1409" s="17"/>
      <c r="BP1409" s="17"/>
      <c r="BQ1409" s="17"/>
      <c r="BR1409" s="17"/>
      <c r="BS1409" s="17"/>
      <c r="BT1409" s="17"/>
      <c r="BU1409" s="17"/>
      <c r="BV1409" s="17"/>
      <c r="BW1409" s="17"/>
      <c r="BX1409" s="17"/>
    </row>
    <row r="1410" customHeight="1" spans="1:76">
      <c r="A1410" s="17"/>
      <c r="B1410" s="17"/>
      <c r="C1410" s="17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17"/>
      <c r="AF1410" s="17"/>
      <c r="AG1410" s="17"/>
      <c r="AH1410" s="17"/>
      <c r="AI1410" s="17"/>
      <c r="AJ1410" s="17"/>
      <c r="AK1410" s="17"/>
      <c r="AL1410" s="17"/>
      <c r="AM1410" s="17"/>
      <c r="AN1410" s="17"/>
      <c r="AO1410" s="17"/>
      <c r="AP1410" s="17"/>
      <c r="AQ1410" s="17"/>
      <c r="AR1410" s="17"/>
      <c r="AS1410" s="17"/>
      <c r="AT1410" s="17"/>
      <c r="AU1410" s="17"/>
      <c r="AV1410" s="17"/>
      <c r="AW1410" s="17"/>
      <c r="AX1410" s="17"/>
      <c r="AY1410" s="17"/>
      <c r="AZ1410" s="17"/>
      <c r="BA1410" s="17"/>
      <c r="BB1410" s="17"/>
      <c r="BC1410" s="17"/>
      <c r="BD1410" s="17"/>
      <c r="BE1410" s="17"/>
      <c r="BF1410" s="17"/>
      <c r="BG1410" s="17"/>
      <c r="BH1410" s="17"/>
      <c r="BI1410" s="17"/>
      <c r="BJ1410" s="17"/>
      <c r="BK1410" s="17"/>
      <c r="BL1410" s="17"/>
      <c r="BM1410" s="17"/>
      <c r="BN1410" s="17"/>
      <c r="BO1410" s="17"/>
      <c r="BP1410" s="17"/>
      <c r="BQ1410" s="17"/>
      <c r="BR1410" s="17"/>
      <c r="BS1410" s="17"/>
      <c r="BT1410" s="17"/>
      <c r="BU1410" s="17"/>
      <c r="BV1410" s="17"/>
      <c r="BW1410" s="17"/>
      <c r="BX1410" s="17"/>
    </row>
    <row r="1411" customHeight="1" spans="1:76">
      <c r="A1411" s="17"/>
      <c r="B1411" s="17"/>
      <c r="C1411" s="17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17"/>
      <c r="AF1411" s="17"/>
      <c r="AG1411" s="17"/>
      <c r="AH1411" s="17"/>
      <c r="AI1411" s="17"/>
      <c r="AJ1411" s="17"/>
      <c r="AK1411" s="17"/>
      <c r="AL1411" s="17"/>
      <c r="AM1411" s="17"/>
      <c r="AN1411" s="17"/>
      <c r="AO1411" s="17"/>
      <c r="AP1411" s="17"/>
      <c r="AQ1411" s="17"/>
      <c r="AR1411" s="17"/>
      <c r="AS1411" s="17"/>
      <c r="AT1411" s="17"/>
      <c r="AU1411" s="17"/>
      <c r="AV1411" s="17"/>
      <c r="AW1411" s="17"/>
      <c r="AX1411" s="17"/>
      <c r="AY1411" s="17"/>
      <c r="AZ1411" s="17"/>
      <c r="BA1411" s="17"/>
      <c r="BB1411" s="17"/>
      <c r="BC1411" s="17"/>
      <c r="BD1411" s="17"/>
      <c r="BE1411" s="17"/>
      <c r="BF1411" s="17"/>
      <c r="BG1411" s="17"/>
      <c r="BH1411" s="17"/>
      <c r="BI1411" s="17"/>
      <c r="BJ1411" s="17"/>
      <c r="BK1411" s="17"/>
      <c r="BL1411" s="17"/>
      <c r="BM1411" s="17"/>
      <c r="BN1411" s="17"/>
      <c r="BO1411" s="17"/>
      <c r="BP1411" s="17"/>
      <c r="BQ1411" s="17"/>
      <c r="BR1411" s="17"/>
      <c r="BS1411" s="17"/>
      <c r="BT1411" s="17"/>
      <c r="BU1411" s="17"/>
      <c r="BV1411" s="17"/>
      <c r="BW1411" s="17"/>
      <c r="BX1411" s="17"/>
    </row>
    <row r="1412" customHeight="1" spans="1:76">
      <c r="A1412" s="17"/>
      <c r="B1412" s="17"/>
      <c r="C1412" s="17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17"/>
      <c r="AF1412" s="17"/>
      <c r="AG1412" s="17"/>
      <c r="AH1412" s="17"/>
      <c r="AI1412" s="17"/>
      <c r="AJ1412" s="17"/>
      <c r="AK1412" s="17"/>
      <c r="AL1412" s="17"/>
      <c r="AM1412" s="17"/>
      <c r="AN1412" s="17"/>
      <c r="AO1412" s="17"/>
      <c r="AP1412" s="17"/>
      <c r="AQ1412" s="17"/>
      <c r="AR1412" s="17"/>
      <c r="AS1412" s="17"/>
      <c r="AT1412" s="17"/>
      <c r="AU1412" s="17"/>
      <c r="AV1412" s="17"/>
      <c r="AW1412" s="17"/>
      <c r="AX1412" s="17"/>
      <c r="AY1412" s="17"/>
      <c r="AZ1412" s="17"/>
      <c r="BA1412" s="17"/>
      <c r="BB1412" s="17"/>
      <c r="BC1412" s="17"/>
      <c r="BD1412" s="17"/>
      <c r="BE1412" s="17"/>
      <c r="BF1412" s="17"/>
      <c r="BG1412" s="17"/>
      <c r="BH1412" s="17"/>
      <c r="BI1412" s="17"/>
      <c r="BJ1412" s="17"/>
      <c r="BK1412" s="17"/>
      <c r="BL1412" s="17"/>
      <c r="BM1412" s="17"/>
      <c r="BN1412" s="17"/>
      <c r="BO1412" s="17"/>
      <c r="BP1412" s="17"/>
      <c r="BQ1412" s="17"/>
      <c r="BR1412" s="17"/>
      <c r="BS1412" s="17"/>
      <c r="BT1412" s="17"/>
      <c r="BU1412" s="17"/>
      <c r="BV1412" s="17"/>
      <c r="BW1412" s="17"/>
      <c r="BX1412" s="17"/>
    </row>
    <row r="1413" customHeight="1" spans="1:76">
      <c r="A1413" s="17"/>
      <c r="B1413" s="17"/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17"/>
      <c r="AF1413" s="17"/>
      <c r="AG1413" s="17"/>
      <c r="AH1413" s="17"/>
      <c r="AI1413" s="17"/>
      <c r="AJ1413" s="17"/>
      <c r="AK1413" s="17"/>
      <c r="AL1413" s="17"/>
      <c r="AM1413" s="17"/>
      <c r="AN1413" s="17"/>
      <c r="AO1413" s="17"/>
      <c r="AP1413" s="17"/>
      <c r="AQ1413" s="17"/>
      <c r="AR1413" s="17"/>
      <c r="AS1413" s="17"/>
      <c r="AT1413" s="17"/>
      <c r="AU1413" s="17"/>
      <c r="AV1413" s="17"/>
      <c r="AW1413" s="17"/>
      <c r="AX1413" s="17"/>
      <c r="AY1413" s="17"/>
      <c r="AZ1413" s="17"/>
      <c r="BA1413" s="17"/>
      <c r="BB1413" s="17"/>
      <c r="BC1413" s="17"/>
      <c r="BD1413" s="17"/>
      <c r="BE1413" s="17"/>
      <c r="BF1413" s="17"/>
      <c r="BG1413" s="17"/>
      <c r="BH1413" s="17"/>
      <c r="BI1413" s="17"/>
      <c r="BJ1413" s="17"/>
      <c r="BK1413" s="17"/>
      <c r="BL1413" s="17"/>
      <c r="BM1413" s="17"/>
      <c r="BN1413" s="17"/>
      <c r="BO1413" s="17"/>
      <c r="BP1413" s="17"/>
      <c r="BQ1413" s="17"/>
      <c r="BR1413" s="17"/>
      <c r="BS1413" s="17"/>
      <c r="BT1413" s="17"/>
      <c r="BU1413" s="17"/>
      <c r="BV1413" s="17"/>
      <c r="BW1413" s="17"/>
      <c r="BX1413" s="17"/>
    </row>
    <row r="1414" customHeight="1" spans="1:76">
      <c r="A1414" s="17"/>
      <c r="B1414" s="17"/>
      <c r="C1414" s="17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17"/>
      <c r="AF1414" s="17"/>
      <c r="AG1414" s="17"/>
      <c r="AH1414" s="17"/>
      <c r="AI1414" s="17"/>
      <c r="AJ1414" s="17"/>
      <c r="AK1414" s="17"/>
      <c r="AL1414" s="17"/>
      <c r="AM1414" s="17"/>
      <c r="AN1414" s="17"/>
      <c r="AO1414" s="17"/>
      <c r="AP1414" s="17"/>
      <c r="AQ1414" s="17"/>
      <c r="AR1414" s="17"/>
      <c r="AS1414" s="17"/>
      <c r="AT1414" s="17"/>
      <c r="AU1414" s="17"/>
      <c r="AV1414" s="17"/>
      <c r="AW1414" s="17"/>
      <c r="AX1414" s="17"/>
      <c r="AY1414" s="17"/>
      <c r="AZ1414" s="17"/>
      <c r="BA1414" s="17"/>
      <c r="BB1414" s="17"/>
      <c r="BC1414" s="17"/>
      <c r="BD1414" s="17"/>
      <c r="BE1414" s="17"/>
      <c r="BF1414" s="17"/>
      <c r="BG1414" s="17"/>
      <c r="BH1414" s="17"/>
      <c r="BI1414" s="17"/>
      <c r="BJ1414" s="17"/>
      <c r="BK1414" s="17"/>
      <c r="BL1414" s="17"/>
      <c r="BM1414" s="17"/>
      <c r="BN1414" s="17"/>
      <c r="BO1414" s="17"/>
      <c r="BP1414" s="17"/>
      <c r="BQ1414" s="17"/>
      <c r="BR1414" s="17"/>
      <c r="BS1414" s="17"/>
      <c r="BT1414" s="17"/>
      <c r="BU1414" s="17"/>
      <c r="BV1414" s="17"/>
      <c r="BW1414" s="17"/>
      <c r="BX1414" s="17"/>
    </row>
    <row r="1415" customHeight="1" spans="1:76">
      <c r="A1415" s="17"/>
      <c r="B1415" s="17"/>
      <c r="C1415" s="17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  <c r="AD1415" s="17"/>
      <c r="AE1415" s="17"/>
      <c r="AF1415" s="17"/>
      <c r="AG1415" s="17"/>
      <c r="AH1415" s="17"/>
      <c r="AI1415" s="17"/>
      <c r="AJ1415" s="17"/>
      <c r="AK1415" s="17"/>
      <c r="AL1415" s="17"/>
      <c r="AM1415" s="17"/>
      <c r="AN1415" s="17"/>
      <c r="AO1415" s="17"/>
      <c r="AP1415" s="17"/>
      <c r="AQ1415" s="17"/>
      <c r="AR1415" s="17"/>
      <c r="AS1415" s="17"/>
      <c r="AT1415" s="17"/>
      <c r="AU1415" s="17"/>
      <c r="AV1415" s="17"/>
      <c r="AW1415" s="17"/>
      <c r="AX1415" s="17"/>
      <c r="AY1415" s="17"/>
      <c r="AZ1415" s="17"/>
      <c r="BA1415" s="17"/>
      <c r="BB1415" s="17"/>
      <c r="BC1415" s="17"/>
      <c r="BD1415" s="17"/>
      <c r="BE1415" s="17"/>
      <c r="BF1415" s="17"/>
      <c r="BG1415" s="17"/>
      <c r="BH1415" s="17"/>
      <c r="BI1415" s="17"/>
      <c r="BJ1415" s="17"/>
      <c r="BK1415" s="17"/>
      <c r="BL1415" s="17"/>
      <c r="BM1415" s="17"/>
      <c r="BN1415" s="17"/>
      <c r="BO1415" s="17"/>
      <c r="BP1415" s="17"/>
      <c r="BQ1415" s="17"/>
      <c r="BR1415" s="17"/>
      <c r="BS1415" s="17"/>
      <c r="BT1415" s="17"/>
      <c r="BU1415" s="17"/>
      <c r="BV1415" s="17"/>
      <c r="BW1415" s="17"/>
      <c r="BX1415" s="17"/>
    </row>
    <row r="1416" customHeight="1" spans="1:76">
      <c r="A1416" s="17"/>
      <c r="B1416" s="17"/>
      <c r="C1416" s="17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  <c r="AE1416" s="17"/>
      <c r="AF1416" s="17"/>
      <c r="AG1416" s="17"/>
      <c r="AH1416" s="17"/>
      <c r="AI1416" s="17"/>
      <c r="AJ1416" s="17"/>
      <c r="AK1416" s="17"/>
      <c r="AL1416" s="17"/>
      <c r="AM1416" s="17"/>
      <c r="AN1416" s="17"/>
      <c r="AO1416" s="17"/>
      <c r="AP1416" s="17"/>
      <c r="AQ1416" s="17"/>
      <c r="AR1416" s="17"/>
      <c r="AS1416" s="17"/>
      <c r="AT1416" s="17"/>
      <c r="AU1416" s="17"/>
      <c r="AV1416" s="17"/>
      <c r="AW1416" s="17"/>
      <c r="AX1416" s="17"/>
      <c r="AY1416" s="17"/>
      <c r="AZ1416" s="17"/>
      <c r="BA1416" s="17"/>
      <c r="BB1416" s="17"/>
      <c r="BC1416" s="17"/>
      <c r="BD1416" s="17"/>
      <c r="BE1416" s="17"/>
      <c r="BF1416" s="17"/>
      <c r="BG1416" s="17"/>
      <c r="BH1416" s="17"/>
      <c r="BI1416" s="17"/>
      <c r="BJ1416" s="17"/>
      <c r="BK1416" s="17"/>
      <c r="BL1416" s="17"/>
      <c r="BM1416" s="17"/>
      <c r="BN1416" s="17"/>
      <c r="BO1416" s="17"/>
      <c r="BP1416" s="17"/>
      <c r="BQ1416" s="17"/>
      <c r="BR1416" s="17"/>
      <c r="BS1416" s="17"/>
      <c r="BT1416" s="17"/>
      <c r="BU1416" s="17"/>
      <c r="BV1416" s="17"/>
      <c r="BW1416" s="17"/>
      <c r="BX1416" s="17"/>
    </row>
    <row r="1417" customHeight="1" spans="1:76">
      <c r="A1417" s="17"/>
      <c r="B1417" s="17"/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  <c r="AD1417" s="17"/>
      <c r="AE1417" s="17"/>
      <c r="AF1417" s="17"/>
      <c r="AG1417" s="17"/>
      <c r="AH1417" s="17"/>
      <c r="AI1417" s="17"/>
      <c r="AJ1417" s="17"/>
      <c r="AK1417" s="17"/>
      <c r="AL1417" s="17"/>
      <c r="AM1417" s="17"/>
      <c r="AN1417" s="17"/>
      <c r="AO1417" s="17"/>
      <c r="AP1417" s="17"/>
      <c r="AQ1417" s="17"/>
      <c r="AR1417" s="17"/>
      <c r="AS1417" s="17"/>
      <c r="AT1417" s="17"/>
      <c r="AU1417" s="17"/>
      <c r="AV1417" s="17"/>
      <c r="AW1417" s="17"/>
      <c r="AX1417" s="17"/>
      <c r="AY1417" s="17"/>
      <c r="AZ1417" s="17"/>
      <c r="BA1417" s="17"/>
      <c r="BB1417" s="17"/>
      <c r="BC1417" s="17"/>
      <c r="BD1417" s="17"/>
      <c r="BE1417" s="17"/>
      <c r="BF1417" s="17"/>
      <c r="BG1417" s="17"/>
      <c r="BH1417" s="17"/>
      <c r="BI1417" s="17"/>
      <c r="BJ1417" s="17"/>
      <c r="BK1417" s="17"/>
      <c r="BL1417" s="17"/>
      <c r="BM1417" s="17"/>
      <c r="BN1417" s="17"/>
      <c r="BO1417" s="17"/>
      <c r="BP1417" s="17"/>
      <c r="BQ1417" s="17"/>
      <c r="BR1417" s="17"/>
      <c r="BS1417" s="17"/>
      <c r="BT1417" s="17"/>
      <c r="BU1417" s="17"/>
      <c r="BV1417" s="17"/>
      <c r="BW1417" s="17"/>
      <c r="BX1417" s="17"/>
    </row>
    <row r="1418" customHeight="1" spans="1:76">
      <c r="A1418" s="17"/>
      <c r="B1418" s="17"/>
      <c r="C1418" s="17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17"/>
      <c r="AF1418" s="17"/>
      <c r="AG1418" s="17"/>
      <c r="AH1418" s="17"/>
      <c r="AI1418" s="17"/>
      <c r="AJ1418" s="17"/>
      <c r="AK1418" s="17"/>
      <c r="AL1418" s="17"/>
      <c r="AM1418" s="17"/>
      <c r="AN1418" s="17"/>
      <c r="AO1418" s="17"/>
      <c r="AP1418" s="17"/>
      <c r="AQ1418" s="17"/>
      <c r="AR1418" s="17"/>
      <c r="AS1418" s="17"/>
      <c r="AT1418" s="17"/>
      <c r="AU1418" s="17"/>
      <c r="AV1418" s="17"/>
      <c r="AW1418" s="17"/>
      <c r="AX1418" s="17"/>
      <c r="AY1418" s="17"/>
      <c r="AZ1418" s="17"/>
      <c r="BA1418" s="17"/>
      <c r="BB1418" s="17"/>
      <c r="BC1418" s="17"/>
      <c r="BD1418" s="17"/>
      <c r="BE1418" s="17"/>
      <c r="BF1418" s="17"/>
      <c r="BG1418" s="17"/>
      <c r="BH1418" s="17"/>
      <c r="BI1418" s="17"/>
      <c r="BJ1418" s="17"/>
      <c r="BK1418" s="17"/>
      <c r="BL1418" s="17"/>
      <c r="BM1418" s="17"/>
      <c r="BN1418" s="17"/>
      <c r="BO1418" s="17"/>
      <c r="BP1418" s="17"/>
      <c r="BQ1418" s="17"/>
      <c r="BR1418" s="17"/>
      <c r="BS1418" s="17"/>
      <c r="BT1418" s="17"/>
      <c r="BU1418" s="17"/>
      <c r="BV1418" s="17"/>
      <c r="BW1418" s="17"/>
      <c r="BX1418" s="17"/>
    </row>
    <row r="1419" customHeight="1" spans="1:76">
      <c r="A1419" s="17"/>
      <c r="B1419" s="17"/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17"/>
      <c r="AF1419" s="17"/>
      <c r="AG1419" s="17"/>
      <c r="AH1419" s="17"/>
      <c r="AI1419" s="17"/>
      <c r="AJ1419" s="17"/>
      <c r="AK1419" s="17"/>
      <c r="AL1419" s="17"/>
      <c r="AM1419" s="17"/>
      <c r="AN1419" s="17"/>
      <c r="AO1419" s="17"/>
      <c r="AP1419" s="17"/>
      <c r="AQ1419" s="17"/>
      <c r="AR1419" s="17"/>
      <c r="AS1419" s="17"/>
      <c r="AT1419" s="17"/>
      <c r="AU1419" s="17"/>
      <c r="AV1419" s="17"/>
      <c r="AW1419" s="17"/>
      <c r="AX1419" s="17"/>
      <c r="AY1419" s="17"/>
      <c r="AZ1419" s="17"/>
      <c r="BA1419" s="17"/>
      <c r="BB1419" s="17"/>
      <c r="BC1419" s="17"/>
      <c r="BD1419" s="17"/>
      <c r="BE1419" s="17"/>
      <c r="BF1419" s="17"/>
      <c r="BG1419" s="17"/>
      <c r="BH1419" s="17"/>
      <c r="BI1419" s="17"/>
      <c r="BJ1419" s="17"/>
      <c r="BK1419" s="17"/>
      <c r="BL1419" s="17"/>
      <c r="BM1419" s="17"/>
      <c r="BN1419" s="17"/>
      <c r="BO1419" s="17"/>
      <c r="BP1419" s="17"/>
      <c r="BQ1419" s="17"/>
      <c r="BR1419" s="17"/>
      <c r="BS1419" s="17"/>
      <c r="BT1419" s="17"/>
      <c r="BU1419" s="17"/>
      <c r="BV1419" s="17"/>
      <c r="BW1419" s="17"/>
      <c r="BX1419" s="17"/>
    </row>
    <row r="1420" customHeight="1" spans="1:76">
      <c r="A1420" s="17"/>
      <c r="B1420" s="17"/>
      <c r="C1420" s="17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17"/>
      <c r="AF1420" s="17"/>
      <c r="AG1420" s="17"/>
      <c r="AH1420" s="17"/>
      <c r="AI1420" s="17"/>
      <c r="AJ1420" s="17"/>
      <c r="AK1420" s="17"/>
      <c r="AL1420" s="17"/>
      <c r="AM1420" s="17"/>
      <c r="AN1420" s="17"/>
      <c r="AO1420" s="17"/>
      <c r="AP1420" s="17"/>
      <c r="AQ1420" s="17"/>
      <c r="AR1420" s="17"/>
      <c r="AS1420" s="17"/>
      <c r="AT1420" s="17"/>
      <c r="AU1420" s="17"/>
      <c r="AV1420" s="17"/>
      <c r="AW1420" s="17"/>
      <c r="AX1420" s="17"/>
      <c r="AY1420" s="17"/>
      <c r="AZ1420" s="17"/>
      <c r="BA1420" s="17"/>
      <c r="BB1420" s="17"/>
      <c r="BC1420" s="17"/>
      <c r="BD1420" s="17"/>
      <c r="BE1420" s="17"/>
      <c r="BF1420" s="17"/>
      <c r="BG1420" s="17"/>
      <c r="BH1420" s="17"/>
      <c r="BI1420" s="17"/>
      <c r="BJ1420" s="17"/>
      <c r="BK1420" s="17"/>
      <c r="BL1420" s="17"/>
      <c r="BM1420" s="17"/>
      <c r="BN1420" s="17"/>
      <c r="BO1420" s="17"/>
      <c r="BP1420" s="17"/>
      <c r="BQ1420" s="17"/>
      <c r="BR1420" s="17"/>
      <c r="BS1420" s="17"/>
      <c r="BT1420" s="17"/>
      <c r="BU1420" s="17"/>
      <c r="BV1420" s="17"/>
      <c r="BW1420" s="17"/>
      <c r="BX1420" s="17"/>
    </row>
    <row r="1421" customHeight="1" spans="1:76">
      <c r="A1421" s="17"/>
      <c r="B1421" s="17"/>
      <c r="C1421" s="17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17"/>
      <c r="AF1421" s="17"/>
      <c r="AG1421" s="17"/>
      <c r="AH1421" s="17"/>
      <c r="AI1421" s="17"/>
      <c r="AJ1421" s="17"/>
      <c r="AK1421" s="17"/>
      <c r="AL1421" s="17"/>
      <c r="AM1421" s="17"/>
      <c r="AN1421" s="17"/>
      <c r="AO1421" s="17"/>
      <c r="AP1421" s="17"/>
      <c r="AQ1421" s="17"/>
      <c r="AR1421" s="17"/>
      <c r="AS1421" s="17"/>
      <c r="AT1421" s="17"/>
      <c r="AU1421" s="17"/>
      <c r="AV1421" s="17"/>
      <c r="AW1421" s="17"/>
      <c r="AX1421" s="17"/>
      <c r="AY1421" s="17"/>
      <c r="AZ1421" s="17"/>
      <c r="BA1421" s="17"/>
      <c r="BB1421" s="17"/>
      <c r="BC1421" s="17"/>
      <c r="BD1421" s="17"/>
      <c r="BE1421" s="17"/>
      <c r="BF1421" s="17"/>
      <c r="BG1421" s="17"/>
      <c r="BH1421" s="17"/>
      <c r="BI1421" s="17"/>
      <c r="BJ1421" s="17"/>
      <c r="BK1421" s="17"/>
      <c r="BL1421" s="17"/>
      <c r="BM1421" s="17"/>
      <c r="BN1421" s="17"/>
      <c r="BO1421" s="17"/>
      <c r="BP1421" s="17"/>
      <c r="BQ1421" s="17"/>
      <c r="BR1421" s="17"/>
      <c r="BS1421" s="17"/>
      <c r="BT1421" s="17"/>
      <c r="BU1421" s="17"/>
      <c r="BV1421" s="17"/>
      <c r="BW1421" s="17"/>
      <c r="BX1421" s="17"/>
    </row>
    <row r="1422" customHeight="1" spans="1:76">
      <c r="A1422" s="17"/>
      <c r="B1422" s="17"/>
      <c r="C1422" s="17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  <c r="AE1422" s="17"/>
      <c r="AF1422" s="17"/>
      <c r="AG1422" s="17"/>
      <c r="AH1422" s="17"/>
      <c r="AI1422" s="17"/>
      <c r="AJ1422" s="17"/>
      <c r="AK1422" s="17"/>
      <c r="AL1422" s="17"/>
      <c r="AM1422" s="17"/>
      <c r="AN1422" s="17"/>
      <c r="AO1422" s="17"/>
      <c r="AP1422" s="17"/>
      <c r="AQ1422" s="17"/>
      <c r="AR1422" s="17"/>
      <c r="AS1422" s="17"/>
      <c r="AT1422" s="17"/>
      <c r="AU1422" s="17"/>
      <c r="AV1422" s="17"/>
      <c r="AW1422" s="17"/>
      <c r="AX1422" s="17"/>
      <c r="AY1422" s="17"/>
      <c r="AZ1422" s="17"/>
      <c r="BA1422" s="17"/>
      <c r="BB1422" s="17"/>
      <c r="BC1422" s="17"/>
      <c r="BD1422" s="17"/>
      <c r="BE1422" s="17"/>
      <c r="BF1422" s="17"/>
      <c r="BG1422" s="17"/>
      <c r="BH1422" s="17"/>
      <c r="BI1422" s="17"/>
      <c r="BJ1422" s="17"/>
      <c r="BK1422" s="17"/>
      <c r="BL1422" s="17"/>
      <c r="BM1422" s="17"/>
      <c r="BN1422" s="17"/>
      <c r="BO1422" s="17"/>
      <c r="BP1422" s="17"/>
      <c r="BQ1422" s="17"/>
      <c r="BR1422" s="17"/>
      <c r="BS1422" s="17"/>
      <c r="BT1422" s="17"/>
      <c r="BU1422" s="17"/>
      <c r="BV1422" s="17"/>
      <c r="BW1422" s="17"/>
      <c r="BX1422" s="17"/>
    </row>
    <row r="1423" customHeight="1" spans="1:76">
      <c r="A1423" s="17"/>
      <c r="B1423" s="17"/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  <c r="AE1423" s="17"/>
      <c r="AF1423" s="17"/>
      <c r="AG1423" s="17"/>
      <c r="AH1423" s="17"/>
      <c r="AI1423" s="17"/>
      <c r="AJ1423" s="17"/>
      <c r="AK1423" s="17"/>
      <c r="AL1423" s="17"/>
      <c r="AM1423" s="17"/>
      <c r="AN1423" s="17"/>
      <c r="AO1423" s="17"/>
      <c r="AP1423" s="17"/>
      <c r="AQ1423" s="17"/>
      <c r="AR1423" s="17"/>
      <c r="AS1423" s="17"/>
      <c r="AT1423" s="17"/>
      <c r="AU1423" s="17"/>
      <c r="AV1423" s="17"/>
      <c r="AW1423" s="17"/>
      <c r="AX1423" s="17"/>
      <c r="AY1423" s="17"/>
      <c r="AZ1423" s="17"/>
      <c r="BA1423" s="17"/>
      <c r="BB1423" s="17"/>
      <c r="BC1423" s="17"/>
      <c r="BD1423" s="17"/>
      <c r="BE1423" s="17"/>
      <c r="BF1423" s="17"/>
      <c r="BG1423" s="17"/>
      <c r="BH1423" s="17"/>
      <c r="BI1423" s="17"/>
      <c r="BJ1423" s="17"/>
      <c r="BK1423" s="17"/>
      <c r="BL1423" s="17"/>
      <c r="BM1423" s="17"/>
      <c r="BN1423" s="17"/>
      <c r="BO1423" s="17"/>
      <c r="BP1423" s="17"/>
      <c r="BQ1423" s="17"/>
      <c r="BR1423" s="17"/>
      <c r="BS1423" s="17"/>
      <c r="BT1423" s="17"/>
      <c r="BU1423" s="17"/>
      <c r="BV1423" s="17"/>
      <c r="BW1423" s="17"/>
      <c r="BX1423" s="17"/>
    </row>
    <row r="1424" customHeight="1" spans="1:76">
      <c r="A1424" s="17"/>
      <c r="B1424" s="17"/>
      <c r="C1424" s="17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  <c r="AD1424" s="17"/>
      <c r="AE1424" s="17"/>
      <c r="AF1424" s="17"/>
      <c r="AG1424" s="17"/>
      <c r="AH1424" s="17"/>
      <c r="AI1424" s="17"/>
      <c r="AJ1424" s="17"/>
      <c r="AK1424" s="17"/>
      <c r="AL1424" s="17"/>
      <c r="AM1424" s="17"/>
      <c r="AN1424" s="17"/>
      <c r="AO1424" s="17"/>
      <c r="AP1424" s="17"/>
      <c r="AQ1424" s="17"/>
      <c r="AR1424" s="17"/>
      <c r="AS1424" s="17"/>
      <c r="AT1424" s="17"/>
      <c r="AU1424" s="17"/>
      <c r="AV1424" s="17"/>
      <c r="AW1424" s="17"/>
      <c r="AX1424" s="17"/>
      <c r="AY1424" s="17"/>
      <c r="AZ1424" s="17"/>
      <c r="BA1424" s="17"/>
      <c r="BB1424" s="17"/>
      <c r="BC1424" s="17"/>
      <c r="BD1424" s="17"/>
      <c r="BE1424" s="17"/>
      <c r="BF1424" s="17"/>
      <c r="BG1424" s="17"/>
      <c r="BH1424" s="17"/>
      <c r="BI1424" s="17"/>
      <c r="BJ1424" s="17"/>
      <c r="BK1424" s="17"/>
      <c r="BL1424" s="17"/>
      <c r="BM1424" s="17"/>
      <c r="BN1424" s="17"/>
      <c r="BO1424" s="17"/>
      <c r="BP1424" s="17"/>
      <c r="BQ1424" s="17"/>
      <c r="BR1424" s="17"/>
      <c r="BS1424" s="17"/>
      <c r="BT1424" s="17"/>
      <c r="BU1424" s="17"/>
      <c r="BV1424" s="17"/>
      <c r="BW1424" s="17"/>
      <c r="BX1424" s="17"/>
    </row>
    <row r="1425" customHeight="1" spans="1:76">
      <c r="A1425" s="17"/>
      <c r="B1425" s="17"/>
      <c r="C1425" s="17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  <c r="AE1425" s="17"/>
      <c r="AF1425" s="17"/>
      <c r="AG1425" s="17"/>
      <c r="AH1425" s="17"/>
      <c r="AI1425" s="17"/>
      <c r="AJ1425" s="17"/>
      <c r="AK1425" s="17"/>
      <c r="AL1425" s="17"/>
      <c r="AM1425" s="17"/>
      <c r="AN1425" s="17"/>
      <c r="AO1425" s="17"/>
      <c r="AP1425" s="17"/>
      <c r="AQ1425" s="17"/>
      <c r="AR1425" s="17"/>
      <c r="AS1425" s="17"/>
      <c r="AT1425" s="17"/>
      <c r="AU1425" s="17"/>
      <c r="AV1425" s="17"/>
      <c r="AW1425" s="17"/>
      <c r="AX1425" s="17"/>
      <c r="AY1425" s="17"/>
      <c r="AZ1425" s="17"/>
      <c r="BA1425" s="17"/>
      <c r="BB1425" s="17"/>
      <c r="BC1425" s="17"/>
      <c r="BD1425" s="17"/>
      <c r="BE1425" s="17"/>
      <c r="BF1425" s="17"/>
      <c r="BG1425" s="17"/>
      <c r="BH1425" s="17"/>
      <c r="BI1425" s="17"/>
      <c r="BJ1425" s="17"/>
      <c r="BK1425" s="17"/>
      <c r="BL1425" s="17"/>
      <c r="BM1425" s="17"/>
      <c r="BN1425" s="17"/>
      <c r="BO1425" s="17"/>
      <c r="BP1425" s="17"/>
      <c r="BQ1425" s="17"/>
      <c r="BR1425" s="17"/>
      <c r="BS1425" s="17"/>
      <c r="BT1425" s="17"/>
      <c r="BU1425" s="17"/>
      <c r="BV1425" s="17"/>
      <c r="BW1425" s="17"/>
      <c r="BX1425" s="17"/>
    </row>
    <row r="1426" customHeight="1" spans="1:76">
      <c r="A1426" s="17"/>
      <c r="B1426" s="17"/>
      <c r="C1426" s="17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17"/>
      <c r="AD1426" s="17"/>
      <c r="AE1426" s="17"/>
      <c r="AF1426" s="17"/>
      <c r="AG1426" s="17"/>
      <c r="AH1426" s="17"/>
      <c r="AI1426" s="17"/>
      <c r="AJ1426" s="17"/>
      <c r="AK1426" s="17"/>
      <c r="AL1426" s="17"/>
      <c r="AM1426" s="17"/>
      <c r="AN1426" s="17"/>
      <c r="AO1426" s="17"/>
      <c r="AP1426" s="17"/>
      <c r="AQ1426" s="17"/>
      <c r="AR1426" s="17"/>
      <c r="AS1426" s="17"/>
      <c r="AT1426" s="17"/>
      <c r="AU1426" s="17"/>
      <c r="AV1426" s="17"/>
      <c r="AW1426" s="17"/>
      <c r="AX1426" s="17"/>
      <c r="AY1426" s="17"/>
      <c r="AZ1426" s="17"/>
      <c r="BA1426" s="17"/>
      <c r="BB1426" s="17"/>
      <c r="BC1426" s="17"/>
      <c r="BD1426" s="17"/>
      <c r="BE1426" s="17"/>
      <c r="BF1426" s="17"/>
      <c r="BG1426" s="17"/>
      <c r="BH1426" s="17"/>
      <c r="BI1426" s="17"/>
      <c r="BJ1426" s="17"/>
      <c r="BK1426" s="17"/>
      <c r="BL1426" s="17"/>
      <c r="BM1426" s="17"/>
      <c r="BN1426" s="17"/>
      <c r="BO1426" s="17"/>
      <c r="BP1426" s="17"/>
      <c r="BQ1426" s="17"/>
      <c r="BR1426" s="17"/>
      <c r="BS1426" s="17"/>
      <c r="BT1426" s="17"/>
      <c r="BU1426" s="17"/>
      <c r="BV1426" s="17"/>
      <c r="BW1426" s="17"/>
      <c r="BX1426" s="17"/>
    </row>
    <row r="1427" customHeight="1" spans="1:76">
      <c r="A1427" s="17"/>
      <c r="B1427" s="17"/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17"/>
      <c r="AF1427" s="17"/>
      <c r="AG1427" s="17"/>
      <c r="AH1427" s="17"/>
      <c r="AI1427" s="17"/>
      <c r="AJ1427" s="17"/>
      <c r="AK1427" s="17"/>
      <c r="AL1427" s="17"/>
      <c r="AM1427" s="17"/>
      <c r="AN1427" s="17"/>
      <c r="AO1427" s="17"/>
      <c r="AP1427" s="17"/>
      <c r="AQ1427" s="17"/>
      <c r="AR1427" s="17"/>
      <c r="AS1427" s="17"/>
      <c r="AT1427" s="17"/>
      <c r="AU1427" s="17"/>
      <c r="AV1427" s="17"/>
      <c r="AW1427" s="17"/>
      <c r="AX1427" s="17"/>
      <c r="AY1427" s="17"/>
      <c r="AZ1427" s="17"/>
      <c r="BA1427" s="17"/>
      <c r="BB1427" s="17"/>
      <c r="BC1427" s="17"/>
      <c r="BD1427" s="17"/>
      <c r="BE1427" s="17"/>
      <c r="BF1427" s="17"/>
      <c r="BG1427" s="17"/>
      <c r="BH1427" s="17"/>
      <c r="BI1427" s="17"/>
      <c r="BJ1427" s="17"/>
      <c r="BK1427" s="17"/>
      <c r="BL1427" s="17"/>
      <c r="BM1427" s="17"/>
      <c r="BN1427" s="17"/>
      <c r="BO1427" s="17"/>
      <c r="BP1427" s="17"/>
      <c r="BQ1427" s="17"/>
      <c r="BR1427" s="17"/>
      <c r="BS1427" s="17"/>
      <c r="BT1427" s="17"/>
      <c r="BU1427" s="17"/>
      <c r="BV1427" s="17"/>
      <c r="BW1427" s="17"/>
      <c r="BX1427" s="17"/>
    </row>
    <row r="1428" customHeight="1" spans="1:76">
      <c r="A1428" s="17"/>
      <c r="B1428" s="17"/>
      <c r="C1428" s="17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  <c r="AD1428" s="17"/>
      <c r="AE1428" s="17"/>
      <c r="AF1428" s="17"/>
      <c r="AG1428" s="17"/>
      <c r="AH1428" s="17"/>
      <c r="AI1428" s="17"/>
      <c r="AJ1428" s="17"/>
      <c r="AK1428" s="17"/>
      <c r="AL1428" s="17"/>
      <c r="AM1428" s="17"/>
      <c r="AN1428" s="17"/>
      <c r="AO1428" s="17"/>
      <c r="AP1428" s="17"/>
      <c r="AQ1428" s="17"/>
      <c r="AR1428" s="17"/>
      <c r="AS1428" s="17"/>
      <c r="AT1428" s="17"/>
      <c r="AU1428" s="17"/>
      <c r="AV1428" s="17"/>
      <c r="AW1428" s="17"/>
      <c r="AX1428" s="17"/>
      <c r="AY1428" s="17"/>
      <c r="AZ1428" s="17"/>
      <c r="BA1428" s="17"/>
      <c r="BB1428" s="17"/>
      <c r="BC1428" s="17"/>
      <c r="BD1428" s="17"/>
      <c r="BE1428" s="17"/>
      <c r="BF1428" s="17"/>
      <c r="BG1428" s="17"/>
      <c r="BH1428" s="17"/>
      <c r="BI1428" s="17"/>
      <c r="BJ1428" s="17"/>
      <c r="BK1428" s="17"/>
      <c r="BL1428" s="17"/>
      <c r="BM1428" s="17"/>
      <c r="BN1428" s="17"/>
      <c r="BO1428" s="17"/>
      <c r="BP1428" s="17"/>
      <c r="BQ1428" s="17"/>
      <c r="BR1428" s="17"/>
      <c r="BS1428" s="17"/>
      <c r="BT1428" s="17"/>
      <c r="BU1428" s="17"/>
      <c r="BV1428" s="17"/>
      <c r="BW1428" s="17"/>
      <c r="BX1428" s="17"/>
    </row>
    <row r="1429" customHeight="1" spans="1:76">
      <c r="A1429" s="17"/>
      <c r="B1429" s="17"/>
      <c r="C1429" s="17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  <c r="AD1429" s="17"/>
      <c r="AE1429" s="17"/>
      <c r="AF1429" s="17"/>
      <c r="AG1429" s="17"/>
      <c r="AH1429" s="17"/>
      <c r="AI1429" s="17"/>
      <c r="AJ1429" s="17"/>
      <c r="AK1429" s="17"/>
      <c r="AL1429" s="17"/>
      <c r="AM1429" s="17"/>
      <c r="AN1429" s="17"/>
      <c r="AO1429" s="17"/>
      <c r="AP1429" s="17"/>
      <c r="AQ1429" s="17"/>
      <c r="AR1429" s="17"/>
      <c r="AS1429" s="17"/>
      <c r="AT1429" s="17"/>
      <c r="AU1429" s="17"/>
      <c r="AV1429" s="17"/>
      <c r="AW1429" s="17"/>
      <c r="AX1429" s="17"/>
      <c r="AY1429" s="17"/>
      <c r="AZ1429" s="17"/>
      <c r="BA1429" s="17"/>
      <c r="BB1429" s="17"/>
      <c r="BC1429" s="17"/>
      <c r="BD1429" s="17"/>
      <c r="BE1429" s="17"/>
      <c r="BF1429" s="17"/>
      <c r="BG1429" s="17"/>
      <c r="BH1429" s="17"/>
      <c r="BI1429" s="17"/>
      <c r="BJ1429" s="17"/>
      <c r="BK1429" s="17"/>
      <c r="BL1429" s="17"/>
      <c r="BM1429" s="17"/>
      <c r="BN1429" s="17"/>
      <c r="BO1429" s="17"/>
      <c r="BP1429" s="17"/>
      <c r="BQ1429" s="17"/>
      <c r="BR1429" s="17"/>
      <c r="BS1429" s="17"/>
      <c r="BT1429" s="17"/>
      <c r="BU1429" s="17"/>
      <c r="BV1429" s="17"/>
      <c r="BW1429" s="17"/>
      <c r="BX1429" s="17"/>
    </row>
    <row r="1430" customHeight="1" spans="1:76">
      <c r="A1430" s="17"/>
      <c r="B1430" s="17"/>
      <c r="C1430" s="17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17"/>
      <c r="AD1430" s="17"/>
      <c r="AE1430" s="17"/>
      <c r="AF1430" s="17"/>
      <c r="AG1430" s="17"/>
      <c r="AH1430" s="17"/>
      <c r="AI1430" s="17"/>
      <c r="AJ1430" s="17"/>
      <c r="AK1430" s="17"/>
      <c r="AL1430" s="17"/>
      <c r="AM1430" s="17"/>
      <c r="AN1430" s="17"/>
      <c r="AO1430" s="17"/>
      <c r="AP1430" s="17"/>
      <c r="AQ1430" s="17"/>
      <c r="AR1430" s="17"/>
      <c r="AS1430" s="17"/>
      <c r="AT1430" s="17"/>
      <c r="AU1430" s="17"/>
      <c r="AV1430" s="17"/>
      <c r="AW1430" s="17"/>
      <c r="AX1430" s="17"/>
      <c r="AY1430" s="17"/>
      <c r="AZ1430" s="17"/>
      <c r="BA1430" s="17"/>
      <c r="BB1430" s="17"/>
      <c r="BC1430" s="17"/>
      <c r="BD1430" s="17"/>
      <c r="BE1430" s="17"/>
      <c r="BF1430" s="17"/>
      <c r="BG1430" s="17"/>
      <c r="BH1430" s="17"/>
      <c r="BI1430" s="17"/>
      <c r="BJ1430" s="17"/>
      <c r="BK1430" s="17"/>
      <c r="BL1430" s="17"/>
      <c r="BM1430" s="17"/>
      <c r="BN1430" s="17"/>
      <c r="BO1430" s="17"/>
      <c r="BP1430" s="17"/>
      <c r="BQ1430" s="17"/>
      <c r="BR1430" s="17"/>
      <c r="BS1430" s="17"/>
      <c r="BT1430" s="17"/>
      <c r="BU1430" s="17"/>
      <c r="BV1430" s="17"/>
      <c r="BW1430" s="17"/>
      <c r="BX1430" s="17"/>
    </row>
    <row r="1431" customHeight="1" spans="1:76">
      <c r="A1431" s="17"/>
      <c r="B1431" s="17"/>
      <c r="C1431" s="17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  <c r="AD1431" s="17"/>
      <c r="AE1431" s="17"/>
      <c r="AF1431" s="17"/>
      <c r="AG1431" s="17"/>
      <c r="AH1431" s="17"/>
      <c r="AI1431" s="17"/>
      <c r="AJ1431" s="17"/>
      <c r="AK1431" s="17"/>
      <c r="AL1431" s="17"/>
      <c r="AM1431" s="17"/>
      <c r="AN1431" s="17"/>
      <c r="AO1431" s="17"/>
      <c r="AP1431" s="17"/>
      <c r="AQ1431" s="17"/>
      <c r="AR1431" s="17"/>
      <c r="AS1431" s="17"/>
      <c r="AT1431" s="17"/>
      <c r="AU1431" s="17"/>
      <c r="AV1431" s="17"/>
      <c r="AW1431" s="17"/>
      <c r="AX1431" s="17"/>
      <c r="AY1431" s="17"/>
      <c r="AZ1431" s="17"/>
      <c r="BA1431" s="17"/>
      <c r="BB1431" s="17"/>
      <c r="BC1431" s="17"/>
      <c r="BD1431" s="17"/>
      <c r="BE1431" s="17"/>
      <c r="BF1431" s="17"/>
      <c r="BG1431" s="17"/>
      <c r="BH1431" s="17"/>
      <c r="BI1431" s="17"/>
      <c r="BJ1431" s="17"/>
      <c r="BK1431" s="17"/>
      <c r="BL1431" s="17"/>
      <c r="BM1431" s="17"/>
      <c r="BN1431" s="17"/>
      <c r="BO1431" s="17"/>
      <c r="BP1431" s="17"/>
      <c r="BQ1431" s="17"/>
      <c r="BR1431" s="17"/>
      <c r="BS1431" s="17"/>
      <c r="BT1431" s="17"/>
      <c r="BU1431" s="17"/>
      <c r="BV1431" s="17"/>
      <c r="BW1431" s="17"/>
      <c r="BX1431" s="17"/>
    </row>
    <row r="1432" customHeight="1" spans="1:76">
      <c r="A1432" s="17"/>
      <c r="B1432" s="17"/>
      <c r="C1432" s="17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17"/>
      <c r="AD1432" s="17"/>
      <c r="AE1432" s="17"/>
      <c r="AF1432" s="17"/>
      <c r="AG1432" s="17"/>
      <c r="AH1432" s="17"/>
      <c r="AI1432" s="17"/>
      <c r="AJ1432" s="17"/>
      <c r="AK1432" s="17"/>
      <c r="AL1432" s="17"/>
      <c r="AM1432" s="17"/>
      <c r="AN1432" s="17"/>
      <c r="AO1432" s="17"/>
      <c r="AP1432" s="17"/>
      <c r="AQ1432" s="17"/>
      <c r="AR1432" s="17"/>
      <c r="AS1432" s="17"/>
      <c r="AT1432" s="17"/>
      <c r="AU1432" s="17"/>
      <c r="AV1432" s="17"/>
      <c r="AW1432" s="17"/>
      <c r="AX1432" s="17"/>
      <c r="AY1432" s="17"/>
      <c r="AZ1432" s="17"/>
      <c r="BA1432" s="17"/>
      <c r="BB1432" s="17"/>
      <c r="BC1432" s="17"/>
      <c r="BD1432" s="17"/>
      <c r="BE1432" s="17"/>
      <c r="BF1432" s="17"/>
      <c r="BG1432" s="17"/>
      <c r="BH1432" s="17"/>
      <c r="BI1432" s="17"/>
      <c r="BJ1432" s="17"/>
      <c r="BK1432" s="17"/>
      <c r="BL1432" s="17"/>
      <c r="BM1432" s="17"/>
      <c r="BN1432" s="17"/>
      <c r="BO1432" s="17"/>
      <c r="BP1432" s="17"/>
      <c r="BQ1432" s="17"/>
      <c r="BR1432" s="17"/>
      <c r="BS1432" s="17"/>
      <c r="BT1432" s="17"/>
      <c r="BU1432" s="17"/>
      <c r="BV1432" s="17"/>
      <c r="BW1432" s="17"/>
      <c r="BX1432" s="17"/>
    </row>
    <row r="1433" customHeight="1" spans="1:76">
      <c r="A1433" s="17"/>
      <c r="B1433" s="17"/>
      <c r="C1433" s="17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  <c r="AE1433" s="17"/>
      <c r="AF1433" s="17"/>
      <c r="AG1433" s="17"/>
      <c r="AH1433" s="17"/>
      <c r="AI1433" s="17"/>
      <c r="AJ1433" s="17"/>
      <c r="AK1433" s="17"/>
      <c r="AL1433" s="17"/>
      <c r="AM1433" s="17"/>
      <c r="AN1433" s="17"/>
      <c r="AO1433" s="17"/>
      <c r="AP1433" s="17"/>
      <c r="AQ1433" s="17"/>
      <c r="AR1433" s="17"/>
      <c r="AS1433" s="17"/>
      <c r="AT1433" s="17"/>
      <c r="AU1433" s="17"/>
      <c r="AV1433" s="17"/>
      <c r="AW1433" s="17"/>
      <c r="AX1433" s="17"/>
      <c r="AY1433" s="17"/>
      <c r="AZ1433" s="17"/>
      <c r="BA1433" s="17"/>
      <c r="BB1433" s="17"/>
      <c r="BC1433" s="17"/>
      <c r="BD1433" s="17"/>
      <c r="BE1433" s="17"/>
      <c r="BF1433" s="17"/>
      <c r="BG1433" s="17"/>
      <c r="BH1433" s="17"/>
      <c r="BI1433" s="17"/>
      <c r="BJ1433" s="17"/>
      <c r="BK1433" s="17"/>
      <c r="BL1433" s="17"/>
      <c r="BM1433" s="17"/>
      <c r="BN1433" s="17"/>
      <c r="BO1433" s="17"/>
      <c r="BP1433" s="17"/>
      <c r="BQ1433" s="17"/>
      <c r="BR1433" s="17"/>
      <c r="BS1433" s="17"/>
      <c r="BT1433" s="17"/>
      <c r="BU1433" s="17"/>
      <c r="BV1433" s="17"/>
      <c r="BW1433" s="17"/>
      <c r="BX1433" s="17"/>
    </row>
    <row r="1434" customHeight="1" spans="1:76">
      <c r="A1434" s="17"/>
      <c r="B1434" s="17"/>
      <c r="C1434" s="17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  <c r="AA1434" s="17"/>
      <c r="AB1434" s="17"/>
      <c r="AC1434" s="17"/>
      <c r="AD1434" s="17"/>
      <c r="AE1434" s="17"/>
      <c r="AF1434" s="17"/>
      <c r="AG1434" s="17"/>
      <c r="AH1434" s="17"/>
      <c r="AI1434" s="17"/>
      <c r="AJ1434" s="17"/>
      <c r="AK1434" s="17"/>
      <c r="AL1434" s="17"/>
      <c r="AM1434" s="17"/>
      <c r="AN1434" s="17"/>
      <c r="AO1434" s="17"/>
      <c r="AP1434" s="17"/>
      <c r="AQ1434" s="17"/>
      <c r="AR1434" s="17"/>
      <c r="AS1434" s="17"/>
      <c r="AT1434" s="17"/>
      <c r="AU1434" s="17"/>
      <c r="AV1434" s="17"/>
      <c r="AW1434" s="17"/>
      <c r="AX1434" s="17"/>
      <c r="AY1434" s="17"/>
      <c r="AZ1434" s="17"/>
      <c r="BA1434" s="17"/>
      <c r="BB1434" s="17"/>
      <c r="BC1434" s="17"/>
      <c r="BD1434" s="17"/>
      <c r="BE1434" s="17"/>
      <c r="BF1434" s="17"/>
      <c r="BG1434" s="17"/>
      <c r="BH1434" s="17"/>
      <c r="BI1434" s="17"/>
      <c r="BJ1434" s="17"/>
      <c r="BK1434" s="17"/>
      <c r="BL1434" s="17"/>
      <c r="BM1434" s="17"/>
      <c r="BN1434" s="17"/>
      <c r="BO1434" s="17"/>
      <c r="BP1434" s="17"/>
      <c r="BQ1434" s="17"/>
      <c r="BR1434" s="17"/>
      <c r="BS1434" s="17"/>
      <c r="BT1434" s="17"/>
      <c r="BU1434" s="17"/>
      <c r="BV1434" s="17"/>
      <c r="BW1434" s="17"/>
      <c r="BX1434" s="17"/>
    </row>
    <row r="1435" customHeight="1" spans="1:76">
      <c r="A1435" s="17"/>
      <c r="B1435" s="17"/>
      <c r="C1435" s="17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  <c r="AD1435" s="17"/>
      <c r="AE1435" s="17"/>
      <c r="AF1435" s="17"/>
      <c r="AG1435" s="17"/>
      <c r="AH1435" s="17"/>
      <c r="AI1435" s="17"/>
      <c r="AJ1435" s="17"/>
      <c r="AK1435" s="17"/>
      <c r="AL1435" s="17"/>
      <c r="AM1435" s="17"/>
      <c r="AN1435" s="17"/>
      <c r="AO1435" s="17"/>
      <c r="AP1435" s="17"/>
      <c r="AQ1435" s="17"/>
      <c r="AR1435" s="17"/>
      <c r="AS1435" s="17"/>
      <c r="AT1435" s="17"/>
      <c r="AU1435" s="17"/>
      <c r="AV1435" s="17"/>
      <c r="AW1435" s="17"/>
      <c r="AX1435" s="17"/>
      <c r="AY1435" s="17"/>
      <c r="AZ1435" s="17"/>
      <c r="BA1435" s="17"/>
      <c r="BB1435" s="17"/>
      <c r="BC1435" s="17"/>
      <c r="BD1435" s="17"/>
      <c r="BE1435" s="17"/>
      <c r="BF1435" s="17"/>
      <c r="BG1435" s="17"/>
      <c r="BH1435" s="17"/>
      <c r="BI1435" s="17"/>
      <c r="BJ1435" s="17"/>
      <c r="BK1435" s="17"/>
      <c r="BL1435" s="17"/>
      <c r="BM1435" s="17"/>
      <c r="BN1435" s="17"/>
      <c r="BO1435" s="17"/>
      <c r="BP1435" s="17"/>
      <c r="BQ1435" s="17"/>
      <c r="BR1435" s="17"/>
      <c r="BS1435" s="17"/>
      <c r="BT1435" s="17"/>
      <c r="BU1435" s="17"/>
      <c r="BV1435" s="17"/>
      <c r="BW1435" s="17"/>
      <c r="BX1435" s="17"/>
    </row>
    <row r="1436" customHeight="1" spans="1:76">
      <c r="A1436" s="17"/>
      <c r="B1436" s="17"/>
      <c r="C1436" s="17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  <c r="AA1436" s="17"/>
      <c r="AB1436" s="17"/>
      <c r="AC1436" s="17"/>
      <c r="AD1436" s="17"/>
      <c r="AE1436" s="17"/>
      <c r="AF1436" s="17"/>
      <c r="AG1436" s="17"/>
      <c r="AH1436" s="17"/>
      <c r="AI1436" s="17"/>
      <c r="AJ1436" s="17"/>
      <c r="AK1436" s="17"/>
      <c r="AL1436" s="17"/>
      <c r="AM1436" s="17"/>
      <c r="AN1436" s="17"/>
      <c r="AO1436" s="17"/>
      <c r="AP1436" s="17"/>
      <c r="AQ1436" s="17"/>
      <c r="AR1436" s="17"/>
      <c r="AS1436" s="17"/>
      <c r="AT1436" s="17"/>
      <c r="AU1436" s="17"/>
      <c r="AV1436" s="17"/>
      <c r="AW1436" s="17"/>
      <c r="AX1436" s="17"/>
      <c r="AY1436" s="17"/>
      <c r="AZ1436" s="17"/>
      <c r="BA1436" s="17"/>
      <c r="BB1436" s="17"/>
      <c r="BC1436" s="17"/>
      <c r="BD1436" s="17"/>
      <c r="BE1436" s="17"/>
      <c r="BF1436" s="17"/>
      <c r="BG1436" s="17"/>
      <c r="BH1436" s="17"/>
      <c r="BI1436" s="17"/>
      <c r="BJ1436" s="17"/>
      <c r="BK1436" s="17"/>
      <c r="BL1436" s="17"/>
      <c r="BM1436" s="17"/>
      <c r="BN1436" s="17"/>
      <c r="BO1436" s="17"/>
      <c r="BP1436" s="17"/>
      <c r="BQ1436" s="17"/>
      <c r="BR1436" s="17"/>
      <c r="BS1436" s="17"/>
      <c r="BT1436" s="17"/>
      <c r="BU1436" s="17"/>
      <c r="BV1436" s="17"/>
      <c r="BW1436" s="17"/>
      <c r="BX1436" s="17"/>
    </row>
    <row r="1437" customHeight="1" spans="1:76">
      <c r="A1437" s="17"/>
      <c r="B1437" s="17"/>
      <c r="C1437" s="17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  <c r="AD1437" s="17"/>
      <c r="AE1437" s="17"/>
      <c r="AF1437" s="17"/>
      <c r="AG1437" s="17"/>
      <c r="AH1437" s="17"/>
      <c r="AI1437" s="17"/>
      <c r="AJ1437" s="17"/>
      <c r="AK1437" s="17"/>
      <c r="AL1437" s="17"/>
      <c r="AM1437" s="17"/>
      <c r="AN1437" s="17"/>
      <c r="AO1437" s="17"/>
      <c r="AP1437" s="17"/>
      <c r="AQ1437" s="17"/>
      <c r="AR1437" s="17"/>
      <c r="AS1437" s="17"/>
      <c r="AT1437" s="17"/>
      <c r="AU1437" s="17"/>
      <c r="AV1437" s="17"/>
      <c r="AW1437" s="17"/>
      <c r="AX1437" s="17"/>
      <c r="AY1437" s="17"/>
      <c r="AZ1437" s="17"/>
      <c r="BA1437" s="17"/>
      <c r="BB1437" s="17"/>
      <c r="BC1437" s="17"/>
      <c r="BD1437" s="17"/>
      <c r="BE1437" s="17"/>
      <c r="BF1437" s="17"/>
      <c r="BG1437" s="17"/>
      <c r="BH1437" s="17"/>
      <c r="BI1437" s="17"/>
      <c r="BJ1437" s="17"/>
      <c r="BK1437" s="17"/>
      <c r="BL1437" s="17"/>
      <c r="BM1437" s="17"/>
      <c r="BN1437" s="17"/>
      <c r="BO1437" s="17"/>
      <c r="BP1437" s="17"/>
      <c r="BQ1437" s="17"/>
      <c r="BR1437" s="17"/>
      <c r="BS1437" s="17"/>
      <c r="BT1437" s="17"/>
      <c r="BU1437" s="17"/>
      <c r="BV1437" s="17"/>
      <c r="BW1437" s="17"/>
      <c r="BX1437" s="17"/>
    </row>
    <row r="1438" customHeight="1" spans="1:76">
      <c r="A1438" s="17"/>
      <c r="B1438" s="17"/>
      <c r="C1438" s="17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7"/>
      <c r="AD1438" s="17"/>
      <c r="AE1438" s="17"/>
      <c r="AF1438" s="17"/>
      <c r="AG1438" s="17"/>
      <c r="AH1438" s="17"/>
      <c r="AI1438" s="17"/>
      <c r="AJ1438" s="17"/>
      <c r="AK1438" s="17"/>
      <c r="AL1438" s="17"/>
      <c r="AM1438" s="17"/>
      <c r="AN1438" s="17"/>
      <c r="AO1438" s="17"/>
      <c r="AP1438" s="17"/>
      <c r="AQ1438" s="17"/>
      <c r="AR1438" s="17"/>
      <c r="AS1438" s="17"/>
      <c r="AT1438" s="17"/>
      <c r="AU1438" s="17"/>
      <c r="AV1438" s="17"/>
      <c r="AW1438" s="17"/>
      <c r="AX1438" s="17"/>
      <c r="AY1438" s="17"/>
      <c r="AZ1438" s="17"/>
      <c r="BA1438" s="17"/>
      <c r="BB1438" s="17"/>
      <c r="BC1438" s="17"/>
      <c r="BD1438" s="17"/>
      <c r="BE1438" s="17"/>
      <c r="BF1438" s="17"/>
      <c r="BG1438" s="17"/>
      <c r="BH1438" s="17"/>
      <c r="BI1438" s="17"/>
      <c r="BJ1438" s="17"/>
      <c r="BK1438" s="17"/>
      <c r="BL1438" s="17"/>
      <c r="BM1438" s="17"/>
      <c r="BN1438" s="17"/>
      <c r="BO1438" s="17"/>
      <c r="BP1438" s="17"/>
      <c r="BQ1438" s="17"/>
      <c r="BR1438" s="17"/>
      <c r="BS1438" s="17"/>
      <c r="BT1438" s="17"/>
      <c r="BU1438" s="17"/>
      <c r="BV1438" s="17"/>
      <c r="BW1438" s="17"/>
      <c r="BX1438" s="17"/>
    </row>
    <row r="1439" customHeight="1" spans="1:76">
      <c r="A1439" s="17"/>
      <c r="B1439" s="17"/>
      <c r="C1439" s="17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17"/>
      <c r="AD1439" s="17"/>
      <c r="AE1439" s="17"/>
      <c r="AF1439" s="17"/>
      <c r="AG1439" s="17"/>
      <c r="AH1439" s="17"/>
      <c r="AI1439" s="17"/>
      <c r="AJ1439" s="17"/>
      <c r="AK1439" s="17"/>
      <c r="AL1439" s="17"/>
      <c r="AM1439" s="17"/>
      <c r="AN1439" s="17"/>
      <c r="AO1439" s="17"/>
      <c r="AP1439" s="17"/>
      <c r="AQ1439" s="17"/>
      <c r="AR1439" s="17"/>
      <c r="AS1439" s="17"/>
      <c r="AT1439" s="17"/>
      <c r="AU1439" s="17"/>
      <c r="AV1439" s="17"/>
      <c r="AW1439" s="17"/>
      <c r="AX1439" s="17"/>
      <c r="AY1439" s="17"/>
      <c r="AZ1439" s="17"/>
      <c r="BA1439" s="17"/>
      <c r="BB1439" s="17"/>
      <c r="BC1439" s="17"/>
      <c r="BD1439" s="17"/>
      <c r="BE1439" s="17"/>
      <c r="BF1439" s="17"/>
      <c r="BG1439" s="17"/>
      <c r="BH1439" s="17"/>
      <c r="BI1439" s="17"/>
      <c r="BJ1439" s="17"/>
      <c r="BK1439" s="17"/>
      <c r="BL1439" s="17"/>
      <c r="BM1439" s="17"/>
      <c r="BN1439" s="17"/>
      <c r="BO1439" s="17"/>
      <c r="BP1439" s="17"/>
      <c r="BQ1439" s="17"/>
      <c r="BR1439" s="17"/>
      <c r="BS1439" s="17"/>
      <c r="BT1439" s="17"/>
      <c r="BU1439" s="17"/>
      <c r="BV1439" s="17"/>
      <c r="BW1439" s="17"/>
      <c r="BX1439" s="17"/>
    </row>
    <row r="1440" customHeight="1" spans="1:76">
      <c r="A1440" s="17"/>
      <c r="B1440" s="17"/>
      <c r="C1440" s="17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7"/>
      <c r="AE1440" s="17"/>
      <c r="AF1440" s="17"/>
      <c r="AG1440" s="17"/>
      <c r="AH1440" s="17"/>
      <c r="AI1440" s="17"/>
      <c r="AJ1440" s="17"/>
      <c r="AK1440" s="17"/>
      <c r="AL1440" s="17"/>
      <c r="AM1440" s="17"/>
      <c r="AN1440" s="17"/>
      <c r="AO1440" s="17"/>
      <c r="AP1440" s="17"/>
      <c r="AQ1440" s="17"/>
      <c r="AR1440" s="17"/>
      <c r="AS1440" s="17"/>
      <c r="AT1440" s="17"/>
      <c r="AU1440" s="17"/>
      <c r="AV1440" s="17"/>
      <c r="AW1440" s="17"/>
      <c r="AX1440" s="17"/>
      <c r="AY1440" s="17"/>
      <c r="AZ1440" s="17"/>
      <c r="BA1440" s="17"/>
      <c r="BB1440" s="17"/>
      <c r="BC1440" s="17"/>
      <c r="BD1440" s="17"/>
      <c r="BE1440" s="17"/>
      <c r="BF1440" s="17"/>
      <c r="BG1440" s="17"/>
      <c r="BH1440" s="17"/>
      <c r="BI1440" s="17"/>
      <c r="BJ1440" s="17"/>
      <c r="BK1440" s="17"/>
      <c r="BL1440" s="17"/>
      <c r="BM1440" s="17"/>
      <c r="BN1440" s="17"/>
      <c r="BO1440" s="17"/>
      <c r="BP1440" s="17"/>
      <c r="BQ1440" s="17"/>
      <c r="BR1440" s="17"/>
      <c r="BS1440" s="17"/>
      <c r="BT1440" s="17"/>
      <c r="BU1440" s="17"/>
      <c r="BV1440" s="17"/>
      <c r="BW1440" s="17"/>
      <c r="BX1440" s="17"/>
    </row>
    <row r="1441" customHeight="1" spans="1:76">
      <c r="A1441" s="17"/>
      <c r="B1441" s="17"/>
      <c r="C1441" s="17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  <c r="AD1441" s="17"/>
      <c r="AE1441" s="17"/>
      <c r="AF1441" s="17"/>
      <c r="AG1441" s="17"/>
      <c r="AH1441" s="17"/>
      <c r="AI1441" s="17"/>
      <c r="AJ1441" s="17"/>
      <c r="AK1441" s="17"/>
      <c r="AL1441" s="17"/>
      <c r="AM1441" s="17"/>
      <c r="AN1441" s="17"/>
      <c r="AO1441" s="17"/>
      <c r="AP1441" s="17"/>
      <c r="AQ1441" s="17"/>
      <c r="AR1441" s="17"/>
      <c r="AS1441" s="17"/>
      <c r="AT1441" s="17"/>
      <c r="AU1441" s="17"/>
      <c r="AV1441" s="17"/>
      <c r="AW1441" s="17"/>
      <c r="AX1441" s="17"/>
      <c r="AY1441" s="17"/>
      <c r="AZ1441" s="17"/>
      <c r="BA1441" s="17"/>
      <c r="BB1441" s="17"/>
      <c r="BC1441" s="17"/>
      <c r="BD1441" s="17"/>
      <c r="BE1441" s="17"/>
      <c r="BF1441" s="17"/>
      <c r="BG1441" s="17"/>
      <c r="BH1441" s="17"/>
      <c r="BI1441" s="17"/>
      <c r="BJ1441" s="17"/>
      <c r="BK1441" s="17"/>
      <c r="BL1441" s="17"/>
      <c r="BM1441" s="17"/>
      <c r="BN1441" s="17"/>
      <c r="BO1441" s="17"/>
      <c r="BP1441" s="17"/>
      <c r="BQ1441" s="17"/>
      <c r="BR1441" s="17"/>
      <c r="BS1441" s="17"/>
      <c r="BT1441" s="17"/>
      <c r="BU1441" s="17"/>
      <c r="BV1441" s="17"/>
      <c r="BW1441" s="17"/>
      <c r="BX1441" s="17"/>
    </row>
    <row r="1442" customHeight="1" spans="1:76">
      <c r="A1442" s="17"/>
      <c r="B1442" s="17"/>
      <c r="C1442" s="17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17"/>
      <c r="AD1442" s="17"/>
      <c r="AE1442" s="17"/>
      <c r="AF1442" s="17"/>
      <c r="AG1442" s="17"/>
      <c r="AH1442" s="17"/>
      <c r="AI1442" s="17"/>
      <c r="AJ1442" s="17"/>
      <c r="AK1442" s="17"/>
      <c r="AL1442" s="17"/>
      <c r="AM1442" s="17"/>
      <c r="AN1442" s="17"/>
      <c r="AO1442" s="17"/>
      <c r="AP1442" s="17"/>
      <c r="AQ1442" s="17"/>
      <c r="AR1442" s="17"/>
      <c r="AS1442" s="17"/>
      <c r="AT1442" s="17"/>
      <c r="AU1442" s="17"/>
      <c r="AV1442" s="17"/>
      <c r="AW1442" s="17"/>
      <c r="AX1442" s="17"/>
      <c r="AY1442" s="17"/>
      <c r="AZ1442" s="17"/>
      <c r="BA1442" s="17"/>
      <c r="BB1442" s="17"/>
      <c r="BC1442" s="17"/>
      <c r="BD1442" s="17"/>
      <c r="BE1442" s="17"/>
      <c r="BF1442" s="17"/>
      <c r="BG1442" s="17"/>
      <c r="BH1442" s="17"/>
      <c r="BI1442" s="17"/>
      <c r="BJ1442" s="17"/>
      <c r="BK1442" s="17"/>
      <c r="BL1442" s="17"/>
      <c r="BM1442" s="17"/>
      <c r="BN1442" s="17"/>
      <c r="BO1442" s="17"/>
      <c r="BP1442" s="17"/>
      <c r="BQ1442" s="17"/>
      <c r="BR1442" s="17"/>
      <c r="BS1442" s="17"/>
      <c r="BT1442" s="17"/>
      <c r="BU1442" s="17"/>
      <c r="BV1442" s="17"/>
      <c r="BW1442" s="17"/>
      <c r="BX1442" s="17"/>
    </row>
    <row r="1443" customHeight="1" spans="1:76">
      <c r="A1443" s="17"/>
      <c r="B1443" s="17"/>
      <c r="C1443" s="17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  <c r="AE1443" s="17"/>
      <c r="AF1443" s="17"/>
      <c r="AG1443" s="17"/>
      <c r="AH1443" s="17"/>
      <c r="AI1443" s="17"/>
      <c r="AJ1443" s="17"/>
      <c r="AK1443" s="17"/>
      <c r="AL1443" s="17"/>
      <c r="AM1443" s="17"/>
      <c r="AN1443" s="17"/>
      <c r="AO1443" s="17"/>
      <c r="AP1443" s="17"/>
      <c r="AQ1443" s="17"/>
      <c r="AR1443" s="17"/>
      <c r="AS1443" s="17"/>
      <c r="AT1443" s="17"/>
      <c r="AU1443" s="17"/>
      <c r="AV1443" s="17"/>
      <c r="AW1443" s="17"/>
      <c r="AX1443" s="17"/>
      <c r="AY1443" s="17"/>
      <c r="AZ1443" s="17"/>
      <c r="BA1443" s="17"/>
      <c r="BB1443" s="17"/>
      <c r="BC1443" s="17"/>
      <c r="BD1443" s="17"/>
      <c r="BE1443" s="17"/>
      <c r="BF1443" s="17"/>
      <c r="BG1443" s="17"/>
      <c r="BH1443" s="17"/>
      <c r="BI1443" s="17"/>
      <c r="BJ1443" s="17"/>
      <c r="BK1443" s="17"/>
      <c r="BL1443" s="17"/>
      <c r="BM1443" s="17"/>
      <c r="BN1443" s="17"/>
      <c r="BO1443" s="17"/>
      <c r="BP1443" s="17"/>
      <c r="BQ1443" s="17"/>
      <c r="BR1443" s="17"/>
      <c r="BS1443" s="17"/>
      <c r="BT1443" s="17"/>
      <c r="BU1443" s="17"/>
      <c r="BV1443" s="17"/>
      <c r="BW1443" s="17"/>
      <c r="BX1443" s="17"/>
    </row>
    <row r="1444" customHeight="1" spans="1:76">
      <c r="A1444" s="17"/>
      <c r="B1444" s="17"/>
      <c r="C1444" s="17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  <c r="AD1444" s="17"/>
      <c r="AE1444" s="17"/>
      <c r="AF1444" s="17"/>
      <c r="AG1444" s="17"/>
      <c r="AH1444" s="17"/>
      <c r="AI1444" s="17"/>
      <c r="AJ1444" s="17"/>
      <c r="AK1444" s="17"/>
      <c r="AL1444" s="17"/>
      <c r="AM1444" s="17"/>
      <c r="AN1444" s="17"/>
      <c r="AO1444" s="17"/>
      <c r="AP1444" s="17"/>
      <c r="AQ1444" s="17"/>
      <c r="AR1444" s="17"/>
      <c r="AS1444" s="17"/>
      <c r="AT1444" s="17"/>
      <c r="AU1444" s="17"/>
      <c r="AV1444" s="17"/>
      <c r="AW1444" s="17"/>
      <c r="AX1444" s="17"/>
      <c r="AY1444" s="17"/>
      <c r="AZ1444" s="17"/>
      <c r="BA1444" s="17"/>
      <c r="BB1444" s="17"/>
      <c r="BC1444" s="17"/>
      <c r="BD1444" s="17"/>
      <c r="BE1444" s="17"/>
      <c r="BF1444" s="17"/>
      <c r="BG1444" s="17"/>
      <c r="BH1444" s="17"/>
      <c r="BI1444" s="17"/>
      <c r="BJ1444" s="17"/>
      <c r="BK1444" s="17"/>
      <c r="BL1444" s="17"/>
      <c r="BM1444" s="17"/>
      <c r="BN1444" s="17"/>
      <c r="BO1444" s="17"/>
      <c r="BP1444" s="17"/>
      <c r="BQ1444" s="17"/>
      <c r="BR1444" s="17"/>
      <c r="BS1444" s="17"/>
      <c r="BT1444" s="17"/>
      <c r="BU1444" s="17"/>
      <c r="BV1444" s="17"/>
      <c r="BW1444" s="17"/>
      <c r="BX1444" s="17"/>
    </row>
    <row r="1445" customHeight="1" spans="1:76">
      <c r="A1445" s="17"/>
      <c r="B1445" s="17"/>
      <c r="C1445" s="17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  <c r="AD1445" s="17"/>
      <c r="AE1445" s="17"/>
      <c r="AF1445" s="17"/>
      <c r="AG1445" s="17"/>
      <c r="AH1445" s="17"/>
      <c r="AI1445" s="17"/>
      <c r="AJ1445" s="17"/>
      <c r="AK1445" s="17"/>
      <c r="AL1445" s="17"/>
      <c r="AM1445" s="17"/>
      <c r="AN1445" s="17"/>
      <c r="AO1445" s="17"/>
      <c r="AP1445" s="17"/>
      <c r="AQ1445" s="17"/>
      <c r="AR1445" s="17"/>
      <c r="AS1445" s="17"/>
      <c r="AT1445" s="17"/>
      <c r="AU1445" s="17"/>
      <c r="AV1445" s="17"/>
      <c r="AW1445" s="17"/>
      <c r="AX1445" s="17"/>
      <c r="AY1445" s="17"/>
      <c r="AZ1445" s="17"/>
      <c r="BA1445" s="17"/>
      <c r="BB1445" s="17"/>
      <c r="BC1445" s="17"/>
      <c r="BD1445" s="17"/>
      <c r="BE1445" s="17"/>
      <c r="BF1445" s="17"/>
      <c r="BG1445" s="17"/>
      <c r="BH1445" s="17"/>
      <c r="BI1445" s="17"/>
      <c r="BJ1445" s="17"/>
      <c r="BK1445" s="17"/>
      <c r="BL1445" s="17"/>
      <c r="BM1445" s="17"/>
      <c r="BN1445" s="17"/>
      <c r="BO1445" s="17"/>
      <c r="BP1445" s="17"/>
      <c r="BQ1445" s="17"/>
      <c r="BR1445" s="17"/>
      <c r="BS1445" s="17"/>
      <c r="BT1445" s="17"/>
      <c r="BU1445" s="17"/>
      <c r="BV1445" s="17"/>
      <c r="BW1445" s="17"/>
      <c r="BX1445" s="17"/>
    </row>
    <row r="1446" customHeight="1" spans="1:76">
      <c r="A1446" s="17"/>
      <c r="B1446" s="17"/>
      <c r="C1446" s="17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  <c r="AA1446" s="17"/>
      <c r="AB1446" s="17"/>
      <c r="AC1446" s="17"/>
      <c r="AD1446" s="17"/>
      <c r="AE1446" s="17"/>
      <c r="AF1446" s="17"/>
      <c r="AG1446" s="17"/>
      <c r="AH1446" s="17"/>
      <c r="AI1446" s="17"/>
      <c r="AJ1446" s="17"/>
      <c r="AK1446" s="17"/>
      <c r="AL1446" s="17"/>
      <c r="AM1446" s="17"/>
      <c r="AN1446" s="17"/>
      <c r="AO1446" s="17"/>
      <c r="AP1446" s="17"/>
      <c r="AQ1446" s="17"/>
      <c r="AR1446" s="17"/>
      <c r="AS1446" s="17"/>
      <c r="AT1446" s="17"/>
      <c r="AU1446" s="17"/>
      <c r="AV1446" s="17"/>
      <c r="AW1446" s="17"/>
      <c r="AX1446" s="17"/>
      <c r="AY1446" s="17"/>
      <c r="AZ1446" s="17"/>
      <c r="BA1446" s="17"/>
      <c r="BB1446" s="17"/>
      <c r="BC1446" s="17"/>
      <c r="BD1446" s="17"/>
      <c r="BE1446" s="17"/>
      <c r="BF1446" s="17"/>
      <c r="BG1446" s="17"/>
      <c r="BH1446" s="17"/>
      <c r="BI1446" s="17"/>
      <c r="BJ1446" s="17"/>
      <c r="BK1446" s="17"/>
      <c r="BL1446" s="17"/>
      <c r="BM1446" s="17"/>
      <c r="BN1446" s="17"/>
      <c r="BO1446" s="17"/>
      <c r="BP1446" s="17"/>
      <c r="BQ1446" s="17"/>
      <c r="BR1446" s="17"/>
      <c r="BS1446" s="17"/>
      <c r="BT1446" s="17"/>
      <c r="BU1446" s="17"/>
      <c r="BV1446" s="17"/>
      <c r="BW1446" s="17"/>
      <c r="BX1446" s="17"/>
    </row>
    <row r="1447" customHeight="1" spans="1:76">
      <c r="A1447" s="17"/>
      <c r="B1447" s="17"/>
      <c r="C1447" s="17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  <c r="AD1447" s="17"/>
      <c r="AE1447" s="17"/>
      <c r="AF1447" s="17"/>
      <c r="AG1447" s="17"/>
      <c r="AH1447" s="17"/>
      <c r="AI1447" s="17"/>
      <c r="AJ1447" s="17"/>
      <c r="AK1447" s="17"/>
      <c r="AL1447" s="17"/>
      <c r="AM1447" s="17"/>
      <c r="AN1447" s="17"/>
      <c r="AO1447" s="17"/>
      <c r="AP1447" s="17"/>
      <c r="AQ1447" s="17"/>
      <c r="AR1447" s="17"/>
      <c r="AS1447" s="17"/>
      <c r="AT1447" s="17"/>
      <c r="AU1447" s="17"/>
      <c r="AV1447" s="17"/>
      <c r="AW1447" s="17"/>
      <c r="AX1447" s="17"/>
      <c r="AY1447" s="17"/>
      <c r="AZ1447" s="17"/>
      <c r="BA1447" s="17"/>
      <c r="BB1447" s="17"/>
      <c r="BC1447" s="17"/>
      <c r="BD1447" s="17"/>
      <c r="BE1447" s="17"/>
      <c r="BF1447" s="17"/>
      <c r="BG1447" s="17"/>
      <c r="BH1447" s="17"/>
      <c r="BI1447" s="17"/>
      <c r="BJ1447" s="17"/>
      <c r="BK1447" s="17"/>
      <c r="BL1447" s="17"/>
      <c r="BM1447" s="17"/>
      <c r="BN1447" s="17"/>
      <c r="BO1447" s="17"/>
      <c r="BP1447" s="17"/>
      <c r="BQ1447" s="17"/>
      <c r="BR1447" s="17"/>
      <c r="BS1447" s="17"/>
      <c r="BT1447" s="17"/>
      <c r="BU1447" s="17"/>
      <c r="BV1447" s="17"/>
      <c r="BW1447" s="17"/>
      <c r="BX1447" s="17"/>
    </row>
    <row r="1448" customHeight="1" spans="1:76">
      <c r="A1448" s="17"/>
      <c r="B1448" s="17"/>
      <c r="C1448" s="17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7"/>
      <c r="AD1448" s="17"/>
      <c r="AE1448" s="17"/>
      <c r="AF1448" s="17"/>
      <c r="AG1448" s="17"/>
      <c r="AH1448" s="17"/>
      <c r="AI1448" s="17"/>
      <c r="AJ1448" s="17"/>
      <c r="AK1448" s="17"/>
      <c r="AL1448" s="17"/>
      <c r="AM1448" s="17"/>
      <c r="AN1448" s="17"/>
      <c r="AO1448" s="17"/>
      <c r="AP1448" s="17"/>
      <c r="AQ1448" s="17"/>
      <c r="AR1448" s="17"/>
      <c r="AS1448" s="17"/>
      <c r="AT1448" s="17"/>
      <c r="AU1448" s="17"/>
      <c r="AV1448" s="17"/>
      <c r="AW1448" s="17"/>
      <c r="AX1448" s="17"/>
      <c r="AY1448" s="17"/>
      <c r="AZ1448" s="17"/>
      <c r="BA1448" s="17"/>
      <c r="BB1448" s="17"/>
      <c r="BC1448" s="17"/>
      <c r="BD1448" s="17"/>
      <c r="BE1448" s="17"/>
      <c r="BF1448" s="17"/>
      <c r="BG1448" s="17"/>
      <c r="BH1448" s="17"/>
      <c r="BI1448" s="17"/>
      <c r="BJ1448" s="17"/>
      <c r="BK1448" s="17"/>
      <c r="BL1448" s="17"/>
      <c r="BM1448" s="17"/>
      <c r="BN1448" s="17"/>
      <c r="BO1448" s="17"/>
      <c r="BP1448" s="17"/>
      <c r="BQ1448" s="17"/>
      <c r="BR1448" s="17"/>
      <c r="BS1448" s="17"/>
      <c r="BT1448" s="17"/>
      <c r="BU1448" s="17"/>
      <c r="BV1448" s="17"/>
      <c r="BW1448" s="17"/>
      <c r="BX1448" s="17"/>
    </row>
    <row r="1449" customHeight="1" spans="1:76">
      <c r="A1449" s="17"/>
      <c r="B1449" s="17"/>
      <c r="C1449" s="17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  <c r="AD1449" s="17"/>
      <c r="AE1449" s="17"/>
      <c r="AF1449" s="17"/>
      <c r="AG1449" s="17"/>
      <c r="AH1449" s="17"/>
      <c r="AI1449" s="17"/>
      <c r="AJ1449" s="17"/>
      <c r="AK1449" s="17"/>
      <c r="AL1449" s="17"/>
      <c r="AM1449" s="17"/>
      <c r="AN1449" s="17"/>
      <c r="AO1449" s="17"/>
      <c r="AP1449" s="17"/>
      <c r="AQ1449" s="17"/>
      <c r="AR1449" s="17"/>
      <c r="AS1449" s="17"/>
      <c r="AT1449" s="17"/>
      <c r="AU1449" s="17"/>
      <c r="AV1449" s="17"/>
      <c r="AW1449" s="17"/>
      <c r="AX1449" s="17"/>
      <c r="AY1449" s="17"/>
      <c r="AZ1449" s="17"/>
      <c r="BA1449" s="17"/>
      <c r="BB1449" s="17"/>
      <c r="BC1449" s="17"/>
      <c r="BD1449" s="17"/>
      <c r="BE1449" s="17"/>
      <c r="BF1449" s="17"/>
      <c r="BG1449" s="17"/>
      <c r="BH1449" s="17"/>
      <c r="BI1449" s="17"/>
      <c r="BJ1449" s="17"/>
      <c r="BK1449" s="17"/>
      <c r="BL1449" s="17"/>
      <c r="BM1449" s="17"/>
      <c r="BN1449" s="17"/>
      <c r="BO1449" s="17"/>
      <c r="BP1449" s="17"/>
      <c r="BQ1449" s="17"/>
      <c r="BR1449" s="17"/>
      <c r="BS1449" s="17"/>
      <c r="BT1449" s="17"/>
      <c r="BU1449" s="17"/>
      <c r="BV1449" s="17"/>
      <c r="BW1449" s="17"/>
      <c r="BX1449" s="17"/>
    </row>
    <row r="1450" customHeight="1" spans="1:76">
      <c r="A1450" s="17"/>
      <c r="B1450" s="17"/>
      <c r="C1450" s="17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  <c r="AD1450" s="17"/>
      <c r="AE1450" s="17"/>
      <c r="AF1450" s="17"/>
      <c r="AG1450" s="17"/>
      <c r="AH1450" s="17"/>
      <c r="AI1450" s="17"/>
      <c r="AJ1450" s="17"/>
      <c r="AK1450" s="17"/>
      <c r="AL1450" s="17"/>
      <c r="AM1450" s="17"/>
      <c r="AN1450" s="17"/>
      <c r="AO1450" s="17"/>
      <c r="AP1450" s="17"/>
      <c r="AQ1450" s="17"/>
      <c r="AR1450" s="17"/>
      <c r="AS1450" s="17"/>
      <c r="AT1450" s="17"/>
      <c r="AU1450" s="17"/>
      <c r="AV1450" s="17"/>
      <c r="AW1450" s="17"/>
      <c r="AX1450" s="17"/>
      <c r="AY1450" s="17"/>
      <c r="AZ1450" s="17"/>
      <c r="BA1450" s="17"/>
      <c r="BB1450" s="17"/>
      <c r="BC1450" s="17"/>
      <c r="BD1450" s="17"/>
      <c r="BE1450" s="17"/>
      <c r="BF1450" s="17"/>
      <c r="BG1450" s="17"/>
      <c r="BH1450" s="17"/>
      <c r="BI1450" s="17"/>
      <c r="BJ1450" s="17"/>
      <c r="BK1450" s="17"/>
      <c r="BL1450" s="17"/>
      <c r="BM1450" s="17"/>
      <c r="BN1450" s="17"/>
      <c r="BO1450" s="17"/>
      <c r="BP1450" s="17"/>
      <c r="BQ1450" s="17"/>
      <c r="BR1450" s="17"/>
      <c r="BS1450" s="17"/>
      <c r="BT1450" s="17"/>
      <c r="BU1450" s="17"/>
      <c r="BV1450" s="17"/>
      <c r="BW1450" s="17"/>
      <c r="BX1450" s="17"/>
    </row>
    <row r="1451" customHeight="1" spans="1:76">
      <c r="A1451" s="17"/>
      <c r="B1451" s="17"/>
      <c r="C1451" s="17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17"/>
      <c r="AD1451" s="17"/>
      <c r="AE1451" s="17"/>
      <c r="AF1451" s="17"/>
      <c r="AG1451" s="17"/>
      <c r="AH1451" s="17"/>
      <c r="AI1451" s="17"/>
      <c r="AJ1451" s="17"/>
      <c r="AK1451" s="17"/>
      <c r="AL1451" s="17"/>
      <c r="AM1451" s="17"/>
      <c r="AN1451" s="17"/>
      <c r="AO1451" s="17"/>
      <c r="AP1451" s="17"/>
      <c r="AQ1451" s="17"/>
      <c r="AR1451" s="17"/>
      <c r="AS1451" s="17"/>
      <c r="AT1451" s="17"/>
      <c r="AU1451" s="17"/>
      <c r="AV1451" s="17"/>
      <c r="AW1451" s="17"/>
      <c r="AX1451" s="17"/>
      <c r="AY1451" s="17"/>
      <c r="AZ1451" s="17"/>
      <c r="BA1451" s="17"/>
      <c r="BB1451" s="17"/>
      <c r="BC1451" s="17"/>
      <c r="BD1451" s="17"/>
      <c r="BE1451" s="17"/>
      <c r="BF1451" s="17"/>
      <c r="BG1451" s="17"/>
      <c r="BH1451" s="17"/>
      <c r="BI1451" s="17"/>
      <c r="BJ1451" s="17"/>
      <c r="BK1451" s="17"/>
      <c r="BL1451" s="17"/>
      <c r="BM1451" s="17"/>
      <c r="BN1451" s="17"/>
      <c r="BO1451" s="17"/>
      <c r="BP1451" s="17"/>
      <c r="BQ1451" s="17"/>
      <c r="BR1451" s="17"/>
      <c r="BS1451" s="17"/>
      <c r="BT1451" s="17"/>
      <c r="BU1451" s="17"/>
      <c r="BV1451" s="17"/>
      <c r="BW1451" s="17"/>
      <c r="BX1451" s="17"/>
    </row>
    <row r="1452" customHeight="1" spans="1:76">
      <c r="A1452" s="17"/>
      <c r="B1452" s="17"/>
      <c r="C1452" s="17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  <c r="AD1452" s="17"/>
      <c r="AE1452" s="17"/>
      <c r="AF1452" s="17"/>
      <c r="AG1452" s="17"/>
      <c r="AH1452" s="17"/>
      <c r="AI1452" s="17"/>
      <c r="AJ1452" s="17"/>
      <c r="AK1452" s="17"/>
      <c r="AL1452" s="17"/>
      <c r="AM1452" s="17"/>
      <c r="AN1452" s="17"/>
      <c r="AO1452" s="17"/>
      <c r="AP1452" s="17"/>
      <c r="AQ1452" s="17"/>
      <c r="AR1452" s="17"/>
      <c r="AS1452" s="17"/>
      <c r="AT1452" s="17"/>
      <c r="AU1452" s="17"/>
      <c r="AV1452" s="17"/>
      <c r="AW1452" s="17"/>
      <c r="AX1452" s="17"/>
      <c r="AY1452" s="17"/>
      <c r="AZ1452" s="17"/>
      <c r="BA1452" s="17"/>
      <c r="BB1452" s="17"/>
      <c r="BC1452" s="17"/>
      <c r="BD1452" s="17"/>
      <c r="BE1452" s="17"/>
      <c r="BF1452" s="17"/>
      <c r="BG1452" s="17"/>
      <c r="BH1452" s="17"/>
      <c r="BI1452" s="17"/>
      <c r="BJ1452" s="17"/>
      <c r="BK1452" s="17"/>
      <c r="BL1452" s="17"/>
      <c r="BM1452" s="17"/>
      <c r="BN1452" s="17"/>
      <c r="BO1452" s="17"/>
      <c r="BP1452" s="17"/>
      <c r="BQ1452" s="17"/>
      <c r="BR1452" s="17"/>
      <c r="BS1452" s="17"/>
      <c r="BT1452" s="17"/>
      <c r="BU1452" s="17"/>
      <c r="BV1452" s="17"/>
      <c r="BW1452" s="17"/>
      <c r="BX1452" s="17"/>
    </row>
    <row r="1453" customHeight="1" spans="1:76">
      <c r="A1453" s="17"/>
      <c r="B1453" s="17"/>
      <c r="C1453" s="17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17"/>
      <c r="AD1453" s="17"/>
      <c r="AE1453" s="17"/>
      <c r="AF1453" s="17"/>
      <c r="AG1453" s="17"/>
      <c r="AH1453" s="17"/>
      <c r="AI1453" s="17"/>
      <c r="AJ1453" s="17"/>
      <c r="AK1453" s="17"/>
      <c r="AL1453" s="17"/>
      <c r="AM1453" s="17"/>
      <c r="AN1453" s="17"/>
      <c r="AO1453" s="17"/>
      <c r="AP1453" s="17"/>
      <c r="AQ1453" s="17"/>
      <c r="AR1453" s="17"/>
      <c r="AS1453" s="17"/>
      <c r="AT1453" s="17"/>
      <c r="AU1453" s="17"/>
      <c r="AV1453" s="17"/>
      <c r="AW1453" s="17"/>
      <c r="AX1453" s="17"/>
      <c r="AY1453" s="17"/>
      <c r="AZ1453" s="17"/>
      <c r="BA1453" s="17"/>
      <c r="BB1453" s="17"/>
      <c r="BC1453" s="17"/>
      <c r="BD1453" s="17"/>
      <c r="BE1453" s="17"/>
      <c r="BF1453" s="17"/>
      <c r="BG1453" s="17"/>
      <c r="BH1453" s="17"/>
      <c r="BI1453" s="17"/>
      <c r="BJ1453" s="17"/>
      <c r="BK1453" s="17"/>
      <c r="BL1453" s="17"/>
      <c r="BM1453" s="17"/>
      <c r="BN1453" s="17"/>
      <c r="BO1453" s="17"/>
      <c r="BP1453" s="17"/>
      <c r="BQ1453" s="17"/>
      <c r="BR1453" s="17"/>
      <c r="BS1453" s="17"/>
      <c r="BT1453" s="17"/>
      <c r="BU1453" s="17"/>
      <c r="BV1453" s="17"/>
      <c r="BW1453" s="17"/>
      <c r="BX1453" s="17"/>
    </row>
    <row r="1454" customHeight="1" spans="1:76">
      <c r="A1454" s="17"/>
      <c r="B1454" s="17"/>
      <c r="C1454" s="17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  <c r="AD1454" s="17"/>
      <c r="AE1454" s="17"/>
      <c r="AF1454" s="17"/>
      <c r="AG1454" s="17"/>
      <c r="AH1454" s="17"/>
      <c r="AI1454" s="17"/>
      <c r="AJ1454" s="17"/>
      <c r="AK1454" s="17"/>
      <c r="AL1454" s="17"/>
      <c r="AM1454" s="17"/>
      <c r="AN1454" s="17"/>
      <c r="AO1454" s="17"/>
      <c r="AP1454" s="17"/>
      <c r="AQ1454" s="17"/>
      <c r="AR1454" s="17"/>
      <c r="AS1454" s="17"/>
      <c r="AT1454" s="17"/>
      <c r="AU1454" s="17"/>
      <c r="AV1454" s="17"/>
      <c r="AW1454" s="17"/>
      <c r="AX1454" s="17"/>
      <c r="AY1454" s="17"/>
      <c r="AZ1454" s="17"/>
      <c r="BA1454" s="17"/>
      <c r="BB1454" s="17"/>
      <c r="BC1454" s="17"/>
      <c r="BD1454" s="17"/>
      <c r="BE1454" s="17"/>
      <c r="BF1454" s="17"/>
      <c r="BG1454" s="17"/>
      <c r="BH1454" s="17"/>
      <c r="BI1454" s="17"/>
      <c r="BJ1454" s="17"/>
      <c r="BK1454" s="17"/>
      <c r="BL1454" s="17"/>
      <c r="BM1454" s="17"/>
      <c r="BN1454" s="17"/>
      <c r="BO1454" s="17"/>
      <c r="BP1454" s="17"/>
      <c r="BQ1454" s="17"/>
      <c r="BR1454" s="17"/>
      <c r="BS1454" s="17"/>
      <c r="BT1454" s="17"/>
      <c r="BU1454" s="17"/>
      <c r="BV1454" s="17"/>
      <c r="BW1454" s="17"/>
      <c r="BX1454" s="17"/>
    </row>
    <row r="1455" customHeight="1" spans="1:76">
      <c r="A1455" s="17"/>
      <c r="B1455" s="17"/>
      <c r="C1455" s="17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  <c r="AE1455" s="17"/>
      <c r="AF1455" s="17"/>
      <c r="AG1455" s="17"/>
      <c r="AH1455" s="17"/>
      <c r="AI1455" s="17"/>
      <c r="AJ1455" s="17"/>
      <c r="AK1455" s="17"/>
      <c r="AL1455" s="17"/>
      <c r="AM1455" s="17"/>
      <c r="AN1455" s="17"/>
      <c r="AO1455" s="17"/>
      <c r="AP1455" s="17"/>
      <c r="AQ1455" s="17"/>
      <c r="AR1455" s="17"/>
      <c r="AS1455" s="17"/>
      <c r="AT1455" s="17"/>
      <c r="AU1455" s="17"/>
      <c r="AV1455" s="17"/>
      <c r="AW1455" s="17"/>
      <c r="AX1455" s="17"/>
      <c r="AY1455" s="17"/>
      <c r="AZ1455" s="17"/>
      <c r="BA1455" s="17"/>
      <c r="BB1455" s="17"/>
      <c r="BC1455" s="17"/>
      <c r="BD1455" s="17"/>
      <c r="BE1455" s="17"/>
      <c r="BF1455" s="17"/>
      <c r="BG1455" s="17"/>
      <c r="BH1455" s="17"/>
      <c r="BI1455" s="17"/>
      <c r="BJ1455" s="17"/>
      <c r="BK1455" s="17"/>
      <c r="BL1455" s="17"/>
      <c r="BM1455" s="17"/>
      <c r="BN1455" s="17"/>
      <c r="BO1455" s="17"/>
      <c r="BP1455" s="17"/>
      <c r="BQ1455" s="17"/>
      <c r="BR1455" s="17"/>
      <c r="BS1455" s="17"/>
      <c r="BT1455" s="17"/>
      <c r="BU1455" s="17"/>
      <c r="BV1455" s="17"/>
      <c r="BW1455" s="17"/>
      <c r="BX1455" s="17"/>
    </row>
    <row r="1456" customHeight="1" spans="1:76">
      <c r="A1456" s="17"/>
      <c r="B1456" s="17"/>
      <c r="C1456" s="17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17"/>
      <c r="AF1456" s="17"/>
      <c r="AG1456" s="17"/>
      <c r="AH1456" s="17"/>
      <c r="AI1456" s="17"/>
      <c r="AJ1456" s="17"/>
      <c r="AK1456" s="17"/>
      <c r="AL1456" s="17"/>
      <c r="AM1456" s="17"/>
      <c r="AN1456" s="17"/>
      <c r="AO1456" s="17"/>
      <c r="AP1456" s="17"/>
      <c r="AQ1456" s="17"/>
      <c r="AR1456" s="17"/>
      <c r="AS1456" s="17"/>
      <c r="AT1456" s="17"/>
      <c r="AU1456" s="17"/>
      <c r="AV1456" s="17"/>
      <c r="AW1456" s="17"/>
      <c r="AX1456" s="17"/>
      <c r="AY1456" s="17"/>
      <c r="AZ1456" s="17"/>
      <c r="BA1456" s="17"/>
      <c r="BB1456" s="17"/>
      <c r="BC1456" s="17"/>
      <c r="BD1456" s="17"/>
      <c r="BE1456" s="17"/>
      <c r="BF1456" s="17"/>
      <c r="BG1456" s="17"/>
      <c r="BH1456" s="17"/>
      <c r="BI1456" s="17"/>
      <c r="BJ1456" s="17"/>
      <c r="BK1456" s="17"/>
      <c r="BL1456" s="17"/>
      <c r="BM1456" s="17"/>
      <c r="BN1456" s="17"/>
      <c r="BO1456" s="17"/>
      <c r="BP1456" s="17"/>
      <c r="BQ1456" s="17"/>
      <c r="BR1456" s="17"/>
      <c r="BS1456" s="17"/>
      <c r="BT1456" s="17"/>
      <c r="BU1456" s="17"/>
      <c r="BV1456" s="17"/>
      <c r="BW1456" s="17"/>
      <c r="BX1456" s="17"/>
    </row>
    <row r="1457" customHeight="1" spans="1:76">
      <c r="A1457" s="17"/>
      <c r="B1457" s="17"/>
      <c r="C1457" s="17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  <c r="AE1457" s="17"/>
      <c r="AF1457" s="17"/>
      <c r="AG1457" s="17"/>
      <c r="AH1457" s="17"/>
      <c r="AI1457" s="17"/>
      <c r="AJ1457" s="17"/>
      <c r="AK1457" s="17"/>
      <c r="AL1457" s="17"/>
      <c r="AM1457" s="17"/>
      <c r="AN1457" s="17"/>
      <c r="AO1457" s="17"/>
      <c r="AP1457" s="17"/>
      <c r="AQ1457" s="17"/>
      <c r="AR1457" s="17"/>
      <c r="AS1457" s="17"/>
      <c r="AT1457" s="17"/>
      <c r="AU1457" s="17"/>
      <c r="AV1457" s="17"/>
      <c r="AW1457" s="17"/>
      <c r="AX1457" s="17"/>
      <c r="AY1457" s="17"/>
      <c r="AZ1457" s="17"/>
      <c r="BA1457" s="17"/>
      <c r="BB1457" s="17"/>
      <c r="BC1457" s="17"/>
      <c r="BD1457" s="17"/>
      <c r="BE1457" s="17"/>
      <c r="BF1457" s="17"/>
      <c r="BG1457" s="17"/>
      <c r="BH1457" s="17"/>
      <c r="BI1457" s="17"/>
      <c r="BJ1457" s="17"/>
      <c r="BK1457" s="17"/>
      <c r="BL1457" s="17"/>
      <c r="BM1457" s="17"/>
      <c r="BN1457" s="17"/>
      <c r="BO1457" s="17"/>
      <c r="BP1457" s="17"/>
      <c r="BQ1457" s="17"/>
      <c r="BR1457" s="17"/>
      <c r="BS1457" s="17"/>
      <c r="BT1457" s="17"/>
      <c r="BU1457" s="17"/>
      <c r="BV1457" s="17"/>
      <c r="BW1457" s="17"/>
      <c r="BX1457" s="17"/>
    </row>
    <row r="1458" customHeight="1" spans="1:76">
      <c r="A1458" s="17"/>
      <c r="B1458" s="17"/>
      <c r="C1458" s="17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  <c r="AE1458" s="17"/>
      <c r="AF1458" s="17"/>
      <c r="AG1458" s="17"/>
      <c r="AH1458" s="17"/>
      <c r="AI1458" s="17"/>
      <c r="AJ1458" s="17"/>
      <c r="AK1458" s="17"/>
      <c r="AL1458" s="17"/>
      <c r="AM1458" s="17"/>
      <c r="AN1458" s="17"/>
      <c r="AO1458" s="17"/>
      <c r="AP1458" s="17"/>
      <c r="AQ1458" s="17"/>
      <c r="AR1458" s="17"/>
      <c r="AS1458" s="17"/>
      <c r="AT1458" s="17"/>
      <c r="AU1458" s="17"/>
      <c r="AV1458" s="17"/>
      <c r="AW1458" s="17"/>
      <c r="AX1458" s="17"/>
      <c r="AY1458" s="17"/>
      <c r="AZ1458" s="17"/>
      <c r="BA1458" s="17"/>
      <c r="BB1458" s="17"/>
      <c r="BC1458" s="17"/>
      <c r="BD1458" s="17"/>
      <c r="BE1458" s="17"/>
      <c r="BF1458" s="17"/>
      <c r="BG1458" s="17"/>
      <c r="BH1458" s="17"/>
      <c r="BI1458" s="17"/>
      <c r="BJ1458" s="17"/>
      <c r="BK1458" s="17"/>
      <c r="BL1458" s="17"/>
      <c r="BM1458" s="17"/>
      <c r="BN1458" s="17"/>
      <c r="BO1458" s="17"/>
      <c r="BP1458" s="17"/>
      <c r="BQ1458" s="17"/>
      <c r="BR1458" s="17"/>
      <c r="BS1458" s="17"/>
      <c r="BT1458" s="17"/>
      <c r="BU1458" s="17"/>
      <c r="BV1458" s="17"/>
      <c r="BW1458" s="17"/>
      <c r="BX1458" s="17"/>
    </row>
    <row r="1459" customHeight="1" spans="1:76">
      <c r="A1459" s="17"/>
      <c r="B1459" s="17"/>
      <c r="C1459" s="17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/>
      <c r="AE1459" s="17"/>
      <c r="AF1459" s="17"/>
      <c r="AG1459" s="17"/>
      <c r="AH1459" s="17"/>
      <c r="AI1459" s="17"/>
      <c r="AJ1459" s="17"/>
      <c r="AK1459" s="17"/>
      <c r="AL1459" s="17"/>
      <c r="AM1459" s="17"/>
      <c r="AN1459" s="17"/>
      <c r="AO1459" s="17"/>
      <c r="AP1459" s="17"/>
      <c r="AQ1459" s="17"/>
      <c r="AR1459" s="17"/>
      <c r="AS1459" s="17"/>
      <c r="AT1459" s="17"/>
      <c r="AU1459" s="17"/>
      <c r="AV1459" s="17"/>
      <c r="AW1459" s="17"/>
      <c r="AX1459" s="17"/>
      <c r="AY1459" s="17"/>
      <c r="AZ1459" s="17"/>
      <c r="BA1459" s="17"/>
      <c r="BB1459" s="17"/>
      <c r="BC1459" s="17"/>
      <c r="BD1459" s="17"/>
      <c r="BE1459" s="17"/>
      <c r="BF1459" s="17"/>
      <c r="BG1459" s="17"/>
      <c r="BH1459" s="17"/>
      <c r="BI1459" s="17"/>
      <c r="BJ1459" s="17"/>
      <c r="BK1459" s="17"/>
      <c r="BL1459" s="17"/>
      <c r="BM1459" s="17"/>
      <c r="BN1459" s="17"/>
      <c r="BO1459" s="17"/>
      <c r="BP1459" s="17"/>
      <c r="BQ1459" s="17"/>
      <c r="BR1459" s="17"/>
      <c r="BS1459" s="17"/>
      <c r="BT1459" s="17"/>
      <c r="BU1459" s="17"/>
      <c r="BV1459" s="17"/>
      <c r="BW1459" s="17"/>
      <c r="BX1459" s="17"/>
    </row>
    <row r="1460" customHeight="1" spans="1:76">
      <c r="A1460" s="17"/>
      <c r="B1460" s="17"/>
      <c r="C1460" s="17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17"/>
      <c r="AD1460" s="17"/>
      <c r="AE1460" s="17"/>
      <c r="AF1460" s="17"/>
      <c r="AG1460" s="17"/>
      <c r="AH1460" s="17"/>
      <c r="AI1460" s="17"/>
      <c r="AJ1460" s="17"/>
      <c r="AK1460" s="17"/>
      <c r="AL1460" s="17"/>
      <c r="AM1460" s="17"/>
      <c r="AN1460" s="17"/>
      <c r="AO1460" s="17"/>
      <c r="AP1460" s="17"/>
      <c r="AQ1460" s="17"/>
      <c r="AR1460" s="17"/>
      <c r="AS1460" s="17"/>
      <c r="AT1460" s="17"/>
      <c r="AU1460" s="17"/>
      <c r="AV1460" s="17"/>
      <c r="AW1460" s="17"/>
      <c r="AX1460" s="17"/>
      <c r="AY1460" s="17"/>
      <c r="AZ1460" s="17"/>
      <c r="BA1460" s="17"/>
      <c r="BB1460" s="17"/>
      <c r="BC1460" s="17"/>
      <c r="BD1460" s="17"/>
      <c r="BE1460" s="17"/>
      <c r="BF1460" s="17"/>
      <c r="BG1460" s="17"/>
      <c r="BH1460" s="17"/>
      <c r="BI1460" s="17"/>
      <c r="BJ1460" s="17"/>
      <c r="BK1460" s="17"/>
      <c r="BL1460" s="17"/>
      <c r="BM1460" s="17"/>
      <c r="BN1460" s="17"/>
      <c r="BO1460" s="17"/>
      <c r="BP1460" s="17"/>
      <c r="BQ1460" s="17"/>
      <c r="BR1460" s="17"/>
      <c r="BS1460" s="17"/>
      <c r="BT1460" s="17"/>
      <c r="BU1460" s="17"/>
      <c r="BV1460" s="17"/>
      <c r="BW1460" s="17"/>
      <c r="BX1460" s="17"/>
    </row>
    <row r="1461" customHeight="1" spans="1:76">
      <c r="A1461" s="17"/>
      <c r="B1461" s="17"/>
      <c r="C1461" s="17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17"/>
      <c r="AF1461" s="17"/>
      <c r="AG1461" s="17"/>
      <c r="AH1461" s="17"/>
      <c r="AI1461" s="17"/>
      <c r="AJ1461" s="17"/>
      <c r="AK1461" s="17"/>
      <c r="AL1461" s="17"/>
      <c r="AM1461" s="17"/>
      <c r="AN1461" s="17"/>
      <c r="AO1461" s="17"/>
      <c r="AP1461" s="17"/>
      <c r="AQ1461" s="17"/>
      <c r="AR1461" s="17"/>
      <c r="AS1461" s="17"/>
      <c r="AT1461" s="17"/>
      <c r="AU1461" s="17"/>
      <c r="AV1461" s="17"/>
      <c r="AW1461" s="17"/>
      <c r="AX1461" s="17"/>
      <c r="AY1461" s="17"/>
      <c r="AZ1461" s="17"/>
      <c r="BA1461" s="17"/>
      <c r="BB1461" s="17"/>
      <c r="BC1461" s="17"/>
      <c r="BD1461" s="17"/>
      <c r="BE1461" s="17"/>
      <c r="BF1461" s="17"/>
      <c r="BG1461" s="17"/>
      <c r="BH1461" s="17"/>
      <c r="BI1461" s="17"/>
      <c r="BJ1461" s="17"/>
      <c r="BK1461" s="17"/>
      <c r="BL1461" s="17"/>
      <c r="BM1461" s="17"/>
      <c r="BN1461" s="17"/>
      <c r="BO1461" s="17"/>
      <c r="BP1461" s="17"/>
      <c r="BQ1461" s="17"/>
      <c r="BR1461" s="17"/>
      <c r="BS1461" s="17"/>
      <c r="BT1461" s="17"/>
      <c r="BU1461" s="17"/>
      <c r="BV1461" s="17"/>
      <c r="BW1461" s="17"/>
      <c r="BX1461" s="17"/>
    </row>
    <row r="1462" customHeight="1" spans="1:76">
      <c r="A1462" s="17"/>
      <c r="B1462" s="17"/>
      <c r="C1462" s="17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  <c r="AD1462" s="17"/>
      <c r="AE1462" s="17"/>
      <c r="AF1462" s="17"/>
      <c r="AG1462" s="17"/>
      <c r="AH1462" s="17"/>
      <c r="AI1462" s="17"/>
      <c r="AJ1462" s="17"/>
      <c r="AK1462" s="17"/>
      <c r="AL1462" s="17"/>
      <c r="AM1462" s="17"/>
      <c r="AN1462" s="17"/>
      <c r="AO1462" s="17"/>
      <c r="AP1462" s="17"/>
      <c r="AQ1462" s="17"/>
      <c r="AR1462" s="17"/>
      <c r="AS1462" s="17"/>
      <c r="AT1462" s="17"/>
      <c r="AU1462" s="17"/>
      <c r="AV1462" s="17"/>
      <c r="AW1462" s="17"/>
      <c r="AX1462" s="17"/>
      <c r="AY1462" s="17"/>
      <c r="AZ1462" s="17"/>
      <c r="BA1462" s="17"/>
      <c r="BB1462" s="17"/>
      <c r="BC1462" s="17"/>
      <c r="BD1462" s="17"/>
      <c r="BE1462" s="17"/>
      <c r="BF1462" s="17"/>
      <c r="BG1462" s="17"/>
      <c r="BH1462" s="17"/>
      <c r="BI1462" s="17"/>
      <c r="BJ1462" s="17"/>
      <c r="BK1462" s="17"/>
      <c r="BL1462" s="17"/>
      <c r="BM1462" s="17"/>
      <c r="BN1462" s="17"/>
      <c r="BO1462" s="17"/>
      <c r="BP1462" s="17"/>
      <c r="BQ1462" s="17"/>
      <c r="BR1462" s="17"/>
      <c r="BS1462" s="17"/>
      <c r="BT1462" s="17"/>
      <c r="BU1462" s="17"/>
      <c r="BV1462" s="17"/>
      <c r="BW1462" s="17"/>
      <c r="BX1462" s="17"/>
    </row>
    <row r="1463" customHeight="1" spans="1:76">
      <c r="A1463" s="17"/>
      <c r="B1463" s="17"/>
      <c r="C1463" s="17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  <c r="AD1463" s="17"/>
      <c r="AE1463" s="17"/>
      <c r="AF1463" s="17"/>
      <c r="AG1463" s="17"/>
      <c r="AH1463" s="17"/>
      <c r="AI1463" s="17"/>
      <c r="AJ1463" s="17"/>
      <c r="AK1463" s="17"/>
      <c r="AL1463" s="17"/>
      <c r="AM1463" s="17"/>
      <c r="AN1463" s="17"/>
      <c r="AO1463" s="17"/>
      <c r="AP1463" s="17"/>
      <c r="AQ1463" s="17"/>
      <c r="AR1463" s="17"/>
      <c r="AS1463" s="17"/>
      <c r="AT1463" s="17"/>
      <c r="AU1463" s="17"/>
      <c r="AV1463" s="17"/>
      <c r="AW1463" s="17"/>
      <c r="AX1463" s="17"/>
      <c r="AY1463" s="17"/>
      <c r="AZ1463" s="17"/>
      <c r="BA1463" s="17"/>
      <c r="BB1463" s="17"/>
      <c r="BC1463" s="17"/>
      <c r="BD1463" s="17"/>
      <c r="BE1463" s="17"/>
      <c r="BF1463" s="17"/>
      <c r="BG1463" s="17"/>
      <c r="BH1463" s="17"/>
      <c r="BI1463" s="17"/>
      <c r="BJ1463" s="17"/>
      <c r="BK1463" s="17"/>
      <c r="BL1463" s="17"/>
      <c r="BM1463" s="17"/>
      <c r="BN1463" s="17"/>
      <c r="BO1463" s="17"/>
      <c r="BP1463" s="17"/>
      <c r="BQ1463" s="17"/>
      <c r="BR1463" s="17"/>
      <c r="BS1463" s="17"/>
      <c r="BT1463" s="17"/>
      <c r="BU1463" s="17"/>
      <c r="BV1463" s="17"/>
      <c r="BW1463" s="17"/>
      <c r="BX1463" s="17"/>
    </row>
    <row r="1464" customHeight="1" spans="1:76">
      <c r="A1464" s="17"/>
      <c r="B1464" s="17"/>
      <c r="C1464" s="17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/>
      <c r="AE1464" s="17"/>
      <c r="AF1464" s="17"/>
      <c r="AG1464" s="17"/>
      <c r="AH1464" s="17"/>
      <c r="AI1464" s="17"/>
      <c r="AJ1464" s="17"/>
      <c r="AK1464" s="17"/>
      <c r="AL1464" s="17"/>
      <c r="AM1464" s="17"/>
      <c r="AN1464" s="17"/>
      <c r="AO1464" s="17"/>
      <c r="AP1464" s="17"/>
      <c r="AQ1464" s="17"/>
      <c r="AR1464" s="17"/>
      <c r="AS1464" s="17"/>
      <c r="AT1464" s="17"/>
      <c r="AU1464" s="17"/>
      <c r="AV1464" s="17"/>
      <c r="AW1464" s="17"/>
      <c r="AX1464" s="17"/>
      <c r="AY1464" s="17"/>
      <c r="AZ1464" s="17"/>
      <c r="BA1464" s="17"/>
      <c r="BB1464" s="17"/>
      <c r="BC1464" s="17"/>
      <c r="BD1464" s="17"/>
      <c r="BE1464" s="17"/>
      <c r="BF1464" s="17"/>
      <c r="BG1464" s="17"/>
      <c r="BH1464" s="17"/>
      <c r="BI1464" s="17"/>
      <c r="BJ1464" s="17"/>
      <c r="BK1464" s="17"/>
      <c r="BL1464" s="17"/>
      <c r="BM1464" s="17"/>
      <c r="BN1464" s="17"/>
      <c r="BO1464" s="17"/>
      <c r="BP1464" s="17"/>
      <c r="BQ1464" s="17"/>
      <c r="BR1464" s="17"/>
      <c r="BS1464" s="17"/>
      <c r="BT1464" s="17"/>
      <c r="BU1464" s="17"/>
      <c r="BV1464" s="17"/>
      <c r="BW1464" s="17"/>
      <c r="BX1464" s="17"/>
    </row>
    <row r="1465" customHeight="1" spans="1:76">
      <c r="A1465" s="17"/>
      <c r="B1465" s="17"/>
      <c r="C1465" s="17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  <c r="AD1465" s="17"/>
      <c r="AE1465" s="17"/>
      <c r="AF1465" s="17"/>
      <c r="AG1465" s="17"/>
      <c r="AH1465" s="17"/>
      <c r="AI1465" s="17"/>
      <c r="AJ1465" s="17"/>
      <c r="AK1465" s="17"/>
      <c r="AL1465" s="17"/>
      <c r="AM1465" s="17"/>
      <c r="AN1465" s="17"/>
      <c r="AO1465" s="17"/>
      <c r="AP1465" s="17"/>
      <c r="AQ1465" s="17"/>
      <c r="AR1465" s="17"/>
      <c r="AS1465" s="17"/>
      <c r="AT1465" s="17"/>
      <c r="AU1465" s="17"/>
      <c r="AV1465" s="17"/>
      <c r="AW1465" s="17"/>
      <c r="AX1465" s="17"/>
      <c r="AY1465" s="17"/>
      <c r="AZ1465" s="17"/>
      <c r="BA1465" s="17"/>
      <c r="BB1465" s="17"/>
      <c r="BC1465" s="17"/>
      <c r="BD1465" s="17"/>
      <c r="BE1465" s="17"/>
      <c r="BF1465" s="17"/>
      <c r="BG1465" s="17"/>
      <c r="BH1465" s="17"/>
      <c r="BI1465" s="17"/>
      <c r="BJ1465" s="17"/>
      <c r="BK1465" s="17"/>
      <c r="BL1465" s="17"/>
      <c r="BM1465" s="17"/>
      <c r="BN1465" s="17"/>
      <c r="BO1465" s="17"/>
      <c r="BP1465" s="17"/>
      <c r="BQ1465" s="17"/>
      <c r="BR1465" s="17"/>
      <c r="BS1465" s="17"/>
      <c r="BT1465" s="17"/>
      <c r="BU1465" s="17"/>
      <c r="BV1465" s="17"/>
      <c r="BW1465" s="17"/>
      <c r="BX1465" s="17"/>
    </row>
    <row r="1466" customHeight="1" spans="1:76">
      <c r="A1466" s="17"/>
      <c r="B1466" s="17"/>
      <c r="C1466" s="17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  <c r="AE1466" s="17"/>
      <c r="AF1466" s="17"/>
      <c r="AG1466" s="17"/>
      <c r="AH1466" s="17"/>
      <c r="AI1466" s="17"/>
      <c r="AJ1466" s="17"/>
      <c r="AK1466" s="17"/>
      <c r="AL1466" s="17"/>
      <c r="AM1466" s="17"/>
      <c r="AN1466" s="17"/>
      <c r="AO1466" s="17"/>
      <c r="AP1466" s="17"/>
      <c r="AQ1466" s="17"/>
      <c r="AR1466" s="17"/>
      <c r="AS1466" s="17"/>
      <c r="AT1466" s="17"/>
      <c r="AU1466" s="17"/>
      <c r="AV1466" s="17"/>
      <c r="AW1466" s="17"/>
      <c r="AX1466" s="17"/>
      <c r="AY1466" s="17"/>
      <c r="AZ1466" s="17"/>
      <c r="BA1466" s="17"/>
      <c r="BB1466" s="17"/>
      <c r="BC1466" s="17"/>
      <c r="BD1466" s="17"/>
      <c r="BE1466" s="17"/>
      <c r="BF1466" s="17"/>
      <c r="BG1466" s="17"/>
      <c r="BH1466" s="17"/>
      <c r="BI1466" s="17"/>
      <c r="BJ1466" s="17"/>
      <c r="BK1466" s="17"/>
      <c r="BL1466" s="17"/>
      <c r="BM1466" s="17"/>
      <c r="BN1466" s="17"/>
      <c r="BO1466" s="17"/>
      <c r="BP1466" s="17"/>
      <c r="BQ1466" s="17"/>
      <c r="BR1466" s="17"/>
      <c r="BS1466" s="17"/>
      <c r="BT1466" s="17"/>
      <c r="BU1466" s="17"/>
      <c r="BV1466" s="17"/>
      <c r="BW1466" s="17"/>
      <c r="BX1466" s="17"/>
    </row>
    <row r="1467" customHeight="1" spans="1:76">
      <c r="A1467" s="17"/>
      <c r="B1467" s="17"/>
      <c r="C1467" s="17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7"/>
      <c r="AD1467" s="17"/>
      <c r="AE1467" s="17"/>
      <c r="AF1467" s="17"/>
      <c r="AG1467" s="17"/>
      <c r="AH1467" s="17"/>
      <c r="AI1467" s="17"/>
      <c r="AJ1467" s="17"/>
      <c r="AK1467" s="17"/>
      <c r="AL1467" s="17"/>
      <c r="AM1467" s="17"/>
      <c r="AN1467" s="17"/>
      <c r="AO1467" s="17"/>
      <c r="AP1467" s="17"/>
      <c r="AQ1467" s="17"/>
      <c r="AR1467" s="17"/>
      <c r="AS1467" s="17"/>
      <c r="AT1467" s="17"/>
      <c r="AU1467" s="17"/>
      <c r="AV1467" s="17"/>
      <c r="AW1467" s="17"/>
      <c r="AX1467" s="17"/>
      <c r="AY1467" s="17"/>
      <c r="AZ1467" s="17"/>
      <c r="BA1467" s="17"/>
      <c r="BB1467" s="17"/>
      <c r="BC1467" s="17"/>
      <c r="BD1467" s="17"/>
      <c r="BE1467" s="17"/>
      <c r="BF1467" s="17"/>
      <c r="BG1467" s="17"/>
      <c r="BH1467" s="17"/>
      <c r="BI1467" s="17"/>
      <c r="BJ1467" s="17"/>
      <c r="BK1467" s="17"/>
      <c r="BL1467" s="17"/>
      <c r="BM1467" s="17"/>
      <c r="BN1467" s="17"/>
      <c r="BO1467" s="17"/>
      <c r="BP1467" s="17"/>
      <c r="BQ1467" s="17"/>
      <c r="BR1467" s="17"/>
      <c r="BS1467" s="17"/>
      <c r="BT1467" s="17"/>
      <c r="BU1467" s="17"/>
      <c r="BV1467" s="17"/>
      <c r="BW1467" s="17"/>
      <c r="BX1467" s="17"/>
    </row>
    <row r="1468" customHeight="1" spans="1:76">
      <c r="A1468" s="17"/>
      <c r="B1468" s="17"/>
      <c r="C1468" s="17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  <c r="AE1468" s="17"/>
      <c r="AF1468" s="17"/>
      <c r="AG1468" s="17"/>
      <c r="AH1468" s="17"/>
      <c r="AI1468" s="17"/>
      <c r="AJ1468" s="17"/>
      <c r="AK1468" s="17"/>
      <c r="AL1468" s="17"/>
      <c r="AM1468" s="17"/>
      <c r="AN1468" s="17"/>
      <c r="AO1468" s="17"/>
      <c r="AP1468" s="17"/>
      <c r="AQ1468" s="17"/>
      <c r="AR1468" s="17"/>
      <c r="AS1468" s="17"/>
      <c r="AT1468" s="17"/>
      <c r="AU1468" s="17"/>
      <c r="AV1468" s="17"/>
      <c r="AW1468" s="17"/>
      <c r="AX1468" s="17"/>
      <c r="AY1468" s="17"/>
      <c r="AZ1468" s="17"/>
      <c r="BA1468" s="17"/>
      <c r="BB1468" s="17"/>
      <c r="BC1468" s="17"/>
      <c r="BD1468" s="17"/>
      <c r="BE1468" s="17"/>
      <c r="BF1468" s="17"/>
      <c r="BG1468" s="17"/>
      <c r="BH1468" s="17"/>
      <c r="BI1468" s="17"/>
      <c r="BJ1468" s="17"/>
      <c r="BK1468" s="17"/>
      <c r="BL1468" s="17"/>
      <c r="BM1468" s="17"/>
      <c r="BN1468" s="17"/>
      <c r="BO1468" s="17"/>
      <c r="BP1468" s="17"/>
      <c r="BQ1468" s="17"/>
      <c r="BR1468" s="17"/>
      <c r="BS1468" s="17"/>
      <c r="BT1468" s="17"/>
      <c r="BU1468" s="17"/>
      <c r="BV1468" s="17"/>
      <c r="BW1468" s="17"/>
      <c r="BX1468" s="17"/>
    </row>
    <row r="1469" customHeight="1" spans="1:76">
      <c r="A1469" s="17"/>
      <c r="B1469" s="17"/>
      <c r="C1469" s="17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  <c r="AE1469" s="17"/>
      <c r="AF1469" s="17"/>
      <c r="AG1469" s="17"/>
      <c r="AH1469" s="17"/>
      <c r="AI1469" s="17"/>
      <c r="AJ1469" s="17"/>
      <c r="AK1469" s="17"/>
      <c r="AL1469" s="17"/>
      <c r="AM1469" s="17"/>
      <c r="AN1469" s="17"/>
      <c r="AO1469" s="17"/>
      <c r="AP1469" s="17"/>
      <c r="AQ1469" s="17"/>
      <c r="AR1469" s="17"/>
      <c r="AS1469" s="17"/>
      <c r="AT1469" s="17"/>
      <c r="AU1469" s="17"/>
      <c r="AV1469" s="17"/>
      <c r="AW1469" s="17"/>
      <c r="AX1469" s="17"/>
      <c r="AY1469" s="17"/>
      <c r="AZ1469" s="17"/>
      <c r="BA1469" s="17"/>
      <c r="BB1469" s="17"/>
      <c r="BC1469" s="17"/>
      <c r="BD1469" s="17"/>
      <c r="BE1469" s="17"/>
      <c r="BF1469" s="17"/>
      <c r="BG1469" s="17"/>
      <c r="BH1469" s="17"/>
      <c r="BI1469" s="17"/>
      <c r="BJ1469" s="17"/>
      <c r="BK1469" s="17"/>
      <c r="BL1469" s="17"/>
      <c r="BM1469" s="17"/>
      <c r="BN1469" s="17"/>
      <c r="BO1469" s="17"/>
      <c r="BP1469" s="17"/>
      <c r="BQ1469" s="17"/>
      <c r="BR1469" s="17"/>
      <c r="BS1469" s="17"/>
      <c r="BT1469" s="17"/>
      <c r="BU1469" s="17"/>
      <c r="BV1469" s="17"/>
      <c r="BW1469" s="17"/>
      <c r="BX1469" s="17"/>
    </row>
    <row r="1470" customHeight="1" spans="1:76">
      <c r="A1470" s="17"/>
      <c r="B1470" s="17"/>
      <c r="C1470" s="17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  <c r="AE1470" s="17"/>
      <c r="AF1470" s="17"/>
      <c r="AG1470" s="17"/>
      <c r="AH1470" s="17"/>
      <c r="AI1470" s="17"/>
      <c r="AJ1470" s="17"/>
      <c r="AK1470" s="17"/>
      <c r="AL1470" s="17"/>
      <c r="AM1470" s="17"/>
      <c r="AN1470" s="17"/>
      <c r="AO1470" s="17"/>
      <c r="AP1470" s="17"/>
      <c r="AQ1470" s="17"/>
      <c r="AR1470" s="17"/>
      <c r="AS1470" s="17"/>
      <c r="AT1470" s="17"/>
      <c r="AU1470" s="17"/>
      <c r="AV1470" s="17"/>
      <c r="AW1470" s="17"/>
      <c r="AX1470" s="17"/>
      <c r="AY1470" s="17"/>
      <c r="AZ1470" s="17"/>
      <c r="BA1470" s="17"/>
      <c r="BB1470" s="17"/>
      <c r="BC1470" s="17"/>
      <c r="BD1470" s="17"/>
      <c r="BE1470" s="17"/>
      <c r="BF1470" s="17"/>
      <c r="BG1470" s="17"/>
      <c r="BH1470" s="17"/>
      <c r="BI1470" s="17"/>
      <c r="BJ1470" s="17"/>
      <c r="BK1470" s="17"/>
      <c r="BL1470" s="17"/>
      <c r="BM1470" s="17"/>
      <c r="BN1470" s="17"/>
      <c r="BO1470" s="17"/>
      <c r="BP1470" s="17"/>
      <c r="BQ1470" s="17"/>
      <c r="BR1470" s="17"/>
      <c r="BS1470" s="17"/>
      <c r="BT1470" s="17"/>
      <c r="BU1470" s="17"/>
      <c r="BV1470" s="17"/>
      <c r="BW1470" s="17"/>
      <c r="BX1470" s="17"/>
    </row>
    <row r="1471" customHeight="1" spans="1:76">
      <c r="A1471" s="17"/>
      <c r="B1471" s="17"/>
      <c r="C1471" s="17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/>
      <c r="AE1471" s="17"/>
      <c r="AF1471" s="17"/>
      <c r="AG1471" s="17"/>
      <c r="AH1471" s="17"/>
      <c r="AI1471" s="17"/>
      <c r="AJ1471" s="17"/>
      <c r="AK1471" s="17"/>
      <c r="AL1471" s="17"/>
      <c r="AM1471" s="17"/>
      <c r="AN1471" s="17"/>
      <c r="AO1471" s="17"/>
      <c r="AP1471" s="17"/>
      <c r="AQ1471" s="17"/>
      <c r="AR1471" s="17"/>
      <c r="AS1471" s="17"/>
      <c r="AT1471" s="17"/>
      <c r="AU1471" s="17"/>
      <c r="AV1471" s="17"/>
      <c r="AW1471" s="17"/>
      <c r="AX1471" s="17"/>
      <c r="AY1471" s="17"/>
      <c r="AZ1471" s="17"/>
      <c r="BA1471" s="17"/>
      <c r="BB1471" s="17"/>
      <c r="BC1471" s="17"/>
      <c r="BD1471" s="17"/>
      <c r="BE1471" s="17"/>
      <c r="BF1471" s="17"/>
      <c r="BG1471" s="17"/>
      <c r="BH1471" s="17"/>
      <c r="BI1471" s="17"/>
      <c r="BJ1471" s="17"/>
      <c r="BK1471" s="17"/>
      <c r="BL1471" s="17"/>
      <c r="BM1471" s="17"/>
      <c r="BN1471" s="17"/>
      <c r="BO1471" s="17"/>
      <c r="BP1471" s="17"/>
      <c r="BQ1471" s="17"/>
      <c r="BR1471" s="17"/>
      <c r="BS1471" s="17"/>
      <c r="BT1471" s="17"/>
      <c r="BU1471" s="17"/>
      <c r="BV1471" s="17"/>
      <c r="BW1471" s="17"/>
      <c r="BX1471" s="17"/>
    </row>
    <row r="1472" customHeight="1" spans="1:76">
      <c r="A1472" s="17"/>
      <c r="B1472" s="17"/>
      <c r="C1472" s="17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17"/>
      <c r="AD1472" s="17"/>
      <c r="AE1472" s="17"/>
      <c r="AF1472" s="17"/>
      <c r="AG1472" s="17"/>
      <c r="AH1472" s="17"/>
      <c r="AI1472" s="17"/>
      <c r="AJ1472" s="17"/>
      <c r="AK1472" s="17"/>
      <c r="AL1472" s="17"/>
      <c r="AM1472" s="17"/>
      <c r="AN1472" s="17"/>
      <c r="AO1472" s="17"/>
      <c r="AP1472" s="17"/>
      <c r="AQ1472" s="17"/>
      <c r="AR1472" s="17"/>
      <c r="AS1472" s="17"/>
      <c r="AT1472" s="17"/>
      <c r="AU1472" s="17"/>
      <c r="AV1472" s="17"/>
      <c r="AW1472" s="17"/>
      <c r="AX1472" s="17"/>
      <c r="AY1472" s="17"/>
      <c r="AZ1472" s="17"/>
      <c r="BA1472" s="17"/>
      <c r="BB1472" s="17"/>
      <c r="BC1472" s="17"/>
      <c r="BD1472" s="17"/>
      <c r="BE1472" s="17"/>
      <c r="BF1472" s="17"/>
      <c r="BG1472" s="17"/>
      <c r="BH1472" s="17"/>
      <c r="BI1472" s="17"/>
      <c r="BJ1472" s="17"/>
      <c r="BK1472" s="17"/>
      <c r="BL1472" s="17"/>
      <c r="BM1472" s="17"/>
      <c r="BN1472" s="17"/>
      <c r="BO1472" s="17"/>
      <c r="BP1472" s="17"/>
      <c r="BQ1472" s="17"/>
      <c r="BR1472" s="17"/>
      <c r="BS1472" s="17"/>
      <c r="BT1472" s="17"/>
      <c r="BU1472" s="17"/>
      <c r="BV1472" s="17"/>
      <c r="BW1472" s="17"/>
      <c r="BX1472" s="17"/>
    </row>
    <row r="1473" customHeight="1" spans="1:76">
      <c r="A1473" s="17"/>
      <c r="B1473" s="17"/>
      <c r="C1473" s="17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  <c r="AD1473" s="17"/>
      <c r="AE1473" s="17"/>
      <c r="AF1473" s="17"/>
      <c r="AG1473" s="17"/>
      <c r="AH1473" s="17"/>
      <c r="AI1473" s="17"/>
      <c r="AJ1473" s="17"/>
      <c r="AK1473" s="17"/>
      <c r="AL1473" s="17"/>
      <c r="AM1473" s="17"/>
      <c r="AN1473" s="17"/>
      <c r="AO1473" s="17"/>
      <c r="AP1473" s="17"/>
      <c r="AQ1473" s="17"/>
      <c r="AR1473" s="17"/>
      <c r="AS1473" s="17"/>
      <c r="AT1473" s="17"/>
      <c r="AU1473" s="17"/>
      <c r="AV1473" s="17"/>
      <c r="AW1473" s="17"/>
      <c r="AX1473" s="17"/>
      <c r="AY1473" s="17"/>
      <c r="AZ1473" s="17"/>
      <c r="BA1473" s="17"/>
      <c r="BB1473" s="17"/>
      <c r="BC1473" s="17"/>
      <c r="BD1473" s="17"/>
      <c r="BE1473" s="17"/>
      <c r="BF1473" s="17"/>
      <c r="BG1473" s="17"/>
      <c r="BH1473" s="17"/>
      <c r="BI1473" s="17"/>
      <c r="BJ1473" s="17"/>
      <c r="BK1473" s="17"/>
      <c r="BL1473" s="17"/>
      <c r="BM1473" s="17"/>
      <c r="BN1473" s="17"/>
      <c r="BO1473" s="17"/>
      <c r="BP1473" s="17"/>
      <c r="BQ1473" s="17"/>
      <c r="BR1473" s="17"/>
      <c r="BS1473" s="17"/>
      <c r="BT1473" s="17"/>
      <c r="BU1473" s="17"/>
      <c r="BV1473" s="17"/>
      <c r="BW1473" s="17"/>
      <c r="BX1473" s="17"/>
    </row>
    <row r="1474" customHeight="1" spans="1:76">
      <c r="A1474" s="17"/>
      <c r="B1474" s="17"/>
      <c r="C1474" s="17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  <c r="AD1474" s="17"/>
      <c r="AE1474" s="17"/>
      <c r="AF1474" s="17"/>
      <c r="AG1474" s="17"/>
      <c r="AH1474" s="17"/>
      <c r="AI1474" s="17"/>
      <c r="AJ1474" s="17"/>
      <c r="AK1474" s="17"/>
      <c r="AL1474" s="17"/>
      <c r="AM1474" s="17"/>
      <c r="AN1474" s="17"/>
      <c r="AO1474" s="17"/>
      <c r="AP1474" s="17"/>
      <c r="AQ1474" s="17"/>
      <c r="AR1474" s="17"/>
      <c r="AS1474" s="17"/>
      <c r="AT1474" s="17"/>
      <c r="AU1474" s="17"/>
      <c r="AV1474" s="17"/>
      <c r="AW1474" s="17"/>
      <c r="AX1474" s="17"/>
      <c r="AY1474" s="17"/>
      <c r="AZ1474" s="17"/>
      <c r="BA1474" s="17"/>
      <c r="BB1474" s="17"/>
      <c r="BC1474" s="17"/>
      <c r="BD1474" s="17"/>
      <c r="BE1474" s="17"/>
      <c r="BF1474" s="17"/>
      <c r="BG1474" s="17"/>
      <c r="BH1474" s="17"/>
      <c r="BI1474" s="17"/>
      <c r="BJ1474" s="17"/>
      <c r="BK1474" s="17"/>
      <c r="BL1474" s="17"/>
      <c r="BM1474" s="17"/>
      <c r="BN1474" s="17"/>
      <c r="BO1474" s="17"/>
      <c r="BP1474" s="17"/>
      <c r="BQ1474" s="17"/>
      <c r="BR1474" s="17"/>
      <c r="BS1474" s="17"/>
      <c r="BT1474" s="17"/>
      <c r="BU1474" s="17"/>
      <c r="BV1474" s="17"/>
      <c r="BW1474" s="17"/>
      <c r="BX1474" s="17"/>
    </row>
    <row r="1475" customHeight="1" spans="1:76">
      <c r="A1475" s="17"/>
      <c r="B1475" s="17"/>
      <c r="C1475" s="17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  <c r="AE1475" s="17"/>
      <c r="AF1475" s="17"/>
      <c r="AG1475" s="17"/>
      <c r="AH1475" s="17"/>
      <c r="AI1475" s="17"/>
      <c r="AJ1475" s="17"/>
      <c r="AK1475" s="17"/>
      <c r="AL1475" s="17"/>
      <c r="AM1475" s="17"/>
      <c r="AN1475" s="17"/>
      <c r="AO1475" s="17"/>
      <c r="AP1475" s="17"/>
      <c r="AQ1475" s="17"/>
      <c r="AR1475" s="17"/>
      <c r="AS1475" s="17"/>
      <c r="AT1475" s="17"/>
      <c r="AU1475" s="17"/>
      <c r="AV1475" s="17"/>
      <c r="AW1475" s="17"/>
      <c r="AX1475" s="17"/>
      <c r="AY1475" s="17"/>
      <c r="AZ1475" s="17"/>
      <c r="BA1475" s="17"/>
      <c r="BB1475" s="17"/>
      <c r="BC1475" s="17"/>
      <c r="BD1475" s="17"/>
      <c r="BE1475" s="17"/>
      <c r="BF1475" s="17"/>
      <c r="BG1475" s="17"/>
      <c r="BH1475" s="17"/>
      <c r="BI1475" s="17"/>
      <c r="BJ1475" s="17"/>
      <c r="BK1475" s="17"/>
      <c r="BL1475" s="17"/>
      <c r="BM1475" s="17"/>
      <c r="BN1475" s="17"/>
      <c r="BO1475" s="17"/>
      <c r="BP1475" s="17"/>
      <c r="BQ1475" s="17"/>
      <c r="BR1475" s="17"/>
      <c r="BS1475" s="17"/>
      <c r="BT1475" s="17"/>
      <c r="BU1475" s="17"/>
      <c r="BV1475" s="17"/>
      <c r="BW1475" s="17"/>
      <c r="BX1475" s="17"/>
    </row>
    <row r="1476" customHeight="1" spans="1:76">
      <c r="A1476" s="17"/>
      <c r="B1476" s="17"/>
      <c r="C1476" s="17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17"/>
      <c r="AD1476" s="17"/>
      <c r="AE1476" s="17"/>
      <c r="AF1476" s="17"/>
      <c r="AG1476" s="17"/>
      <c r="AH1476" s="17"/>
      <c r="AI1476" s="17"/>
      <c r="AJ1476" s="17"/>
      <c r="AK1476" s="17"/>
      <c r="AL1476" s="17"/>
      <c r="AM1476" s="17"/>
      <c r="AN1476" s="17"/>
      <c r="AO1476" s="17"/>
      <c r="AP1476" s="17"/>
      <c r="AQ1476" s="17"/>
      <c r="AR1476" s="17"/>
      <c r="AS1476" s="17"/>
      <c r="AT1476" s="17"/>
      <c r="AU1476" s="17"/>
      <c r="AV1476" s="17"/>
      <c r="AW1476" s="17"/>
      <c r="AX1476" s="17"/>
      <c r="AY1476" s="17"/>
      <c r="AZ1476" s="17"/>
      <c r="BA1476" s="17"/>
      <c r="BB1476" s="17"/>
      <c r="BC1476" s="17"/>
      <c r="BD1476" s="17"/>
      <c r="BE1476" s="17"/>
      <c r="BF1476" s="17"/>
      <c r="BG1476" s="17"/>
      <c r="BH1476" s="17"/>
      <c r="BI1476" s="17"/>
      <c r="BJ1476" s="17"/>
      <c r="BK1476" s="17"/>
      <c r="BL1476" s="17"/>
      <c r="BM1476" s="17"/>
      <c r="BN1476" s="17"/>
      <c r="BO1476" s="17"/>
      <c r="BP1476" s="17"/>
      <c r="BQ1476" s="17"/>
      <c r="BR1476" s="17"/>
      <c r="BS1476" s="17"/>
      <c r="BT1476" s="17"/>
      <c r="BU1476" s="17"/>
      <c r="BV1476" s="17"/>
      <c r="BW1476" s="17"/>
      <c r="BX1476" s="17"/>
    </row>
    <row r="1477" customHeight="1" spans="1:76">
      <c r="A1477" s="17"/>
      <c r="B1477" s="17"/>
      <c r="C1477" s="17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/>
      <c r="AE1477" s="17"/>
      <c r="AF1477" s="17"/>
      <c r="AG1477" s="17"/>
      <c r="AH1477" s="17"/>
      <c r="AI1477" s="17"/>
      <c r="AJ1477" s="17"/>
      <c r="AK1477" s="17"/>
      <c r="AL1477" s="17"/>
      <c r="AM1477" s="17"/>
      <c r="AN1477" s="17"/>
      <c r="AO1477" s="17"/>
      <c r="AP1477" s="17"/>
      <c r="AQ1477" s="17"/>
      <c r="AR1477" s="17"/>
      <c r="AS1477" s="17"/>
      <c r="AT1477" s="17"/>
      <c r="AU1477" s="17"/>
      <c r="AV1477" s="17"/>
      <c r="AW1477" s="17"/>
      <c r="AX1477" s="17"/>
      <c r="AY1477" s="17"/>
      <c r="AZ1477" s="17"/>
      <c r="BA1477" s="17"/>
      <c r="BB1477" s="17"/>
      <c r="BC1477" s="17"/>
      <c r="BD1477" s="17"/>
      <c r="BE1477" s="17"/>
      <c r="BF1477" s="17"/>
      <c r="BG1477" s="17"/>
      <c r="BH1477" s="17"/>
      <c r="BI1477" s="17"/>
      <c r="BJ1477" s="17"/>
      <c r="BK1477" s="17"/>
      <c r="BL1477" s="17"/>
      <c r="BM1477" s="17"/>
      <c r="BN1477" s="17"/>
      <c r="BO1477" s="17"/>
      <c r="BP1477" s="17"/>
      <c r="BQ1477" s="17"/>
      <c r="BR1477" s="17"/>
      <c r="BS1477" s="17"/>
      <c r="BT1477" s="17"/>
      <c r="BU1477" s="17"/>
      <c r="BV1477" s="17"/>
      <c r="BW1477" s="17"/>
      <c r="BX1477" s="17"/>
    </row>
    <row r="1478" customHeight="1" spans="1:76">
      <c r="A1478" s="17"/>
      <c r="B1478" s="17"/>
      <c r="C1478" s="17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/>
      <c r="AE1478" s="17"/>
      <c r="AF1478" s="17"/>
      <c r="AG1478" s="17"/>
      <c r="AH1478" s="17"/>
      <c r="AI1478" s="17"/>
      <c r="AJ1478" s="17"/>
      <c r="AK1478" s="17"/>
      <c r="AL1478" s="17"/>
      <c r="AM1478" s="17"/>
      <c r="AN1478" s="17"/>
      <c r="AO1478" s="17"/>
      <c r="AP1478" s="17"/>
      <c r="AQ1478" s="17"/>
      <c r="AR1478" s="17"/>
      <c r="AS1478" s="17"/>
      <c r="AT1478" s="17"/>
      <c r="AU1478" s="17"/>
      <c r="AV1478" s="17"/>
      <c r="AW1478" s="17"/>
      <c r="AX1478" s="17"/>
      <c r="AY1478" s="17"/>
      <c r="AZ1478" s="17"/>
      <c r="BA1478" s="17"/>
      <c r="BB1478" s="17"/>
      <c r="BC1478" s="17"/>
      <c r="BD1478" s="17"/>
      <c r="BE1478" s="17"/>
      <c r="BF1478" s="17"/>
      <c r="BG1478" s="17"/>
      <c r="BH1478" s="17"/>
      <c r="BI1478" s="17"/>
      <c r="BJ1478" s="17"/>
      <c r="BK1478" s="17"/>
      <c r="BL1478" s="17"/>
      <c r="BM1478" s="17"/>
      <c r="BN1478" s="17"/>
      <c r="BO1478" s="17"/>
      <c r="BP1478" s="17"/>
      <c r="BQ1478" s="17"/>
      <c r="BR1478" s="17"/>
      <c r="BS1478" s="17"/>
      <c r="BT1478" s="17"/>
      <c r="BU1478" s="17"/>
      <c r="BV1478" s="17"/>
      <c r="BW1478" s="17"/>
      <c r="BX1478" s="17"/>
    </row>
    <row r="1479" customHeight="1" spans="1:76">
      <c r="A1479" s="17"/>
      <c r="B1479" s="17"/>
      <c r="C1479" s="17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  <c r="AE1479" s="17"/>
      <c r="AF1479" s="17"/>
      <c r="AG1479" s="17"/>
      <c r="AH1479" s="17"/>
      <c r="AI1479" s="17"/>
      <c r="AJ1479" s="17"/>
      <c r="AK1479" s="17"/>
      <c r="AL1479" s="17"/>
      <c r="AM1479" s="17"/>
      <c r="AN1479" s="17"/>
      <c r="AO1479" s="17"/>
      <c r="AP1479" s="17"/>
      <c r="AQ1479" s="17"/>
      <c r="AR1479" s="17"/>
      <c r="AS1479" s="17"/>
      <c r="AT1479" s="17"/>
      <c r="AU1479" s="17"/>
      <c r="AV1479" s="17"/>
      <c r="AW1479" s="17"/>
      <c r="AX1479" s="17"/>
      <c r="AY1479" s="17"/>
      <c r="AZ1479" s="17"/>
      <c r="BA1479" s="17"/>
      <c r="BB1479" s="17"/>
      <c r="BC1479" s="17"/>
      <c r="BD1479" s="17"/>
      <c r="BE1479" s="17"/>
      <c r="BF1479" s="17"/>
      <c r="BG1479" s="17"/>
      <c r="BH1479" s="17"/>
      <c r="BI1479" s="17"/>
      <c r="BJ1479" s="17"/>
      <c r="BK1479" s="17"/>
      <c r="BL1479" s="17"/>
      <c r="BM1479" s="17"/>
      <c r="BN1479" s="17"/>
      <c r="BO1479" s="17"/>
      <c r="BP1479" s="17"/>
      <c r="BQ1479" s="17"/>
      <c r="BR1479" s="17"/>
      <c r="BS1479" s="17"/>
      <c r="BT1479" s="17"/>
      <c r="BU1479" s="17"/>
      <c r="BV1479" s="17"/>
      <c r="BW1479" s="17"/>
      <c r="BX1479" s="17"/>
    </row>
    <row r="1480" customHeight="1" spans="1:76">
      <c r="A1480" s="17"/>
      <c r="B1480" s="17"/>
      <c r="C1480" s="17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  <c r="AE1480" s="17"/>
      <c r="AF1480" s="17"/>
      <c r="AG1480" s="17"/>
      <c r="AH1480" s="17"/>
      <c r="AI1480" s="17"/>
      <c r="AJ1480" s="17"/>
      <c r="AK1480" s="17"/>
      <c r="AL1480" s="17"/>
      <c r="AM1480" s="17"/>
      <c r="AN1480" s="17"/>
      <c r="AO1480" s="17"/>
      <c r="AP1480" s="17"/>
      <c r="AQ1480" s="17"/>
      <c r="AR1480" s="17"/>
      <c r="AS1480" s="17"/>
      <c r="AT1480" s="17"/>
      <c r="AU1480" s="17"/>
      <c r="AV1480" s="17"/>
      <c r="AW1480" s="17"/>
      <c r="AX1480" s="17"/>
      <c r="AY1480" s="17"/>
      <c r="AZ1480" s="17"/>
      <c r="BA1480" s="17"/>
      <c r="BB1480" s="17"/>
      <c r="BC1480" s="17"/>
      <c r="BD1480" s="17"/>
      <c r="BE1480" s="17"/>
      <c r="BF1480" s="17"/>
      <c r="BG1480" s="17"/>
      <c r="BH1480" s="17"/>
      <c r="BI1480" s="17"/>
      <c r="BJ1480" s="17"/>
      <c r="BK1480" s="17"/>
      <c r="BL1480" s="17"/>
      <c r="BM1480" s="17"/>
      <c r="BN1480" s="17"/>
      <c r="BO1480" s="17"/>
      <c r="BP1480" s="17"/>
      <c r="BQ1480" s="17"/>
      <c r="BR1480" s="17"/>
      <c r="BS1480" s="17"/>
      <c r="BT1480" s="17"/>
      <c r="BU1480" s="17"/>
      <c r="BV1480" s="17"/>
      <c r="BW1480" s="17"/>
      <c r="BX1480" s="17"/>
    </row>
    <row r="1481" customHeight="1" spans="1:76">
      <c r="A1481" s="17"/>
      <c r="B1481" s="17"/>
      <c r="C1481" s="17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  <c r="AD1481" s="17"/>
      <c r="AE1481" s="17"/>
      <c r="AF1481" s="17"/>
      <c r="AG1481" s="17"/>
      <c r="AH1481" s="17"/>
      <c r="AI1481" s="17"/>
      <c r="AJ1481" s="17"/>
      <c r="AK1481" s="17"/>
      <c r="AL1481" s="17"/>
      <c r="AM1481" s="17"/>
      <c r="AN1481" s="17"/>
      <c r="AO1481" s="17"/>
      <c r="AP1481" s="17"/>
      <c r="AQ1481" s="17"/>
      <c r="AR1481" s="17"/>
      <c r="AS1481" s="17"/>
      <c r="AT1481" s="17"/>
      <c r="AU1481" s="17"/>
      <c r="AV1481" s="17"/>
      <c r="AW1481" s="17"/>
      <c r="AX1481" s="17"/>
      <c r="AY1481" s="17"/>
      <c r="AZ1481" s="17"/>
      <c r="BA1481" s="17"/>
      <c r="BB1481" s="17"/>
      <c r="BC1481" s="17"/>
      <c r="BD1481" s="17"/>
      <c r="BE1481" s="17"/>
      <c r="BF1481" s="17"/>
      <c r="BG1481" s="17"/>
      <c r="BH1481" s="17"/>
      <c r="BI1481" s="17"/>
      <c r="BJ1481" s="17"/>
      <c r="BK1481" s="17"/>
      <c r="BL1481" s="17"/>
      <c r="BM1481" s="17"/>
      <c r="BN1481" s="17"/>
      <c r="BO1481" s="17"/>
      <c r="BP1481" s="17"/>
      <c r="BQ1481" s="17"/>
      <c r="BR1481" s="17"/>
      <c r="BS1481" s="17"/>
      <c r="BT1481" s="17"/>
      <c r="BU1481" s="17"/>
      <c r="BV1481" s="17"/>
      <c r="BW1481" s="17"/>
      <c r="BX1481" s="17"/>
    </row>
    <row r="1482" customHeight="1" spans="1:76">
      <c r="A1482" s="17"/>
      <c r="B1482" s="17"/>
      <c r="C1482" s="17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17"/>
      <c r="AD1482" s="17"/>
      <c r="AE1482" s="17"/>
      <c r="AF1482" s="17"/>
      <c r="AG1482" s="17"/>
      <c r="AH1482" s="17"/>
      <c r="AI1482" s="17"/>
      <c r="AJ1482" s="17"/>
      <c r="AK1482" s="17"/>
      <c r="AL1482" s="17"/>
      <c r="AM1482" s="17"/>
      <c r="AN1482" s="17"/>
      <c r="AO1482" s="17"/>
      <c r="AP1482" s="17"/>
      <c r="AQ1482" s="17"/>
      <c r="AR1482" s="17"/>
      <c r="AS1482" s="17"/>
      <c r="AT1482" s="17"/>
      <c r="AU1482" s="17"/>
      <c r="AV1482" s="17"/>
      <c r="AW1482" s="17"/>
      <c r="AX1482" s="17"/>
      <c r="AY1482" s="17"/>
      <c r="AZ1482" s="17"/>
      <c r="BA1482" s="17"/>
      <c r="BB1482" s="17"/>
      <c r="BC1482" s="17"/>
      <c r="BD1482" s="17"/>
      <c r="BE1482" s="17"/>
      <c r="BF1482" s="17"/>
      <c r="BG1482" s="17"/>
      <c r="BH1482" s="17"/>
      <c r="BI1482" s="17"/>
      <c r="BJ1482" s="17"/>
      <c r="BK1482" s="17"/>
      <c r="BL1482" s="17"/>
      <c r="BM1482" s="17"/>
      <c r="BN1482" s="17"/>
      <c r="BO1482" s="17"/>
      <c r="BP1482" s="17"/>
      <c r="BQ1482" s="17"/>
      <c r="BR1482" s="17"/>
      <c r="BS1482" s="17"/>
      <c r="BT1482" s="17"/>
      <c r="BU1482" s="17"/>
      <c r="BV1482" s="17"/>
      <c r="BW1482" s="17"/>
      <c r="BX1482" s="17"/>
    </row>
    <row r="1483" customHeight="1" spans="1:76">
      <c r="A1483" s="17"/>
      <c r="B1483" s="17"/>
      <c r="C1483" s="17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  <c r="AA1483" s="17"/>
      <c r="AB1483" s="17"/>
      <c r="AC1483" s="17"/>
      <c r="AD1483" s="17"/>
      <c r="AE1483" s="17"/>
      <c r="AF1483" s="17"/>
      <c r="AG1483" s="17"/>
      <c r="AH1483" s="17"/>
      <c r="AI1483" s="17"/>
      <c r="AJ1483" s="17"/>
      <c r="AK1483" s="17"/>
      <c r="AL1483" s="17"/>
      <c r="AM1483" s="17"/>
      <c r="AN1483" s="17"/>
      <c r="AO1483" s="17"/>
      <c r="AP1483" s="17"/>
      <c r="AQ1483" s="17"/>
      <c r="AR1483" s="17"/>
      <c r="AS1483" s="17"/>
      <c r="AT1483" s="17"/>
      <c r="AU1483" s="17"/>
      <c r="AV1483" s="17"/>
      <c r="AW1483" s="17"/>
      <c r="AX1483" s="17"/>
      <c r="AY1483" s="17"/>
      <c r="AZ1483" s="17"/>
      <c r="BA1483" s="17"/>
      <c r="BB1483" s="17"/>
      <c r="BC1483" s="17"/>
      <c r="BD1483" s="17"/>
      <c r="BE1483" s="17"/>
      <c r="BF1483" s="17"/>
      <c r="BG1483" s="17"/>
      <c r="BH1483" s="17"/>
      <c r="BI1483" s="17"/>
      <c r="BJ1483" s="17"/>
      <c r="BK1483" s="17"/>
      <c r="BL1483" s="17"/>
      <c r="BM1483" s="17"/>
      <c r="BN1483" s="17"/>
      <c r="BO1483" s="17"/>
      <c r="BP1483" s="17"/>
      <c r="BQ1483" s="17"/>
      <c r="BR1483" s="17"/>
      <c r="BS1483" s="17"/>
      <c r="BT1483" s="17"/>
      <c r="BU1483" s="17"/>
      <c r="BV1483" s="17"/>
      <c r="BW1483" s="17"/>
      <c r="BX1483" s="17"/>
    </row>
    <row r="1484" customHeight="1" spans="1:76">
      <c r="A1484" s="17"/>
      <c r="B1484" s="17"/>
      <c r="C1484" s="17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17"/>
      <c r="AD1484" s="17"/>
      <c r="AE1484" s="17"/>
      <c r="AF1484" s="17"/>
      <c r="AG1484" s="17"/>
      <c r="AH1484" s="17"/>
      <c r="AI1484" s="17"/>
      <c r="AJ1484" s="17"/>
      <c r="AK1484" s="17"/>
      <c r="AL1484" s="17"/>
      <c r="AM1484" s="17"/>
      <c r="AN1484" s="17"/>
      <c r="AO1484" s="17"/>
      <c r="AP1484" s="17"/>
      <c r="AQ1484" s="17"/>
      <c r="AR1484" s="17"/>
      <c r="AS1484" s="17"/>
      <c r="AT1484" s="17"/>
      <c r="AU1484" s="17"/>
      <c r="AV1484" s="17"/>
      <c r="AW1484" s="17"/>
      <c r="AX1484" s="17"/>
      <c r="AY1484" s="17"/>
      <c r="AZ1484" s="17"/>
      <c r="BA1484" s="17"/>
      <c r="BB1484" s="17"/>
      <c r="BC1484" s="17"/>
      <c r="BD1484" s="17"/>
      <c r="BE1484" s="17"/>
      <c r="BF1484" s="17"/>
      <c r="BG1484" s="17"/>
      <c r="BH1484" s="17"/>
      <c r="BI1484" s="17"/>
      <c r="BJ1484" s="17"/>
      <c r="BK1484" s="17"/>
      <c r="BL1484" s="17"/>
      <c r="BM1484" s="17"/>
      <c r="BN1484" s="17"/>
      <c r="BO1484" s="17"/>
      <c r="BP1484" s="17"/>
      <c r="BQ1484" s="17"/>
      <c r="BR1484" s="17"/>
      <c r="BS1484" s="17"/>
      <c r="BT1484" s="17"/>
      <c r="BU1484" s="17"/>
      <c r="BV1484" s="17"/>
      <c r="BW1484" s="17"/>
      <c r="BX1484" s="17"/>
    </row>
    <row r="1485" customHeight="1" spans="1:76">
      <c r="A1485" s="17"/>
      <c r="B1485" s="17"/>
      <c r="C1485" s="17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17"/>
      <c r="AD1485" s="17"/>
      <c r="AE1485" s="17"/>
      <c r="AF1485" s="17"/>
      <c r="AG1485" s="17"/>
      <c r="AH1485" s="17"/>
      <c r="AI1485" s="17"/>
      <c r="AJ1485" s="17"/>
      <c r="AK1485" s="17"/>
      <c r="AL1485" s="17"/>
      <c r="AM1485" s="17"/>
      <c r="AN1485" s="17"/>
      <c r="AO1485" s="17"/>
      <c r="AP1485" s="17"/>
      <c r="AQ1485" s="17"/>
      <c r="AR1485" s="17"/>
      <c r="AS1485" s="17"/>
      <c r="AT1485" s="17"/>
      <c r="AU1485" s="17"/>
      <c r="AV1485" s="17"/>
      <c r="AW1485" s="17"/>
      <c r="AX1485" s="17"/>
      <c r="AY1485" s="17"/>
      <c r="AZ1485" s="17"/>
      <c r="BA1485" s="17"/>
      <c r="BB1485" s="17"/>
      <c r="BC1485" s="17"/>
      <c r="BD1485" s="17"/>
      <c r="BE1485" s="17"/>
      <c r="BF1485" s="17"/>
      <c r="BG1485" s="17"/>
      <c r="BH1485" s="17"/>
      <c r="BI1485" s="17"/>
      <c r="BJ1485" s="17"/>
      <c r="BK1485" s="17"/>
      <c r="BL1485" s="17"/>
      <c r="BM1485" s="17"/>
      <c r="BN1485" s="17"/>
      <c r="BO1485" s="17"/>
      <c r="BP1485" s="17"/>
      <c r="BQ1485" s="17"/>
      <c r="BR1485" s="17"/>
      <c r="BS1485" s="17"/>
      <c r="BT1485" s="17"/>
      <c r="BU1485" s="17"/>
      <c r="BV1485" s="17"/>
      <c r="BW1485" s="17"/>
      <c r="BX1485" s="17"/>
    </row>
    <row r="1486" customHeight="1" spans="1:76">
      <c r="A1486" s="17"/>
      <c r="B1486" s="17"/>
      <c r="C1486" s="17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/>
      <c r="AD1486" s="17"/>
      <c r="AE1486" s="17"/>
      <c r="AF1486" s="17"/>
      <c r="AG1486" s="17"/>
      <c r="AH1486" s="17"/>
      <c r="AI1486" s="17"/>
      <c r="AJ1486" s="17"/>
      <c r="AK1486" s="17"/>
      <c r="AL1486" s="17"/>
      <c r="AM1486" s="17"/>
      <c r="AN1486" s="17"/>
      <c r="AO1486" s="17"/>
      <c r="AP1486" s="17"/>
      <c r="AQ1486" s="17"/>
      <c r="AR1486" s="17"/>
      <c r="AS1486" s="17"/>
      <c r="AT1486" s="17"/>
      <c r="AU1486" s="17"/>
      <c r="AV1486" s="17"/>
      <c r="AW1486" s="17"/>
      <c r="AX1486" s="17"/>
      <c r="AY1486" s="17"/>
      <c r="AZ1486" s="17"/>
      <c r="BA1486" s="17"/>
      <c r="BB1486" s="17"/>
      <c r="BC1486" s="17"/>
      <c r="BD1486" s="17"/>
      <c r="BE1486" s="17"/>
      <c r="BF1486" s="17"/>
      <c r="BG1486" s="17"/>
      <c r="BH1486" s="17"/>
      <c r="BI1486" s="17"/>
      <c r="BJ1486" s="17"/>
      <c r="BK1486" s="17"/>
      <c r="BL1486" s="17"/>
      <c r="BM1486" s="17"/>
      <c r="BN1486" s="17"/>
      <c r="BO1486" s="17"/>
      <c r="BP1486" s="17"/>
      <c r="BQ1486" s="17"/>
      <c r="BR1486" s="17"/>
      <c r="BS1486" s="17"/>
      <c r="BT1486" s="17"/>
      <c r="BU1486" s="17"/>
      <c r="BV1486" s="17"/>
      <c r="BW1486" s="17"/>
      <c r="BX1486" s="17"/>
    </row>
    <row r="1487" customHeight="1" spans="1:76">
      <c r="A1487" s="17"/>
      <c r="B1487" s="17"/>
      <c r="C1487" s="17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7"/>
      <c r="AD1487" s="17"/>
      <c r="AE1487" s="17"/>
      <c r="AF1487" s="17"/>
      <c r="AG1487" s="17"/>
      <c r="AH1487" s="17"/>
      <c r="AI1487" s="17"/>
      <c r="AJ1487" s="17"/>
      <c r="AK1487" s="17"/>
      <c r="AL1487" s="17"/>
      <c r="AM1487" s="17"/>
      <c r="AN1487" s="17"/>
      <c r="AO1487" s="17"/>
      <c r="AP1487" s="17"/>
      <c r="AQ1487" s="17"/>
      <c r="AR1487" s="17"/>
      <c r="AS1487" s="17"/>
      <c r="AT1487" s="17"/>
      <c r="AU1487" s="17"/>
      <c r="AV1487" s="17"/>
      <c r="AW1487" s="17"/>
      <c r="AX1487" s="17"/>
      <c r="AY1487" s="17"/>
      <c r="AZ1487" s="17"/>
      <c r="BA1487" s="17"/>
      <c r="BB1487" s="17"/>
      <c r="BC1487" s="17"/>
      <c r="BD1487" s="17"/>
      <c r="BE1487" s="17"/>
      <c r="BF1487" s="17"/>
      <c r="BG1487" s="17"/>
      <c r="BH1487" s="17"/>
      <c r="BI1487" s="17"/>
      <c r="BJ1487" s="17"/>
      <c r="BK1487" s="17"/>
      <c r="BL1487" s="17"/>
      <c r="BM1487" s="17"/>
      <c r="BN1487" s="17"/>
      <c r="BO1487" s="17"/>
      <c r="BP1487" s="17"/>
      <c r="BQ1487" s="17"/>
      <c r="BR1487" s="17"/>
      <c r="BS1487" s="17"/>
      <c r="BT1487" s="17"/>
      <c r="BU1487" s="17"/>
      <c r="BV1487" s="17"/>
      <c r="BW1487" s="17"/>
      <c r="BX1487" s="17"/>
    </row>
    <row r="1488" customHeight="1" spans="1:76">
      <c r="A1488" s="17"/>
      <c r="B1488" s="17"/>
      <c r="C1488" s="17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7"/>
      <c r="AD1488" s="17"/>
      <c r="AE1488" s="17"/>
      <c r="AF1488" s="17"/>
      <c r="AG1488" s="17"/>
      <c r="AH1488" s="17"/>
      <c r="AI1488" s="17"/>
      <c r="AJ1488" s="17"/>
      <c r="AK1488" s="17"/>
      <c r="AL1488" s="17"/>
      <c r="AM1488" s="17"/>
      <c r="AN1488" s="17"/>
      <c r="AO1488" s="17"/>
      <c r="AP1488" s="17"/>
      <c r="AQ1488" s="17"/>
      <c r="AR1488" s="17"/>
      <c r="AS1488" s="17"/>
      <c r="AT1488" s="17"/>
      <c r="AU1488" s="17"/>
      <c r="AV1488" s="17"/>
      <c r="AW1488" s="17"/>
      <c r="AX1488" s="17"/>
      <c r="AY1488" s="17"/>
      <c r="AZ1488" s="17"/>
      <c r="BA1488" s="17"/>
      <c r="BB1488" s="17"/>
      <c r="BC1488" s="17"/>
      <c r="BD1488" s="17"/>
      <c r="BE1488" s="17"/>
      <c r="BF1488" s="17"/>
      <c r="BG1488" s="17"/>
      <c r="BH1488" s="17"/>
      <c r="BI1488" s="17"/>
      <c r="BJ1488" s="17"/>
      <c r="BK1488" s="17"/>
      <c r="BL1488" s="17"/>
      <c r="BM1488" s="17"/>
      <c r="BN1488" s="17"/>
      <c r="BO1488" s="17"/>
      <c r="BP1488" s="17"/>
      <c r="BQ1488" s="17"/>
      <c r="BR1488" s="17"/>
      <c r="BS1488" s="17"/>
      <c r="BT1488" s="17"/>
      <c r="BU1488" s="17"/>
      <c r="BV1488" s="17"/>
      <c r="BW1488" s="17"/>
      <c r="BX1488" s="17"/>
    </row>
    <row r="1489" customHeight="1" spans="1:76">
      <c r="A1489" s="17"/>
      <c r="B1489" s="17"/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  <c r="AD1489" s="17"/>
      <c r="AE1489" s="17"/>
      <c r="AF1489" s="17"/>
      <c r="AG1489" s="17"/>
      <c r="AH1489" s="17"/>
      <c r="AI1489" s="17"/>
      <c r="AJ1489" s="17"/>
      <c r="AK1489" s="17"/>
      <c r="AL1489" s="17"/>
      <c r="AM1489" s="17"/>
      <c r="AN1489" s="17"/>
      <c r="AO1489" s="17"/>
      <c r="AP1489" s="17"/>
      <c r="AQ1489" s="17"/>
      <c r="AR1489" s="17"/>
      <c r="AS1489" s="17"/>
      <c r="AT1489" s="17"/>
      <c r="AU1489" s="17"/>
      <c r="AV1489" s="17"/>
      <c r="AW1489" s="17"/>
      <c r="AX1489" s="17"/>
      <c r="AY1489" s="17"/>
      <c r="AZ1489" s="17"/>
      <c r="BA1489" s="17"/>
      <c r="BB1489" s="17"/>
      <c r="BC1489" s="17"/>
      <c r="BD1489" s="17"/>
      <c r="BE1489" s="17"/>
      <c r="BF1489" s="17"/>
      <c r="BG1489" s="17"/>
      <c r="BH1489" s="17"/>
      <c r="BI1489" s="17"/>
      <c r="BJ1489" s="17"/>
      <c r="BK1489" s="17"/>
      <c r="BL1489" s="17"/>
      <c r="BM1489" s="17"/>
      <c r="BN1489" s="17"/>
      <c r="BO1489" s="17"/>
      <c r="BP1489" s="17"/>
      <c r="BQ1489" s="17"/>
      <c r="BR1489" s="17"/>
      <c r="BS1489" s="17"/>
      <c r="BT1489" s="17"/>
      <c r="BU1489" s="17"/>
      <c r="BV1489" s="17"/>
      <c r="BW1489" s="17"/>
      <c r="BX1489" s="17"/>
    </row>
    <row r="1490" customHeight="1" spans="1:76">
      <c r="A1490" s="17"/>
      <c r="B1490" s="17"/>
      <c r="C1490" s="17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17"/>
      <c r="AF1490" s="17"/>
      <c r="AG1490" s="17"/>
      <c r="AH1490" s="17"/>
      <c r="AI1490" s="17"/>
      <c r="AJ1490" s="17"/>
      <c r="AK1490" s="17"/>
      <c r="AL1490" s="17"/>
      <c r="AM1490" s="17"/>
      <c r="AN1490" s="17"/>
      <c r="AO1490" s="17"/>
      <c r="AP1490" s="17"/>
      <c r="AQ1490" s="17"/>
      <c r="AR1490" s="17"/>
      <c r="AS1490" s="17"/>
      <c r="AT1490" s="17"/>
      <c r="AU1490" s="17"/>
      <c r="AV1490" s="17"/>
      <c r="AW1490" s="17"/>
      <c r="AX1490" s="17"/>
      <c r="AY1490" s="17"/>
      <c r="AZ1490" s="17"/>
      <c r="BA1490" s="17"/>
      <c r="BB1490" s="17"/>
      <c r="BC1490" s="17"/>
      <c r="BD1490" s="17"/>
      <c r="BE1490" s="17"/>
      <c r="BF1490" s="17"/>
      <c r="BG1490" s="17"/>
      <c r="BH1490" s="17"/>
      <c r="BI1490" s="17"/>
      <c r="BJ1490" s="17"/>
      <c r="BK1490" s="17"/>
      <c r="BL1490" s="17"/>
      <c r="BM1490" s="17"/>
      <c r="BN1490" s="17"/>
      <c r="BO1490" s="17"/>
      <c r="BP1490" s="17"/>
      <c r="BQ1490" s="17"/>
      <c r="BR1490" s="17"/>
      <c r="BS1490" s="17"/>
      <c r="BT1490" s="17"/>
      <c r="BU1490" s="17"/>
      <c r="BV1490" s="17"/>
      <c r="BW1490" s="17"/>
      <c r="BX1490" s="17"/>
    </row>
    <row r="1491" customHeight="1" spans="1:76">
      <c r="A1491" s="17"/>
      <c r="B1491" s="17"/>
      <c r="C1491" s="17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17"/>
      <c r="AD1491" s="17"/>
      <c r="AE1491" s="17"/>
      <c r="AF1491" s="17"/>
      <c r="AG1491" s="17"/>
      <c r="AH1491" s="17"/>
      <c r="AI1491" s="17"/>
      <c r="AJ1491" s="17"/>
      <c r="AK1491" s="17"/>
      <c r="AL1491" s="17"/>
      <c r="AM1491" s="17"/>
      <c r="AN1491" s="17"/>
      <c r="AO1491" s="17"/>
      <c r="AP1491" s="17"/>
      <c r="AQ1491" s="17"/>
      <c r="AR1491" s="17"/>
      <c r="AS1491" s="17"/>
      <c r="AT1491" s="17"/>
      <c r="AU1491" s="17"/>
      <c r="AV1491" s="17"/>
      <c r="AW1491" s="17"/>
      <c r="AX1491" s="17"/>
      <c r="AY1491" s="17"/>
      <c r="AZ1491" s="17"/>
      <c r="BA1491" s="17"/>
      <c r="BB1491" s="17"/>
      <c r="BC1491" s="17"/>
      <c r="BD1491" s="17"/>
      <c r="BE1491" s="17"/>
      <c r="BF1491" s="17"/>
      <c r="BG1491" s="17"/>
      <c r="BH1491" s="17"/>
      <c r="BI1491" s="17"/>
      <c r="BJ1491" s="17"/>
      <c r="BK1491" s="17"/>
      <c r="BL1491" s="17"/>
      <c r="BM1491" s="17"/>
      <c r="BN1491" s="17"/>
      <c r="BO1491" s="17"/>
      <c r="BP1491" s="17"/>
      <c r="BQ1491" s="17"/>
      <c r="BR1491" s="17"/>
      <c r="BS1491" s="17"/>
      <c r="BT1491" s="17"/>
      <c r="BU1491" s="17"/>
      <c r="BV1491" s="17"/>
      <c r="BW1491" s="17"/>
      <c r="BX1491" s="17"/>
    </row>
    <row r="1492" customHeight="1" spans="1:76">
      <c r="A1492" s="17"/>
      <c r="B1492" s="17"/>
      <c r="C1492" s="17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17"/>
      <c r="AD1492" s="17"/>
      <c r="AE1492" s="17"/>
      <c r="AF1492" s="17"/>
      <c r="AG1492" s="17"/>
      <c r="AH1492" s="17"/>
      <c r="AI1492" s="17"/>
      <c r="AJ1492" s="17"/>
      <c r="AK1492" s="17"/>
      <c r="AL1492" s="17"/>
      <c r="AM1492" s="17"/>
      <c r="AN1492" s="17"/>
      <c r="AO1492" s="17"/>
      <c r="AP1492" s="17"/>
      <c r="AQ1492" s="17"/>
      <c r="AR1492" s="17"/>
      <c r="AS1492" s="17"/>
      <c r="AT1492" s="17"/>
      <c r="AU1492" s="17"/>
      <c r="AV1492" s="17"/>
      <c r="AW1492" s="17"/>
      <c r="AX1492" s="17"/>
      <c r="AY1492" s="17"/>
      <c r="AZ1492" s="17"/>
      <c r="BA1492" s="17"/>
      <c r="BB1492" s="17"/>
      <c r="BC1492" s="17"/>
      <c r="BD1492" s="17"/>
      <c r="BE1492" s="17"/>
      <c r="BF1492" s="17"/>
      <c r="BG1492" s="17"/>
      <c r="BH1492" s="17"/>
      <c r="BI1492" s="17"/>
      <c r="BJ1492" s="17"/>
      <c r="BK1492" s="17"/>
      <c r="BL1492" s="17"/>
      <c r="BM1492" s="17"/>
      <c r="BN1492" s="17"/>
      <c r="BO1492" s="17"/>
      <c r="BP1492" s="17"/>
      <c r="BQ1492" s="17"/>
      <c r="BR1492" s="17"/>
      <c r="BS1492" s="17"/>
      <c r="BT1492" s="17"/>
      <c r="BU1492" s="17"/>
      <c r="BV1492" s="17"/>
      <c r="BW1492" s="17"/>
      <c r="BX1492" s="17"/>
    </row>
    <row r="1493" customHeight="1" spans="1:76">
      <c r="A1493" s="17"/>
      <c r="B1493" s="17"/>
      <c r="C1493" s="17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  <c r="AA1493" s="17"/>
      <c r="AB1493" s="17"/>
      <c r="AC1493" s="17"/>
      <c r="AD1493" s="17"/>
      <c r="AE1493" s="17"/>
      <c r="AF1493" s="17"/>
      <c r="AG1493" s="17"/>
      <c r="AH1493" s="17"/>
      <c r="AI1493" s="17"/>
      <c r="AJ1493" s="17"/>
      <c r="AK1493" s="17"/>
      <c r="AL1493" s="17"/>
      <c r="AM1493" s="17"/>
      <c r="AN1493" s="17"/>
      <c r="AO1493" s="17"/>
      <c r="AP1493" s="17"/>
      <c r="AQ1493" s="17"/>
      <c r="AR1493" s="17"/>
      <c r="AS1493" s="17"/>
      <c r="AT1493" s="17"/>
      <c r="AU1493" s="17"/>
      <c r="AV1493" s="17"/>
      <c r="AW1493" s="17"/>
      <c r="AX1493" s="17"/>
      <c r="AY1493" s="17"/>
      <c r="AZ1493" s="17"/>
      <c r="BA1493" s="17"/>
      <c r="BB1493" s="17"/>
      <c r="BC1493" s="17"/>
      <c r="BD1493" s="17"/>
      <c r="BE1493" s="17"/>
      <c r="BF1493" s="17"/>
      <c r="BG1493" s="17"/>
      <c r="BH1493" s="17"/>
      <c r="BI1493" s="17"/>
      <c r="BJ1493" s="17"/>
      <c r="BK1493" s="17"/>
      <c r="BL1493" s="17"/>
      <c r="BM1493" s="17"/>
      <c r="BN1493" s="17"/>
      <c r="BO1493" s="17"/>
      <c r="BP1493" s="17"/>
      <c r="BQ1493" s="17"/>
      <c r="BR1493" s="17"/>
      <c r="BS1493" s="17"/>
      <c r="BT1493" s="17"/>
      <c r="BU1493" s="17"/>
      <c r="BV1493" s="17"/>
      <c r="BW1493" s="17"/>
      <c r="BX1493" s="17"/>
    </row>
    <row r="1494" customHeight="1" spans="1:76">
      <c r="A1494" s="17"/>
      <c r="B1494" s="17"/>
      <c r="C1494" s="17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17"/>
      <c r="AD1494" s="17"/>
      <c r="AE1494" s="17"/>
      <c r="AF1494" s="17"/>
      <c r="AG1494" s="17"/>
      <c r="AH1494" s="17"/>
      <c r="AI1494" s="17"/>
      <c r="AJ1494" s="17"/>
      <c r="AK1494" s="17"/>
      <c r="AL1494" s="17"/>
      <c r="AM1494" s="17"/>
      <c r="AN1494" s="17"/>
      <c r="AO1494" s="17"/>
      <c r="AP1494" s="17"/>
      <c r="AQ1494" s="17"/>
      <c r="AR1494" s="17"/>
      <c r="AS1494" s="17"/>
      <c r="AT1494" s="17"/>
      <c r="AU1494" s="17"/>
      <c r="AV1494" s="17"/>
      <c r="AW1494" s="17"/>
      <c r="AX1494" s="17"/>
      <c r="AY1494" s="17"/>
      <c r="AZ1494" s="17"/>
      <c r="BA1494" s="17"/>
      <c r="BB1494" s="17"/>
      <c r="BC1494" s="17"/>
      <c r="BD1494" s="17"/>
      <c r="BE1494" s="17"/>
      <c r="BF1494" s="17"/>
      <c r="BG1494" s="17"/>
      <c r="BH1494" s="17"/>
      <c r="BI1494" s="17"/>
      <c r="BJ1494" s="17"/>
      <c r="BK1494" s="17"/>
      <c r="BL1494" s="17"/>
      <c r="BM1494" s="17"/>
      <c r="BN1494" s="17"/>
      <c r="BO1494" s="17"/>
      <c r="BP1494" s="17"/>
      <c r="BQ1494" s="17"/>
      <c r="BR1494" s="17"/>
      <c r="BS1494" s="17"/>
      <c r="BT1494" s="17"/>
      <c r="BU1494" s="17"/>
      <c r="BV1494" s="17"/>
      <c r="BW1494" s="17"/>
      <c r="BX1494" s="17"/>
    </row>
    <row r="1495" customHeight="1" spans="1:76">
      <c r="A1495" s="17"/>
      <c r="B1495" s="17"/>
      <c r="C1495" s="17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17"/>
      <c r="AD1495" s="17"/>
      <c r="AE1495" s="17"/>
      <c r="AF1495" s="17"/>
      <c r="AG1495" s="17"/>
      <c r="AH1495" s="17"/>
      <c r="AI1495" s="17"/>
      <c r="AJ1495" s="17"/>
      <c r="AK1495" s="17"/>
      <c r="AL1495" s="17"/>
      <c r="AM1495" s="17"/>
      <c r="AN1495" s="17"/>
      <c r="AO1495" s="17"/>
      <c r="AP1495" s="17"/>
      <c r="AQ1495" s="17"/>
      <c r="AR1495" s="17"/>
      <c r="AS1495" s="17"/>
      <c r="AT1495" s="17"/>
      <c r="AU1495" s="17"/>
      <c r="AV1495" s="17"/>
      <c r="AW1495" s="17"/>
      <c r="AX1495" s="17"/>
      <c r="AY1495" s="17"/>
      <c r="AZ1495" s="17"/>
      <c r="BA1495" s="17"/>
      <c r="BB1495" s="17"/>
      <c r="BC1495" s="17"/>
      <c r="BD1495" s="17"/>
      <c r="BE1495" s="17"/>
      <c r="BF1495" s="17"/>
      <c r="BG1495" s="17"/>
      <c r="BH1495" s="17"/>
      <c r="BI1495" s="17"/>
      <c r="BJ1495" s="17"/>
      <c r="BK1495" s="17"/>
      <c r="BL1495" s="17"/>
      <c r="BM1495" s="17"/>
      <c r="BN1495" s="17"/>
      <c r="BO1495" s="17"/>
      <c r="BP1495" s="17"/>
      <c r="BQ1495" s="17"/>
      <c r="BR1495" s="17"/>
      <c r="BS1495" s="17"/>
      <c r="BT1495" s="17"/>
      <c r="BU1495" s="17"/>
      <c r="BV1495" s="17"/>
      <c r="BW1495" s="17"/>
      <c r="BX1495" s="17"/>
    </row>
    <row r="1496" customHeight="1" spans="1:76">
      <c r="A1496" s="17"/>
      <c r="B1496" s="17"/>
      <c r="C1496" s="17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17"/>
      <c r="AD1496" s="17"/>
      <c r="AE1496" s="17"/>
      <c r="AF1496" s="17"/>
      <c r="AG1496" s="17"/>
      <c r="AH1496" s="17"/>
      <c r="AI1496" s="17"/>
      <c r="AJ1496" s="17"/>
      <c r="AK1496" s="17"/>
      <c r="AL1496" s="17"/>
      <c r="AM1496" s="17"/>
      <c r="AN1496" s="17"/>
      <c r="AO1496" s="17"/>
      <c r="AP1496" s="17"/>
      <c r="AQ1496" s="17"/>
      <c r="AR1496" s="17"/>
      <c r="AS1496" s="17"/>
      <c r="AT1496" s="17"/>
      <c r="AU1496" s="17"/>
      <c r="AV1496" s="17"/>
      <c r="AW1496" s="17"/>
      <c r="AX1496" s="17"/>
      <c r="AY1496" s="17"/>
      <c r="AZ1496" s="17"/>
      <c r="BA1496" s="17"/>
      <c r="BB1496" s="17"/>
      <c r="BC1496" s="17"/>
      <c r="BD1496" s="17"/>
      <c r="BE1496" s="17"/>
      <c r="BF1496" s="17"/>
      <c r="BG1496" s="17"/>
      <c r="BH1496" s="17"/>
      <c r="BI1496" s="17"/>
      <c r="BJ1496" s="17"/>
      <c r="BK1496" s="17"/>
      <c r="BL1496" s="17"/>
      <c r="BM1496" s="17"/>
      <c r="BN1496" s="17"/>
      <c r="BO1496" s="17"/>
      <c r="BP1496" s="17"/>
      <c r="BQ1496" s="17"/>
      <c r="BR1496" s="17"/>
      <c r="BS1496" s="17"/>
      <c r="BT1496" s="17"/>
      <c r="BU1496" s="17"/>
      <c r="BV1496" s="17"/>
      <c r="BW1496" s="17"/>
      <c r="BX1496" s="17"/>
    </row>
    <row r="1497" customHeight="1" spans="1:76">
      <c r="A1497" s="17"/>
      <c r="B1497" s="17"/>
      <c r="C1497" s="17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17"/>
      <c r="AD1497" s="17"/>
      <c r="AE1497" s="17"/>
      <c r="AF1497" s="17"/>
      <c r="AG1497" s="17"/>
      <c r="AH1497" s="17"/>
      <c r="AI1497" s="17"/>
      <c r="AJ1497" s="17"/>
      <c r="AK1497" s="17"/>
      <c r="AL1497" s="17"/>
      <c r="AM1497" s="17"/>
      <c r="AN1497" s="17"/>
      <c r="AO1497" s="17"/>
      <c r="AP1497" s="17"/>
      <c r="AQ1497" s="17"/>
      <c r="AR1497" s="17"/>
      <c r="AS1497" s="17"/>
      <c r="AT1497" s="17"/>
      <c r="AU1497" s="17"/>
      <c r="AV1497" s="17"/>
      <c r="AW1497" s="17"/>
      <c r="AX1497" s="17"/>
      <c r="AY1497" s="17"/>
      <c r="AZ1497" s="17"/>
      <c r="BA1497" s="17"/>
      <c r="BB1497" s="17"/>
      <c r="BC1497" s="17"/>
      <c r="BD1497" s="17"/>
      <c r="BE1497" s="17"/>
      <c r="BF1497" s="17"/>
      <c r="BG1497" s="17"/>
      <c r="BH1497" s="17"/>
      <c r="BI1497" s="17"/>
      <c r="BJ1497" s="17"/>
      <c r="BK1497" s="17"/>
      <c r="BL1497" s="17"/>
      <c r="BM1497" s="17"/>
      <c r="BN1497" s="17"/>
      <c r="BO1497" s="17"/>
      <c r="BP1497" s="17"/>
      <c r="BQ1497" s="17"/>
      <c r="BR1497" s="17"/>
      <c r="BS1497" s="17"/>
      <c r="BT1497" s="17"/>
      <c r="BU1497" s="17"/>
      <c r="BV1497" s="17"/>
      <c r="BW1497" s="17"/>
      <c r="BX1497" s="17"/>
    </row>
    <row r="1498" customHeight="1" spans="1:76">
      <c r="A1498" s="17"/>
      <c r="B1498" s="17"/>
      <c r="C1498" s="17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  <c r="AD1498" s="17"/>
      <c r="AE1498" s="17"/>
      <c r="AF1498" s="17"/>
      <c r="AG1498" s="17"/>
      <c r="AH1498" s="17"/>
      <c r="AI1498" s="17"/>
      <c r="AJ1498" s="17"/>
      <c r="AK1498" s="17"/>
      <c r="AL1498" s="17"/>
      <c r="AM1498" s="17"/>
      <c r="AN1498" s="17"/>
      <c r="AO1498" s="17"/>
      <c r="AP1498" s="17"/>
      <c r="AQ1498" s="17"/>
      <c r="AR1498" s="17"/>
      <c r="AS1498" s="17"/>
      <c r="AT1498" s="17"/>
      <c r="AU1498" s="17"/>
      <c r="AV1498" s="17"/>
      <c r="AW1498" s="17"/>
      <c r="AX1498" s="17"/>
      <c r="AY1498" s="17"/>
      <c r="AZ1498" s="17"/>
      <c r="BA1498" s="17"/>
      <c r="BB1498" s="17"/>
      <c r="BC1498" s="17"/>
      <c r="BD1498" s="17"/>
      <c r="BE1498" s="17"/>
      <c r="BF1498" s="17"/>
      <c r="BG1498" s="17"/>
      <c r="BH1498" s="17"/>
      <c r="BI1498" s="17"/>
      <c r="BJ1498" s="17"/>
      <c r="BK1498" s="17"/>
      <c r="BL1498" s="17"/>
      <c r="BM1498" s="17"/>
      <c r="BN1498" s="17"/>
      <c r="BO1498" s="17"/>
      <c r="BP1498" s="17"/>
      <c r="BQ1498" s="17"/>
      <c r="BR1498" s="17"/>
      <c r="BS1498" s="17"/>
      <c r="BT1498" s="17"/>
      <c r="BU1498" s="17"/>
      <c r="BV1498" s="17"/>
      <c r="BW1498" s="17"/>
      <c r="BX1498" s="17"/>
    </row>
    <row r="1499" customHeight="1" spans="1:76">
      <c r="A1499" s="17"/>
      <c r="B1499" s="17"/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  <c r="AD1499" s="17"/>
      <c r="AE1499" s="17"/>
      <c r="AF1499" s="17"/>
      <c r="AG1499" s="17"/>
      <c r="AH1499" s="17"/>
      <c r="AI1499" s="17"/>
      <c r="AJ1499" s="17"/>
      <c r="AK1499" s="17"/>
      <c r="AL1499" s="17"/>
      <c r="AM1499" s="17"/>
      <c r="AN1499" s="17"/>
      <c r="AO1499" s="17"/>
      <c r="AP1499" s="17"/>
      <c r="AQ1499" s="17"/>
      <c r="AR1499" s="17"/>
      <c r="AS1499" s="17"/>
      <c r="AT1499" s="17"/>
      <c r="AU1499" s="17"/>
      <c r="AV1499" s="17"/>
      <c r="AW1499" s="17"/>
      <c r="AX1499" s="17"/>
      <c r="AY1499" s="17"/>
      <c r="AZ1499" s="17"/>
      <c r="BA1499" s="17"/>
      <c r="BB1499" s="17"/>
      <c r="BC1499" s="17"/>
      <c r="BD1499" s="17"/>
      <c r="BE1499" s="17"/>
      <c r="BF1499" s="17"/>
      <c r="BG1499" s="17"/>
      <c r="BH1499" s="17"/>
      <c r="BI1499" s="17"/>
      <c r="BJ1499" s="17"/>
      <c r="BK1499" s="17"/>
      <c r="BL1499" s="17"/>
      <c r="BM1499" s="17"/>
      <c r="BN1499" s="17"/>
      <c r="BO1499" s="17"/>
      <c r="BP1499" s="17"/>
      <c r="BQ1499" s="17"/>
      <c r="BR1499" s="17"/>
      <c r="BS1499" s="17"/>
      <c r="BT1499" s="17"/>
      <c r="BU1499" s="17"/>
      <c r="BV1499" s="17"/>
      <c r="BW1499" s="17"/>
      <c r="BX1499" s="17"/>
    </row>
    <row r="1500" customHeight="1" spans="1:76">
      <c r="A1500" s="17"/>
      <c r="B1500" s="17"/>
      <c r="C1500" s="17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/>
      <c r="AE1500" s="17"/>
      <c r="AF1500" s="17"/>
      <c r="AG1500" s="17"/>
      <c r="AH1500" s="17"/>
      <c r="AI1500" s="17"/>
      <c r="AJ1500" s="17"/>
      <c r="AK1500" s="17"/>
      <c r="AL1500" s="17"/>
      <c r="AM1500" s="17"/>
      <c r="AN1500" s="17"/>
      <c r="AO1500" s="17"/>
      <c r="AP1500" s="17"/>
      <c r="AQ1500" s="17"/>
      <c r="AR1500" s="17"/>
      <c r="AS1500" s="17"/>
      <c r="AT1500" s="17"/>
      <c r="AU1500" s="17"/>
      <c r="AV1500" s="17"/>
      <c r="AW1500" s="17"/>
      <c r="AX1500" s="17"/>
      <c r="AY1500" s="17"/>
      <c r="AZ1500" s="17"/>
      <c r="BA1500" s="17"/>
      <c r="BB1500" s="17"/>
      <c r="BC1500" s="17"/>
      <c r="BD1500" s="17"/>
      <c r="BE1500" s="17"/>
      <c r="BF1500" s="17"/>
      <c r="BG1500" s="17"/>
      <c r="BH1500" s="17"/>
      <c r="BI1500" s="17"/>
      <c r="BJ1500" s="17"/>
      <c r="BK1500" s="17"/>
      <c r="BL1500" s="17"/>
      <c r="BM1500" s="17"/>
      <c r="BN1500" s="17"/>
      <c r="BO1500" s="17"/>
      <c r="BP1500" s="17"/>
      <c r="BQ1500" s="17"/>
      <c r="BR1500" s="17"/>
      <c r="BS1500" s="17"/>
      <c r="BT1500" s="17"/>
      <c r="BU1500" s="17"/>
      <c r="BV1500" s="17"/>
      <c r="BW1500" s="17"/>
      <c r="BX1500" s="17"/>
    </row>
    <row r="1501" customHeight="1" spans="1:76">
      <c r="A1501" s="17"/>
      <c r="B1501" s="17"/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  <c r="AD1501" s="17"/>
      <c r="AE1501" s="17"/>
      <c r="AF1501" s="17"/>
      <c r="AG1501" s="17"/>
      <c r="AH1501" s="17"/>
      <c r="AI1501" s="17"/>
      <c r="AJ1501" s="17"/>
      <c r="AK1501" s="17"/>
      <c r="AL1501" s="17"/>
      <c r="AM1501" s="17"/>
      <c r="AN1501" s="17"/>
      <c r="AO1501" s="17"/>
      <c r="AP1501" s="17"/>
      <c r="AQ1501" s="17"/>
      <c r="AR1501" s="17"/>
      <c r="AS1501" s="17"/>
      <c r="AT1501" s="17"/>
      <c r="AU1501" s="17"/>
      <c r="AV1501" s="17"/>
      <c r="AW1501" s="17"/>
      <c r="AX1501" s="17"/>
      <c r="AY1501" s="17"/>
      <c r="AZ1501" s="17"/>
      <c r="BA1501" s="17"/>
      <c r="BB1501" s="17"/>
      <c r="BC1501" s="17"/>
      <c r="BD1501" s="17"/>
      <c r="BE1501" s="17"/>
      <c r="BF1501" s="17"/>
      <c r="BG1501" s="17"/>
      <c r="BH1501" s="17"/>
      <c r="BI1501" s="17"/>
      <c r="BJ1501" s="17"/>
      <c r="BK1501" s="17"/>
      <c r="BL1501" s="17"/>
      <c r="BM1501" s="17"/>
      <c r="BN1501" s="17"/>
      <c r="BO1501" s="17"/>
      <c r="BP1501" s="17"/>
      <c r="BQ1501" s="17"/>
      <c r="BR1501" s="17"/>
      <c r="BS1501" s="17"/>
      <c r="BT1501" s="17"/>
      <c r="BU1501" s="17"/>
      <c r="BV1501" s="17"/>
      <c r="BW1501" s="17"/>
      <c r="BX1501" s="17"/>
    </row>
    <row r="1502" customHeight="1" spans="1:76">
      <c r="A1502" s="17"/>
      <c r="B1502" s="17"/>
      <c r="C1502" s="17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17"/>
      <c r="AD1502" s="17"/>
      <c r="AE1502" s="17"/>
      <c r="AF1502" s="17"/>
      <c r="AG1502" s="17"/>
      <c r="AH1502" s="17"/>
      <c r="AI1502" s="17"/>
      <c r="AJ1502" s="17"/>
      <c r="AK1502" s="17"/>
      <c r="AL1502" s="17"/>
      <c r="AM1502" s="17"/>
      <c r="AN1502" s="17"/>
      <c r="AO1502" s="17"/>
      <c r="AP1502" s="17"/>
      <c r="AQ1502" s="17"/>
      <c r="AR1502" s="17"/>
      <c r="AS1502" s="17"/>
      <c r="AT1502" s="17"/>
      <c r="AU1502" s="17"/>
      <c r="AV1502" s="17"/>
      <c r="AW1502" s="17"/>
      <c r="AX1502" s="17"/>
      <c r="AY1502" s="17"/>
      <c r="AZ1502" s="17"/>
      <c r="BA1502" s="17"/>
      <c r="BB1502" s="17"/>
      <c r="BC1502" s="17"/>
      <c r="BD1502" s="17"/>
      <c r="BE1502" s="17"/>
      <c r="BF1502" s="17"/>
      <c r="BG1502" s="17"/>
      <c r="BH1502" s="17"/>
      <c r="BI1502" s="17"/>
      <c r="BJ1502" s="17"/>
      <c r="BK1502" s="17"/>
      <c r="BL1502" s="17"/>
      <c r="BM1502" s="17"/>
      <c r="BN1502" s="17"/>
      <c r="BO1502" s="17"/>
      <c r="BP1502" s="17"/>
      <c r="BQ1502" s="17"/>
      <c r="BR1502" s="17"/>
      <c r="BS1502" s="17"/>
      <c r="BT1502" s="17"/>
      <c r="BU1502" s="17"/>
      <c r="BV1502" s="17"/>
      <c r="BW1502" s="17"/>
      <c r="BX1502" s="17"/>
    </row>
    <row r="1503" customHeight="1" spans="1:76">
      <c r="A1503" s="17"/>
      <c r="B1503" s="17"/>
      <c r="C1503" s="17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17"/>
      <c r="AD1503" s="17"/>
      <c r="AE1503" s="17"/>
      <c r="AF1503" s="17"/>
      <c r="AG1503" s="17"/>
      <c r="AH1503" s="17"/>
      <c r="AI1503" s="17"/>
      <c r="AJ1503" s="17"/>
      <c r="AK1503" s="17"/>
      <c r="AL1503" s="17"/>
      <c r="AM1503" s="17"/>
      <c r="AN1503" s="17"/>
      <c r="AO1503" s="17"/>
      <c r="AP1503" s="17"/>
      <c r="AQ1503" s="17"/>
      <c r="AR1503" s="17"/>
      <c r="AS1503" s="17"/>
      <c r="AT1503" s="17"/>
      <c r="AU1503" s="17"/>
      <c r="AV1503" s="17"/>
      <c r="AW1503" s="17"/>
      <c r="AX1503" s="17"/>
      <c r="AY1503" s="17"/>
      <c r="AZ1503" s="17"/>
      <c r="BA1503" s="17"/>
      <c r="BB1503" s="17"/>
      <c r="BC1503" s="17"/>
      <c r="BD1503" s="17"/>
      <c r="BE1503" s="17"/>
      <c r="BF1503" s="17"/>
      <c r="BG1503" s="17"/>
      <c r="BH1503" s="17"/>
      <c r="BI1503" s="17"/>
      <c r="BJ1503" s="17"/>
      <c r="BK1503" s="17"/>
      <c r="BL1503" s="17"/>
      <c r="BM1503" s="17"/>
      <c r="BN1503" s="17"/>
      <c r="BO1503" s="17"/>
      <c r="BP1503" s="17"/>
      <c r="BQ1503" s="17"/>
      <c r="BR1503" s="17"/>
      <c r="BS1503" s="17"/>
      <c r="BT1503" s="17"/>
      <c r="BU1503" s="17"/>
      <c r="BV1503" s="17"/>
      <c r="BW1503" s="17"/>
      <c r="BX1503" s="17"/>
    </row>
    <row r="1504" customHeight="1" spans="1:76">
      <c r="A1504" s="17"/>
      <c r="B1504" s="17"/>
      <c r="C1504" s="17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17"/>
      <c r="AD1504" s="17"/>
      <c r="AE1504" s="17"/>
      <c r="AF1504" s="17"/>
      <c r="AG1504" s="17"/>
      <c r="AH1504" s="17"/>
      <c r="AI1504" s="17"/>
      <c r="AJ1504" s="17"/>
      <c r="AK1504" s="17"/>
      <c r="AL1504" s="17"/>
      <c r="AM1504" s="17"/>
      <c r="AN1504" s="17"/>
      <c r="AO1504" s="17"/>
      <c r="AP1504" s="17"/>
      <c r="AQ1504" s="17"/>
      <c r="AR1504" s="17"/>
      <c r="AS1504" s="17"/>
      <c r="AT1504" s="17"/>
      <c r="AU1504" s="17"/>
      <c r="AV1504" s="17"/>
      <c r="AW1504" s="17"/>
      <c r="AX1504" s="17"/>
      <c r="AY1504" s="17"/>
      <c r="AZ1504" s="17"/>
      <c r="BA1504" s="17"/>
      <c r="BB1504" s="17"/>
      <c r="BC1504" s="17"/>
      <c r="BD1504" s="17"/>
      <c r="BE1504" s="17"/>
      <c r="BF1504" s="17"/>
      <c r="BG1504" s="17"/>
      <c r="BH1504" s="17"/>
      <c r="BI1504" s="17"/>
      <c r="BJ1504" s="17"/>
      <c r="BK1504" s="17"/>
      <c r="BL1504" s="17"/>
      <c r="BM1504" s="17"/>
      <c r="BN1504" s="17"/>
      <c r="BO1504" s="17"/>
      <c r="BP1504" s="17"/>
      <c r="BQ1504" s="17"/>
      <c r="BR1504" s="17"/>
      <c r="BS1504" s="17"/>
      <c r="BT1504" s="17"/>
      <c r="BU1504" s="17"/>
      <c r="BV1504" s="17"/>
      <c r="BW1504" s="17"/>
      <c r="BX1504" s="17"/>
    </row>
    <row r="1505" customHeight="1" spans="1:76">
      <c r="A1505" s="17"/>
      <c r="B1505" s="17"/>
      <c r="C1505" s="17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17"/>
      <c r="AD1505" s="17"/>
      <c r="AE1505" s="17"/>
      <c r="AF1505" s="17"/>
      <c r="AG1505" s="17"/>
      <c r="AH1505" s="17"/>
      <c r="AI1505" s="17"/>
      <c r="AJ1505" s="17"/>
      <c r="AK1505" s="17"/>
      <c r="AL1505" s="17"/>
      <c r="AM1505" s="17"/>
      <c r="AN1505" s="17"/>
      <c r="AO1505" s="17"/>
      <c r="AP1505" s="17"/>
      <c r="AQ1505" s="17"/>
      <c r="AR1505" s="17"/>
      <c r="AS1505" s="17"/>
      <c r="AT1505" s="17"/>
      <c r="AU1505" s="17"/>
      <c r="AV1505" s="17"/>
      <c r="AW1505" s="17"/>
      <c r="AX1505" s="17"/>
      <c r="AY1505" s="17"/>
      <c r="AZ1505" s="17"/>
      <c r="BA1505" s="17"/>
      <c r="BB1505" s="17"/>
      <c r="BC1505" s="17"/>
      <c r="BD1505" s="17"/>
      <c r="BE1505" s="17"/>
      <c r="BF1505" s="17"/>
      <c r="BG1505" s="17"/>
      <c r="BH1505" s="17"/>
      <c r="BI1505" s="17"/>
      <c r="BJ1505" s="17"/>
      <c r="BK1505" s="17"/>
      <c r="BL1505" s="17"/>
      <c r="BM1505" s="17"/>
      <c r="BN1505" s="17"/>
      <c r="BO1505" s="17"/>
      <c r="BP1505" s="17"/>
      <c r="BQ1505" s="17"/>
      <c r="BR1505" s="17"/>
      <c r="BS1505" s="17"/>
      <c r="BT1505" s="17"/>
      <c r="BU1505" s="17"/>
      <c r="BV1505" s="17"/>
      <c r="BW1505" s="17"/>
      <c r="BX1505" s="17"/>
    </row>
    <row r="1506" customHeight="1" spans="1:76">
      <c r="A1506" s="17"/>
      <c r="B1506" s="17"/>
      <c r="C1506" s="17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  <c r="AD1506" s="17"/>
      <c r="AE1506" s="17"/>
      <c r="AF1506" s="17"/>
      <c r="AG1506" s="17"/>
      <c r="AH1506" s="17"/>
      <c r="AI1506" s="17"/>
      <c r="AJ1506" s="17"/>
      <c r="AK1506" s="17"/>
      <c r="AL1506" s="17"/>
      <c r="AM1506" s="17"/>
      <c r="AN1506" s="17"/>
      <c r="AO1506" s="17"/>
      <c r="AP1506" s="17"/>
      <c r="AQ1506" s="17"/>
      <c r="AR1506" s="17"/>
      <c r="AS1506" s="17"/>
      <c r="AT1506" s="17"/>
      <c r="AU1506" s="17"/>
      <c r="AV1506" s="17"/>
      <c r="AW1506" s="17"/>
      <c r="AX1506" s="17"/>
      <c r="AY1506" s="17"/>
      <c r="AZ1506" s="17"/>
      <c r="BA1506" s="17"/>
      <c r="BB1506" s="17"/>
      <c r="BC1506" s="17"/>
      <c r="BD1506" s="17"/>
      <c r="BE1506" s="17"/>
      <c r="BF1506" s="17"/>
      <c r="BG1506" s="17"/>
      <c r="BH1506" s="17"/>
      <c r="BI1506" s="17"/>
      <c r="BJ1506" s="17"/>
      <c r="BK1506" s="17"/>
      <c r="BL1506" s="17"/>
      <c r="BM1506" s="17"/>
      <c r="BN1506" s="17"/>
      <c r="BO1506" s="17"/>
      <c r="BP1506" s="17"/>
      <c r="BQ1506" s="17"/>
      <c r="BR1506" s="17"/>
      <c r="BS1506" s="17"/>
      <c r="BT1506" s="17"/>
      <c r="BU1506" s="17"/>
      <c r="BV1506" s="17"/>
      <c r="BW1506" s="17"/>
      <c r="BX1506" s="17"/>
    </row>
    <row r="1507" customHeight="1" spans="1:76">
      <c r="A1507" s="17"/>
      <c r="B1507" s="17"/>
      <c r="C1507" s="17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17"/>
      <c r="AD1507" s="17"/>
      <c r="AE1507" s="17"/>
      <c r="AF1507" s="17"/>
      <c r="AG1507" s="17"/>
      <c r="AH1507" s="17"/>
      <c r="AI1507" s="17"/>
      <c r="AJ1507" s="17"/>
      <c r="AK1507" s="17"/>
      <c r="AL1507" s="17"/>
      <c r="AM1507" s="17"/>
      <c r="AN1507" s="17"/>
      <c r="AO1507" s="17"/>
      <c r="AP1507" s="17"/>
      <c r="AQ1507" s="17"/>
      <c r="AR1507" s="17"/>
      <c r="AS1507" s="17"/>
      <c r="AT1507" s="17"/>
      <c r="AU1507" s="17"/>
      <c r="AV1507" s="17"/>
      <c r="AW1507" s="17"/>
      <c r="AX1507" s="17"/>
      <c r="AY1507" s="17"/>
      <c r="AZ1507" s="17"/>
      <c r="BA1507" s="17"/>
      <c r="BB1507" s="17"/>
      <c r="BC1507" s="17"/>
      <c r="BD1507" s="17"/>
      <c r="BE1507" s="17"/>
      <c r="BF1507" s="17"/>
      <c r="BG1507" s="17"/>
      <c r="BH1507" s="17"/>
      <c r="BI1507" s="17"/>
      <c r="BJ1507" s="17"/>
      <c r="BK1507" s="17"/>
      <c r="BL1507" s="17"/>
      <c r="BM1507" s="17"/>
      <c r="BN1507" s="17"/>
      <c r="BO1507" s="17"/>
      <c r="BP1507" s="17"/>
      <c r="BQ1507" s="17"/>
      <c r="BR1507" s="17"/>
      <c r="BS1507" s="17"/>
      <c r="BT1507" s="17"/>
      <c r="BU1507" s="17"/>
      <c r="BV1507" s="17"/>
      <c r="BW1507" s="17"/>
      <c r="BX1507" s="17"/>
    </row>
    <row r="1508" customHeight="1" spans="1:76">
      <c r="A1508" s="17"/>
      <c r="B1508" s="17"/>
      <c r="C1508" s="17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17"/>
      <c r="AD1508" s="17"/>
      <c r="AE1508" s="17"/>
      <c r="AF1508" s="17"/>
      <c r="AG1508" s="17"/>
      <c r="AH1508" s="17"/>
      <c r="AI1508" s="17"/>
      <c r="AJ1508" s="17"/>
      <c r="AK1508" s="17"/>
      <c r="AL1508" s="17"/>
      <c r="AM1508" s="17"/>
      <c r="AN1508" s="17"/>
      <c r="AO1508" s="17"/>
      <c r="AP1508" s="17"/>
      <c r="AQ1508" s="17"/>
      <c r="AR1508" s="17"/>
      <c r="AS1508" s="17"/>
      <c r="AT1508" s="17"/>
      <c r="AU1508" s="17"/>
      <c r="AV1508" s="17"/>
      <c r="AW1508" s="17"/>
      <c r="AX1508" s="17"/>
      <c r="AY1508" s="17"/>
      <c r="AZ1508" s="17"/>
      <c r="BA1508" s="17"/>
      <c r="BB1508" s="17"/>
      <c r="BC1508" s="17"/>
      <c r="BD1508" s="17"/>
      <c r="BE1508" s="17"/>
      <c r="BF1508" s="17"/>
      <c r="BG1508" s="17"/>
      <c r="BH1508" s="17"/>
      <c r="BI1508" s="17"/>
      <c r="BJ1508" s="17"/>
      <c r="BK1508" s="17"/>
      <c r="BL1508" s="17"/>
      <c r="BM1508" s="17"/>
      <c r="BN1508" s="17"/>
      <c r="BO1508" s="17"/>
      <c r="BP1508" s="17"/>
      <c r="BQ1508" s="17"/>
      <c r="BR1508" s="17"/>
      <c r="BS1508" s="17"/>
      <c r="BT1508" s="17"/>
      <c r="BU1508" s="17"/>
      <c r="BV1508" s="17"/>
      <c r="BW1508" s="17"/>
      <c r="BX1508" s="17"/>
    </row>
    <row r="1509" customHeight="1" spans="1:76">
      <c r="A1509" s="17"/>
      <c r="B1509" s="17"/>
      <c r="C1509" s="17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7"/>
      <c r="AE1509" s="17"/>
      <c r="AF1509" s="17"/>
      <c r="AG1509" s="17"/>
      <c r="AH1509" s="17"/>
      <c r="AI1509" s="17"/>
      <c r="AJ1509" s="17"/>
      <c r="AK1509" s="17"/>
      <c r="AL1509" s="17"/>
      <c r="AM1509" s="17"/>
      <c r="AN1509" s="17"/>
      <c r="AO1509" s="17"/>
      <c r="AP1509" s="17"/>
      <c r="AQ1509" s="17"/>
      <c r="AR1509" s="17"/>
      <c r="AS1509" s="17"/>
      <c r="AT1509" s="17"/>
      <c r="AU1509" s="17"/>
      <c r="AV1509" s="17"/>
      <c r="AW1509" s="17"/>
      <c r="AX1509" s="17"/>
      <c r="AY1509" s="17"/>
      <c r="AZ1509" s="17"/>
      <c r="BA1509" s="17"/>
      <c r="BB1509" s="17"/>
      <c r="BC1509" s="17"/>
      <c r="BD1509" s="17"/>
      <c r="BE1509" s="17"/>
      <c r="BF1509" s="17"/>
      <c r="BG1509" s="17"/>
      <c r="BH1509" s="17"/>
      <c r="BI1509" s="17"/>
      <c r="BJ1509" s="17"/>
      <c r="BK1509" s="17"/>
      <c r="BL1509" s="17"/>
      <c r="BM1509" s="17"/>
      <c r="BN1509" s="17"/>
      <c r="BO1509" s="17"/>
      <c r="BP1509" s="17"/>
      <c r="BQ1509" s="17"/>
      <c r="BR1509" s="17"/>
      <c r="BS1509" s="17"/>
      <c r="BT1509" s="17"/>
      <c r="BU1509" s="17"/>
      <c r="BV1509" s="17"/>
      <c r="BW1509" s="17"/>
      <c r="BX1509" s="17"/>
    </row>
    <row r="1510" customHeight="1" spans="1:76">
      <c r="A1510" s="17"/>
      <c r="B1510" s="17"/>
      <c r="C1510" s="17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  <c r="AD1510" s="17"/>
      <c r="AE1510" s="17"/>
      <c r="AF1510" s="17"/>
      <c r="AG1510" s="17"/>
      <c r="AH1510" s="17"/>
      <c r="AI1510" s="17"/>
      <c r="AJ1510" s="17"/>
      <c r="AK1510" s="17"/>
      <c r="AL1510" s="17"/>
      <c r="AM1510" s="17"/>
      <c r="AN1510" s="17"/>
      <c r="AO1510" s="17"/>
      <c r="AP1510" s="17"/>
      <c r="AQ1510" s="17"/>
      <c r="AR1510" s="17"/>
      <c r="AS1510" s="17"/>
      <c r="AT1510" s="17"/>
      <c r="AU1510" s="17"/>
      <c r="AV1510" s="17"/>
      <c r="AW1510" s="17"/>
      <c r="AX1510" s="17"/>
      <c r="AY1510" s="17"/>
      <c r="AZ1510" s="17"/>
      <c r="BA1510" s="17"/>
      <c r="BB1510" s="17"/>
      <c r="BC1510" s="17"/>
      <c r="BD1510" s="17"/>
      <c r="BE1510" s="17"/>
      <c r="BF1510" s="17"/>
      <c r="BG1510" s="17"/>
      <c r="BH1510" s="17"/>
      <c r="BI1510" s="17"/>
      <c r="BJ1510" s="17"/>
      <c r="BK1510" s="17"/>
      <c r="BL1510" s="17"/>
      <c r="BM1510" s="17"/>
      <c r="BN1510" s="17"/>
      <c r="BO1510" s="17"/>
      <c r="BP1510" s="17"/>
      <c r="BQ1510" s="17"/>
      <c r="BR1510" s="17"/>
      <c r="BS1510" s="17"/>
      <c r="BT1510" s="17"/>
      <c r="BU1510" s="17"/>
      <c r="BV1510" s="17"/>
      <c r="BW1510" s="17"/>
      <c r="BX1510" s="17"/>
    </row>
    <row r="1511" customHeight="1" spans="1:76">
      <c r="A1511" s="17"/>
      <c r="B1511" s="17"/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17"/>
      <c r="AD1511" s="17"/>
      <c r="AE1511" s="17"/>
      <c r="AF1511" s="17"/>
      <c r="AG1511" s="17"/>
      <c r="AH1511" s="17"/>
      <c r="AI1511" s="17"/>
      <c r="AJ1511" s="17"/>
      <c r="AK1511" s="17"/>
      <c r="AL1511" s="17"/>
      <c r="AM1511" s="17"/>
      <c r="AN1511" s="17"/>
      <c r="AO1511" s="17"/>
      <c r="AP1511" s="17"/>
      <c r="AQ1511" s="17"/>
      <c r="AR1511" s="17"/>
      <c r="AS1511" s="17"/>
      <c r="AT1511" s="17"/>
      <c r="AU1511" s="17"/>
      <c r="AV1511" s="17"/>
      <c r="AW1511" s="17"/>
      <c r="AX1511" s="17"/>
      <c r="AY1511" s="17"/>
      <c r="AZ1511" s="17"/>
      <c r="BA1511" s="17"/>
      <c r="BB1511" s="17"/>
      <c r="BC1511" s="17"/>
      <c r="BD1511" s="17"/>
      <c r="BE1511" s="17"/>
      <c r="BF1511" s="17"/>
      <c r="BG1511" s="17"/>
      <c r="BH1511" s="17"/>
      <c r="BI1511" s="17"/>
      <c r="BJ1511" s="17"/>
      <c r="BK1511" s="17"/>
      <c r="BL1511" s="17"/>
      <c r="BM1511" s="17"/>
      <c r="BN1511" s="17"/>
      <c r="BO1511" s="17"/>
      <c r="BP1511" s="17"/>
      <c r="BQ1511" s="17"/>
      <c r="BR1511" s="17"/>
      <c r="BS1511" s="17"/>
      <c r="BT1511" s="17"/>
      <c r="BU1511" s="17"/>
      <c r="BV1511" s="17"/>
      <c r="BW1511" s="17"/>
      <c r="BX1511" s="17"/>
    </row>
    <row r="1512" customHeight="1" spans="1:76">
      <c r="A1512" s="17"/>
      <c r="B1512" s="17"/>
      <c r="C1512" s="17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  <c r="AD1512" s="17"/>
      <c r="AE1512" s="17"/>
      <c r="AF1512" s="17"/>
      <c r="AG1512" s="17"/>
      <c r="AH1512" s="17"/>
      <c r="AI1512" s="17"/>
      <c r="AJ1512" s="17"/>
      <c r="AK1512" s="17"/>
      <c r="AL1512" s="17"/>
      <c r="AM1512" s="17"/>
      <c r="AN1512" s="17"/>
      <c r="AO1512" s="17"/>
      <c r="AP1512" s="17"/>
      <c r="AQ1512" s="17"/>
      <c r="AR1512" s="17"/>
      <c r="AS1512" s="17"/>
      <c r="AT1512" s="17"/>
      <c r="AU1512" s="17"/>
      <c r="AV1512" s="17"/>
      <c r="AW1512" s="17"/>
      <c r="AX1512" s="17"/>
      <c r="AY1512" s="17"/>
      <c r="AZ1512" s="17"/>
      <c r="BA1512" s="17"/>
      <c r="BB1512" s="17"/>
      <c r="BC1512" s="17"/>
      <c r="BD1512" s="17"/>
      <c r="BE1512" s="17"/>
      <c r="BF1512" s="17"/>
      <c r="BG1512" s="17"/>
      <c r="BH1512" s="17"/>
      <c r="BI1512" s="17"/>
      <c r="BJ1512" s="17"/>
      <c r="BK1512" s="17"/>
      <c r="BL1512" s="17"/>
      <c r="BM1512" s="17"/>
      <c r="BN1512" s="17"/>
      <c r="BO1512" s="17"/>
      <c r="BP1512" s="17"/>
      <c r="BQ1512" s="17"/>
      <c r="BR1512" s="17"/>
      <c r="BS1512" s="17"/>
      <c r="BT1512" s="17"/>
      <c r="BU1512" s="17"/>
      <c r="BV1512" s="17"/>
      <c r="BW1512" s="17"/>
      <c r="BX1512" s="17"/>
    </row>
    <row r="1513" customHeight="1" spans="1:76">
      <c r="A1513" s="17"/>
      <c r="B1513" s="17"/>
      <c r="C1513" s="17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  <c r="AD1513" s="17"/>
      <c r="AE1513" s="17"/>
      <c r="AF1513" s="17"/>
      <c r="AG1513" s="17"/>
      <c r="AH1513" s="17"/>
      <c r="AI1513" s="17"/>
      <c r="AJ1513" s="17"/>
      <c r="AK1513" s="17"/>
      <c r="AL1513" s="17"/>
      <c r="AM1513" s="17"/>
      <c r="AN1513" s="17"/>
      <c r="AO1513" s="17"/>
      <c r="AP1513" s="17"/>
      <c r="AQ1513" s="17"/>
      <c r="AR1513" s="17"/>
      <c r="AS1513" s="17"/>
      <c r="AT1513" s="17"/>
      <c r="AU1513" s="17"/>
      <c r="AV1513" s="17"/>
      <c r="AW1513" s="17"/>
      <c r="AX1513" s="17"/>
      <c r="AY1513" s="17"/>
      <c r="AZ1513" s="17"/>
      <c r="BA1513" s="17"/>
      <c r="BB1513" s="17"/>
      <c r="BC1513" s="17"/>
      <c r="BD1513" s="17"/>
      <c r="BE1513" s="17"/>
      <c r="BF1513" s="17"/>
      <c r="BG1513" s="17"/>
      <c r="BH1513" s="17"/>
      <c r="BI1513" s="17"/>
      <c r="BJ1513" s="17"/>
      <c r="BK1513" s="17"/>
      <c r="BL1513" s="17"/>
      <c r="BM1513" s="17"/>
      <c r="BN1513" s="17"/>
      <c r="BO1513" s="17"/>
      <c r="BP1513" s="17"/>
      <c r="BQ1513" s="17"/>
      <c r="BR1513" s="17"/>
      <c r="BS1513" s="17"/>
      <c r="BT1513" s="17"/>
      <c r="BU1513" s="17"/>
      <c r="BV1513" s="17"/>
      <c r="BW1513" s="17"/>
      <c r="BX1513" s="17"/>
    </row>
    <row r="1514" customHeight="1" spans="1:76">
      <c r="A1514" s="17"/>
      <c r="B1514" s="17"/>
      <c r="C1514" s="17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  <c r="N1514" s="17"/>
      <c r="O1514" s="17"/>
      <c r="P1514" s="17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7"/>
      <c r="AD1514" s="17"/>
      <c r="AE1514" s="17"/>
      <c r="AF1514" s="17"/>
      <c r="AG1514" s="17"/>
      <c r="AH1514" s="17"/>
      <c r="AI1514" s="17"/>
      <c r="AJ1514" s="17"/>
      <c r="AK1514" s="17"/>
      <c r="AL1514" s="17"/>
      <c r="AM1514" s="17"/>
      <c r="AN1514" s="17"/>
      <c r="AO1514" s="17"/>
      <c r="AP1514" s="17"/>
      <c r="AQ1514" s="17"/>
      <c r="AR1514" s="17"/>
      <c r="AS1514" s="17"/>
      <c r="AT1514" s="17"/>
      <c r="AU1514" s="17"/>
      <c r="AV1514" s="17"/>
      <c r="AW1514" s="17"/>
      <c r="AX1514" s="17"/>
      <c r="AY1514" s="17"/>
      <c r="AZ1514" s="17"/>
      <c r="BA1514" s="17"/>
      <c r="BB1514" s="17"/>
      <c r="BC1514" s="17"/>
      <c r="BD1514" s="17"/>
      <c r="BE1514" s="17"/>
      <c r="BF1514" s="17"/>
      <c r="BG1514" s="17"/>
      <c r="BH1514" s="17"/>
      <c r="BI1514" s="17"/>
      <c r="BJ1514" s="17"/>
      <c r="BK1514" s="17"/>
      <c r="BL1514" s="17"/>
      <c r="BM1514" s="17"/>
      <c r="BN1514" s="17"/>
      <c r="BO1514" s="17"/>
      <c r="BP1514" s="17"/>
      <c r="BQ1514" s="17"/>
      <c r="BR1514" s="17"/>
      <c r="BS1514" s="17"/>
      <c r="BT1514" s="17"/>
      <c r="BU1514" s="17"/>
      <c r="BV1514" s="17"/>
      <c r="BW1514" s="17"/>
      <c r="BX1514" s="17"/>
    </row>
    <row r="1515" customHeight="1" spans="1:76">
      <c r="A1515" s="17"/>
      <c r="B1515" s="17"/>
      <c r="C1515" s="17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  <c r="AD1515" s="17"/>
      <c r="AE1515" s="17"/>
      <c r="AF1515" s="17"/>
      <c r="AG1515" s="17"/>
      <c r="AH1515" s="17"/>
      <c r="AI1515" s="17"/>
      <c r="AJ1515" s="17"/>
      <c r="AK1515" s="17"/>
      <c r="AL1515" s="17"/>
      <c r="AM1515" s="17"/>
      <c r="AN1515" s="17"/>
      <c r="AO1515" s="17"/>
      <c r="AP1515" s="17"/>
      <c r="AQ1515" s="17"/>
      <c r="AR1515" s="17"/>
      <c r="AS1515" s="17"/>
      <c r="AT1515" s="17"/>
      <c r="AU1515" s="17"/>
      <c r="AV1515" s="17"/>
      <c r="AW1515" s="17"/>
      <c r="AX1515" s="17"/>
      <c r="AY1515" s="17"/>
      <c r="AZ1515" s="17"/>
      <c r="BA1515" s="17"/>
      <c r="BB1515" s="17"/>
      <c r="BC1515" s="17"/>
      <c r="BD1515" s="17"/>
      <c r="BE1515" s="17"/>
      <c r="BF1515" s="17"/>
      <c r="BG1515" s="17"/>
      <c r="BH1515" s="17"/>
      <c r="BI1515" s="17"/>
      <c r="BJ1515" s="17"/>
      <c r="BK1515" s="17"/>
      <c r="BL1515" s="17"/>
      <c r="BM1515" s="17"/>
      <c r="BN1515" s="17"/>
      <c r="BO1515" s="17"/>
      <c r="BP1515" s="17"/>
      <c r="BQ1515" s="17"/>
      <c r="BR1515" s="17"/>
      <c r="BS1515" s="17"/>
      <c r="BT1515" s="17"/>
      <c r="BU1515" s="17"/>
      <c r="BV1515" s="17"/>
      <c r="BW1515" s="17"/>
      <c r="BX1515" s="17"/>
    </row>
    <row r="1516" customHeight="1" spans="1:76">
      <c r="A1516" s="17"/>
      <c r="B1516" s="17"/>
      <c r="C1516" s="17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  <c r="AD1516" s="17"/>
      <c r="AE1516" s="17"/>
      <c r="AF1516" s="17"/>
      <c r="AG1516" s="17"/>
      <c r="AH1516" s="17"/>
      <c r="AI1516" s="17"/>
      <c r="AJ1516" s="17"/>
      <c r="AK1516" s="17"/>
      <c r="AL1516" s="17"/>
      <c r="AM1516" s="17"/>
      <c r="AN1516" s="17"/>
      <c r="AO1516" s="17"/>
      <c r="AP1516" s="17"/>
      <c r="AQ1516" s="17"/>
      <c r="AR1516" s="17"/>
      <c r="AS1516" s="17"/>
      <c r="AT1516" s="17"/>
      <c r="AU1516" s="17"/>
      <c r="AV1516" s="17"/>
      <c r="AW1516" s="17"/>
      <c r="AX1516" s="17"/>
      <c r="AY1516" s="17"/>
      <c r="AZ1516" s="17"/>
      <c r="BA1516" s="17"/>
      <c r="BB1516" s="17"/>
      <c r="BC1516" s="17"/>
      <c r="BD1516" s="17"/>
      <c r="BE1516" s="17"/>
      <c r="BF1516" s="17"/>
      <c r="BG1516" s="17"/>
      <c r="BH1516" s="17"/>
      <c r="BI1516" s="17"/>
      <c r="BJ1516" s="17"/>
      <c r="BK1516" s="17"/>
      <c r="BL1516" s="17"/>
      <c r="BM1516" s="17"/>
      <c r="BN1516" s="17"/>
      <c r="BO1516" s="17"/>
      <c r="BP1516" s="17"/>
      <c r="BQ1516" s="17"/>
      <c r="BR1516" s="17"/>
      <c r="BS1516" s="17"/>
      <c r="BT1516" s="17"/>
      <c r="BU1516" s="17"/>
      <c r="BV1516" s="17"/>
      <c r="BW1516" s="17"/>
      <c r="BX1516" s="17"/>
    </row>
    <row r="1517" customHeight="1" spans="1:76">
      <c r="A1517" s="17"/>
      <c r="B1517" s="17"/>
      <c r="C1517" s="17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  <c r="AD1517" s="17"/>
      <c r="AE1517" s="17"/>
      <c r="AF1517" s="17"/>
      <c r="AG1517" s="17"/>
      <c r="AH1517" s="17"/>
      <c r="AI1517" s="17"/>
      <c r="AJ1517" s="17"/>
      <c r="AK1517" s="17"/>
      <c r="AL1517" s="17"/>
      <c r="AM1517" s="17"/>
      <c r="AN1517" s="17"/>
      <c r="AO1517" s="17"/>
      <c r="AP1517" s="17"/>
      <c r="AQ1517" s="17"/>
      <c r="AR1517" s="17"/>
      <c r="AS1517" s="17"/>
      <c r="AT1517" s="17"/>
      <c r="AU1517" s="17"/>
      <c r="AV1517" s="17"/>
      <c r="AW1517" s="17"/>
      <c r="AX1517" s="17"/>
      <c r="AY1517" s="17"/>
      <c r="AZ1517" s="17"/>
      <c r="BA1517" s="17"/>
      <c r="BB1517" s="17"/>
      <c r="BC1517" s="17"/>
      <c r="BD1517" s="17"/>
      <c r="BE1517" s="17"/>
      <c r="BF1517" s="17"/>
      <c r="BG1517" s="17"/>
      <c r="BH1517" s="17"/>
      <c r="BI1517" s="17"/>
      <c r="BJ1517" s="17"/>
      <c r="BK1517" s="17"/>
      <c r="BL1517" s="17"/>
      <c r="BM1517" s="17"/>
      <c r="BN1517" s="17"/>
      <c r="BO1517" s="17"/>
      <c r="BP1517" s="17"/>
      <c r="BQ1517" s="17"/>
      <c r="BR1517" s="17"/>
      <c r="BS1517" s="17"/>
      <c r="BT1517" s="17"/>
      <c r="BU1517" s="17"/>
      <c r="BV1517" s="17"/>
      <c r="BW1517" s="17"/>
      <c r="BX1517" s="17"/>
    </row>
    <row r="1518" customHeight="1" spans="1:76">
      <c r="A1518" s="17"/>
      <c r="B1518" s="17"/>
      <c r="C1518" s="17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  <c r="AD1518" s="17"/>
      <c r="AE1518" s="17"/>
      <c r="AF1518" s="17"/>
      <c r="AG1518" s="17"/>
      <c r="AH1518" s="17"/>
      <c r="AI1518" s="17"/>
      <c r="AJ1518" s="17"/>
      <c r="AK1518" s="17"/>
      <c r="AL1518" s="17"/>
      <c r="AM1518" s="17"/>
      <c r="AN1518" s="17"/>
      <c r="AO1518" s="17"/>
      <c r="AP1518" s="17"/>
      <c r="AQ1518" s="17"/>
      <c r="AR1518" s="17"/>
      <c r="AS1518" s="17"/>
      <c r="AT1518" s="17"/>
      <c r="AU1518" s="17"/>
      <c r="AV1518" s="17"/>
      <c r="AW1518" s="17"/>
      <c r="AX1518" s="17"/>
      <c r="AY1518" s="17"/>
      <c r="AZ1518" s="17"/>
      <c r="BA1518" s="17"/>
      <c r="BB1518" s="17"/>
      <c r="BC1518" s="17"/>
      <c r="BD1518" s="17"/>
      <c r="BE1518" s="17"/>
      <c r="BF1518" s="17"/>
      <c r="BG1518" s="17"/>
      <c r="BH1518" s="17"/>
      <c r="BI1518" s="17"/>
      <c r="BJ1518" s="17"/>
      <c r="BK1518" s="17"/>
      <c r="BL1518" s="17"/>
      <c r="BM1518" s="17"/>
      <c r="BN1518" s="17"/>
      <c r="BO1518" s="17"/>
      <c r="BP1518" s="17"/>
      <c r="BQ1518" s="17"/>
      <c r="BR1518" s="17"/>
      <c r="BS1518" s="17"/>
      <c r="BT1518" s="17"/>
      <c r="BU1518" s="17"/>
      <c r="BV1518" s="17"/>
      <c r="BW1518" s="17"/>
      <c r="BX1518" s="17"/>
    </row>
    <row r="1519" customHeight="1" spans="1:76">
      <c r="A1519" s="17"/>
      <c r="B1519" s="17"/>
      <c r="C1519" s="17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  <c r="AE1519" s="17"/>
      <c r="AF1519" s="17"/>
      <c r="AG1519" s="17"/>
      <c r="AH1519" s="17"/>
      <c r="AI1519" s="17"/>
      <c r="AJ1519" s="17"/>
      <c r="AK1519" s="17"/>
      <c r="AL1519" s="17"/>
      <c r="AM1519" s="17"/>
      <c r="AN1519" s="17"/>
      <c r="AO1519" s="17"/>
      <c r="AP1519" s="17"/>
      <c r="AQ1519" s="17"/>
      <c r="AR1519" s="17"/>
      <c r="AS1519" s="17"/>
      <c r="AT1519" s="17"/>
      <c r="AU1519" s="17"/>
      <c r="AV1519" s="17"/>
      <c r="AW1519" s="17"/>
      <c r="AX1519" s="17"/>
      <c r="AY1519" s="17"/>
      <c r="AZ1519" s="17"/>
      <c r="BA1519" s="17"/>
      <c r="BB1519" s="17"/>
      <c r="BC1519" s="17"/>
      <c r="BD1519" s="17"/>
      <c r="BE1519" s="17"/>
      <c r="BF1519" s="17"/>
      <c r="BG1519" s="17"/>
      <c r="BH1519" s="17"/>
      <c r="BI1519" s="17"/>
      <c r="BJ1519" s="17"/>
      <c r="BK1519" s="17"/>
      <c r="BL1519" s="17"/>
      <c r="BM1519" s="17"/>
      <c r="BN1519" s="17"/>
      <c r="BO1519" s="17"/>
      <c r="BP1519" s="17"/>
      <c r="BQ1519" s="17"/>
      <c r="BR1519" s="17"/>
      <c r="BS1519" s="17"/>
      <c r="BT1519" s="17"/>
      <c r="BU1519" s="17"/>
      <c r="BV1519" s="17"/>
      <c r="BW1519" s="17"/>
      <c r="BX1519" s="17"/>
    </row>
    <row r="1520" customHeight="1" spans="1:76">
      <c r="A1520" s="17"/>
      <c r="B1520" s="17"/>
      <c r="C1520" s="17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  <c r="N1520" s="17"/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  <c r="AD1520" s="17"/>
      <c r="AE1520" s="17"/>
      <c r="AF1520" s="17"/>
      <c r="AG1520" s="17"/>
      <c r="AH1520" s="17"/>
      <c r="AI1520" s="17"/>
      <c r="AJ1520" s="17"/>
      <c r="AK1520" s="17"/>
      <c r="AL1520" s="17"/>
      <c r="AM1520" s="17"/>
      <c r="AN1520" s="17"/>
      <c r="AO1520" s="17"/>
      <c r="AP1520" s="17"/>
      <c r="AQ1520" s="17"/>
      <c r="AR1520" s="17"/>
      <c r="AS1520" s="17"/>
      <c r="AT1520" s="17"/>
      <c r="AU1520" s="17"/>
      <c r="AV1520" s="17"/>
      <c r="AW1520" s="17"/>
      <c r="AX1520" s="17"/>
      <c r="AY1520" s="17"/>
      <c r="AZ1520" s="17"/>
      <c r="BA1520" s="17"/>
      <c r="BB1520" s="17"/>
      <c r="BC1520" s="17"/>
      <c r="BD1520" s="17"/>
      <c r="BE1520" s="17"/>
      <c r="BF1520" s="17"/>
      <c r="BG1520" s="17"/>
      <c r="BH1520" s="17"/>
      <c r="BI1520" s="17"/>
      <c r="BJ1520" s="17"/>
      <c r="BK1520" s="17"/>
      <c r="BL1520" s="17"/>
      <c r="BM1520" s="17"/>
      <c r="BN1520" s="17"/>
      <c r="BO1520" s="17"/>
      <c r="BP1520" s="17"/>
      <c r="BQ1520" s="17"/>
      <c r="BR1520" s="17"/>
      <c r="BS1520" s="17"/>
      <c r="BT1520" s="17"/>
      <c r="BU1520" s="17"/>
      <c r="BV1520" s="17"/>
      <c r="BW1520" s="17"/>
      <c r="BX1520" s="17"/>
    </row>
    <row r="1521" customHeight="1" spans="1:76">
      <c r="A1521" s="17"/>
      <c r="B1521" s="17"/>
      <c r="C1521" s="17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  <c r="AE1521" s="17"/>
      <c r="AF1521" s="17"/>
      <c r="AG1521" s="17"/>
      <c r="AH1521" s="17"/>
      <c r="AI1521" s="17"/>
      <c r="AJ1521" s="17"/>
      <c r="AK1521" s="17"/>
      <c r="AL1521" s="17"/>
      <c r="AM1521" s="17"/>
      <c r="AN1521" s="17"/>
      <c r="AO1521" s="17"/>
      <c r="AP1521" s="17"/>
      <c r="AQ1521" s="17"/>
      <c r="AR1521" s="17"/>
      <c r="AS1521" s="17"/>
      <c r="AT1521" s="17"/>
      <c r="AU1521" s="17"/>
      <c r="AV1521" s="17"/>
      <c r="AW1521" s="17"/>
      <c r="AX1521" s="17"/>
      <c r="AY1521" s="17"/>
      <c r="AZ1521" s="17"/>
      <c r="BA1521" s="17"/>
      <c r="BB1521" s="17"/>
      <c r="BC1521" s="17"/>
      <c r="BD1521" s="17"/>
      <c r="BE1521" s="17"/>
      <c r="BF1521" s="17"/>
      <c r="BG1521" s="17"/>
      <c r="BH1521" s="17"/>
      <c r="BI1521" s="17"/>
      <c r="BJ1521" s="17"/>
      <c r="BK1521" s="17"/>
      <c r="BL1521" s="17"/>
      <c r="BM1521" s="17"/>
      <c r="BN1521" s="17"/>
      <c r="BO1521" s="17"/>
      <c r="BP1521" s="17"/>
      <c r="BQ1521" s="17"/>
      <c r="BR1521" s="17"/>
      <c r="BS1521" s="17"/>
      <c r="BT1521" s="17"/>
      <c r="BU1521" s="17"/>
      <c r="BV1521" s="17"/>
      <c r="BW1521" s="17"/>
      <c r="BX1521" s="17"/>
    </row>
    <row r="1522" customHeight="1" spans="1:76">
      <c r="A1522" s="17"/>
      <c r="B1522" s="17"/>
      <c r="C1522" s="17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17"/>
      <c r="AD1522" s="17"/>
      <c r="AE1522" s="17"/>
      <c r="AF1522" s="17"/>
      <c r="AG1522" s="17"/>
      <c r="AH1522" s="17"/>
      <c r="AI1522" s="17"/>
      <c r="AJ1522" s="17"/>
      <c r="AK1522" s="17"/>
      <c r="AL1522" s="17"/>
      <c r="AM1522" s="17"/>
      <c r="AN1522" s="17"/>
      <c r="AO1522" s="17"/>
      <c r="AP1522" s="17"/>
      <c r="AQ1522" s="17"/>
      <c r="AR1522" s="17"/>
      <c r="AS1522" s="17"/>
      <c r="AT1522" s="17"/>
      <c r="AU1522" s="17"/>
      <c r="AV1522" s="17"/>
      <c r="AW1522" s="17"/>
      <c r="AX1522" s="17"/>
      <c r="AY1522" s="17"/>
      <c r="AZ1522" s="17"/>
      <c r="BA1522" s="17"/>
      <c r="BB1522" s="17"/>
      <c r="BC1522" s="17"/>
      <c r="BD1522" s="17"/>
      <c r="BE1522" s="17"/>
      <c r="BF1522" s="17"/>
      <c r="BG1522" s="17"/>
      <c r="BH1522" s="17"/>
      <c r="BI1522" s="17"/>
      <c r="BJ1522" s="17"/>
      <c r="BK1522" s="17"/>
      <c r="BL1522" s="17"/>
      <c r="BM1522" s="17"/>
      <c r="BN1522" s="17"/>
      <c r="BO1522" s="17"/>
      <c r="BP1522" s="17"/>
      <c r="BQ1522" s="17"/>
      <c r="BR1522" s="17"/>
      <c r="BS1522" s="17"/>
      <c r="BT1522" s="17"/>
      <c r="BU1522" s="17"/>
      <c r="BV1522" s="17"/>
      <c r="BW1522" s="17"/>
      <c r="BX1522" s="17"/>
    </row>
    <row r="1523" customHeight="1" spans="1:76">
      <c r="A1523" s="17"/>
      <c r="B1523" s="17"/>
      <c r="C1523" s="17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17"/>
      <c r="AF1523" s="17"/>
      <c r="AG1523" s="17"/>
      <c r="AH1523" s="17"/>
      <c r="AI1523" s="17"/>
      <c r="AJ1523" s="17"/>
      <c r="AK1523" s="17"/>
      <c r="AL1523" s="17"/>
      <c r="AM1523" s="17"/>
      <c r="AN1523" s="17"/>
      <c r="AO1523" s="17"/>
      <c r="AP1523" s="17"/>
      <c r="AQ1523" s="17"/>
      <c r="AR1523" s="17"/>
      <c r="AS1523" s="17"/>
      <c r="AT1523" s="17"/>
      <c r="AU1523" s="17"/>
      <c r="AV1523" s="17"/>
      <c r="AW1523" s="17"/>
      <c r="AX1523" s="17"/>
      <c r="AY1523" s="17"/>
      <c r="AZ1523" s="17"/>
      <c r="BA1523" s="17"/>
      <c r="BB1523" s="17"/>
      <c r="BC1523" s="17"/>
      <c r="BD1523" s="17"/>
      <c r="BE1523" s="17"/>
      <c r="BF1523" s="17"/>
      <c r="BG1523" s="17"/>
      <c r="BH1523" s="17"/>
      <c r="BI1523" s="17"/>
      <c r="BJ1523" s="17"/>
      <c r="BK1523" s="17"/>
      <c r="BL1523" s="17"/>
      <c r="BM1523" s="17"/>
      <c r="BN1523" s="17"/>
      <c r="BO1523" s="17"/>
      <c r="BP1523" s="17"/>
      <c r="BQ1523" s="17"/>
      <c r="BR1523" s="17"/>
      <c r="BS1523" s="17"/>
      <c r="BT1523" s="17"/>
      <c r="BU1523" s="17"/>
      <c r="BV1523" s="17"/>
      <c r="BW1523" s="17"/>
      <c r="BX1523" s="17"/>
    </row>
    <row r="1524" customHeight="1" spans="1:76">
      <c r="A1524" s="17"/>
      <c r="B1524" s="17"/>
      <c r="C1524" s="17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  <c r="AE1524" s="17"/>
      <c r="AF1524" s="17"/>
      <c r="AG1524" s="17"/>
      <c r="AH1524" s="17"/>
      <c r="AI1524" s="17"/>
      <c r="AJ1524" s="17"/>
      <c r="AK1524" s="17"/>
      <c r="AL1524" s="17"/>
      <c r="AM1524" s="17"/>
      <c r="AN1524" s="17"/>
      <c r="AO1524" s="17"/>
      <c r="AP1524" s="17"/>
      <c r="AQ1524" s="17"/>
      <c r="AR1524" s="17"/>
      <c r="AS1524" s="17"/>
      <c r="AT1524" s="17"/>
      <c r="AU1524" s="17"/>
      <c r="AV1524" s="17"/>
      <c r="AW1524" s="17"/>
      <c r="AX1524" s="17"/>
      <c r="AY1524" s="17"/>
      <c r="AZ1524" s="17"/>
      <c r="BA1524" s="17"/>
      <c r="BB1524" s="17"/>
      <c r="BC1524" s="17"/>
      <c r="BD1524" s="17"/>
      <c r="BE1524" s="17"/>
      <c r="BF1524" s="17"/>
      <c r="BG1524" s="17"/>
      <c r="BH1524" s="17"/>
      <c r="BI1524" s="17"/>
      <c r="BJ1524" s="17"/>
      <c r="BK1524" s="17"/>
      <c r="BL1524" s="17"/>
      <c r="BM1524" s="17"/>
      <c r="BN1524" s="17"/>
      <c r="BO1524" s="17"/>
      <c r="BP1524" s="17"/>
      <c r="BQ1524" s="17"/>
      <c r="BR1524" s="17"/>
      <c r="BS1524" s="17"/>
      <c r="BT1524" s="17"/>
      <c r="BU1524" s="17"/>
      <c r="BV1524" s="17"/>
      <c r="BW1524" s="17"/>
      <c r="BX1524" s="17"/>
    </row>
    <row r="1525" customHeight="1" spans="1:76">
      <c r="A1525" s="17"/>
      <c r="B1525" s="17"/>
      <c r="C1525" s="17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  <c r="AD1525" s="17"/>
      <c r="AE1525" s="17"/>
      <c r="AF1525" s="17"/>
      <c r="AG1525" s="17"/>
      <c r="AH1525" s="17"/>
      <c r="AI1525" s="17"/>
      <c r="AJ1525" s="17"/>
      <c r="AK1525" s="17"/>
      <c r="AL1525" s="17"/>
      <c r="AM1525" s="17"/>
      <c r="AN1525" s="17"/>
      <c r="AO1525" s="17"/>
      <c r="AP1525" s="17"/>
      <c r="AQ1525" s="17"/>
      <c r="AR1525" s="17"/>
      <c r="AS1525" s="17"/>
      <c r="AT1525" s="17"/>
      <c r="AU1525" s="17"/>
      <c r="AV1525" s="17"/>
      <c r="AW1525" s="17"/>
      <c r="AX1525" s="17"/>
      <c r="AY1525" s="17"/>
      <c r="AZ1525" s="17"/>
      <c r="BA1525" s="17"/>
      <c r="BB1525" s="17"/>
      <c r="BC1525" s="17"/>
      <c r="BD1525" s="17"/>
      <c r="BE1525" s="17"/>
      <c r="BF1525" s="17"/>
      <c r="BG1525" s="17"/>
      <c r="BH1525" s="17"/>
      <c r="BI1525" s="17"/>
      <c r="BJ1525" s="17"/>
      <c r="BK1525" s="17"/>
      <c r="BL1525" s="17"/>
      <c r="BM1525" s="17"/>
      <c r="BN1525" s="17"/>
      <c r="BO1525" s="17"/>
      <c r="BP1525" s="17"/>
      <c r="BQ1525" s="17"/>
      <c r="BR1525" s="17"/>
      <c r="BS1525" s="17"/>
      <c r="BT1525" s="17"/>
      <c r="BU1525" s="17"/>
      <c r="BV1525" s="17"/>
      <c r="BW1525" s="17"/>
      <c r="BX1525" s="17"/>
    </row>
    <row r="1526" customHeight="1" spans="1:76">
      <c r="A1526" s="17"/>
      <c r="B1526" s="17"/>
      <c r="C1526" s="17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17"/>
      <c r="AF1526" s="17"/>
      <c r="AG1526" s="17"/>
      <c r="AH1526" s="17"/>
      <c r="AI1526" s="17"/>
      <c r="AJ1526" s="17"/>
      <c r="AK1526" s="17"/>
      <c r="AL1526" s="17"/>
      <c r="AM1526" s="17"/>
      <c r="AN1526" s="17"/>
      <c r="AO1526" s="17"/>
      <c r="AP1526" s="17"/>
      <c r="AQ1526" s="17"/>
      <c r="AR1526" s="17"/>
      <c r="AS1526" s="17"/>
      <c r="AT1526" s="17"/>
      <c r="AU1526" s="17"/>
      <c r="AV1526" s="17"/>
      <c r="AW1526" s="17"/>
      <c r="AX1526" s="17"/>
      <c r="AY1526" s="17"/>
      <c r="AZ1526" s="17"/>
      <c r="BA1526" s="17"/>
      <c r="BB1526" s="17"/>
      <c r="BC1526" s="17"/>
      <c r="BD1526" s="17"/>
      <c r="BE1526" s="17"/>
      <c r="BF1526" s="17"/>
      <c r="BG1526" s="17"/>
      <c r="BH1526" s="17"/>
      <c r="BI1526" s="17"/>
      <c r="BJ1526" s="17"/>
      <c r="BK1526" s="17"/>
      <c r="BL1526" s="17"/>
      <c r="BM1526" s="17"/>
      <c r="BN1526" s="17"/>
      <c r="BO1526" s="17"/>
      <c r="BP1526" s="17"/>
      <c r="BQ1526" s="17"/>
      <c r="BR1526" s="17"/>
      <c r="BS1526" s="17"/>
      <c r="BT1526" s="17"/>
      <c r="BU1526" s="17"/>
      <c r="BV1526" s="17"/>
      <c r="BW1526" s="17"/>
      <c r="BX1526" s="17"/>
    </row>
    <row r="1527" customHeight="1" spans="1:76">
      <c r="A1527" s="17"/>
      <c r="B1527" s="17"/>
      <c r="C1527" s="17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  <c r="AD1527" s="17"/>
      <c r="AE1527" s="17"/>
      <c r="AF1527" s="17"/>
      <c r="AG1527" s="17"/>
      <c r="AH1527" s="17"/>
      <c r="AI1527" s="17"/>
      <c r="AJ1527" s="17"/>
      <c r="AK1527" s="17"/>
      <c r="AL1527" s="17"/>
      <c r="AM1527" s="17"/>
      <c r="AN1527" s="17"/>
      <c r="AO1527" s="17"/>
      <c r="AP1527" s="17"/>
      <c r="AQ1527" s="17"/>
      <c r="AR1527" s="17"/>
      <c r="AS1527" s="17"/>
      <c r="AT1527" s="17"/>
      <c r="AU1527" s="17"/>
      <c r="AV1527" s="17"/>
      <c r="AW1527" s="17"/>
      <c r="AX1527" s="17"/>
      <c r="AY1527" s="17"/>
      <c r="AZ1527" s="17"/>
      <c r="BA1527" s="17"/>
      <c r="BB1527" s="17"/>
      <c r="BC1527" s="17"/>
      <c r="BD1527" s="17"/>
      <c r="BE1527" s="17"/>
      <c r="BF1527" s="17"/>
      <c r="BG1527" s="17"/>
      <c r="BH1527" s="17"/>
      <c r="BI1527" s="17"/>
      <c r="BJ1527" s="17"/>
      <c r="BK1527" s="17"/>
      <c r="BL1527" s="17"/>
      <c r="BM1527" s="17"/>
      <c r="BN1527" s="17"/>
      <c r="BO1527" s="17"/>
      <c r="BP1527" s="17"/>
      <c r="BQ1527" s="17"/>
      <c r="BR1527" s="17"/>
      <c r="BS1527" s="17"/>
      <c r="BT1527" s="17"/>
      <c r="BU1527" s="17"/>
      <c r="BV1527" s="17"/>
      <c r="BW1527" s="17"/>
      <c r="BX1527" s="17"/>
    </row>
    <row r="1528" customHeight="1" spans="1:76">
      <c r="A1528" s="17"/>
      <c r="B1528" s="17"/>
      <c r="C1528" s="17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  <c r="AD1528" s="17"/>
      <c r="AE1528" s="17"/>
      <c r="AF1528" s="17"/>
      <c r="AG1528" s="17"/>
      <c r="AH1528" s="17"/>
      <c r="AI1528" s="17"/>
      <c r="AJ1528" s="17"/>
      <c r="AK1528" s="17"/>
      <c r="AL1528" s="17"/>
      <c r="AM1528" s="17"/>
      <c r="AN1528" s="17"/>
      <c r="AO1528" s="17"/>
      <c r="AP1528" s="17"/>
      <c r="AQ1528" s="17"/>
      <c r="AR1528" s="17"/>
      <c r="AS1528" s="17"/>
      <c r="AT1528" s="17"/>
      <c r="AU1528" s="17"/>
      <c r="AV1528" s="17"/>
      <c r="AW1528" s="17"/>
      <c r="AX1528" s="17"/>
      <c r="AY1528" s="17"/>
      <c r="AZ1528" s="17"/>
      <c r="BA1528" s="17"/>
      <c r="BB1528" s="17"/>
      <c r="BC1528" s="17"/>
      <c r="BD1528" s="17"/>
      <c r="BE1528" s="17"/>
      <c r="BF1528" s="17"/>
      <c r="BG1528" s="17"/>
      <c r="BH1528" s="17"/>
      <c r="BI1528" s="17"/>
      <c r="BJ1528" s="17"/>
      <c r="BK1528" s="17"/>
      <c r="BL1528" s="17"/>
      <c r="BM1528" s="17"/>
      <c r="BN1528" s="17"/>
      <c r="BO1528" s="17"/>
      <c r="BP1528" s="17"/>
      <c r="BQ1528" s="17"/>
      <c r="BR1528" s="17"/>
      <c r="BS1528" s="17"/>
      <c r="BT1528" s="17"/>
      <c r="BU1528" s="17"/>
      <c r="BV1528" s="17"/>
      <c r="BW1528" s="17"/>
      <c r="BX1528" s="17"/>
    </row>
    <row r="1529" customHeight="1" spans="1:76">
      <c r="A1529" s="17"/>
      <c r="B1529" s="17"/>
      <c r="C1529" s="17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17"/>
      <c r="AF1529" s="17"/>
      <c r="AG1529" s="17"/>
      <c r="AH1529" s="17"/>
      <c r="AI1529" s="17"/>
      <c r="AJ1529" s="17"/>
      <c r="AK1529" s="17"/>
      <c r="AL1529" s="17"/>
      <c r="AM1529" s="17"/>
      <c r="AN1529" s="17"/>
      <c r="AO1529" s="17"/>
      <c r="AP1529" s="17"/>
      <c r="AQ1529" s="17"/>
      <c r="AR1529" s="17"/>
      <c r="AS1529" s="17"/>
      <c r="AT1529" s="17"/>
      <c r="AU1529" s="17"/>
      <c r="AV1529" s="17"/>
      <c r="AW1529" s="17"/>
      <c r="AX1529" s="17"/>
      <c r="AY1529" s="17"/>
      <c r="AZ1529" s="17"/>
      <c r="BA1529" s="17"/>
      <c r="BB1529" s="17"/>
      <c r="BC1529" s="17"/>
      <c r="BD1529" s="17"/>
      <c r="BE1529" s="17"/>
      <c r="BF1529" s="17"/>
      <c r="BG1529" s="17"/>
      <c r="BH1529" s="17"/>
      <c r="BI1529" s="17"/>
      <c r="BJ1529" s="17"/>
      <c r="BK1529" s="17"/>
      <c r="BL1529" s="17"/>
      <c r="BM1529" s="17"/>
      <c r="BN1529" s="17"/>
      <c r="BO1529" s="17"/>
      <c r="BP1529" s="17"/>
      <c r="BQ1529" s="17"/>
      <c r="BR1529" s="17"/>
      <c r="BS1529" s="17"/>
      <c r="BT1529" s="17"/>
      <c r="BU1529" s="17"/>
      <c r="BV1529" s="17"/>
      <c r="BW1529" s="17"/>
      <c r="BX1529" s="17"/>
    </row>
    <row r="1530" customHeight="1" spans="1:76">
      <c r="A1530" s="17"/>
      <c r="B1530" s="17"/>
      <c r="C1530" s="17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  <c r="AD1530" s="17"/>
      <c r="AE1530" s="17"/>
      <c r="AF1530" s="17"/>
      <c r="AG1530" s="17"/>
      <c r="AH1530" s="17"/>
      <c r="AI1530" s="17"/>
      <c r="AJ1530" s="17"/>
      <c r="AK1530" s="17"/>
      <c r="AL1530" s="17"/>
      <c r="AM1530" s="17"/>
      <c r="AN1530" s="17"/>
      <c r="AO1530" s="17"/>
      <c r="AP1530" s="17"/>
      <c r="AQ1530" s="17"/>
      <c r="AR1530" s="17"/>
      <c r="AS1530" s="17"/>
      <c r="AT1530" s="17"/>
      <c r="AU1530" s="17"/>
      <c r="AV1530" s="17"/>
      <c r="AW1530" s="17"/>
      <c r="AX1530" s="17"/>
      <c r="AY1530" s="17"/>
      <c r="AZ1530" s="17"/>
      <c r="BA1530" s="17"/>
      <c r="BB1530" s="17"/>
      <c r="BC1530" s="17"/>
      <c r="BD1530" s="17"/>
      <c r="BE1530" s="17"/>
      <c r="BF1530" s="17"/>
      <c r="BG1530" s="17"/>
      <c r="BH1530" s="17"/>
      <c r="BI1530" s="17"/>
      <c r="BJ1530" s="17"/>
      <c r="BK1530" s="17"/>
      <c r="BL1530" s="17"/>
      <c r="BM1530" s="17"/>
      <c r="BN1530" s="17"/>
      <c r="BO1530" s="17"/>
      <c r="BP1530" s="17"/>
      <c r="BQ1530" s="17"/>
      <c r="BR1530" s="17"/>
      <c r="BS1530" s="17"/>
      <c r="BT1530" s="17"/>
      <c r="BU1530" s="17"/>
      <c r="BV1530" s="17"/>
      <c r="BW1530" s="17"/>
      <c r="BX1530" s="17"/>
    </row>
    <row r="1531" customHeight="1" spans="1:76">
      <c r="A1531" s="17"/>
      <c r="B1531" s="17"/>
      <c r="C1531" s="17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/>
      <c r="AE1531" s="17"/>
      <c r="AF1531" s="17"/>
      <c r="AG1531" s="17"/>
      <c r="AH1531" s="17"/>
      <c r="AI1531" s="17"/>
      <c r="AJ1531" s="17"/>
      <c r="AK1531" s="17"/>
      <c r="AL1531" s="17"/>
      <c r="AM1531" s="17"/>
      <c r="AN1531" s="17"/>
      <c r="AO1531" s="17"/>
      <c r="AP1531" s="17"/>
      <c r="AQ1531" s="17"/>
      <c r="AR1531" s="17"/>
      <c r="AS1531" s="17"/>
      <c r="AT1531" s="17"/>
      <c r="AU1531" s="17"/>
      <c r="AV1531" s="17"/>
      <c r="AW1531" s="17"/>
      <c r="AX1531" s="17"/>
      <c r="AY1531" s="17"/>
      <c r="AZ1531" s="17"/>
      <c r="BA1531" s="17"/>
      <c r="BB1531" s="17"/>
      <c r="BC1531" s="17"/>
      <c r="BD1531" s="17"/>
      <c r="BE1531" s="17"/>
      <c r="BF1531" s="17"/>
      <c r="BG1531" s="17"/>
      <c r="BH1531" s="17"/>
      <c r="BI1531" s="17"/>
      <c r="BJ1531" s="17"/>
      <c r="BK1531" s="17"/>
      <c r="BL1531" s="17"/>
      <c r="BM1531" s="17"/>
      <c r="BN1531" s="17"/>
      <c r="BO1531" s="17"/>
      <c r="BP1531" s="17"/>
      <c r="BQ1531" s="17"/>
      <c r="BR1531" s="17"/>
      <c r="BS1531" s="17"/>
      <c r="BT1531" s="17"/>
      <c r="BU1531" s="17"/>
      <c r="BV1531" s="17"/>
      <c r="BW1531" s="17"/>
      <c r="BX1531" s="17"/>
    </row>
    <row r="1532" customHeight="1" spans="1:76">
      <c r="A1532" s="17"/>
      <c r="B1532" s="17"/>
      <c r="C1532" s="17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  <c r="AD1532" s="17"/>
      <c r="AE1532" s="17"/>
      <c r="AF1532" s="17"/>
      <c r="AG1532" s="17"/>
      <c r="AH1532" s="17"/>
      <c r="AI1532" s="17"/>
      <c r="AJ1532" s="17"/>
      <c r="AK1532" s="17"/>
      <c r="AL1532" s="17"/>
      <c r="AM1532" s="17"/>
      <c r="AN1532" s="17"/>
      <c r="AO1532" s="17"/>
      <c r="AP1532" s="17"/>
      <c r="AQ1532" s="17"/>
      <c r="AR1532" s="17"/>
      <c r="AS1532" s="17"/>
      <c r="AT1532" s="17"/>
      <c r="AU1532" s="17"/>
      <c r="AV1532" s="17"/>
      <c r="AW1532" s="17"/>
      <c r="AX1532" s="17"/>
      <c r="AY1532" s="17"/>
      <c r="AZ1532" s="17"/>
      <c r="BA1532" s="17"/>
      <c r="BB1532" s="17"/>
      <c r="BC1532" s="17"/>
      <c r="BD1532" s="17"/>
      <c r="BE1532" s="17"/>
      <c r="BF1532" s="17"/>
      <c r="BG1532" s="17"/>
      <c r="BH1532" s="17"/>
      <c r="BI1532" s="17"/>
      <c r="BJ1532" s="17"/>
      <c r="BK1532" s="17"/>
      <c r="BL1532" s="17"/>
      <c r="BM1532" s="17"/>
      <c r="BN1532" s="17"/>
      <c r="BO1532" s="17"/>
      <c r="BP1532" s="17"/>
      <c r="BQ1532" s="17"/>
      <c r="BR1532" s="17"/>
      <c r="BS1532" s="17"/>
      <c r="BT1532" s="17"/>
      <c r="BU1532" s="17"/>
      <c r="BV1532" s="17"/>
      <c r="BW1532" s="17"/>
      <c r="BX1532" s="17"/>
    </row>
    <row r="1533" customHeight="1" spans="1:76">
      <c r="A1533" s="17"/>
      <c r="B1533" s="17"/>
      <c r="C1533" s="17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  <c r="AE1533" s="17"/>
      <c r="AF1533" s="17"/>
      <c r="AG1533" s="17"/>
      <c r="AH1533" s="17"/>
      <c r="AI1533" s="17"/>
      <c r="AJ1533" s="17"/>
      <c r="AK1533" s="17"/>
      <c r="AL1533" s="17"/>
      <c r="AM1533" s="17"/>
      <c r="AN1533" s="17"/>
      <c r="AO1533" s="17"/>
      <c r="AP1533" s="17"/>
      <c r="AQ1533" s="17"/>
      <c r="AR1533" s="17"/>
      <c r="AS1533" s="17"/>
      <c r="AT1533" s="17"/>
      <c r="AU1533" s="17"/>
      <c r="AV1533" s="17"/>
      <c r="AW1533" s="17"/>
      <c r="AX1533" s="17"/>
      <c r="AY1533" s="17"/>
      <c r="AZ1533" s="17"/>
      <c r="BA1533" s="17"/>
      <c r="BB1533" s="17"/>
      <c r="BC1533" s="17"/>
      <c r="BD1533" s="17"/>
      <c r="BE1533" s="17"/>
      <c r="BF1533" s="17"/>
      <c r="BG1533" s="17"/>
      <c r="BH1533" s="17"/>
      <c r="BI1533" s="17"/>
      <c r="BJ1533" s="17"/>
      <c r="BK1533" s="17"/>
      <c r="BL1533" s="17"/>
      <c r="BM1533" s="17"/>
      <c r="BN1533" s="17"/>
      <c r="BO1533" s="17"/>
      <c r="BP1533" s="17"/>
      <c r="BQ1533" s="17"/>
      <c r="BR1533" s="17"/>
      <c r="BS1533" s="17"/>
      <c r="BT1533" s="17"/>
      <c r="BU1533" s="17"/>
      <c r="BV1533" s="17"/>
      <c r="BW1533" s="17"/>
      <c r="BX1533" s="17"/>
    </row>
    <row r="1534" customHeight="1" spans="1:76">
      <c r="A1534" s="17"/>
      <c r="B1534" s="17"/>
      <c r="C1534" s="17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  <c r="AE1534" s="17"/>
      <c r="AF1534" s="17"/>
      <c r="AG1534" s="17"/>
      <c r="AH1534" s="17"/>
      <c r="AI1534" s="17"/>
      <c r="AJ1534" s="17"/>
      <c r="AK1534" s="17"/>
      <c r="AL1534" s="17"/>
      <c r="AM1534" s="17"/>
      <c r="AN1534" s="17"/>
      <c r="AO1534" s="17"/>
      <c r="AP1534" s="17"/>
      <c r="AQ1534" s="17"/>
      <c r="AR1534" s="17"/>
      <c r="AS1534" s="17"/>
      <c r="AT1534" s="17"/>
      <c r="AU1534" s="17"/>
      <c r="AV1534" s="17"/>
      <c r="AW1534" s="17"/>
      <c r="AX1534" s="17"/>
      <c r="AY1534" s="17"/>
      <c r="AZ1534" s="17"/>
      <c r="BA1534" s="17"/>
      <c r="BB1534" s="17"/>
      <c r="BC1534" s="17"/>
      <c r="BD1534" s="17"/>
      <c r="BE1534" s="17"/>
      <c r="BF1534" s="17"/>
      <c r="BG1534" s="17"/>
      <c r="BH1534" s="17"/>
      <c r="BI1534" s="17"/>
      <c r="BJ1534" s="17"/>
      <c r="BK1534" s="17"/>
      <c r="BL1534" s="17"/>
      <c r="BM1534" s="17"/>
      <c r="BN1534" s="17"/>
      <c r="BO1534" s="17"/>
      <c r="BP1534" s="17"/>
      <c r="BQ1534" s="17"/>
      <c r="BR1534" s="17"/>
      <c r="BS1534" s="17"/>
      <c r="BT1534" s="17"/>
      <c r="BU1534" s="17"/>
      <c r="BV1534" s="17"/>
      <c r="BW1534" s="17"/>
      <c r="BX1534" s="17"/>
    </row>
    <row r="1535" customHeight="1" spans="1:76">
      <c r="A1535" s="17"/>
      <c r="B1535" s="17"/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  <c r="AD1535" s="17"/>
      <c r="AE1535" s="17"/>
      <c r="AF1535" s="17"/>
      <c r="AG1535" s="17"/>
      <c r="AH1535" s="17"/>
      <c r="AI1535" s="17"/>
      <c r="AJ1535" s="17"/>
      <c r="AK1535" s="17"/>
      <c r="AL1535" s="17"/>
      <c r="AM1535" s="17"/>
      <c r="AN1535" s="17"/>
      <c r="AO1535" s="17"/>
      <c r="AP1535" s="17"/>
      <c r="AQ1535" s="17"/>
      <c r="AR1535" s="17"/>
      <c r="AS1535" s="17"/>
      <c r="AT1535" s="17"/>
      <c r="AU1535" s="17"/>
      <c r="AV1535" s="17"/>
      <c r="AW1535" s="17"/>
      <c r="AX1535" s="17"/>
      <c r="AY1535" s="17"/>
      <c r="AZ1535" s="17"/>
      <c r="BA1535" s="17"/>
      <c r="BB1535" s="17"/>
      <c r="BC1535" s="17"/>
      <c r="BD1535" s="17"/>
      <c r="BE1535" s="17"/>
      <c r="BF1535" s="17"/>
      <c r="BG1535" s="17"/>
      <c r="BH1535" s="17"/>
      <c r="BI1535" s="17"/>
      <c r="BJ1535" s="17"/>
      <c r="BK1535" s="17"/>
      <c r="BL1535" s="17"/>
      <c r="BM1535" s="17"/>
      <c r="BN1535" s="17"/>
      <c r="BO1535" s="17"/>
      <c r="BP1535" s="17"/>
      <c r="BQ1535" s="17"/>
      <c r="BR1535" s="17"/>
      <c r="BS1535" s="17"/>
      <c r="BT1535" s="17"/>
      <c r="BU1535" s="17"/>
      <c r="BV1535" s="17"/>
      <c r="BW1535" s="17"/>
      <c r="BX1535" s="17"/>
    </row>
    <row r="1536" customHeight="1" spans="1:76">
      <c r="A1536" s="17"/>
      <c r="B1536" s="17"/>
      <c r="C1536" s="17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  <c r="AE1536" s="17"/>
      <c r="AF1536" s="17"/>
      <c r="AG1536" s="17"/>
      <c r="AH1536" s="17"/>
      <c r="AI1536" s="17"/>
      <c r="AJ1536" s="17"/>
      <c r="AK1536" s="17"/>
      <c r="AL1536" s="17"/>
      <c r="AM1536" s="17"/>
      <c r="AN1536" s="17"/>
      <c r="AO1536" s="17"/>
      <c r="AP1536" s="17"/>
      <c r="AQ1536" s="17"/>
      <c r="AR1536" s="17"/>
      <c r="AS1536" s="17"/>
      <c r="AT1536" s="17"/>
      <c r="AU1536" s="17"/>
      <c r="AV1536" s="17"/>
      <c r="AW1536" s="17"/>
      <c r="AX1536" s="17"/>
      <c r="AY1536" s="17"/>
      <c r="AZ1536" s="17"/>
      <c r="BA1536" s="17"/>
      <c r="BB1536" s="17"/>
      <c r="BC1536" s="17"/>
      <c r="BD1536" s="17"/>
      <c r="BE1536" s="17"/>
      <c r="BF1536" s="17"/>
      <c r="BG1536" s="17"/>
      <c r="BH1536" s="17"/>
      <c r="BI1536" s="17"/>
      <c r="BJ1536" s="17"/>
      <c r="BK1536" s="17"/>
      <c r="BL1536" s="17"/>
      <c r="BM1536" s="17"/>
      <c r="BN1536" s="17"/>
      <c r="BO1536" s="17"/>
      <c r="BP1536" s="17"/>
      <c r="BQ1536" s="17"/>
      <c r="BR1536" s="17"/>
      <c r="BS1536" s="17"/>
      <c r="BT1536" s="17"/>
      <c r="BU1536" s="17"/>
      <c r="BV1536" s="17"/>
      <c r="BW1536" s="17"/>
      <c r="BX1536" s="17"/>
    </row>
    <row r="1537" customHeight="1" spans="1:76">
      <c r="A1537" s="17"/>
      <c r="B1537" s="17"/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  <c r="AD1537" s="17"/>
      <c r="AE1537" s="17"/>
      <c r="AF1537" s="17"/>
      <c r="AG1537" s="17"/>
      <c r="AH1537" s="17"/>
      <c r="AI1537" s="17"/>
      <c r="AJ1537" s="17"/>
      <c r="AK1537" s="17"/>
      <c r="AL1537" s="17"/>
      <c r="AM1537" s="17"/>
      <c r="AN1537" s="17"/>
      <c r="AO1537" s="17"/>
      <c r="AP1537" s="17"/>
      <c r="AQ1537" s="17"/>
      <c r="AR1537" s="17"/>
      <c r="AS1537" s="17"/>
      <c r="AT1537" s="17"/>
      <c r="AU1537" s="17"/>
      <c r="AV1537" s="17"/>
      <c r="AW1537" s="17"/>
      <c r="AX1537" s="17"/>
      <c r="AY1537" s="17"/>
      <c r="AZ1537" s="17"/>
      <c r="BA1537" s="17"/>
      <c r="BB1537" s="17"/>
      <c r="BC1537" s="17"/>
      <c r="BD1537" s="17"/>
      <c r="BE1537" s="17"/>
      <c r="BF1537" s="17"/>
      <c r="BG1537" s="17"/>
      <c r="BH1537" s="17"/>
      <c r="BI1537" s="17"/>
      <c r="BJ1537" s="17"/>
      <c r="BK1537" s="17"/>
      <c r="BL1537" s="17"/>
      <c r="BM1537" s="17"/>
      <c r="BN1537" s="17"/>
      <c r="BO1537" s="17"/>
      <c r="BP1537" s="17"/>
      <c r="BQ1537" s="17"/>
      <c r="BR1537" s="17"/>
      <c r="BS1537" s="17"/>
      <c r="BT1537" s="17"/>
      <c r="BU1537" s="17"/>
      <c r="BV1537" s="17"/>
      <c r="BW1537" s="17"/>
      <c r="BX1537" s="17"/>
    </row>
    <row r="1538" customHeight="1" spans="1:76">
      <c r="A1538" s="17"/>
      <c r="B1538" s="17"/>
      <c r="C1538" s="17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  <c r="N1538" s="17"/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  <c r="AE1538" s="17"/>
      <c r="AF1538" s="17"/>
      <c r="AG1538" s="17"/>
      <c r="AH1538" s="17"/>
      <c r="AI1538" s="17"/>
      <c r="AJ1538" s="17"/>
      <c r="AK1538" s="17"/>
      <c r="AL1538" s="17"/>
      <c r="AM1538" s="17"/>
      <c r="AN1538" s="17"/>
      <c r="AO1538" s="17"/>
      <c r="AP1538" s="17"/>
      <c r="AQ1538" s="17"/>
      <c r="AR1538" s="17"/>
      <c r="AS1538" s="17"/>
      <c r="AT1538" s="17"/>
      <c r="AU1538" s="17"/>
      <c r="AV1538" s="17"/>
      <c r="AW1538" s="17"/>
      <c r="AX1538" s="17"/>
      <c r="AY1538" s="17"/>
      <c r="AZ1538" s="17"/>
      <c r="BA1538" s="17"/>
      <c r="BB1538" s="17"/>
      <c r="BC1538" s="17"/>
      <c r="BD1538" s="17"/>
      <c r="BE1538" s="17"/>
      <c r="BF1538" s="17"/>
      <c r="BG1538" s="17"/>
      <c r="BH1538" s="17"/>
      <c r="BI1538" s="17"/>
      <c r="BJ1538" s="17"/>
      <c r="BK1538" s="17"/>
      <c r="BL1538" s="17"/>
      <c r="BM1538" s="17"/>
      <c r="BN1538" s="17"/>
      <c r="BO1538" s="17"/>
      <c r="BP1538" s="17"/>
      <c r="BQ1538" s="17"/>
      <c r="BR1538" s="17"/>
      <c r="BS1538" s="17"/>
      <c r="BT1538" s="17"/>
      <c r="BU1538" s="17"/>
      <c r="BV1538" s="17"/>
      <c r="BW1538" s="17"/>
      <c r="BX1538" s="17"/>
    </row>
    <row r="1539" customHeight="1" spans="1:76">
      <c r="A1539" s="17"/>
      <c r="B1539" s="17"/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  <c r="AD1539" s="17"/>
      <c r="AE1539" s="17"/>
      <c r="AF1539" s="17"/>
      <c r="AG1539" s="17"/>
      <c r="AH1539" s="17"/>
      <c r="AI1539" s="17"/>
      <c r="AJ1539" s="17"/>
      <c r="AK1539" s="17"/>
      <c r="AL1539" s="17"/>
      <c r="AM1539" s="17"/>
      <c r="AN1539" s="17"/>
      <c r="AO1539" s="17"/>
      <c r="AP1539" s="17"/>
      <c r="AQ1539" s="17"/>
      <c r="AR1539" s="17"/>
      <c r="AS1539" s="17"/>
      <c r="AT1539" s="17"/>
      <c r="AU1539" s="17"/>
      <c r="AV1539" s="17"/>
      <c r="AW1539" s="17"/>
      <c r="AX1539" s="17"/>
      <c r="AY1539" s="17"/>
      <c r="AZ1539" s="17"/>
      <c r="BA1539" s="17"/>
      <c r="BB1539" s="17"/>
      <c r="BC1539" s="17"/>
      <c r="BD1539" s="17"/>
      <c r="BE1539" s="17"/>
      <c r="BF1539" s="17"/>
      <c r="BG1539" s="17"/>
      <c r="BH1539" s="17"/>
      <c r="BI1539" s="17"/>
      <c r="BJ1539" s="17"/>
      <c r="BK1539" s="17"/>
      <c r="BL1539" s="17"/>
      <c r="BM1539" s="17"/>
      <c r="BN1539" s="17"/>
      <c r="BO1539" s="17"/>
      <c r="BP1539" s="17"/>
      <c r="BQ1539" s="17"/>
      <c r="BR1539" s="17"/>
      <c r="BS1539" s="17"/>
      <c r="BT1539" s="17"/>
      <c r="BU1539" s="17"/>
      <c r="BV1539" s="17"/>
      <c r="BW1539" s="17"/>
      <c r="BX1539" s="17"/>
    </row>
    <row r="1540" customHeight="1" spans="1:76">
      <c r="A1540" s="17"/>
      <c r="B1540" s="17"/>
      <c r="C1540" s="17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  <c r="AE1540" s="17"/>
      <c r="AF1540" s="17"/>
      <c r="AG1540" s="17"/>
      <c r="AH1540" s="17"/>
      <c r="AI1540" s="17"/>
      <c r="AJ1540" s="17"/>
      <c r="AK1540" s="17"/>
      <c r="AL1540" s="17"/>
      <c r="AM1540" s="17"/>
      <c r="AN1540" s="17"/>
      <c r="AO1540" s="17"/>
      <c r="AP1540" s="17"/>
      <c r="AQ1540" s="17"/>
      <c r="AR1540" s="17"/>
      <c r="AS1540" s="17"/>
      <c r="AT1540" s="17"/>
      <c r="AU1540" s="17"/>
      <c r="AV1540" s="17"/>
      <c r="AW1540" s="17"/>
      <c r="AX1540" s="17"/>
      <c r="AY1540" s="17"/>
      <c r="AZ1540" s="17"/>
      <c r="BA1540" s="17"/>
      <c r="BB1540" s="17"/>
      <c r="BC1540" s="17"/>
      <c r="BD1540" s="17"/>
      <c r="BE1540" s="17"/>
      <c r="BF1540" s="17"/>
      <c r="BG1540" s="17"/>
      <c r="BH1540" s="17"/>
      <c r="BI1540" s="17"/>
      <c r="BJ1540" s="17"/>
      <c r="BK1540" s="17"/>
      <c r="BL1540" s="17"/>
      <c r="BM1540" s="17"/>
      <c r="BN1540" s="17"/>
      <c r="BO1540" s="17"/>
      <c r="BP1540" s="17"/>
      <c r="BQ1540" s="17"/>
      <c r="BR1540" s="17"/>
      <c r="BS1540" s="17"/>
      <c r="BT1540" s="17"/>
      <c r="BU1540" s="17"/>
      <c r="BV1540" s="17"/>
      <c r="BW1540" s="17"/>
      <c r="BX1540" s="17"/>
    </row>
    <row r="1541" customHeight="1" spans="1:76">
      <c r="A1541" s="17"/>
      <c r="B1541" s="17"/>
      <c r="C1541" s="17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  <c r="AD1541" s="17"/>
      <c r="AE1541" s="17"/>
      <c r="AF1541" s="17"/>
      <c r="AG1541" s="17"/>
      <c r="AH1541" s="17"/>
      <c r="AI1541" s="17"/>
      <c r="AJ1541" s="17"/>
      <c r="AK1541" s="17"/>
      <c r="AL1541" s="17"/>
      <c r="AM1541" s="17"/>
      <c r="AN1541" s="17"/>
      <c r="AO1541" s="17"/>
      <c r="AP1541" s="17"/>
      <c r="AQ1541" s="17"/>
      <c r="AR1541" s="17"/>
      <c r="AS1541" s="17"/>
      <c r="AT1541" s="17"/>
      <c r="AU1541" s="17"/>
      <c r="AV1541" s="17"/>
      <c r="AW1541" s="17"/>
      <c r="AX1541" s="17"/>
      <c r="AY1541" s="17"/>
      <c r="AZ1541" s="17"/>
      <c r="BA1541" s="17"/>
      <c r="BB1541" s="17"/>
      <c r="BC1541" s="17"/>
      <c r="BD1541" s="17"/>
      <c r="BE1541" s="17"/>
      <c r="BF1541" s="17"/>
      <c r="BG1541" s="17"/>
      <c r="BH1541" s="17"/>
      <c r="BI1541" s="17"/>
      <c r="BJ1541" s="17"/>
      <c r="BK1541" s="17"/>
      <c r="BL1541" s="17"/>
      <c r="BM1541" s="17"/>
      <c r="BN1541" s="17"/>
      <c r="BO1541" s="17"/>
      <c r="BP1541" s="17"/>
      <c r="BQ1541" s="17"/>
      <c r="BR1541" s="17"/>
      <c r="BS1541" s="17"/>
      <c r="BT1541" s="17"/>
      <c r="BU1541" s="17"/>
      <c r="BV1541" s="17"/>
      <c r="BW1541" s="17"/>
      <c r="BX1541" s="17"/>
    </row>
    <row r="1542" customHeight="1" spans="1:76">
      <c r="A1542" s="17"/>
      <c r="B1542" s="17"/>
      <c r="C1542" s="17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  <c r="AE1542" s="17"/>
      <c r="AF1542" s="17"/>
      <c r="AG1542" s="17"/>
      <c r="AH1542" s="17"/>
      <c r="AI1542" s="17"/>
      <c r="AJ1542" s="17"/>
      <c r="AK1542" s="17"/>
      <c r="AL1542" s="17"/>
      <c r="AM1542" s="17"/>
      <c r="AN1542" s="17"/>
      <c r="AO1542" s="17"/>
      <c r="AP1542" s="17"/>
      <c r="AQ1542" s="17"/>
      <c r="AR1542" s="17"/>
      <c r="AS1542" s="17"/>
      <c r="AT1542" s="17"/>
      <c r="AU1542" s="17"/>
      <c r="AV1542" s="17"/>
      <c r="AW1542" s="17"/>
      <c r="AX1542" s="17"/>
      <c r="AY1542" s="17"/>
      <c r="AZ1542" s="17"/>
      <c r="BA1542" s="17"/>
      <c r="BB1542" s="17"/>
      <c r="BC1542" s="17"/>
      <c r="BD1542" s="17"/>
      <c r="BE1542" s="17"/>
      <c r="BF1542" s="17"/>
      <c r="BG1542" s="17"/>
      <c r="BH1542" s="17"/>
      <c r="BI1542" s="17"/>
      <c r="BJ1542" s="17"/>
      <c r="BK1542" s="17"/>
      <c r="BL1542" s="17"/>
      <c r="BM1542" s="17"/>
      <c r="BN1542" s="17"/>
      <c r="BO1542" s="17"/>
      <c r="BP1542" s="17"/>
      <c r="BQ1542" s="17"/>
      <c r="BR1542" s="17"/>
      <c r="BS1542" s="17"/>
      <c r="BT1542" s="17"/>
      <c r="BU1542" s="17"/>
      <c r="BV1542" s="17"/>
      <c r="BW1542" s="17"/>
      <c r="BX1542" s="17"/>
    </row>
    <row r="1543" customHeight="1" spans="1:76">
      <c r="A1543" s="17"/>
      <c r="B1543" s="17"/>
      <c r="C1543" s="17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  <c r="AE1543" s="17"/>
      <c r="AF1543" s="17"/>
      <c r="AG1543" s="17"/>
      <c r="AH1543" s="17"/>
      <c r="AI1543" s="17"/>
      <c r="AJ1543" s="17"/>
      <c r="AK1543" s="17"/>
      <c r="AL1543" s="17"/>
      <c r="AM1543" s="17"/>
      <c r="AN1543" s="17"/>
      <c r="AO1543" s="17"/>
      <c r="AP1543" s="17"/>
      <c r="AQ1543" s="17"/>
      <c r="AR1543" s="17"/>
      <c r="AS1543" s="17"/>
      <c r="AT1543" s="17"/>
      <c r="AU1543" s="17"/>
      <c r="AV1543" s="17"/>
      <c r="AW1543" s="17"/>
      <c r="AX1543" s="17"/>
      <c r="AY1543" s="17"/>
      <c r="AZ1543" s="17"/>
      <c r="BA1543" s="17"/>
      <c r="BB1543" s="17"/>
      <c r="BC1543" s="17"/>
      <c r="BD1543" s="17"/>
      <c r="BE1543" s="17"/>
      <c r="BF1543" s="17"/>
      <c r="BG1543" s="17"/>
      <c r="BH1543" s="17"/>
      <c r="BI1543" s="17"/>
      <c r="BJ1543" s="17"/>
      <c r="BK1543" s="17"/>
      <c r="BL1543" s="17"/>
      <c r="BM1543" s="17"/>
      <c r="BN1543" s="17"/>
      <c r="BO1543" s="17"/>
      <c r="BP1543" s="17"/>
      <c r="BQ1543" s="17"/>
      <c r="BR1543" s="17"/>
      <c r="BS1543" s="17"/>
      <c r="BT1543" s="17"/>
      <c r="BU1543" s="17"/>
      <c r="BV1543" s="17"/>
      <c r="BW1543" s="17"/>
      <c r="BX1543" s="17"/>
    </row>
    <row r="1544" customHeight="1" spans="1:76">
      <c r="A1544" s="17"/>
      <c r="B1544" s="17"/>
      <c r="C1544" s="17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17"/>
      <c r="AF1544" s="17"/>
      <c r="AG1544" s="17"/>
      <c r="AH1544" s="17"/>
      <c r="AI1544" s="17"/>
      <c r="AJ1544" s="17"/>
      <c r="AK1544" s="17"/>
      <c r="AL1544" s="17"/>
      <c r="AM1544" s="17"/>
      <c r="AN1544" s="17"/>
      <c r="AO1544" s="17"/>
      <c r="AP1544" s="17"/>
      <c r="AQ1544" s="17"/>
      <c r="AR1544" s="17"/>
      <c r="AS1544" s="17"/>
      <c r="AT1544" s="17"/>
      <c r="AU1544" s="17"/>
      <c r="AV1544" s="17"/>
      <c r="AW1544" s="17"/>
      <c r="AX1544" s="17"/>
      <c r="AY1544" s="17"/>
      <c r="AZ1544" s="17"/>
      <c r="BA1544" s="17"/>
      <c r="BB1544" s="17"/>
      <c r="BC1544" s="17"/>
      <c r="BD1544" s="17"/>
      <c r="BE1544" s="17"/>
      <c r="BF1544" s="17"/>
      <c r="BG1544" s="17"/>
      <c r="BH1544" s="17"/>
      <c r="BI1544" s="17"/>
      <c r="BJ1544" s="17"/>
      <c r="BK1544" s="17"/>
      <c r="BL1544" s="17"/>
      <c r="BM1544" s="17"/>
      <c r="BN1544" s="17"/>
      <c r="BO1544" s="17"/>
      <c r="BP1544" s="17"/>
      <c r="BQ1544" s="17"/>
      <c r="BR1544" s="17"/>
      <c r="BS1544" s="17"/>
      <c r="BT1544" s="17"/>
      <c r="BU1544" s="17"/>
      <c r="BV1544" s="17"/>
      <c r="BW1544" s="17"/>
      <c r="BX1544" s="17"/>
    </row>
    <row r="1545" customHeight="1" spans="1:76">
      <c r="A1545" s="17"/>
      <c r="B1545" s="17"/>
      <c r="C1545" s="17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  <c r="AD1545" s="17"/>
      <c r="AE1545" s="17"/>
      <c r="AF1545" s="17"/>
      <c r="AG1545" s="17"/>
      <c r="AH1545" s="17"/>
      <c r="AI1545" s="17"/>
      <c r="AJ1545" s="17"/>
      <c r="AK1545" s="17"/>
      <c r="AL1545" s="17"/>
      <c r="AM1545" s="17"/>
      <c r="AN1545" s="17"/>
      <c r="AO1545" s="17"/>
      <c r="AP1545" s="17"/>
      <c r="AQ1545" s="17"/>
      <c r="AR1545" s="17"/>
      <c r="AS1545" s="17"/>
      <c r="AT1545" s="17"/>
      <c r="AU1545" s="17"/>
      <c r="AV1545" s="17"/>
      <c r="AW1545" s="17"/>
      <c r="AX1545" s="17"/>
      <c r="AY1545" s="17"/>
      <c r="AZ1545" s="17"/>
      <c r="BA1545" s="17"/>
      <c r="BB1545" s="17"/>
      <c r="BC1545" s="17"/>
      <c r="BD1545" s="17"/>
      <c r="BE1545" s="17"/>
      <c r="BF1545" s="17"/>
      <c r="BG1545" s="17"/>
      <c r="BH1545" s="17"/>
      <c r="BI1545" s="17"/>
      <c r="BJ1545" s="17"/>
      <c r="BK1545" s="17"/>
      <c r="BL1545" s="17"/>
      <c r="BM1545" s="17"/>
      <c r="BN1545" s="17"/>
      <c r="BO1545" s="17"/>
      <c r="BP1545" s="17"/>
      <c r="BQ1545" s="17"/>
      <c r="BR1545" s="17"/>
      <c r="BS1545" s="17"/>
      <c r="BT1545" s="17"/>
      <c r="BU1545" s="17"/>
      <c r="BV1545" s="17"/>
      <c r="BW1545" s="17"/>
      <c r="BX1545" s="17"/>
    </row>
    <row r="1546" customHeight="1" spans="1:76">
      <c r="A1546" s="17"/>
      <c r="B1546" s="17"/>
      <c r="C1546" s="17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  <c r="AD1546" s="17"/>
      <c r="AE1546" s="17"/>
      <c r="AF1546" s="17"/>
      <c r="AG1546" s="17"/>
      <c r="AH1546" s="17"/>
      <c r="AI1546" s="17"/>
      <c r="AJ1546" s="17"/>
      <c r="AK1546" s="17"/>
      <c r="AL1546" s="17"/>
      <c r="AM1546" s="17"/>
      <c r="AN1546" s="17"/>
      <c r="AO1546" s="17"/>
      <c r="AP1546" s="17"/>
      <c r="AQ1546" s="17"/>
      <c r="AR1546" s="17"/>
      <c r="AS1546" s="17"/>
      <c r="AT1546" s="17"/>
      <c r="AU1546" s="17"/>
      <c r="AV1546" s="17"/>
      <c r="AW1546" s="17"/>
      <c r="AX1546" s="17"/>
      <c r="AY1546" s="17"/>
      <c r="AZ1546" s="17"/>
      <c r="BA1546" s="17"/>
      <c r="BB1546" s="17"/>
      <c r="BC1546" s="17"/>
      <c r="BD1546" s="17"/>
      <c r="BE1546" s="17"/>
      <c r="BF1546" s="17"/>
      <c r="BG1546" s="17"/>
      <c r="BH1546" s="17"/>
      <c r="BI1546" s="17"/>
      <c r="BJ1546" s="17"/>
      <c r="BK1546" s="17"/>
      <c r="BL1546" s="17"/>
      <c r="BM1546" s="17"/>
      <c r="BN1546" s="17"/>
      <c r="BO1546" s="17"/>
      <c r="BP1546" s="17"/>
      <c r="BQ1546" s="17"/>
      <c r="BR1546" s="17"/>
      <c r="BS1546" s="17"/>
      <c r="BT1546" s="17"/>
      <c r="BU1546" s="17"/>
      <c r="BV1546" s="17"/>
      <c r="BW1546" s="17"/>
      <c r="BX1546" s="17"/>
    </row>
    <row r="1547" customHeight="1" spans="1:76">
      <c r="A1547" s="17"/>
      <c r="B1547" s="17"/>
      <c r="C1547" s="17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  <c r="AE1547" s="17"/>
      <c r="AF1547" s="17"/>
      <c r="AG1547" s="17"/>
      <c r="AH1547" s="17"/>
      <c r="AI1547" s="17"/>
      <c r="AJ1547" s="17"/>
      <c r="AK1547" s="17"/>
      <c r="AL1547" s="17"/>
      <c r="AM1547" s="17"/>
      <c r="AN1547" s="17"/>
      <c r="AO1547" s="17"/>
      <c r="AP1547" s="17"/>
      <c r="AQ1547" s="17"/>
      <c r="AR1547" s="17"/>
      <c r="AS1547" s="17"/>
      <c r="AT1547" s="17"/>
      <c r="AU1547" s="17"/>
      <c r="AV1547" s="17"/>
      <c r="AW1547" s="17"/>
      <c r="AX1547" s="17"/>
      <c r="AY1547" s="17"/>
      <c r="AZ1547" s="17"/>
      <c r="BA1547" s="17"/>
      <c r="BB1547" s="17"/>
      <c r="BC1547" s="17"/>
      <c r="BD1547" s="17"/>
      <c r="BE1547" s="17"/>
      <c r="BF1547" s="17"/>
      <c r="BG1547" s="17"/>
      <c r="BH1547" s="17"/>
      <c r="BI1547" s="17"/>
      <c r="BJ1547" s="17"/>
      <c r="BK1547" s="17"/>
      <c r="BL1547" s="17"/>
      <c r="BM1547" s="17"/>
      <c r="BN1547" s="17"/>
      <c r="BO1547" s="17"/>
      <c r="BP1547" s="17"/>
      <c r="BQ1547" s="17"/>
      <c r="BR1547" s="17"/>
      <c r="BS1547" s="17"/>
      <c r="BT1547" s="17"/>
      <c r="BU1547" s="17"/>
      <c r="BV1547" s="17"/>
      <c r="BW1547" s="17"/>
      <c r="BX1547" s="17"/>
    </row>
    <row r="1548" customHeight="1" spans="1:76">
      <c r="A1548" s="17"/>
      <c r="B1548" s="17"/>
      <c r="C1548" s="17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  <c r="AE1548" s="17"/>
      <c r="AF1548" s="17"/>
      <c r="AG1548" s="17"/>
      <c r="AH1548" s="17"/>
      <c r="AI1548" s="17"/>
      <c r="AJ1548" s="17"/>
      <c r="AK1548" s="17"/>
      <c r="AL1548" s="17"/>
      <c r="AM1548" s="17"/>
      <c r="AN1548" s="17"/>
      <c r="AO1548" s="17"/>
      <c r="AP1548" s="17"/>
      <c r="AQ1548" s="17"/>
      <c r="AR1548" s="17"/>
      <c r="AS1548" s="17"/>
      <c r="AT1548" s="17"/>
      <c r="AU1548" s="17"/>
      <c r="AV1548" s="17"/>
      <c r="AW1548" s="17"/>
      <c r="AX1548" s="17"/>
      <c r="AY1548" s="17"/>
      <c r="AZ1548" s="17"/>
      <c r="BA1548" s="17"/>
      <c r="BB1548" s="17"/>
      <c r="BC1548" s="17"/>
      <c r="BD1548" s="17"/>
      <c r="BE1548" s="17"/>
      <c r="BF1548" s="17"/>
      <c r="BG1548" s="17"/>
      <c r="BH1548" s="17"/>
      <c r="BI1548" s="17"/>
      <c r="BJ1548" s="17"/>
      <c r="BK1548" s="17"/>
      <c r="BL1548" s="17"/>
      <c r="BM1548" s="17"/>
      <c r="BN1548" s="17"/>
      <c r="BO1548" s="17"/>
      <c r="BP1548" s="17"/>
      <c r="BQ1548" s="17"/>
      <c r="BR1548" s="17"/>
      <c r="BS1548" s="17"/>
      <c r="BT1548" s="17"/>
      <c r="BU1548" s="17"/>
      <c r="BV1548" s="17"/>
      <c r="BW1548" s="17"/>
      <c r="BX1548" s="17"/>
    </row>
    <row r="1549" customHeight="1" spans="1:76">
      <c r="A1549" s="17"/>
      <c r="B1549" s="17"/>
      <c r="C1549" s="17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  <c r="AD1549" s="17"/>
      <c r="AE1549" s="17"/>
      <c r="AF1549" s="17"/>
      <c r="AG1549" s="17"/>
      <c r="AH1549" s="17"/>
      <c r="AI1549" s="17"/>
      <c r="AJ1549" s="17"/>
      <c r="AK1549" s="17"/>
      <c r="AL1549" s="17"/>
      <c r="AM1549" s="17"/>
      <c r="AN1549" s="17"/>
      <c r="AO1549" s="17"/>
      <c r="AP1549" s="17"/>
      <c r="AQ1549" s="17"/>
      <c r="AR1549" s="17"/>
      <c r="AS1549" s="17"/>
      <c r="AT1549" s="17"/>
      <c r="AU1549" s="17"/>
      <c r="AV1549" s="17"/>
      <c r="AW1549" s="17"/>
      <c r="AX1549" s="17"/>
      <c r="AY1549" s="17"/>
      <c r="AZ1549" s="17"/>
      <c r="BA1549" s="17"/>
      <c r="BB1549" s="17"/>
      <c r="BC1549" s="17"/>
      <c r="BD1549" s="17"/>
      <c r="BE1549" s="17"/>
      <c r="BF1549" s="17"/>
      <c r="BG1549" s="17"/>
      <c r="BH1549" s="17"/>
      <c r="BI1549" s="17"/>
      <c r="BJ1549" s="17"/>
      <c r="BK1549" s="17"/>
      <c r="BL1549" s="17"/>
      <c r="BM1549" s="17"/>
      <c r="BN1549" s="17"/>
      <c r="BO1549" s="17"/>
      <c r="BP1549" s="17"/>
      <c r="BQ1549" s="17"/>
      <c r="BR1549" s="17"/>
      <c r="BS1549" s="17"/>
      <c r="BT1549" s="17"/>
      <c r="BU1549" s="17"/>
      <c r="BV1549" s="17"/>
      <c r="BW1549" s="17"/>
      <c r="BX1549" s="17"/>
    </row>
    <row r="1550" customHeight="1" spans="1:76">
      <c r="A1550" s="17"/>
      <c r="B1550" s="17"/>
      <c r="C1550" s="17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/>
      <c r="AE1550" s="17"/>
      <c r="AF1550" s="17"/>
      <c r="AG1550" s="17"/>
      <c r="AH1550" s="17"/>
      <c r="AI1550" s="17"/>
      <c r="AJ1550" s="17"/>
      <c r="AK1550" s="17"/>
      <c r="AL1550" s="17"/>
      <c r="AM1550" s="17"/>
      <c r="AN1550" s="17"/>
      <c r="AO1550" s="17"/>
      <c r="AP1550" s="17"/>
      <c r="AQ1550" s="17"/>
      <c r="AR1550" s="17"/>
      <c r="AS1550" s="17"/>
      <c r="AT1550" s="17"/>
      <c r="AU1550" s="17"/>
      <c r="AV1550" s="17"/>
      <c r="AW1550" s="17"/>
      <c r="AX1550" s="17"/>
      <c r="AY1550" s="17"/>
      <c r="AZ1550" s="17"/>
      <c r="BA1550" s="17"/>
      <c r="BB1550" s="17"/>
      <c r="BC1550" s="17"/>
      <c r="BD1550" s="17"/>
      <c r="BE1550" s="17"/>
      <c r="BF1550" s="17"/>
      <c r="BG1550" s="17"/>
      <c r="BH1550" s="17"/>
      <c r="BI1550" s="17"/>
      <c r="BJ1550" s="17"/>
      <c r="BK1550" s="17"/>
      <c r="BL1550" s="17"/>
      <c r="BM1550" s="17"/>
      <c r="BN1550" s="17"/>
      <c r="BO1550" s="17"/>
      <c r="BP1550" s="17"/>
      <c r="BQ1550" s="17"/>
      <c r="BR1550" s="17"/>
      <c r="BS1550" s="17"/>
      <c r="BT1550" s="17"/>
      <c r="BU1550" s="17"/>
      <c r="BV1550" s="17"/>
      <c r="BW1550" s="17"/>
      <c r="BX1550" s="17"/>
    </row>
    <row r="1551" customHeight="1" spans="1:76">
      <c r="A1551" s="17"/>
      <c r="B1551" s="17"/>
      <c r="C1551" s="17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  <c r="AD1551" s="17"/>
      <c r="AE1551" s="17"/>
      <c r="AF1551" s="17"/>
      <c r="AG1551" s="17"/>
      <c r="AH1551" s="17"/>
      <c r="AI1551" s="17"/>
      <c r="AJ1551" s="17"/>
      <c r="AK1551" s="17"/>
      <c r="AL1551" s="17"/>
      <c r="AM1551" s="17"/>
      <c r="AN1551" s="17"/>
      <c r="AO1551" s="17"/>
      <c r="AP1551" s="17"/>
      <c r="AQ1551" s="17"/>
      <c r="AR1551" s="17"/>
      <c r="AS1551" s="17"/>
      <c r="AT1551" s="17"/>
      <c r="AU1551" s="17"/>
      <c r="AV1551" s="17"/>
      <c r="AW1551" s="17"/>
      <c r="AX1551" s="17"/>
      <c r="AY1551" s="17"/>
      <c r="AZ1551" s="17"/>
      <c r="BA1551" s="17"/>
      <c r="BB1551" s="17"/>
      <c r="BC1551" s="17"/>
      <c r="BD1551" s="17"/>
      <c r="BE1551" s="17"/>
      <c r="BF1551" s="17"/>
      <c r="BG1551" s="17"/>
      <c r="BH1551" s="17"/>
      <c r="BI1551" s="17"/>
      <c r="BJ1551" s="17"/>
      <c r="BK1551" s="17"/>
      <c r="BL1551" s="17"/>
      <c r="BM1551" s="17"/>
      <c r="BN1551" s="17"/>
      <c r="BO1551" s="17"/>
      <c r="BP1551" s="17"/>
      <c r="BQ1551" s="17"/>
      <c r="BR1551" s="17"/>
      <c r="BS1551" s="17"/>
      <c r="BT1551" s="17"/>
      <c r="BU1551" s="17"/>
      <c r="BV1551" s="17"/>
      <c r="BW1551" s="17"/>
      <c r="BX1551" s="17"/>
    </row>
    <row r="1552" customHeight="1" spans="1:76">
      <c r="A1552" s="17"/>
      <c r="B1552" s="17"/>
      <c r="C1552" s="17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  <c r="AE1552" s="17"/>
      <c r="AF1552" s="17"/>
      <c r="AG1552" s="17"/>
      <c r="AH1552" s="17"/>
      <c r="AI1552" s="17"/>
      <c r="AJ1552" s="17"/>
      <c r="AK1552" s="17"/>
      <c r="AL1552" s="17"/>
      <c r="AM1552" s="17"/>
      <c r="AN1552" s="17"/>
      <c r="AO1552" s="17"/>
      <c r="AP1552" s="17"/>
      <c r="AQ1552" s="17"/>
      <c r="AR1552" s="17"/>
      <c r="AS1552" s="17"/>
      <c r="AT1552" s="17"/>
      <c r="AU1552" s="17"/>
      <c r="AV1552" s="17"/>
      <c r="AW1552" s="17"/>
      <c r="AX1552" s="17"/>
      <c r="AY1552" s="17"/>
      <c r="AZ1552" s="17"/>
      <c r="BA1552" s="17"/>
      <c r="BB1552" s="17"/>
      <c r="BC1552" s="17"/>
      <c r="BD1552" s="17"/>
      <c r="BE1552" s="17"/>
      <c r="BF1552" s="17"/>
      <c r="BG1552" s="17"/>
      <c r="BH1552" s="17"/>
      <c r="BI1552" s="17"/>
      <c r="BJ1552" s="17"/>
      <c r="BK1552" s="17"/>
      <c r="BL1552" s="17"/>
      <c r="BM1552" s="17"/>
      <c r="BN1552" s="17"/>
      <c r="BO1552" s="17"/>
      <c r="BP1552" s="17"/>
      <c r="BQ1552" s="17"/>
      <c r="BR1552" s="17"/>
      <c r="BS1552" s="17"/>
      <c r="BT1552" s="17"/>
      <c r="BU1552" s="17"/>
      <c r="BV1552" s="17"/>
      <c r="BW1552" s="17"/>
      <c r="BX1552" s="17"/>
    </row>
    <row r="1553" customHeight="1" spans="1:76">
      <c r="A1553" s="17"/>
      <c r="B1553" s="17"/>
      <c r="C1553" s="17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  <c r="AD1553" s="17"/>
      <c r="AE1553" s="17"/>
      <c r="AF1553" s="17"/>
      <c r="AG1553" s="17"/>
      <c r="AH1553" s="17"/>
      <c r="AI1553" s="17"/>
      <c r="AJ1553" s="17"/>
      <c r="AK1553" s="17"/>
      <c r="AL1553" s="17"/>
      <c r="AM1553" s="17"/>
      <c r="AN1553" s="17"/>
      <c r="AO1553" s="17"/>
      <c r="AP1553" s="17"/>
      <c r="AQ1553" s="17"/>
      <c r="AR1553" s="17"/>
      <c r="AS1553" s="17"/>
      <c r="AT1553" s="17"/>
      <c r="AU1553" s="17"/>
      <c r="AV1553" s="17"/>
      <c r="AW1553" s="17"/>
      <c r="AX1553" s="17"/>
      <c r="AY1553" s="17"/>
      <c r="AZ1553" s="17"/>
      <c r="BA1553" s="17"/>
      <c r="BB1553" s="17"/>
      <c r="BC1553" s="17"/>
      <c r="BD1553" s="17"/>
      <c r="BE1553" s="17"/>
      <c r="BF1553" s="17"/>
      <c r="BG1553" s="17"/>
      <c r="BH1553" s="17"/>
      <c r="BI1553" s="17"/>
      <c r="BJ1553" s="17"/>
      <c r="BK1553" s="17"/>
      <c r="BL1553" s="17"/>
      <c r="BM1553" s="17"/>
      <c r="BN1553" s="17"/>
      <c r="BO1553" s="17"/>
      <c r="BP1553" s="17"/>
      <c r="BQ1553" s="17"/>
      <c r="BR1553" s="17"/>
      <c r="BS1553" s="17"/>
      <c r="BT1553" s="17"/>
      <c r="BU1553" s="17"/>
      <c r="BV1553" s="17"/>
      <c r="BW1553" s="17"/>
      <c r="BX1553" s="17"/>
    </row>
    <row r="1554" customHeight="1" spans="1:76">
      <c r="A1554" s="17"/>
      <c r="B1554" s="17"/>
      <c r="C1554" s="17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17"/>
      <c r="AF1554" s="17"/>
      <c r="AG1554" s="17"/>
      <c r="AH1554" s="17"/>
      <c r="AI1554" s="17"/>
      <c r="AJ1554" s="17"/>
      <c r="AK1554" s="17"/>
      <c r="AL1554" s="17"/>
      <c r="AM1554" s="17"/>
      <c r="AN1554" s="17"/>
      <c r="AO1554" s="17"/>
      <c r="AP1554" s="17"/>
      <c r="AQ1554" s="17"/>
      <c r="AR1554" s="17"/>
      <c r="AS1554" s="17"/>
      <c r="AT1554" s="17"/>
      <c r="AU1554" s="17"/>
      <c r="AV1554" s="17"/>
      <c r="AW1554" s="17"/>
      <c r="AX1554" s="17"/>
      <c r="AY1554" s="17"/>
      <c r="AZ1554" s="17"/>
      <c r="BA1554" s="17"/>
      <c r="BB1554" s="17"/>
      <c r="BC1554" s="17"/>
      <c r="BD1554" s="17"/>
      <c r="BE1554" s="17"/>
      <c r="BF1554" s="17"/>
      <c r="BG1554" s="17"/>
      <c r="BH1554" s="17"/>
      <c r="BI1554" s="17"/>
      <c r="BJ1554" s="17"/>
      <c r="BK1554" s="17"/>
      <c r="BL1554" s="17"/>
      <c r="BM1554" s="17"/>
      <c r="BN1554" s="17"/>
      <c r="BO1554" s="17"/>
      <c r="BP1554" s="17"/>
      <c r="BQ1554" s="17"/>
      <c r="BR1554" s="17"/>
      <c r="BS1554" s="17"/>
      <c r="BT1554" s="17"/>
      <c r="BU1554" s="17"/>
      <c r="BV1554" s="17"/>
      <c r="BW1554" s="17"/>
      <c r="BX1554" s="17"/>
    </row>
    <row r="1555" customHeight="1" spans="1:76">
      <c r="A1555" s="17"/>
      <c r="B1555" s="17"/>
      <c r="C1555" s="17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  <c r="AD1555" s="17"/>
      <c r="AE1555" s="17"/>
      <c r="AF1555" s="17"/>
      <c r="AG1555" s="17"/>
      <c r="AH1555" s="17"/>
      <c r="AI1555" s="17"/>
      <c r="AJ1555" s="17"/>
      <c r="AK1555" s="17"/>
      <c r="AL1555" s="17"/>
      <c r="AM1555" s="17"/>
      <c r="AN1555" s="17"/>
      <c r="AO1555" s="17"/>
      <c r="AP1555" s="17"/>
      <c r="AQ1555" s="17"/>
      <c r="AR1555" s="17"/>
      <c r="AS1555" s="17"/>
      <c r="AT1555" s="17"/>
      <c r="AU1555" s="17"/>
      <c r="AV1555" s="17"/>
      <c r="AW1555" s="17"/>
      <c r="AX1555" s="17"/>
      <c r="AY1555" s="17"/>
      <c r="AZ1555" s="17"/>
      <c r="BA1555" s="17"/>
      <c r="BB1555" s="17"/>
      <c r="BC1555" s="17"/>
      <c r="BD1555" s="17"/>
      <c r="BE1555" s="17"/>
      <c r="BF1555" s="17"/>
      <c r="BG1555" s="17"/>
      <c r="BH1555" s="17"/>
      <c r="BI1555" s="17"/>
      <c r="BJ1555" s="17"/>
      <c r="BK1555" s="17"/>
      <c r="BL1555" s="17"/>
      <c r="BM1555" s="17"/>
      <c r="BN1555" s="17"/>
      <c r="BO1555" s="17"/>
      <c r="BP1555" s="17"/>
      <c r="BQ1555" s="17"/>
      <c r="BR1555" s="17"/>
      <c r="BS1555" s="17"/>
      <c r="BT1555" s="17"/>
      <c r="BU1555" s="17"/>
      <c r="BV1555" s="17"/>
      <c r="BW1555" s="17"/>
      <c r="BX1555" s="17"/>
    </row>
    <row r="1556" customHeight="1" spans="1:76">
      <c r="A1556" s="17"/>
      <c r="B1556" s="17"/>
      <c r="C1556" s="17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  <c r="N1556" s="17"/>
      <c r="O1556" s="17"/>
      <c r="P1556" s="17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17"/>
      <c r="AD1556" s="17"/>
      <c r="AE1556" s="17"/>
      <c r="AF1556" s="17"/>
      <c r="AG1556" s="17"/>
      <c r="AH1556" s="17"/>
      <c r="AI1556" s="17"/>
      <c r="AJ1556" s="17"/>
      <c r="AK1556" s="17"/>
      <c r="AL1556" s="17"/>
      <c r="AM1556" s="17"/>
      <c r="AN1556" s="17"/>
      <c r="AO1556" s="17"/>
      <c r="AP1556" s="17"/>
      <c r="AQ1556" s="17"/>
      <c r="AR1556" s="17"/>
      <c r="AS1556" s="17"/>
      <c r="AT1556" s="17"/>
      <c r="AU1556" s="17"/>
      <c r="AV1556" s="17"/>
      <c r="AW1556" s="17"/>
      <c r="AX1556" s="17"/>
      <c r="AY1556" s="17"/>
      <c r="AZ1556" s="17"/>
      <c r="BA1556" s="17"/>
      <c r="BB1556" s="17"/>
      <c r="BC1556" s="17"/>
      <c r="BD1556" s="17"/>
      <c r="BE1556" s="17"/>
      <c r="BF1556" s="17"/>
      <c r="BG1556" s="17"/>
      <c r="BH1556" s="17"/>
      <c r="BI1556" s="17"/>
      <c r="BJ1556" s="17"/>
      <c r="BK1556" s="17"/>
      <c r="BL1556" s="17"/>
      <c r="BM1556" s="17"/>
      <c r="BN1556" s="17"/>
      <c r="BO1556" s="17"/>
      <c r="BP1556" s="17"/>
      <c r="BQ1556" s="17"/>
      <c r="BR1556" s="17"/>
      <c r="BS1556" s="17"/>
      <c r="BT1556" s="17"/>
      <c r="BU1556" s="17"/>
      <c r="BV1556" s="17"/>
      <c r="BW1556" s="17"/>
      <c r="BX1556" s="17"/>
    </row>
    <row r="1557" customHeight="1" spans="1:76">
      <c r="A1557" s="17"/>
      <c r="B1557" s="17"/>
      <c r="C1557" s="17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  <c r="AE1557" s="17"/>
      <c r="AF1557" s="17"/>
      <c r="AG1557" s="17"/>
      <c r="AH1557" s="17"/>
      <c r="AI1557" s="17"/>
      <c r="AJ1557" s="17"/>
      <c r="AK1557" s="17"/>
      <c r="AL1557" s="17"/>
      <c r="AM1557" s="17"/>
      <c r="AN1557" s="17"/>
      <c r="AO1557" s="17"/>
      <c r="AP1557" s="17"/>
      <c r="AQ1557" s="17"/>
      <c r="AR1557" s="17"/>
      <c r="AS1557" s="17"/>
      <c r="AT1557" s="17"/>
      <c r="AU1557" s="17"/>
      <c r="AV1557" s="17"/>
      <c r="AW1557" s="17"/>
      <c r="AX1557" s="17"/>
      <c r="AY1557" s="17"/>
      <c r="AZ1557" s="17"/>
      <c r="BA1557" s="17"/>
      <c r="BB1557" s="17"/>
      <c r="BC1557" s="17"/>
      <c r="BD1557" s="17"/>
      <c r="BE1557" s="17"/>
      <c r="BF1557" s="17"/>
      <c r="BG1557" s="17"/>
      <c r="BH1557" s="17"/>
      <c r="BI1557" s="17"/>
      <c r="BJ1557" s="17"/>
      <c r="BK1557" s="17"/>
      <c r="BL1557" s="17"/>
      <c r="BM1557" s="17"/>
      <c r="BN1557" s="17"/>
      <c r="BO1557" s="17"/>
      <c r="BP1557" s="17"/>
      <c r="BQ1557" s="17"/>
      <c r="BR1557" s="17"/>
      <c r="BS1557" s="17"/>
      <c r="BT1557" s="17"/>
      <c r="BU1557" s="17"/>
      <c r="BV1557" s="17"/>
      <c r="BW1557" s="17"/>
      <c r="BX1557" s="17"/>
    </row>
    <row r="1558" customHeight="1" spans="1:76">
      <c r="A1558" s="17"/>
      <c r="B1558" s="17"/>
      <c r="C1558" s="17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/>
      <c r="AE1558" s="17"/>
      <c r="AF1558" s="17"/>
      <c r="AG1558" s="17"/>
      <c r="AH1558" s="17"/>
      <c r="AI1558" s="17"/>
      <c r="AJ1558" s="17"/>
      <c r="AK1558" s="17"/>
      <c r="AL1558" s="17"/>
      <c r="AM1558" s="17"/>
      <c r="AN1558" s="17"/>
      <c r="AO1558" s="17"/>
      <c r="AP1558" s="17"/>
      <c r="AQ1558" s="17"/>
      <c r="AR1558" s="17"/>
      <c r="AS1558" s="17"/>
      <c r="AT1558" s="17"/>
      <c r="AU1558" s="17"/>
      <c r="AV1558" s="17"/>
      <c r="AW1558" s="17"/>
      <c r="AX1558" s="17"/>
      <c r="AY1558" s="17"/>
      <c r="AZ1558" s="17"/>
      <c r="BA1558" s="17"/>
      <c r="BB1558" s="17"/>
      <c r="BC1558" s="17"/>
      <c r="BD1558" s="17"/>
      <c r="BE1558" s="17"/>
      <c r="BF1558" s="17"/>
      <c r="BG1558" s="17"/>
      <c r="BH1558" s="17"/>
      <c r="BI1558" s="17"/>
      <c r="BJ1558" s="17"/>
      <c r="BK1558" s="17"/>
      <c r="BL1558" s="17"/>
      <c r="BM1558" s="17"/>
      <c r="BN1558" s="17"/>
      <c r="BO1558" s="17"/>
      <c r="BP1558" s="17"/>
      <c r="BQ1558" s="17"/>
      <c r="BR1558" s="17"/>
      <c r="BS1558" s="17"/>
      <c r="BT1558" s="17"/>
      <c r="BU1558" s="17"/>
      <c r="BV1558" s="17"/>
      <c r="BW1558" s="17"/>
      <c r="BX1558" s="17"/>
    </row>
    <row r="1559" customHeight="1" spans="1:76">
      <c r="A1559" s="17"/>
      <c r="B1559" s="17"/>
      <c r="C1559" s="17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  <c r="AD1559" s="17"/>
      <c r="AE1559" s="17"/>
      <c r="AF1559" s="17"/>
      <c r="AG1559" s="17"/>
      <c r="AH1559" s="17"/>
      <c r="AI1559" s="17"/>
      <c r="AJ1559" s="17"/>
      <c r="AK1559" s="17"/>
      <c r="AL1559" s="17"/>
      <c r="AM1559" s="17"/>
      <c r="AN1559" s="17"/>
      <c r="AO1559" s="17"/>
      <c r="AP1559" s="17"/>
      <c r="AQ1559" s="17"/>
      <c r="AR1559" s="17"/>
      <c r="AS1559" s="17"/>
      <c r="AT1559" s="17"/>
      <c r="AU1559" s="17"/>
      <c r="AV1559" s="17"/>
      <c r="AW1559" s="17"/>
      <c r="AX1559" s="17"/>
      <c r="AY1559" s="17"/>
      <c r="AZ1559" s="17"/>
      <c r="BA1559" s="17"/>
      <c r="BB1559" s="17"/>
      <c r="BC1559" s="17"/>
      <c r="BD1559" s="17"/>
      <c r="BE1559" s="17"/>
      <c r="BF1559" s="17"/>
      <c r="BG1559" s="17"/>
      <c r="BH1559" s="17"/>
      <c r="BI1559" s="17"/>
      <c r="BJ1559" s="17"/>
      <c r="BK1559" s="17"/>
      <c r="BL1559" s="17"/>
      <c r="BM1559" s="17"/>
      <c r="BN1559" s="17"/>
      <c r="BO1559" s="17"/>
      <c r="BP1559" s="17"/>
      <c r="BQ1559" s="17"/>
      <c r="BR1559" s="17"/>
      <c r="BS1559" s="17"/>
      <c r="BT1559" s="17"/>
      <c r="BU1559" s="17"/>
      <c r="BV1559" s="17"/>
      <c r="BW1559" s="17"/>
      <c r="BX1559" s="17"/>
    </row>
    <row r="1560" customHeight="1" spans="1:76">
      <c r="A1560" s="17"/>
      <c r="B1560" s="17"/>
      <c r="C1560" s="17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  <c r="N1560" s="17"/>
      <c r="O1560" s="17"/>
      <c r="P1560" s="17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  <c r="AD1560" s="17"/>
      <c r="AE1560" s="17"/>
      <c r="AF1560" s="17"/>
      <c r="AG1560" s="17"/>
      <c r="AH1560" s="17"/>
      <c r="AI1560" s="17"/>
      <c r="AJ1560" s="17"/>
      <c r="AK1560" s="17"/>
      <c r="AL1560" s="17"/>
      <c r="AM1560" s="17"/>
      <c r="AN1560" s="17"/>
      <c r="AO1560" s="17"/>
      <c r="AP1560" s="17"/>
      <c r="AQ1560" s="17"/>
      <c r="AR1560" s="17"/>
      <c r="AS1560" s="17"/>
      <c r="AT1560" s="17"/>
      <c r="AU1560" s="17"/>
      <c r="AV1560" s="17"/>
      <c r="AW1560" s="17"/>
      <c r="AX1560" s="17"/>
      <c r="AY1560" s="17"/>
      <c r="AZ1560" s="17"/>
      <c r="BA1560" s="17"/>
      <c r="BB1560" s="17"/>
      <c r="BC1560" s="17"/>
      <c r="BD1560" s="17"/>
      <c r="BE1560" s="17"/>
      <c r="BF1560" s="17"/>
      <c r="BG1560" s="17"/>
      <c r="BH1560" s="17"/>
      <c r="BI1560" s="17"/>
      <c r="BJ1560" s="17"/>
      <c r="BK1560" s="17"/>
      <c r="BL1560" s="17"/>
      <c r="BM1560" s="17"/>
      <c r="BN1560" s="17"/>
      <c r="BO1560" s="17"/>
      <c r="BP1560" s="17"/>
      <c r="BQ1560" s="17"/>
      <c r="BR1560" s="17"/>
      <c r="BS1560" s="17"/>
      <c r="BT1560" s="17"/>
      <c r="BU1560" s="17"/>
      <c r="BV1560" s="17"/>
      <c r="BW1560" s="17"/>
      <c r="BX1560" s="17"/>
    </row>
    <row r="1561" customHeight="1" spans="1:76">
      <c r="A1561" s="17"/>
      <c r="B1561" s="17"/>
      <c r="C1561" s="17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  <c r="N1561" s="17"/>
      <c r="O1561" s="17"/>
      <c r="P1561" s="17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  <c r="AD1561" s="17"/>
      <c r="AE1561" s="17"/>
      <c r="AF1561" s="17"/>
      <c r="AG1561" s="17"/>
      <c r="AH1561" s="17"/>
      <c r="AI1561" s="17"/>
      <c r="AJ1561" s="17"/>
      <c r="AK1561" s="17"/>
      <c r="AL1561" s="17"/>
      <c r="AM1561" s="17"/>
      <c r="AN1561" s="17"/>
      <c r="AO1561" s="17"/>
      <c r="AP1561" s="17"/>
      <c r="AQ1561" s="17"/>
      <c r="AR1561" s="17"/>
      <c r="AS1561" s="17"/>
      <c r="AT1561" s="17"/>
      <c r="AU1561" s="17"/>
      <c r="AV1561" s="17"/>
      <c r="AW1561" s="17"/>
      <c r="AX1561" s="17"/>
      <c r="AY1561" s="17"/>
      <c r="AZ1561" s="17"/>
      <c r="BA1561" s="17"/>
      <c r="BB1561" s="17"/>
      <c r="BC1561" s="17"/>
      <c r="BD1561" s="17"/>
      <c r="BE1561" s="17"/>
      <c r="BF1561" s="17"/>
      <c r="BG1561" s="17"/>
      <c r="BH1561" s="17"/>
      <c r="BI1561" s="17"/>
      <c r="BJ1561" s="17"/>
      <c r="BK1561" s="17"/>
      <c r="BL1561" s="17"/>
      <c r="BM1561" s="17"/>
      <c r="BN1561" s="17"/>
      <c r="BO1561" s="17"/>
      <c r="BP1561" s="17"/>
      <c r="BQ1561" s="17"/>
      <c r="BR1561" s="17"/>
      <c r="BS1561" s="17"/>
      <c r="BT1561" s="17"/>
      <c r="BU1561" s="17"/>
      <c r="BV1561" s="17"/>
      <c r="BW1561" s="17"/>
      <c r="BX1561" s="17"/>
    </row>
    <row r="1562" customHeight="1" spans="1:76">
      <c r="A1562" s="17"/>
      <c r="B1562" s="17"/>
      <c r="C1562" s="17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  <c r="AD1562" s="17"/>
      <c r="AE1562" s="17"/>
      <c r="AF1562" s="17"/>
      <c r="AG1562" s="17"/>
      <c r="AH1562" s="17"/>
      <c r="AI1562" s="17"/>
      <c r="AJ1562" s="17"/>
      <c r="AK1562" s="17"/>
      <c r="AL1562" s="17"/>
      <c r="AM1562" s="17"/>
      <c r="AN1562" s="17"/>
      <c r="AO1562" s="17"/>
      <c r="AP1562" s="17"/>
      <c r="AQ1562" s="17"/>
      <c r="AR1562" s="17"/>
      <c r="AS1562" s="17"/>
      <c r="AT1562" s="17"/>
      <c r="AU1562" s="17"/>
      <c r="AV1562" s="17"/>
      <c r="AW1562" s="17"/>
      <c r="AX1562" s="17"/>
      <c r="AY1562" s="17"/>
      <c r="AZ1562" s="17"/>
      <c r="BA1562" s="17"/>
      <c r="BB1562" s="17"/>
      <c r="BC1562" s="17"/>
      <c r="BD1562" s="17"/>
      <c r="BE1562" s="17"/>
      <c r="BF1562" s="17"/>
      <c r="BG1562" s="17"/>
      <c r="BH1562" s="17"/>
      <c r="BI1562" s="17"/>
      <c r="BJ1562" s="17"/>
      <c r="BK1562" s="17"/>
      <c r="BL1562" s="17"/>
      <c r="BM1562" s="17"/>
      <c r="BN1562" s="17"/>
      <c r="BO1562" s="17"/>
      <c r="BP1562" s="17"/>
      <c r="BQ1562" s="17"/>
      <c r="BR1562" s="17"/>
      <c r="BS1562" s="17"/>
      <c r="BT1562" s="17"/>
      <c r="BU1562" s="17"/>
      <c r="BV1562" s="17"/>
      <c r="BW1562" s="17"/>
      <c r="BX1562" s="17"/>
    </row>
    <row r="1563" customHeight="1" spans="1:76">
      <c r="A1563" s="17"/>
      <c r="B1563" s="17"/>
      <c r="C1563" s="17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  <c r="AD1563" s="17"/>
      <c r="AE1563" s="17"/>
      <c r="AF1563" s="17"/>
      <c r="AG1563" s="17"/>
      <c r="AH1563" s="17"/>
      <c r="AI1563" s="17"/>
      <c r="AJ1563" s="17"/>
      <c r="AK1563" s="17"/>
      <c r="AL1563" s="17"/>
      <c r="AM1563" s="17"/>
      <c r="AN1563" s="17"/>
      <c r="AO1563" s="17"/>
      <c r="AP1563" s="17"/>
      <c r="AQ1563" s="17"/>
      <c r="AR1563" s="17"/>
      <c r="AS1563" s="17"/>
      <c r="AT1563" s="17"/>
      <c r="AU1563" s="17"/>
      <c r="AV1563" s="17"/>
      <c r="AW1563" s="17"/>
      <c r="AX1563" s="17"/>
      <c r="AY1563" s="17"/>
      <c r="AZ1563" s="17"/>
      <c r="BA1563" s="17"/>
      <c r="BB1563" s="17"/>
      <c r="BC1563" s="17"/>
      <c r="BD1563" s="17"/>
      <c r="BE1563" s="17"/>
      <c r="BF1563" s="17"/>
      <c r="BG1563" s="17"/>
      <c r="BH1563" s="17"/>
      <c r="BI1563" s="17"/>
      <c r="BJ1563" s="17"/>
      <c r="BK1563" s="17"/>
      <c r="BL1563" s="17"/>
      <c r="BM1563" s="17"/>
      <c r="BN1563" s="17"/>
      <c r="BO1563" s="17"/>
      <c r="BP1563" s="17"/>
      <c r="BQ1563" s="17"/>
      <c r="BR1563" s="17"/>
      <c r="BS1563" s="17"/>
      <c r="BT1563" s="17"/>
      <c r="BU1563" s="17"/>
      <c r="BV1563" s="17"/>
      <c r="BW1563" s="17"/>
      <c r="BX1563" s="17"/>
    </row>
    <row r="1564" customHeight="1" spans="1:76">
      <c r="A1564" s="17"/>
      <c r="B1564" s="17"/>
      <c r="C1564" s="17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  <c r="N1564" s="17"/>
      <c r="O1564" s="17"/>
      <c r="P1564" s="17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  <c r="AE1564" s="17"/>
      <c r="AF1564" s="17"/>
      <c r="AG1564" s="17"/>
      <c r="AH1564" s="17"/>
      <c r="AI1564" s="17"/>
      <c r="AJ1564" s="17"/>
      <c r="AK1564" s="17"/>
      <c r="AL1564" s="17"/>
      <c r="AM1564" s="17"/>
      <c r="AN1564" s="17"/>
      <c r="AO1564" s="17"/>
      <c r="AP1564" s="17"/>
      <c r="AQ1564" s="17"/>
      <c r="AR1564" s="17"/>
      <c r="AS1564" s="17"/>
      <c r="AT1564" s="17"/>
      <c r="AU1564" s="17"/>
      <c r="AV1564" s="17"/>
      <c r="AW1564" s="17"/>
      <c r="AX1564" s="17"/>
      <c r="AY1564" s="17"/>
      <c r="AZ1564" s="17"/>
      <c r="BA1564" s="17"/>
      <c r="BB1564" s="17"/>
      <c r="BC1564" s="17"/>
      <c r="BD1564" s="17"/>
      <c r="BE1564" s="17"/>
      <c r="BF1564" s="17"/>
      <c r="BG1564" s="17"/>
      <c r="BH1564" s="17"/>
      <c r="BI1564" s="17"/>
      <c r="BJ1564" s="17"/>
      <c r="BK1564" s="17"/>
      <c r="BL1564" s="17"/>
      <c r="BM1564" s="17"/>
      <c r="BN1564" s="17"/>
      <c r="BO1564" s="17"/>
      <c r="BP1564" s="17"/>
      <c r="BQ1564" s="17"/>
      <c r="BR1564" s="17"/>
      <c r="BS1564" s="17"/>
      <c r="BT1564" s="17"/>
      <c r="BU1564" s="17"/>
      <c r="BV1564" s="17"/>
      <c r="BW1564" s="17"/>
      <c r="BX1564" s="17"/>
    </row>
    <row r="1565" customHeight="1" spans="1:76">
      <c r="A1565" s="17"/>
      <c r="B1565" s="17"/>
      <c r="C1565" s="17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  <c r="AE1565" s="17"/>
      <c r="AF1565" s="17"/>
      <c r="AG1565" s="17"/>
      <c r="AH1565" s="17"/>
      <c r="AI1565" s="17"/>
      <c r="AJ1565" s="17"/>
      <c r="AK1565" s="17"/>
      <c r="AL1565" s="17"/>
      <c r="AM1565" s="17"/>
      <c r="AN1565" s="17"/>
      <c r="AO1565" s="17"/>
      <c r="AP1565" s="17"/>
      <c r="AQ1565" s="17"/>
      <c r="AR1565" s="17"/>
      <c r="AS1565" s="17"/>
      <c r="AT1565" s="17"/>
      <c r="AU1565" s="17"/>
      <c r="AV1565" s="17"/>
      <c r="AW1565" s="17"/>
      <c r="AX1565" s="17"/>
      <c r="AY1565" s="17"/>
      <c r="AZ1565" s="17"/>
      <c r="BA1565" s="17"/>
      <c r="BB1565" s="17"/>
      <c r="BC1565" s="17"/>
      <c r="BD1565" s="17"/>
      <c r="BE1565" s="17"/>
      <c r="BF1565" s="17"/>
      <c r="BG1565" s="17"/>
      <c r="BH1565" s="17"/>
      <c r="BI1565" s="17"/>
      <c r="BJ1565" s="17"/>
      <c r="BK1565" s="17"/>
      <c r="BL1565" s="17"/>
      <c r="BM1565" s="17"/>
      <c r="BN1565" s="17"/>
      <c r="BO1565" s="17"/>
      <c r="BP1565" s="17"/>
      <c r="BQ1565" s="17"/>
      <c r="BR1565" s="17"/>
      <c r="BS1565" s="17"/>
      <c r="BT1565" s="17"/>
      <c r="BU1565" s="17"/>
      <c r="BV1565" s="17"/>
      <c r="BW1565" s="17"/>
      <c r="BX1565" s="17"/>
    </row>
    <row r="1566" customHeight="1" spans="1:76">
      <c r="A1566" s="17"/>
      <c r="B1566" s="17"/>
      <c r="C1566" s="17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  <c r="N1566" s="17"/>
      <c r="O1566" s="17"/>
      <c r="P1566" s="17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  <c r="AD1566" s="17"/>
      <c r="AE1566" s="17"/>
      <c r="AF1566" s="17"/>
      <c r="AG1566" s="17"/>
      <c r="AH1566" s="17"/>
      <c r="AI1566" s="17"/>
      <c r="AJ1566" s="17"/>
      <c r="AK1566" s="17"/>
      <c r="AL1566" s="17"/>
      <c r="AM1566" s="17"/>
      <c r="AN1566" s="17"/>
      <c r="AO1566" s="17"/>
      <c r="AP1566" s="17"/>
      <c r="AQ1566" s="17"/>
      <c r="AR1566" s="17"/>
      <c r="AS1566" s="17"/>
      <c r="AT1566" s="17"/>
      <c r="AU1566" s="17"/>
      <c r="AV1566" s="17"/>
      <c r="AW1566" s="17"/>
      <c r="AX1566" s="17"/>
      <c r="AY1566" s="17"/>
      <c r="AZ1566" s="17"/>
      <c r="BA1566" s="17"/>
      <c r="BB1566" s="17"/>
      <c r="BC1566" s="17"/>
      <c r="BD1566" s="17"/>
      <c r="BE1566" s="17"/>
      <c r="BF1566" s="17"/>
      <c r="BG1566" s="17"/>
      <c r="BH1566" s="17"/>
      <c r="BI1566" s="17"/>
      <c r="BJ1566" s="17"/>
      <c r="BK1566" s="17"/>
      <c r="BL1566" s="17"/>
      <c r="BM1566" s="17"/>
      <c r="BN1566" s="17"/>
      <c r="BO1566" s="17"/>
      <c r="BP1566" s="17"/>
      <c r="BQ1566" s="17"/>
      <c r="BR1566" s="17"/>
      <c r="BS1566" s="17"/>
      <c r="BT1566" s="17"/>
      <c r="BU1566" s="17"/>
      <c r="BV1566" s="17"/>
      <c r="BW1566" s="17"/>
      <c r="BX1566" s="17"/>
    </row>
    <row r="1567" customHeight="1" spans="1:76">
      <c r="A1567" s="17"/>
      <c r="B1567" s="17"/>
      <c r="C1567" s="17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/>
      <c r="AE1567" s="17"/>
      <c r="AF1567" s="17"/>
      <c r="AG1567" s="17"/>
      <c r="AH1567" s="17"/>
      <c r="AI1567" s="17"/>
      <c r="AJ1567" s="17"/>
      <c r="AK1567" s="17"/>
      <c r="AL1567" s="17"/>
      <c r="AM1567" s="17"/>
      <c r="AN1567" s="17"/>
      <c r="AO1567" s="17"/>
      <c r="AP1567" s="17"/>
      <c r="AQ1567" s="17"/>
      <c r="AR1567" s="17"/>
      <c r="AS1567" s="17"/>
      <c r="AT1567" s="17"/>
      <c r="AU1567" s="17"/>
      <c r="AV1567" s="17"/>
      <c r="AW1567" s="17"/>
      <c r="AX1567" s="17"/>
      <c r="AY1567" s="17"/>
      <c r="AZ1567" s="17"/>
      <c r="BA1567" s="17"/>
      <c r="BB1567" s="17"/>
      <c r="BC1567" s="17"/>
      <c r="BD1567" s="17"/>
      <c r="BE1567" s="17"/>
      <c r="BF1567" s="17"/>
      <c r="BG1567" s="17"/>
      <c r="BH1567" s="17"/>
      <c r="BI1567" s="17"/>
      <c r="BJ1567" s="17"/>
      <c r="BK1567" s="17"/>
      <c r="BL1567" s="17"/>
      <c r="BM1567" s="17"/>
      <c r="BN1567" s="17"/>
      <c r="BO1567" s="17"/>
      <c r="BP1567" s="17"/>
      <c r="BQ1567" s="17"/>
      <c r="BR1567" s="17"/>
      <c r="BS1567" s="17"/>
      <c r="BT1567" s="17"/>
      <c r="BU1567" s="17"/>
      <c r="BV1567" s="17"/>
      <c r="BW1567" s="17"/>
      <c r="BX1567" s="17"/>
    </row>
    <row r="1568" customHeight="1" spans="1:76">
      <c r="A1568" s="17"/>
      <c r="B1568" s="17"/>
      <c r="C1568" s="17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  <c r="N1568" s="17"/>
      <c r="O1568" s="17"/>
      <c r="P1568" s="17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7"/>
      <c r="AD1568" s="17"/>
      <c r="AE1568" s="17"/>
      <c r="AF1568" s="17"/>
      <c r="AG1568" s="17"/>
      <c r="AH1568" s="17"/>
      <c r="AI1568" s="17"/>
      <c r="AJ1568" s="17"/>
      <c r="AK1568" s="17"/>
      <c r="AL1568" s="17"/>
      <c r="AM1568" s="17"/>
      <c r="AN1568" s="17"/>
      <c r="AO1568" s="17"/>
      <c r="AP1568" s="17"/>
      <c r="AQ1568" s="17"/>
      <c r="AR1568" s="17"/>
      <c r="AS1568" s="17"/>
      <c r="AT1568" s="17"/>
      <c r="AU1568" s="17"/>
      <c r="AV1568" s="17"/>
      <c r="AW1568" s="17"/>
      <c r="AX1568" s="17"/>
      <c r="AY1568" s="17"/>
      <c r="AZ1568" s="17"/>
      <c r="BA1568" s="17"/>
      <c r="BB1568" s="17"/>
      <c r="BC1568" s="17"/>
      <c r="BD1568" s="17"/>
      <c r="BE1568" s="17"/>
      <c r="BF1568" s="17"/>
      <c r="BG1568" s="17"/>
      <c r="BH1568" s="17"/>
      <c r="BI1568" s="17"/>
      <c r="BJ1568" s="17"/>
      <c r="BK1568" s="17"/>
      <c r="BL1568" s="17"/>
      <c r="BM1568" s="17"/>
      <c r="BN1568" s="17"/>
      <c r="BO1568" s="17"/>
      <c r="BP1568" s="17"/>
      <c r="BQ1568" s="17"/>
      <c r="BR1568" s="17"/>
      <c r="BS1568" s="17"/>
      <c r="BT1568" s="17"/>
      <c r="BU1568" s="17"/>
      <c r="BV1568" s="17"/>
      <c r="BW1568" s="17"/>
      <c r="BX1568" s="17"/>
    </row>
    <row r="1569" customHeight="1" spans="1:76">
      <c r="A1569" s="17"/>
      <c r="B1569" s="17"/>
      <c r="C1569" s="17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  <c r="N1569" s="17"/>
      <c r="O1569" s="17"/>
      <c r="P1569" s="17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  <c r="AE1569" s="17"/>
      <c r="AF1569" s="17"/>
      <c r="AG1569" s="17"/>
      <c r="AH1569" s="17"/>
      <c r="AI1569" s="17"/>
      <c r="AJ1569" s="17"/>
      <c r="AK1569" s="17"/>
      <c r="AL1569" s="17"/>
      <c r="AM1569" s="17"/>
      <c r="AN1569" s="17"/>
      <c r="AO1569" s="17"/>
      <c r="AP1569" s="17"/>
      <c r="AQ1569" s="17"/>
      <c r="AR1569" s="17"/>
      <c r="AS1569" s="17"/>
      <c r="AT1569" s="17"/>
      <c r="AU1569" s="17"/>
      <c r="AV1569" s="17"/>
      <c r="AW1569" s="17"/>
      <c r="AX1569" s="17"/>
      <c r="AY1569" s="17"/>
      <c r="AZ1569" s="17"/>
      <c r="BA1569" s="17"/>
      <c r="BB1569" s="17"/>
      <c r="BC1569" s="17"/>
      <c r="BD1569" s="17"/>
      <c r="BE1569" s="17"/>
      <c r="BF1569" s="17"/>
      <c r="BG1569" s="17"/>
      <c r="BH1569" s="17"/>
      <c r="BI1569" s="17"/>
      <c r="BJ1569" s="17"/>
      <c r="BK1569" s="17"/>
      <c r="BL1569" s="17"/>
      <c r="BM1569" s="17"/>
      <c r="BN1569" s="17"/>
      <c r="BO1569" s="17"/>
      <c r="BP1569" s="17"/>
      <c r="BQ1569" s="17"/>
      <c r="BR1569" s="17"/>
      <c r="BS1569" s="17"/>
      <c r="BT1569" s="17"/>
      <c r="BU1569" s="17"/>
      <c r="BV1569" s="17"/>
      <c r="BW1569" s="17"/>
      <c r="BX1569" s="17"/>
    </row>
    <row r="1570" customHeight="1" spans="1:76">
      <c r="A1570" s="17"/>
      <c r="B1570" s="17"/>
      <c r="C1570" s="17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  <c r="N1570" s="17"/>
      <c r="O1570" s="17"/>
      <c r="P1570" s="17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  <c r="AD1570" s="17"/>
      <c r="AE1570" s="17"/>
      <c r="AF1570" s="17"/>
      <c r="AG1570" s="17"/>
      <c r="AH1570" s="17"/>
      <c r="AI1570" s="17"/>
      <c r="AJ1570" s="17"/>
      <c r="AK1570" s="17"/>
      <c r="AL1570" s="17"/>
      <c r="AM1570" s="17"/>
      <c r="AN1570" s="17"/>
      <c r="AO1570" s="17"/>
      <c r="AP1570" s="17"/>
      <c r="AQ1570" s="17"/>
      <c r="AR1570" s="17"/>
      <c r="AS1570" s="17"/>
      <c r="AT1570" s="17"/>
      <c r="AU1570" s="17"/>
      <c r="AV1570" s="17"/>
      <c r="AW1570" s="17"/>
      <c r="AX1570" s="17"/>
      <c r="AY1570" s="17"/>
      <c r="AZ1570" s="17"/>
      <c r="BA1570" s="17"/>
      <c r="BB1570" s="17"/>
      <c r="BC1570" s="17"/>
      <c r="BD1570" s="17"/>
      <c r="BE1570" s="17"/>
      <c r="BF1570" s="17"/>
      <c r="BG1570" s="17"/>
      <c r="BH1570" s="17"/>
      <c r="BI1570" s="17"/>
      <c r="BJ1570" s="17"/>
      <c r="BK1570" s="17"/>
      <c r="BL1570" s="17"/>
      <c r="BM1570" s="17"/>
      <c r="BN1570" s="17"/>
      <c r="BO1570" s="17"/>
      <c r="BP1570" s="17"/>
      <c r="BQ1570" s="17"/>
      <c r="BR1570" s="17"/>
      <c r="BS1570" s="17"/>
      <c r="BT1570" s="17"/>
      <c r="BU1570" s="17"/>
      <c r="BV1570" s="17"/>
      <c r="BW1570" s="17"/>
      <c r="BX1570" s="17"/>
    </row>
    <row r="1571" customHeight="1" spans="1:76">
      <c r="A1571" s="17"/>
      <c r="B1571" s="17"/>
      <c r="C1571" s="17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17"/>
      <c r="AF1571" s="17"/>
      <c r="AG1571" s="17"/>
      <c r="AH1571" s="17"/>
      <c r="AI1571" s="17"/>
      <c r="AJ1571" s="17"/>
      <c r="AK1571" s="17"/>
      <c r="AL1571" s="17"/>
      <c r="AM1571" s="17"/>
      <c r="AN1571" s="17"/>
      <c r="AO1571" s="17"/>
      <c r="AP1571" s="17"/>
      <c r="AQ1571" s="17"/>
      <c r="AR1571" s="17"/>
      <c r="AS1571" s="17"/>
      <c r="AT1571" s="17"/>
      <c r="AU1571" s="17"/>
      <c r="AV1571" s="17"/>
      <c r="AW1571" s="17"/>
      <c r="AX1571" s="17"/>
      <c r="AY1571" s="17"/>
      <c r="AZ1571" s="17"/>
      <c r="BA1571" s="17"/>
      <c r="BB1571" s="17"/>
      <c r="BC1571" s="17"/>
      <c r="BD1571" s="17"/>
      <c r="BE1571" s="17"/>
      <c r="BF1571" s="17"/>
      <c r="BG1571" s="17"/>
      <c r="BH1571" s="17"/>
      <c r="BI1571" s="17"/>
      <c r="BJ1571" s="17"/>
      <c r="BK1571" s="17"/>
      <c r="BL1571" s="17"/>
      <c r="BM1571" s="17"/>
      <c r="BN1571" s="17"/>
      <c r="BO1571" s="17"/>
      <c r="BP1571" s="17"/>
      <c r="BQ1571" s="17"/>
      <c r="BR1571" s="17"/>
      <c r="BS1571" s="17"/>
      <c r="BT1571" s="17"/>
      <c r="BU1571" s="17"/>
      <c r="BV1571" s="17"/>
      <c r="BW1571" s="17"/>
      <c r="BX1571" s="17"/>
    </row>
    <row r="1572" customHeight="1" spans="1:76">
      <c r="A1572" s="17"/>
      <c r="B1572" s="17"/>
      <c r="C1572" s="17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  <c r="AD1572" s="17"/>
      <c r="AE1572" s="17"/>
      <c r="AF1572" s="17"/>
      <c r="AG1572" s="17"/>
      <c r="AH1572" s="17"/>
      <c r="AI1572" s="17"/>
      <c r="AJ1572" s="17"/>
      <c r="AK1572" s="17"/>
      <c r="AL1572" s="17"/>
      <c r="AM1572" s="17"/>
      <c r="AN1572" s="17"/>
      <c r="AO1572" s="17"/>
      <c r="AP1572" s="17"/>
      <c r="AQ1572" s="17"/>
      <c r="AR1572" s="17"/>
      <c r="AS1572" s="17"/>
      <c r="AT1572" s="17"/>
      <c r="AU1572" s="17"/>
      <c r="AV1572" s="17"/>
      <c r="AW1572" s="17"/>
      <c r="AX1572" s="17"/>
      <c r="AY1572" s="17"/>
      <c r="AZ1572" s="17"/>
      <c r="BA1572" s="17"/>
      <c r="BB1572" s="17"/>
      <c r="BC1572" s="17"/>
      <c r="BD1572" s="17"/>
      <c r="BE1572" s="17"/>
      <c r="BF1572" s="17"/>
      <c r="BG1572" s="17"/>
      <c r="BH1572" s="17"/>
      <c r="BI1572" s="17"/>
      <c r="BJ1572" s="17"/>
      <c r="BK1572" s="17"/>
      <c r="BL1572" s="17"/>
      <c r="BM1572" s="17"/>
      <c r="BN1572" s="17"/>
      <c r="BO1572" s="17"/>
      <c r="BP1572" s="17"/>
      <c r="BQ1572" s="17"/>
      <c r="BR1572" s="17"/>
      <c r="BS1572" s="17"/>
      <c r="BT1572" s="17"/>
      <c r="BU1572" s="17"/>
      <c r="BV1572" s="17"/>
      <c r="BW1572" s="17"/>
      <c r="BX1572" s="17"/>
    </row>
    <row r="1573" customHeight="1" spans="1:76">
      <c r="A1573" s="17"/>
      <c r="B1573" s="17"/>
      <c r="C1573" s="17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  <c r="N1573" s="17"/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  <c r="AE1573" s="17"/>
      <c r="AF1573" s="17"/>
      <c r="AG1573" s="17"/>
      <c r="AH1573" s="17"/>
      <c r="AI1573" s="17"/>
      <c r="AJ1573" s="17"/>
      <c r="AK1573" s="17"/>
      <c r="AL1573" s="17"/>
      <c r="AM1573" s="17"/>
      <c r="AN1573" s="17"/>
      <c r="AO1573" s="17"/>
      <c r="AP1573" s="17"/>
      <c r="AQ1573" s="17"/>
      <c r="AR1573" s="17"/>
      <c r="AS1573" s="17"/>
      <c r="AT1573" s="17"/>
      <c r="AU1573" s="17"/>
      <c r="AV1573" s="17"/>
      <c r="AW1573" s="17"/>
      <c r="AX1573" s="17"/>
      <c r="AY1573" s="17"/>
      <c r="AZ1573" s="17"/>
      <c r="BA1573" s="17"/>
      <c r="BB1573" s="17"/>
      <c r="BC1573" s="17"/>
      <c r="BD1573" s="17"/>
      <c r="BE1573" s="17"/>
      <c r="BF1573" s="17"/>
      <c r="BG1573" s="17"/>
      <c r="BH1573" s="17"/>
      <c r="BI1573" s="17"/>
      <c r="BJ1573" s="17"/>
      <c r="BK1573" s="17"/>
      <c r="BL1573" s="17"/>
      <c r="BM1573" s="17"/>
      <c r="BN1573" s="17"/>
      <c r="BO1573" s="17"/>
      <c r="BP1573" s="17"/>
      <c r="BQ1573" s="17"/>
      <c r="BR1573" s="17"/>
      <c r="BS1573" s="17"/>
      <c r="BT1573" s="17"/>
      <c r="BU1573" s="17"/>
      <c r="BV1573" s="17"/>
      <c r="BW1573" s="17"/>
      <c r="BX1573" s="17"/>
    </row>
    <row r="1574" customHeight="1" spans="1:76">
      <c r="A1574" s="17"/>
      <c r="B1574" s="17"/>
      <c r="C1574" s="17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  <c r="AE1574" s="17"/>
      <c r="AF1574" s="17"/>
      <c r="AG1574" s="17"/>
      <c r="AH1574" s="17"/>
      <c r="AI1574" s="17"/>
      <c r="AJ1574" s="17"/>
      <c r="AK1574" s="17"/>
      <c r="AL1574" s="17"/>
      <c r="AM1574" s="17"/>
      <c r="AN1574" s="17"/>
      <c r="AO1574" s="17"/>
      <c r="AP1574" s="17"/>
      <c r="AQ1574" s="17"/>
      <c r="AR1574" s="17"/>
      <c r="AS1574" s="17"/>
      <c r="AT1574" s="17"/>
      <c r="AU1574" s="17"/>
      <c r="AV1574" s="17"/>
      <c r="AW1574" s="17"/>
      <c r="AX1574" s="17"/>
      <c r="AY1574" s="17"/>
      <c r="AZ1574" s="17"/>
      <c r="BA1574" s="17"/>
      <c r="BB1574" s="17"/>
      <c r="BC1574" s="17"/>
      <c r="BD1574" s="17"/>
      <c r="BE1574" s="17"/>
      <c r="BF1574" s="17"/>
      <c r="BG1574" s="17"/>
      <c r="BH1574" s="17"/>
      <c r="BI1574" s="17"/>
      <c r="BJ1574" s="17"/>
      <c r="BK1574" s="17"/>
      <c r="BL1574" s="17"/>
      <c r="BM1574" s="17"/>
      <c r="BN1574" s="17"/>
      <c r="BO1574" s="17"/>
      <c r="BP1574" s="17"/>
      <c r="BQ1574" s="17"/>
      <c r="BR1574" s="17"/>
      <c r="BS1574" s="17"/>
      <c r="BT1574" s="17"/>
      <c r="BU1574" s="17"/>
      <c r="BV1574" s="17"/>
      <c r="BW1574" s="17"/>
      <c r="BX1574" s="17"/>
    </row>
    <row r="1575" customHeight="1" spans="1:76">
      <c r="A1575" s="17"/>
      <c r="B1575" s="17"/>
      <c r="C1575" s="17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17"/>
      <c r="AF1575" s="17"/>
      <c r="AG1575" s="17"/>
      <c r="AH1575" s="17"/>
      <c r="AI1575" s="17"/>
      <c r="AJ1575" s="17"/>
      <c r="AK1575" s="17"/>
      <c r="AL1575" s="17"/>
      <c r="AM1575" s="17"/>
      <c r="AN1575" s="17"/>
      <c r="AO1575" s="17"/>
      <c r="AP1575" s="17"/>
      <c r="AQ1575" s="17"/>
      <c r="AR1575" s="17"/>
      <c r="AS1575" s="17"/>
      <c r="AT1575" s="17"/>
      <c r="AU1575" s="17"/>
      <c r="AV1575" s="17"/>
      <c r="AW1575" s="17"/>
      <c r="AX1575" s="17"/>
      <c r="AY1575" s="17"/>
      <c r="AZ1575" s="17"/>
      <c r="BA1575" s="17"/>
      <c r="BB1575" s="17"/>
      <c r="BC1575" s="17"/>
      <c r="BD1575" s="17"/>
      <c r="BE1575" s="17"/>
      <c r="BF1575" s="17"/>
      <c r="BG1575" s="17"/>
      <c r="BH1575" s="17"/>
      <c r="BI1575" s="17"/>
      <c r="BJ1575" s="17"/>
      <c r="BK1575" s="17"/>
      <c r="BL1575" s="17"/>
      <c r="BM1575" s="17"/>
      <c r="BN1575" s="17"/>
      <c r="BO1575" s="17"/>
      <c r="BP1575" s="17"/>
      <c r="BQ1575" s="17"/>
      <c r="BR1575" s="17"/>
      <c r="BS1575" s="17"/>
      <c r="BT1575" s="17"/>
      <c r="BU1575" s="17"/>
      <c r="BV1575" s="17"/>
      <c r="BW1575" s="17"/>
      <c r="BX1575" s="17"/>
    </row>
    <row r="1576" customHeight="1" spans="1:76">
      <c r="A1576" s="17"/>
      <c r="B1576" s="17"/>
      <c r="C1576" s="17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/>
      <c r="AE1576" s="17"/>
      <c r="AF1576" s="17"/>
      <c r="AG1576" s="17"/>
      <c r="AH1576" s="17"/>
      <c r="AI1576" s="17"/>
      <c r="AJ1576" s="17"/>
      <c r="AK1576" s="17"/>
      <c r="AL1576" s="17"/>
      <c r="AM1576" s="17"/>
      <c r="AN1576" s="17"/>
      <c r="AO1576" s="17"/>
      <c r="AP1576" s="17"/>
      <c r="AQ1576" s="17"/>
      <c r="AR1576" s="17"/>
      <c r="AS1576" s="17"/>
      <c r="AT1576" s="17"/>
      <c r="AU1576" s="17"/>
      <c r="AV1576" s="17"/>
      <c r="AW1576" s="17"/>
      <c r="AX1576" s="17"/>
      <c r="AY1576" s="17"/>
      <c r="AZ1576" s="17"/>
      <c r="BA1576" s="17"/>
      <c r="BB1576" s="17"/>
      <c r="BC1576" s="17"/>
      <c r="BD1576" s="17"/>
      <c r="BE1576" s="17"/>
      <c r="BF1576" s="17"/>
      <c r="BG1576" s="17"/>
      <c r="BH1576" s="17"/>
      <c r="BI1576" s="17"/>
      <c r="BJ1576" s="17"/>
      <c r="BK1576" s="17"/>
      <c r="BL1576" s="17"/>
      <c r="BM1576" s="17"/>
      <c r="BN1576" s="17"/>
      <c r="BO1576" s="17"/>
      <c r="BP1576" s="17"/>
      <c r="BQ1576" s="17"/>
      <c r="BR1576" s="17"/>
      <c r="BS1576" s="17"/>
      <c r="BT1576" s="17"/>
      <c r="BU1576" s="17"/>
      <c r="BV1576" s="17"/>
      <c r="BW1576" s="17"/>
      <c r="BX1576" s="17"/>
    </row>
    <row r="1577" customHeight="1" spans="1:76">
      <c r="A1577" s="17"/>
      <c r="B1577" s="17"/>
      <c r="C1577" s="17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/>
      <c r="AE1577" s="17"/>
      <c r="AF1577" s="17"/>
      <c r="AG1577" s="17"/>
      <c r="AH1577" s="17"/>
      <c r="AI1577" s="17"/>
      <c r="AJ1577" s="17"/>
      <c r="AK1577" s="17"/>
      <c r="AL1577" s="17"/>
      <c r="AM1577" s="17"/>
      <c r="AN1577" s="17"/>
      <c r="AO1577" s="17"/>
      <c r="AP1577" s="17"/>
      <c r="AQ1577" s="17"/>
      <c r="AR1577" s="17"/>
      <c r="AS1577" s="17"/>
      <c r="AT1577" s="17"/>
      <c r="AU1577" s="17"/>
      <c r="AV1577" s="17"/>
      <c r="AW1577" s="17"/>
      <c r="AX1577" s="17"/>
      <c r="AY1577" s="17"/>
      <c r="AZ1577" s="17"/>
      <c r="BA1577" s="17"/>
      <c r="BB1577" s="17"/>
      <c r="BC1577" s="17"/>
      <c r="BD1577" s="17"/>
      <c r="BE1577" s="17"/>
      <c r="BF1577" s="17"/>
      <c r="BG1577" s="17"/>
      <c r="BH1577" s="17"/>
      <c r="BI1577" s="17"/>
      <c r="BJ1577" s="17"/>
      <c r="BK1577" s="17"/>
      <c r="BL1577" s="17"/>
      <c r="BM1577" s="17"/>
      <c r="BN1577" s="17"/>
      <c r="BO1577" s="17"/>
      <c r="BP1577" s="17"/>
      <c r="BQ1577" s="17"/>
      <c r="BR1577" s="17"/>
      <c r="BS1577" s="17"/>
      <c r="BT1577" s="17"/>
      <c r="BU1577" s="17"/>
      <c r="BV1577" s="17"/>
      <c r="BW1577" s="17"/>
      <c r="BX1577" s="17"/>
    </row>
    <row r="1578" customHeight="1" spans="1:76">
      <c r="A1578" s="17"/>
      <c r="B1578" s="17"/>
      <c r="C1578" s="17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  <c r="AE1578" s="17"/>
      <c r="AF1578" s="17"/>
      <c r="AG1578" s="17"/>
      <c r="AH1578" s="17"/>
      <c r="AI1578" s="17"/>
      <c r="AJ1578" s="17"/>
      <c r="AK1578" s="17"/>
      <c r="AL1578" s="17"/>
      <c r="AM1578" s="17"/>
      <c r="AN1578" s="17"/>
      <c r="AO1578" s="17"/>
      <c r="AP1578" s="17"/>
      <c r="AQ1578" s="17"/>
      <c r="AR1578" s="17"/>
      <c r="AS1578" s="17"/>
      <c r="AT1578" s="17"/>
      <c r="AU1578" s="17"/>
      <c r="AV1578" s="17"/>
      <c r="AW1578" s="17"/>
      <c r="AX1578" s="17"/>
      <c r="AY1578" s="17"/>
      <c r="AZ1578" s="17"/>
      <c r="BA1578" s="17"/>
      <c r="BB1578" s="17"/>
      <c r="BC1578" s="17"/>
      <c r="BD1578" s="17"/>
      <c r="BE1578" s="17"/>
      <c r="BF1578" s="17"/>
      <c r="BG1578" s="17"/>
      <c r="BH1578" s="17"/>
      <c r="BI1578" s="17"/>
      <c r="BJ1578" s="17"/>
      <c r="BK1578" s="17"/>
      <c r="BL1578" s="17"/>
      <c r="BM1578" s="17"/>
      <c r="BN1578" s="17"/>
      <c r="BO1578" s="17"/>
      <c r="BP1578" s="17"/>
      <c r="BQ1578" s="17"/>
      <c r="BR1578" s="17"/>
      <c r="BS1578" s="17"/>
      <c r="BT1578" s="17"/>
      <c r="BU1578" s="17"/>
      <c r="BV1578" s="17"/>
      <c r="BW1578" s="17"/>
      <c r="BX1578" s="17"/>
    </row>
    <row r="1579" customHeight="1" spans="1:76">
      <c r="A1579" s="17"/>
      <c r="B1579" s="17"/>
      <c r="C1579" s="17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17"/>
      <c r="AF1579" s="17"/>
      <c r="AG1579" s="17"/>
      <c r="AH1579" s="17"/>
      <c r="AI1579" s="17"/>
      <c r="AJ1579" s="17"/>
      <c r="AK1579" s="17"/>
      <c r="AL1579" s="17"/>
      <c r="AM1579" s="17"/>
      <c r="AN1579" s="17"/>
      <c r="AO1579" s="17"/>
      <c r="AP1579" s="17"/>
      <c r="AQ1579" s="17"/>
      <c r="AR1579" s="17"/>
      <c r="AS1579" s="17"/>
      <c r="AT1579" s="17"/>
      <c r="AU1579" s="17"/>
      <c r="AV1579" s="17"/>
      <c r="AW1579" s="17"/>
      <c r="AX1579" s="17"/>
      <c r="AY1579" s="17"/>
      <c r="AZ1579" s="17"/>
      <c r="BA1579" s="17"/>
      <c r="BB1579" s="17"/>
      <c r="BC1579" s="17"/>
      <c r="BD1579" s="17"/>
      <c r="BE1579" s="17"/>
      <c r="BF1579" s="17"/>
      <c r="BG1579" s="17"/>
      <c r="BH1579" s="17"/>
      <c r="BI1579" s="17"/>
      <c r="BJ1579" s="17"/>
      <c r="BK1579" s="17"/>
      <c r="BL1579" s="17"/>
      <c r="BM1579" s="17"/>
      <c r="BN1579" s="17"/>
      <c r="BO1579" s="17"/>
      <c r="BP1579" s="17"/>
      <c r="BQ1579" s="17"/>
      <c r="BR1579" s="17"/>
      <c r="BS1579" s="17"/>
      <c r="BT1579" s="17"/>
      <c r="BU1579" s="17"/>
      <c r="BV1579" s="17"/>
      <c r="BW1579" s="17"/>
      <c r="BX1579" s="17"/>
    </row>
    <row r="1580" customHeight="1" spans="1:76">
      <c r="A1580" s="17"/>
      <c r="B1580" s="17"/>
      <c r="C1580" s="17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  <c r="AE1580" s="17"/>
      <c r="AF1580" s="17"/>
      <c r="AG1580" s="17"/>
      <c r="AH1580" s="17"/>
      <c r="AI1580" s="17"/>
      <c r="AJ1580" s="17"/>
      <c r="AK1580" s="17"/>
      <c r="AL1580" s="17"/>
      <c r="AM1580" s="17"/>
      <c r="AN1580" s="17"/>
      <c r="AO1580" s="17"/>
      <c r="AP1580" s="17"/>
      <c r="AQ1580" s="17"/>
      <c r="AR1580" s="17"/>
      <c r="AS1580" s="17"/>
      <c r="AT1580" s="17"/>
      <c r="AU1580" s="17"/>
      <c r="AV1580" s="17"/>
      <c r="AW1580" s="17"/>
      <c r="AX1580" s="17"/>
      <c r="AY1580" s="17"/>
      <c r="AZ1580" s="17"/>
      <c r="BA1580" s="17"/>
      <c r="BB1580" s="17"/>
      <c r="BC1580" s="17"/>
      <c r="BD1580" s="17"/>
      <c r="BE1580" s="17"/>
      <c r="BF1580" s="17"/>
      <c r="BG1580" s="17"/>
      <c r="BH1580" s="17"/>
      <c r="BI1580" s="17"/>
      <c r="BJ1580" s="17"/>
      <c r="BK1580" s="17"/>
      <c r="BL1580" s="17"/>
      <c r="BM1580" s="17"/>
      <c r="BN1580" s="17"/>
      <c r="BO1580" s="17"/>
      <c r="BP1580" s="17"/>
      <c r="BQ1580" s="17"/>
      <c r="BR1580" s="17"/>
      <c r="BS1580" s="17"/>
      <c r="BT1580" s="17"/>
      <c r="BU1580" s="17"/>
      <c r="BV1580" s="17"/>
      <c r="BW1580" s="17"/>
      <c r="BX1580" s="17"/>
    </row>
    <row r="1581" customHeight="1" spans="1:76">
      <c r="A1581" s="17"/>
      <c r="B1581" s="17"/>
      <c r="C1581" s="17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  <c r="AE1581" s="17"/>
      <c r="AF1581" s="17"/>
      <c r="AG1581" s="17"/>
      <c r="AH1581" s="17"/>
      <c r="AI1581" s="17"/>
      <c r="AJ1581" s="17"/>
      <c r="AK1581" s="17"/>
      <c r="AL1581" s="17"/>
      <c r="AM1581" s="17"/>
      <c r="AN1581" s="17"/>
      <c r="AO1581" s="17"/>
      <c r="AP1581" s="17"/>
      <c r="AQ1581" s="17"/>
      <c r="AR1581" s="17"/>
      <c r="AS1581" s="17"/>
      <c r="AT1581" s="17"/>
      <c r="AU1581" s="17"/>
      <c r="AV1581" s="17"/>
      <c r="AW1581" s="17"/>
      <c r="AX1581" s="17"/>
      <c r="AY1581" s="17"/>
      <c r="AZ1581" s="17"/>
      <c r="BA1581" s="17"/>
      <c r="BB1581" s="17"/>
      <c r="BC1581" s="17"/>
      <c r="BD1581" s="17"/>
      <c r="BE1581" s="17"/>
      <c r="BF1581" s="17"/>
      <c r="BG1581" s="17"/>
      <c r="BH1581" s="17"/>
      <c r="BI1581" s="17"/>
      <c r="BJ1581" s="17"/>
      <c r="BK1581" s="17"/>
      <c r="BL1581" s="17"/>
      <c r="BM1581" s="17"/>
      <c r="BN1581" s="17"/>
      <c r="BO1581" s="17"/>
      <c r="BP1581" s="17"/>
      <c r="BQ1581" s="17"/>
      <c r="BR1581" s="17"/>
      <c r="BS1581" s="17"/>
      <c r="BT1581" s="17"/>
      <c r="BU1581" s="17"/>
      <c r="BV1581" s="17"/>
      <c r="BW1581" s="17"/>
      <c r="BX1581" s="17"/>
    </row>
    <row r="1582" customHeight="1" spans="1:76">
      <c r="A1582" s="17"/>
      <c r="B1582" s="17"/>
      <c r="C1582" s="17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  <c r="AE1582" s="17"/>
      <c r="AF1582" s="17"/>
      <c r="AG1582" s="17"/>
      <c r="AH1582" s="17"/>
      <c r="AI1582" s="17"/>
      <c r="AJ1582" s="17"/>
      <c r="AK1582" s="17"/>
      <c r="AL1582" s="17"/>
      <c r="AM1582" s="17"/>
      <c r="AN1582" s="17"/>
      <c r="AO1582" s="17"/>
      <c r="AP1582" s="17"/>
      <c r="AQ1582" s="17"/>
      <c r="AR1582" s="17"/>
      <c r="AS1582" s="17"/>
      <c r="AT1582" s="17"/>
      <c r="AU1582" s="17"/>
      <c r="AV1582" s="17"/>
      <c r="AW1582" s="17"/>
      <c r="AX1582" s="17"/>
      <c r="AY1582" s="17"/>
      <c r="AZ1582" s="17"/>
      <c r="BA1582" s="17"/>
      <c r="BB1582" s="17"/>
      <c r="BC1582" s="17"/>
      <c r="BD1582" s="17"/>
      <c r="BE1582" s="17"/>
      <c r="BF1582" s="17"/>
      <c r="BG1582" s="17"/>
      <c r="BH1582" s="17"/>
      <c r="BI1582" s="17"/>
      <c r="BJ1582" s="17"/>
      <c r="BK1582" s="17"/>
      <c r="BL1582" s="17"/>
      <c r="BM1582" s="17"/>
      <c r="BN1582" s="17"/>
      <c r="BO1582" s="17"/>
      <c r="BP1582" s="17"/>
      <c r="BQ1582" s="17"/>
      <c r="BR1582" s="17"/>
      <c r="BS1582" s="17"/>
      <c r="BT1582" s="17"/>
      <c r="BU1582" s="17"/>
      <c r="BV1582" s="17"/>
      <c r="BW1582" s="17"/>
      <c r="BX1582" s="17"/>
    </row>
    <row r="1583" customHeight="1" spans="1:76">
      <c r="A1583" s="17"/>
      <c r="B1583" s="17"/>
      <c r="C1583" s="17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  <c r="AD1583" s="17"/>
      <c r="AE1583" s="17"/>
      <c r="AF1583" s="17"/>
      <c r="AG1583" s="17"/>
      <c r="AH1583" s="17"/>
      <c r="AI1583" s="17"/>
      <c r="AJ1583" s="17"/>
      <c r="AK1583" s="17"/>
      <c r="AL1583" s="17"/>
      <c r="AM1583" s="17"/>
      <c r="AN1583" s="17"/>
      <c r="AO1583" s="17"/>
      <c r="AP1583" s="17"/>
      <c r="AQ1583" s="17"/>
      <c r="AR1583" s="17"/>
      <c r="AS1583" s="17"/>
      <c r="AT1583" s="17"/>
      <c r="AU1583" s="17"/>
      <c r="AV1583" s="17"/>
      <c r="AW1583" s="17"/>
      <c r="AX1583" s="17"/>
      <c r="AY1583" s="17"/>
      <c r="AZ1583" s="17"/>
      <c r="BA1583" s="17"/>
      <c r="BB1583" s="17"/>
      <c r="BC1583" s="17"/>
      <c r="BD1583" s="17"/>
      <c r="BE1583" s="17"/>
      <c r="BF1583" s="17"/>
      <c r="BG1583" s="17"/>
      <c r="BH1583" s="17"/>
      <c r="BI1583" s="17"/>
      <c r="BJ1583" s="17"/>
      <c r="BK1583" s="17"/>
      <c r="BL1583" s="17"/>
      <c r="BM1583" s="17"/>
      <c r="BN1583" s="17"/>
      <c r="BO1583" s="17"/>
      <c r="BP1583" s="17"/>
      <c r="BQ1583" s="17"/>
      <c r="BR1583" s="17"/>
      <c r="BS1583" s="17"/>
      <c r="BT1583" s="17"/>
      <c r="BU1583" s="17"/>
      <c r="BV1583" s="17"/>
      <c r="BW1583" s="17"/>
      <c r="BX1583" s="17"/>
    </row>
    <row r="1584" customHeight="1" spans="1:76">
      <c r="A1584" s="17"/>
      <c r="B1584" s="17"/>
      <c r="C1584" s="17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/>
      <c r="AE1584" s="17"/>
      <c r="AF1584" s="17"/>
      <c r="AG1584" s="17"/>
      <c r="AH1584" s="17"/>
      <c r="AI1584" s="17"/>
      <c r="AJ1584" s="17"/>
      <c r="AK1584" s="17"/>
      <c r="AL1584" s="17"/>
      <c r="AM1584" s="17"/>
      <c r="AN1584" s="17"/>
      <c r="AO1584" s="17"/>
      <c r="AP1584" s="17"/>
      <c r="AQ1584" s="17"/>
      <c r="AR1584" s="17"/>
      <c r="AS1584" s="17"/>
      <c r="AT1584" s="17"/>
      <c r="AU1584" s="17"/>
      <c r="AV1584" s="17"/>
      <c r="AW1584" s="17"/>
      <c r="AX1584" s="17"/>
      <c r="AY1584" s="17"/>
      <c r="AZ1584" s="17"/>
      <c r="BA1584" s="17"/>
      <c r="BB1584" s="17"/>
      <c r="BC1584" s="17"/>
      <c r="BD1584" s="17"/>
      <c r="BE1584" s="17"/>
      <c r="BF1584" s="17"/>
      <c r="BG1584" s="17"/>
      <c r="BH1584" s="17"/>
      <c r="BI1584" s="17"/>
      <c r="BJ1584" s="17"/>
      <c r="BK1584" s="17"/>
      <c r="BL1584" s="17"/>
      <c r="BM1584" s="17"/>
      <c r="BN1584" s="17"/>
      <c r="BO1584" s="17"/>
      <c r="BP1584" s="17"/>
      <c r="BQ1584" s="17"/>
      <c r="BR1584" s="17"/>
      <c r="BS1584" s="17"/>
      <c r="BT1584" s="17"/>
      <c r="BU1584" s="17"/>
      <c r="BV1584" s="17"/>
      <c r="BW1584" s="17"/>
      <c r="BX1584" s="17"/>
    </row>
    <row r="1585" customHeight="1" spans="1:76">
      <c r="A1585" s="17"/>
      <c r="B1585" s="17"/>
      <c r="C1585" s="17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  <c r="AD1585" s="17"/>
      <c r="AE1585" s="17"/>
      <c r="AF1585" s="17"/>
      <c r="AG1585" s="17"/>
      <c r="AH1585" s="17"/>
      <c r="AI1585" s="17"/>
      <c r="AJ1585" s="17"/>
      <c r="AK1585" s="17"/>
      <c r="AL1585" s="17"/>
      <c r="AM1585" s="17"/>
      <c r="AN1585" s="17"/>
      <c r="AO1585" s="17"/>
      <c r="AP1585" s="17"/>
      <c r="AQ1585" s="17"/>
      <c r="AR1585" s="17"/>
      <c r="AS1585" s="17"/>
      <c r="AT1585" s="17"/>
      <c r="AU1585" s="17"/>
      <c r="AV1585" s="17"/>
      <c r="AW1585" s="17"/>
      <c r="AX1585" s="17"/>
      <c r="AY1585" s="17"/>
      <c r="AZ1585" s="17"/>
      <c r="BA1585" s="17"/>
      <c r="BB1585" s="17"/>
      <c r="BC1585" s="17"/>
      <c r="BD1585" s="17"/>
      <c r="BE1585" s="17"/>
      <c r="BF1585" s="17"/>
      <c r="BG1585" s="17"/>
      <c r="BH1585" s="17"/>
      <c r="BI1585" s="17"/>
      <c r="BJ1585" s="17"/>
      <c r="BK1585" s="17"/>
      <c r="BL1585" s="17"/>
      <c r="BM1585" s="17"/>
      <c r="BN1585" s="17"/>
      <c r="BO1585" s="17"/>
      <c r="BP1585" s="17"/>
      <c r="BQ1585" s="17"/>
      <c r="BR1585" s="17"/>
      <c r="BS1585" s="17"/>
      <c r="BT1585" s="17"/>
      <c r="BU1585" s="17"/>
      <c r="BV1585" s="17"/>
      <c r="BW1585" s="17"/>
      <c r="BX1585" s="17"/>
    </row>
    <row r="1586" customHeight="1" spans="1:76">
      <c r="A1586" s="17"/>
      <c r="B1586" s="17"/>
      <c r="C1586" s="17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  <c r="AE1586" s="17"/>
      <c r="AF1586" s="17"/>
      <c r="AG1586" s="17"/>
      <c r="AH1586" s="17"/>
      <c r="AI1586" s="17"/>
      <c r="AJ1586" s="17"/>
      <c r="AK1586" s="17"/>
      <c r="AL1586" s="17"/>
      <c r="AM1586" s="17"/>
      <c r="AN1586" s="17"/>
      <c r="AO1586" s="17"/>
      <c r="AP1586" s="17"/>
      <c r="AQ1586" s="17"/>
      <c r="AR1586" s="17"/>
      <c r="AS1586" s="17"/>
      <c r="AT1586" s="17"/>
      <c r="AU1586" s="17"/>
      <c r="AV1586" s="17"/>
      <c r="AW1586" s="17"/>
      <c r="AX1586" s="17"/>
      <c r="AY1586" s="17"/>
      <c r="AZ1586" s="17"/>
      <c r="BA1586" s="17"/>
      <c r="BB1586" s="17"/>
      <c r="BC1586" s="17"/>
      <c r="BD1586" s="17"/>
      <c r="BE1586" s="17"/>
      <c r="BF1586" s="17"/>
      <c r="BG1586" s="17"/>
      <c r="BH1586" s="17"/>
      <c r="BI1586" s="17"/>
      <c r="BJ1586" s="17"/>
      <c r="BK1586" s="17"/>
      <c r="BL1586" s="17"/>
      <c r="BM1586" s="17"/>
      <c r="BN1586" s="17"/>
      <c r="BO1586" s="17"/>
      <c r="BP1586" s="17"/>
      <c r="BQ1586" s="17"/>
      <c r="BR1586" s="17"/>
      <c r="BS1586" s="17"/>
      <c r="BT1586" s="17"/>
      <c r="BU1586" s="17"/>
      <c r="BV1586" s="17"/>
      <c r="BW1586" s="17"/>
      <c r="BX1586" s="17"/>
    </row>
    <row r="1587" customHeight="1" spans="1:76">
      <c r="A1587" s="17"/>
      <c r="B1587" s="17"/>
      <c r="C1587" s="17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  <c r="AE1587" s="17"/>
      <c r="AF1587" s="17"/>
      <c r="AG1587" s="17"/>
      <c r="AH1587" s="17"/>
      <c r="AI1587" s="17"/>
      <c r="AJ1587" s="17"/>
      <c r="AK1587" s="17"/>
      <c r="AL1587" s="17"/>
      <c r="AM1587" s="17"/>
      <c r="AN1587" s="17"/>
      <c r="AO1587" s="17"/>
      <c r="AP1587" s="17"/>
      <c r="AQ1587" s="17"/>
      <c r="AR1587" s="17"/>
      <c r="AS1587" s="17"/>
      <c r="AT1587" s="17"/>
      <c r="AU1587" s="17"/>
      <c r="AV1587" s="17"/>
      <c r="AW1587" s="17"/>
      <c r="AX1587" s="17"/>
      <c r="AY1587" s="17"/>
      <c r="AZ1587" s="17"/>
      <c r="BA1587" s="17"/>
      <c r="BB1587" s="17"/>
      <c r="BC1587" s="17"/>
      <c r="BD1587" s="17"/>
      <c r="BE1587" s="17"/>
      <c r="BF1587" s="17"/>
      <c r="BG1587" s="17"/>
      <c r="BH1587" s="17"/>
      <c r="BI1587" s="17"/>
      <c r="BJ1587" s="17"/>
      <c r="BK1587" s="17"/>
      <c r="BL1587" s="17"/>
      <c r="BM1587" s="17"/>
      <c r="BN1587" s="17"/>
      <c r="BO1587" s="17"/>
      <c r="BP1587" s="17"/>
      <c r="BQ1587" s="17"/>
      <c r="BR1587" s="17"/>
      <c r="BS1587" s="17"/>
      <c r="BT1587" s="17"/>
      <c r="BU1587" s="17"/>
      <c r="BV1587" s="17"/>
      <c r="BW1587" s="17"/>
      <c r="BX1587" s="17"/>
    </row>
    <row r="1588" customHeight="1" spans="1:76">
      <c r="A1588" s="17"/>
      <c r="B1588" s="17"/>
      <c r="C1588" s="17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  <c r="AD1588" s="17"/>
      <c r="AE1588" s="17"/>
      <c r="AF1588" s="17"/>
      <c r="AG1588" s="17"/>
      <c r="AH1588" s="17"/>
      <c r="AI1588" s="17"/>
      <c r="AJ1588" s="17"/>
      <c r="AK1588" s="17"/>
      <c r="AL1588" s="17"/>
      <c r="AM1588" s="17"/>
      <c r="AN1588" s="17"/>
      <c r="AO1588" s="17"/>
      <c r="AP1588" s="17"/>
      <c r="AQ1588" s="17"/>
      <c r="AR1588" s="17"/>
      <c r="AS1588" s="17"/>
      <c r="AT1588" s="17"/>
      <c r="AU1588" s="17"/>
      <c r="AV1588" s="17"/>
      <c r="AW1588" s="17"/>
      <c r="AX1588" s="17"/>
      <c r="AY1588" s="17"/>
      <c r="AZ1588" s="17"/>
      <c r="BA1588" s="17"/>
      <c r="BB1588" s="17"/>
      <c r="BC1588" s="17"/>
      <c r="BD1588" s="17"/>
      <c r="BE1588" s="17"/>
      <c r="BF1588" s="17"/>
      <c r="BG1588" s="17"/>
      <c r="BH1588" s="17"/>
      <c r="BI1588" s="17"/>
      <c r="BJ1588" s="17"/>
      <c r="BK1588" s="17"/>
      <c r="BL1588" s="17"/>
      <c r="BM1588" s="17"/>
      <c r="BN1588" s="17"/>
      <c r="BO1588" s="17"/>
      <c r="BP1588" s="17"/>
      <c r="BQ1588" s="17"/>
      <c r="BR1588" s="17"/>
      <c r="BS1588" s="17"/>
      <c r="BT1588" s="17"/>
      <c r="BU1588" s="17"/>
      <c r="BV1588" s="17"/>
      <c r="BW1588" s="17"/>
      <c r="BX1588" s="17"/>
    </row>
    <row r="1589" customHeight="1" spans="1:76">
      <c r="A1589" s="17"/>
      <c r="B1589" s="17"/>
      <c r="C1589" s="17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  <c r="AD1589" s="17"/>
      <c r="AE1589" s="17"/>
      <c r="AF1589" s="17"/>
      <c r="AG1589" s="17"/>
      <c r="AH1589" s="17"/>
      <c r="AI1589" s="17"/>
      <c r="AJ1589" s="17"/>
      <c r="AK1589" s="17"/>
      <c r="AL1589" s="17"/>
      <c r="AM1589" s="17"/>
      <c r="AN1589" s="17"/>
      <c r="AO1589" s="17"/>
      <c r="AP1589" s="17"/>
      <c r="AQ1589" s="17"/>
      <c r="AR1589" s="17"/>
      <c r="AS1589" s="17"/>
      <c r="AT1589" s="17"/>
      <c r="AU1589" s="17"/>
      <c r="AV1589" s="17"/>
      <c r="AW1589" s="17"/>
      <c r="AX1589" s="17"/>
      <c r="AY1589" s="17"/>
      <c r="AZ1589" s="17"/>
      <c r="BA1589" s="17"/>
      <c r="BB1589" s="17"/>
      <c r="BC1589" s="17"/>
      <c r="BD1589" s="17"/>
      <c r="BE1589" s="17"/>
      <c r="BF1589" s="17"/>
      <c r="BG1589" s="17"/>
      <c r="BH1589" s="17"/>
      <c r="BI1589" s="17"/>
      <c r="BJ1589" s="17"/>
      <c r="BK1589" s="17"/>
      <c r="BL1589" s="17"/>
      <c r="BM1589" s="17"/>
      <c r="BN1589" s="17"/>
      <c r="BO1589" s="17"/>
      <c r="BP1589" s="17"/>
      <c r="BQ1589" s="17"/>
      <c r="BR1589" s="17"/>
      <c r="BS1589" s="17"/>
      <c r="BT1589" s="17"/>
      <c r="BU1589" s="17"/>
      <c r="BV1589" s="17"/>
      <c r="BW1589" s="17"/>
      <c r="BX1589" s="17"/>
    </row>
    <row r="1590" customHeight="1" spans="1:76">
      <c r="A1590" s="17"/>
      <c r="B1590" s="17"/>
      <c r="C1590" s="17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  <c r="N1590" s="17"/>
      <c r="O1590" s="17"/>
      <c r="P1590" s="17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  <c r="AD1590" s="17"/>
      <c r="AE1590" s="17"/>
      <c r="AF1590" s="17"/>
      <c r="AG1590" s="17"/>
      <c r="AH1590" s="17"/>
      <c r="AI1590" s="17"/>
      <c r="AJ1590" s="17"/>
      <c r="AK1590" s="17"/>
      <c r="AL1590" s="17"/>
      <c r="AM1590" s="17"/>
      <c r="AN1590" s="17"/>
      <c r="AO1590" s="17"/>
      <c r="AP1590" s="17"/>
      <c r="AQ1590" s="17"/>
      <c r="AR1590" s="17"/>
      <c r="AS1590" s="17"/>
      <c r="AT1590" s="17"/>
      <c r="AU1590" s="17"/>
      <c r="AV1590" s="17"/>
      <c r="AW1590" s="17"/>
      <c r="AX1590" s="17"/>
      <c r="AY1590" s="17"/>
      <c r="AZ1590" s="17"/>
      <c r="BA1590" s="17"/>
      <c r="BB1590" s="17"/>
      <c r="BC1590" s="17"/>
      <c r="BD1590" s="17"/>
      <c r="BE1590" s="17"/>
      <c r="BF1590" s="17"/>
      <c r="BG1590" s="17"/>
      <c r="BH1590" s="17"/>
      <c r="BI1590" s="17"/>
      <c r="BJ1590" s="17"/>
      <c r="BK1590" s="17"/>
      <c r="BL1590" s="17"/>
      <c r="BM1590" s="17"/>
      <c r="BN1590" s="17"/>
      <c r="BO1590" s="17"/>
      <c r="BP1590" s="17"/>
      <c r="BQ1590" s="17"/>
      <c r="BR1590" s="17"/>
      <c r="BS1590" s="17"/>
      <c r="BT1590" s="17"/>
      <c r="BU1590" s="17"/>
      <c r="BV1590" s="17"/>
      <c r="BW1590" s="17"/>
      <c r="BX1590" s="17"/>
    </row>
    <row r="1591" customHeight="1" spans="1:76">
      <c r="A1591" s="17"/>
      <c r="B1591" s="17"/>
      <c r="C1591" s="17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  <c r="AE1591" s="17"/>
      <c r="AF1591" s="17"/>
      <c r="AG1591" s="17"/>
      <c r="AH1591" s="17"/>
      <c r="AI1591" s="17"/>
      <c r="AJ1591" s="17"/>
      <c r="AK1591" s="17"/>
      <c r="AL1591" s="17"/>
      <c r="AM1591" s="17"/>
      <c r="AN1591" s="17"/>
      <c r="AO1591" s="17"/>
      <c r="AP1591" s="17"/>
      <c r="AQ1591" s="17"/>
      <c r="AR1591" s="17"/>
      <c r="AS1591" s="17"/>
      <c r="AT1591" s="17"/>
      <c r="AU1591" s="17"/>
      <c r="AV1591" s="17"/>
      <c r="AW1591" s="17"/>
      <c r="AX1591" s="17"/>
      <c r="AY1591" s="17"/>
      <c r="AZ1591" s="17"/>
      <c r="BA1591" s="17"/>
      <c r="BB1591" s="17"/>
      <c r="BC1591" s="17"/>
      <c r="BD1591" s="17"/>
      <c r="BE1591" s="17"/>
      <c r="BF1591" s="17"/>
      <c r="BG1591" s="17"/>
      <c r="BH1591" s="17"/>
      <c r="BI1591" s="17"/>
      <c r="BJ1591" s="17"/>
      <c r="BK1591" s="17"/>
      <c r="BL1591" s="17"/>
      <c r="BM1591" s="17"/>
      <c r="BN1591" s="17"/>
      <c r="BO1591" s="17"/>
      <c r="BP1591" s="17"/>
      <c r="BQ1591" s="17"/>
      <c r="BR1591" s="17"/>
      <c r="BS1591" s="17"/>
      <c r="BT1591" s="17"/>
      <c r="BU1591" s="17"/>
      <c r="BV1591" s="17"/>
      <c r="BW1591" s="17"/>
      <c r="BX1591" s="17"/>
    </row>
    <row r="1592" customHeight="1" spans="1:76">
      <c r="A1592" s="17"/>
      <c r="B1592" s="17"/>
      <c r="C1592" s="17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  <c r="AD1592" s="17"/>
      <c r="AE1592" s="17"/>
      <c r="AF1592" s="17"/>
      <c r="AG1592" s="17"/>
      <c r="AH1592" s="17"/>
      <c r="AI1592" s="17"/>
      <c r="AJ1592" s="17"/>
      <c r="AK1592" s="17"/>
      <c r="AL1592" s="17"/>
      <c r="AM1592" s="17"/>
      <c r="AN1592" s="17"/>
      <c r="AO1592" s="17"/>
      <c r="AP1592" s="17"/>
      <c r="AQ1592" s="17"/>
      <c r="AR1592" s="17"/>
      <c r="AS1592" s="17"/>
      <c r="AT1592" s="17"/>
      <c r="AU1592" s="17"/>
      <c r="AV1592" s="17"/>
      <c r="AW1592" s="17"/>
      <c r="AX1592" s="17"/>
      <c r="AY1592" s="17"/>
      <c r="AZ1592" s="17"/>
      <c r="BA1592" s="17"/>
      <c r="BB1592" s="17"/>
      <c r="BC1592" s="17"/>
      <c r="BD1592" s="17"/>
      <c r="BE1592" s="17"/>
      <c r="BF1592" s="17"/>
      <c r="BG1592" s="17"/>
      <c r="BH1592" s="17"/>
      <c r="BI1592" s="17"/>
      <c r="BJ1592" s="17"/>
      <c r="BK1592" s="17"/>
      <c r="BL1592" s="17"/>
      <c r="BM1592" s="17"/>
      <c r="BN1592" s="17"/>
      <c r="BO1592" s="17"/>
      <c r="BP1592" s="17"/>
      <c r="BQ1592" s="17"/>
      <c r="BR1592" s="17"/>
      <c r="BS1592" s="17"/>
      <c r="BT1592" s="17"/>
      <c r="BU1592" s="17"/>
      <c r="BV1592" s="17"/>
      <c r="BW1592" s="17"/>
      <c r="BX1592" s="17"/>
    </row>
    <row r="1593" customHeight="1" spans="1:76">
      <c r="A1593" s="17"/>
      <c r="B1593" s="17"/>
      <c r="C1593" s="17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  <c r="AE1593" s="17"/>
      <c r="AF1593" s="17"/>
      <c r="AG1593" s="17"/>
      <c r="AH1593" s="17"/>
      <c r="AI1593" s="17"/>
      <c r="AJ1593" s="17"/>
      <c r="AK1593" s="17"/>
      <c r="AL1593" s="17"/>
      <c r="AM1593" s="17"/>
      <c r="AN1593" s="17"/>
      <c r="AO1593" s="17"/>
      <c r="AP1593" s="17"/>
      <c r="AQ1593" s="17"/>
      <c r="AR1593" s="17"/>
      <c r="AS1593" s="17"/>
      <c r="AT1593" s="17"/>
      <c r="AU1593" s="17"/>
      <c r="AV1593" s="17"/>
      <c r="AW1593" s="17"/>
      <c r="AX1593" s="17"/>
      <c r="AY1593" s="17"/>
      <c r="AZ1593" s="17"/>
      <c r="BA1593" s="17"/>
      <c r="BB1593" s="17"/>
      <c r="BC1593" s="17"/>
      <c r="BD1593" s="17"/>
      <c r="BE1593" s="17"/>
      <c r="BF1593" s="17"/>
      <c r="BG1593" s="17"/>
      <c r="BH1593" s="17"/>
      <c r="BI1593" s="17"/>
      <c r="BJ1593" s="17"/>
      <c r="BK1593" s="17"/>
      <c r="BL1593" s="17"/>
      <c r="BM1593" s="17"/>
      <c r="BN1593" s="17"/>
      <c r="BO1593" s="17"/>
      <c r="BP1593" s="17"/>
      <c r="BQ1593" s="17"/>
      <c r="BR1593" s="17"/>
      <c r="BS1593" s="17"/>
      <c r="BT1593" s="17"/>
      <c r="BU1593" s="17"/>
      <c r="BV1593" s="17"/>
      <c r="BW1593" s="17"/>
      <c r="BX1593" s="17"/>
    </row>
    <row r="1594" customHeight="1" spans="1:76">
      <c r="A1594" s="17"/>
      <c r="B1594" s="17"/>
      <c r="C1594" s="17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  <c r="AD1594" s="17"/>
      <c r="AE1594" s="17"/>
      <c r="AF1594" s="17"/>
      <c r="AG1594" s="17"/>
      <c r="AH1594" s="17"/>
      <c r="AI1594" s="17"/>
      <c r="AJ1594" s="17"/>
      <c r="AK1594" s="17"/>
      <c r="AL1594" s="17"/>
      <c r="AM1594" s="17"/>
      <c r="AN1594" s="17"/>
      <c r="AO1594" s="17"/>
      <c r="AP1594" s="17"/>
      <c r="AQ1594" s="17"/>
      <c r="AR1594" s="17"/>
      <c r="AS1594" s="17"/>
      <c r="AT1594" s="17"/>
      <c r="AU1594" s="17"/>
      <c r="AV1594" s="17"/>
      <c r="AW1594" s="17"/>
      <c r="AX1594" s="17"/>
      <c r="AY1594" s="17"/>
      <c r="AZ1594" s="17"/>
      <c r="BA1594" s="17"/>
      <c r="BB1594" s="17"/>
      <c r="BC1594" s="17"/>
      <c r="BD1594" s="17"/>
      <c r="BE1594" s="17"/>
      <c r="BF1594" s="17"/>
      <c r="BG1594" s="17"/>
      <c r="BH1594" s="17"/>
      <c r="BI1594" s="17"/>
      <c r="BJ1594" s="17"/>
      <c r="BK1594" s="17"/>
      <c r="BL1594" s="17"/>
      <c r="BM1594" s="17"/>
      <c r="BN1594" s="17"/>
      <c r="BO1594" s="17"/>
      <c r="BP1594" s="17"/>
      <c r="BQ1594" s="17"/>
      <c r="BR1594" s="17"/>
      <c r="BS1594" s="17"/>
      <c r="BT1594" s="17"/>
      <c r="BU1594" s="17"/>
      <c r="BV1594" s="17"/>
      <c r="BW1594" s="17"/>
      <c r="BX1594" s="17"/>
    </row>
    <row r="1595" customHeight="1" spans="1:76">
      <c r="A1595" s="17"/>
      <c r="B1595" s="17"/>
      <c r="C1595" s="17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17"/>
      <c r="AF1595" s="17"/>
      <c r="AG1595" s="17"/>
      <c r="AH1595" s="17"/>
      <c r="AI1595" s="17"/>
      <c r="AJ1595" s="17"/>
      <c r="AK1595" s="17"/>
      <c r="AL1595" s="17"/>
      <c r="AM1595" s="17"/>
      <c r="AN1595" s="17"/>
      <c r="AO1595" s="17"/>
      <c r="AP1595" s="17"/>
      <c r="AQ1595" s="17"/>
      <c r="AR1595" s="17"/>
      <c r="AS1595" s="17"/>
      <c r="AT1595" s="17"/>
      <c r="AU1595" s="17"/>
      <c r="AV1595" s="17"/>
      <c r="AW1595" s="17"/>
      <c r="AX1595" s="17"/>
      <c r="AY1595" s="17"/>
      <c r="AZ1595" s="17"/>
      <c r="BA1595" s="17"/>
      <c r="BB1595" s="17"/>
      <c r="BC1595" s="17"/>
      <c r="BD1595" s="17"/>
      <c r="BE1595" s="17"/>
      <c r="BF1595" s="17"/>
      <c r="BG1595" s="17"/>
      <c r="BH1595" s="17"/>
      <c r="BI1595" s="17"/>
      <c r="BJ1595" s="17"/>
      <c r="BK1595" s="17"/>
      <c r="BL1595" s="17"/>
      <c r="BM1595" s="17"/>
      <c r="BN1595" s="17"/>
      <c r="BO1595" s="17"/>
      <c r="BP1595" s="17"/>
      <c r="BQ1595" s="17"/>
      <c r="BR1595" s="17"/>
      <c r="BS1595" s="17"/>
      <c r="BT1595" s="17"/>
      <c r="BU1595" s="17"/>
      <c r="BV1595" s="17"/>
      <c r="BW1595" s="17"/>
      <c r="BX1595" s="17"/>
    </row>
    <row r="1596" customHeight="1" spans="1:76">
      <c r="A1596" s="17"/>
      <c r="B1596" s="17"/>
      <c r="C1596" s="17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  <c r="N1596" s="17"/>
      <c r="O1596" s="17"/>
      <c r="P1596" s="17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  <c r="AE1596" s="17"/>
      <c r="AF1596" s="17"/>
      <c r="AG1596" s="17"/>
      <c r="AH1596" s="17"/>
      <c r="AI1596" s="17"/>
      <c r="AJ1596" s="17"/>
      <c r="AK1596" s="17"/>
      <c r="AL1596" s="17"/>
      <c r="AM1596" s="17"/>
      <c r="AN1596" s="17"/>
      <c r="AO1596" s="17"/>
      <c r="AP1596" s="17"/>
      <c r="AQ1596" s="17"/>
      <c r="AR1596" s="17"/>
      <c r="AS1596" s="17"/>
      <c r="AT1596" s="17"/>
      <c r="AU1596" s="17"/>
      <c r="AV1596" s="17"/>
      <c r="AW1596" s="17"/>
      <c r="AX1596" s="17"/>
      <c r="AY1596" s="17"/>
      <c r="AZ1596" s="17"/>
      <c r="BA1596" s="17"/>
      <c r="BB1596" s="17"/>
      <c r="BC1596" s="17"/>
      <c r="BD1596" s="17"/>
      <c r="BE1596" s="17"/>
      <c r="BF1596" s="17"/>
      <c r="BG1596" s="17"/>
      <c r="BH1596" s="17"/>
      <c r="BI1596" s="17"/>
      <c r="BJ1596" s="17"/>
      <c r="BK1596" s="17"/>
      <c r="BL1596" s="17"/>
      <c r="BM1596" s="17"/>
      <c r="BN1596" s="17"/>
      <c r="BO1596" s="17"/>
      <c r="BP1596" s="17"/>
      <c r="BQ1596" s="17"/>
      <c r="BR1596" s="17"/>
      <c r="BS1596" s="17"/>
      <c r="BT1596" s="17"/>
      <c r="BU1596" s="17"/>
      <c r="BV1596" s="17"/>
      <c r="BW1596" s="17"/>
      <c r="BX1596" s="17"/>
    </row>
    <row r="1597" customHeight="1" spans="1:76">
      <c r="A1597" s="17"/>
      <c r="B1597" s="17"/>
      <c r="C1597" s="17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  <c r="AE1597" s="17"/>
      <c r="AF1597" s="17"/>
      <c r="AG1597" s="17"/>
      <c r="AH1597" s="17"/>
      <c r="AI1597" s="17"/>
      <c r="AJ1597" s="17"/>
      <c r="AK1597" s="17"/>
      <c r="AL1597" s="17"/>
      <c r="AM1597" s="17"/>
      <c r="AN1597" s="17"/>
      <c r="AO1597" s="17"/>
      <c r="AP1597" s="17"/>
      <c r="AQ1597" s="17"/>
      <c r="AR1597" s="17"/>
      <c r="AS1597" s="17"/>
      <c r="AT1597" s="17"/>
      <c r="AU1597" s="17"/>
      <c r="AV1597" s="17"/>
      <c r="AW1597" s="17"/>
      <c r="AX1597" s="17"/>
      <c r="AY1597" s="17"/>
      <c r="AZ1597" s="17"/>
      <c r="BA1597" s="17"/>
      <c r="BB1597" s="17"/>
      <c r="BC1597" s="17"/>
      <c r="BD1597" s="17"/>
      <c r="BE1597" s="17"/>
      <c r="BF1597" s="17"/>
      <c r="BG1597" s="17"/>
      <c r="BH1597" s="17"/>
      <c r="BI1597" s="17"/>
      <c r="BJ1597" s="17"/>
      <c r="BK1597" s="17"/>
      <c r="BL1597" s="17"/>
      <c r="BM1597" s="17"/>
      <c r="BN1597" s="17"/>
      <c r="BO1597" s="17"/>
      <c r="BP1597" s="17"/>
      <c r="BQ1597" s="17"/>
      <c r="BR1597" s="17"/>
      <c r="BS1597" s="17"/>
      <c r="BT1597" s="17"/>
      <c r="BU1597" s="17"/>
      <c r="BV1597" s="17"/>
      <c r="BW1597" s="17"/>
      <c r="BX1597" s="17"/>
    </row>
    <row r="1598" customHeight="1" spans="1:76">
      <c r="A1598" s="17"/>
      <c r="B1598" s="17"/>
      <c r="C1598" s="17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  <c r="AE1598" s="17"/>
      <c r="AF1598" s="17"/>
      <c r="AG1598" s="17"/>
      <c r="AH1598" s="17"/>
      <c r="AI1598" s="17"/>
      <c r="AJ1598" s="17"/>
      <c r="AK1598" s="17"/>
      <c r="AL1598" s="17"/>
      <c r="AM1598" s="17"/>
      <c r="AN1598" s="17"/>
      <c r="AO1598" s="17"/>
      <c r="AP1598" s="17"/>
      <c r="AQ1598" s="17"/>
      <c r="AR1598" s="17"/>
      <c r="AS1598" s="17"/>
      <c r="AT1598" s="17"/>
      <c r="AU1598" s="17"/>
      <c r="AV1598" s="17"/>
      <c r="AW1598" s="17"/>
      <c r="AX1598" s="17"/>
      <c r="AY1598" s="17"/>
      <c r="AZ1598" s="17"/>
      <c r="BA1598" s="17"/>
      <c r="BB1598" s="17"/>
      <c r="BC1598" s="17"/>
      <c r="BD1598" s="17"/>
      <c r="BE1598" s="17"/>
      <c r="BF1598" s="17"/>
      <c r="BG1598" s="17"/>
      <c r="BH1598" s="17"/>
      <c r="BI1598" s="17"/>
      <c r="BJ1598" s="17"/>
      <c r="BK1598" s="17"/>
      <c r="BL1598" s="17"/>
      <c r="BM1598" s="17"/>
      <c r="BN1598" s="17"/>
      <c r="BO1598" s="17"/>
      <c r="BP1598" s="17"/>
      <c r="BQ1598" s="17"/>
      <c r="BR1598" s="17"/>
      <c r="BS1598" s="17"/>
      <c r="BT1598" s="17"/>
      <c r="BU1598" s="17"/>
      <c r="BV1598" s="17"/>
      <c r="BW1598" s="17"/>
      <c r="BX1598" s="17"/>
    </row>
    <row r="1599" customHeight="1" spans="1:76">
      <c r="A1599" s="17"/>
      <c r="B1599" s="17"/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17"/>
      <c r="AF1599" s="17"/>
      <c r="AG1599" s="17"/>
      <c r="AH1599" s="17"/>
      <c r="AI1599" s="17"/>
      <c r="AJ1599" s="17"/>
      <c r="AK1599" s="17"/>
      <c r="AL1599" s="17"/>
      <c r="AM1599" s="17"/>
      <c r="AN1599" s="17"/>
      <c r="AO1599" s="17"/>
      <c r="AP1599" s="17"/>
      <c r="AQ1599" s="17"/>
      <c r="AR1599" s="17"/>
      <c r="AS1599" s="17"/>
      <c r="AT1599" s="17"/>
      <c r="AU1599" s="17"/>
      <c r="AV1599" s="17"/>
      <c r="AW1599" s="17"/>
      <c r="AX1599" s="17"/>
      <c r="AY1599" s="17"/>
      <c r="AZ1599" s="17"/>
      <c r="BA1599" s="17"/>
      <c r="BB1599" s="17"/>
      <c r="BC1599" s="17"/>
      <c r="BD1599" s="17"/>
      <c r="BE1599" s="17"/>
      <c r="BF1599" s="17"/>
      <c r="BG1599" s="17"/>
      <c r="BH1599" s="17"/>
      <c r="BI1599" s="17"/>
      <c r="BJ1599" s="17"/>
      <c r="BK1599" s="17"/>
      <c r="BL1599" s="17"/>
      <c r="BM1599" s="17"/>
      <c r="BN1599" s="17"/>
      <c r="BO1599" s="17"/>
      <c r="BP1599" s="17"/>
      <c r="BQ1599" s="17"/>
      <c r="BR1599" s="17"/>
      <c r="BS1599" s="17"/>
      <c r="BT1599" s="17"/>
      <c r="BU1599" s="17"/>
      <c r="BV1599" s="17"/>
      <c r="BW1599" s="17"/>
      <c r="BX1599" s="17"/>
    </row>
    <row r="1600" customHeight="1" spans="1:76">
      <c r="A1600" s="17"/>
      <c r="B1600" s="17"/>
      <c r="C1600" s="17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  <c r="AE1600" s="17"/>
      <c r="AF1600" s="17"/>
      <c r="AG1600" s="17"/>
      <c r="AH1600" s="17"/>
      <c r="AI1600" s="17"/>
      <c r="AJ1600" s="17"/>
      <c r="AK1600" s="17"/>
      <c r="AL1600" s="17"/>
      <c r="AM1600" s="17"/>
      <c r="AN1600" s="17"/>
      <c r="AO1600" s="17"/>
      <c r="AP1600" s="17"/>
      <c r="AQ1600" s="17"/>
      <c r="AR1600" s="17"/>
      <c r="AS1600" s="17"/>
      <c r="AT1600" s="17"/>
      <c r="AU1600" s="17"/>
      <c r="AV1600" s="17"/>
      <c r="AW1600" s="17"/>
      <c r="AX1600" s="17"/>
      <c r="AY1600" s="17"/>
      <c r="AZ1600" s="17"/>
      <c r="BA1600" s="17"/>
      <c r="BB1600" s="17"/>
      <c r="BC1600" s="17"/>
      <c r="BD1600" s="17"/>
      <c r="BE1600" s="17"/>
      <c r="BF1600" s="17"/>
      <c r="BG1600" s="17"/>
      <c r="BH1600" s="17"/>
      <c r="BI1600" s="17"/>
      <c r="BJ1600" s="17"/>
      <c r="BK1600" s="17"/>
      <c r="BL1600" s="17"/>
      <c r="BM1600" s="17"/>
      <c r="BN1600" s="17"/>
      <c r="BO1600" s="17"/>
      <c r="BP1600" s="17"/>
      <c r="BQ1600" s="17"/>
      <c r="BR1600" s="17"/>
      <c r="BS1600" s="17"/>
      <c r="BT1600" s="17"/>
      <c r="BU1600" s="17"/>
      <c r="BV1600" s="17"/>
      <c r="BW1600" s="17"/>
      <c r="BX1600" s="17"/>
    </row>
  </sheetData>
  <autoFilter xmlns:etc="http://www.wps.cn/officeDocument/2017/etCustomData" ref="F58" etc:filterBottomFollowUsedRange="0">
    <extLst/>
  </autoFilter>
  <mergeCells count="36"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A1:A3"/>
    <mergeCell ref="B1:B3"/>
    <mergeCell ref="C1:C3"/>
    <mergeCell ref="D1:D3"/>
    <mergeCell ref="E1:E3"/>
    <mergeCell ref="F1:F3"/>
  </mergeCells>
  <conditionalFormatting sqref="G4:BN51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P50"/>
  <sheetViews>
    <sheetView workbookViewId="0">
      <selection activeCell="A1" sqref="A1:A2"/>
    </sheetView>
  </sheetViews>
  <sheetFormatPr defaultColWidth="12.6272727272727" defaultRowHeight="15.75" customHeight="1"/>
  <cols>
    <col min="1" max="1" width="8.38181818181818" customWidth="1"/>
    <col min="2" max="2" width="18.7545454545455" customWidth="1"/>
    <col min="3" max="3" width="7.12727272727273" customWidth="1"/>
    <col min="4" max="4" width="9" customWidth="1"/>
    <col min="5" max="6" width="4.75454545454545" customWidth="1"/>
    <col min="7" max="7" width="9.75454545454545" customWidth="1"/>
    <col min="9" max="9" width="9.5" customWidth="1"/>
    <col min="11" max="11" width="9.5" customWidth="1"/>
    <col min="13" max="13" width="9.5" customWidth="1"/>
    <col min="15" max="15" width="9.5" customWidth="1"/>
    <col min="17" max="17" width="9.5" customWidth="1"/>
    <col min="19" max="19" width="9.5" customWidth="1"/>
    <col min="21" max="21" width="9.75454545454545" customWidth="1"/>
    <col min="23" max="23" width="9.5" customWidth="1"/>
    <col min="25" max="25" width="9.5" customWidth="1"/>
    <col min="27" max="27" width="9.38181818181818" customWidth="1"/>
    <col min="29" max="29" width="9.5" customWidth="1"/>
    <col min="31" max="31" width="9.5" customWidth="1"/>
    <col min="33" max="33" width="9.5" customWidth="1"/>
    <col min="35" max="35" width="9.75454545454545" customWidth="1"/>
    <col min="37" max="37" width="9.5" customWidth="1"/>
    <col min="39" max="39" width="9.5" customWidth="1"/>
    <col min="41" max="41" width="9.5" customWidth="1"/>
    <col min="43" max="43" width="9.5" customWidth="1"/>
    <col min="45" max="45" width="9.5" customWidth="1"/>
    <col min="47" max="47" width="9.5" customWidth="1"/>
    <col min="49" max="49" width="9.75454545454545" customWidth="1"/>
    <col min="51" max="51" width="9.5" customWidth="1"/>
    <col min="53" max="53" width="9.5" customWidth="1"/>
    <col min="55" max="55" width="9.5" customWidth="1"/>
    <col min="57" max="57" width="9.5" customWidth="1"/>
    <col min="59" max="59" width="9.5" customWidth="1"/>
    <col min="61" max="61" width="9.5" customWidth="1"/>
    <col min="63" max="63" width="9.75454545454545" customWidth="1"/>
    <col min="65" max="65" width="9.5" customWidth="1"/>
    <col min="67" max="67" width="9.5" customWidth="1"/>
  </cols>
  <sheetData>
    <row r="1" customHeight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>
        <v>45658</v>
      </c>
      <c r="H1" s="4">
        <f t="shared" ref="H1:BP1" si="0">G1+1</f>
        <v>45659</v>
      </c>
      <c r="I1" s="4">
        <f t="shared" si="0"/>
        <v>45660</v>
      </c>
      <c r="J1" s="4">
        <f t="shared" si="0"/>
        <v>45661</v>
      </c>
      <c r="K1" s="4">
        <f t="shared" si="0"/>
        <v>45662</v>
      </c>
      <c r="L1" s="4">
        <f t="shared" si="0"/>
        <v>45663</v>
      </c>
      <c r="M1" s="4">
        <f t="shared" si="0"/>
        <v>45664</v>
      </c>
      <c r="N1" s="4">
        <f t="shared" si="0"/>
        <v>45665</v>
      </c>
      <c r="O1" s="4">
        <f t="shared" si="0"/>
        <v>45666</v>
      </c>
      <c r="P1" s="4">
        <f t="shared" si="0"/>
        <v>45667</v>
      </c>
      <c r="Q1" s="4">
        <f t="shared" si="0"/>
        <v>45668</v>
      </c>
      <c r="R1" s="4">
        <f t="shared" si="0"/>
        <v>45669</v>
      </c>
      <c r="S1" s="4">
        <f t="shared" si="0"/>
        <v>45670</v>
      </c>
      <c r="T1" s="4">
        <f t="shared" si="0"/>
        <v>45671</v>
      </c>
      <c r="U1" s="4">
        <f t="shared" si="0"/>
        <v>45672</v>
      </c>
      <c r="V1" s="4">
        <f t="shared" si="0"/>
        <v>45673</v>
      </c>
      <c r="W1" s="4">
        <f t="shared" si="0"/>
        <v>45674</v>
      </c>
      <c r="X1" s="4">
        <f t="shared" si="0"/>
        <v>45675</v>
      </c>
      <c r="Y1" s="4">
        <f t="shared" si="0"/>
        <v>45676</v>
      </c>
      <c r="Z1" s="4">
        <f t="shared" si="0"/>
        <v>45677</v>
      </c>
      <c r="AA1" s="4">
        <f t="shared" si="0"/>
        <v>45678</v>
      </c>
      <c r="AB1" s="4">
        <f t="shared" si="0"/>
        <v>45679</v>
      </c>
      <c r="AC1" s="4">
        <f t="shared" si="0"/>
        <v>45680</v>
      </c>
      <c r="AD1" s="4">
        <f t="shared" si="0"/>
        <v>45681</v>
      </c>
      <c r="AE1" s="4">
        <f t="shared" si="0"/>
        <v>45682</v>
      </c>
      <c r="AF1" s="4">
        <f t="shared" si="0"/>
        <v>45683</v>
      </c>
      <c r="AG1" s="4">
        <f t="shared" si="0"/>
        <v>45684</v>
      </c>
      <c r="AH1" s="4">
        <f t="shared" si="0"/>
        <v>45685</v>
      </c>
      <c r="AI1" s="4">
        <f t="shared" si="0"/>
        <v>45686</v>
      </c>
      <c r="AJ1" s="4">
        <f t="shared" si="0"/>
        <v>45687</v>
      </c>
      <c r="AK1" s="4">
        <f t="shared" si="0"/>
        <v>45688</v>
      </c>
      <c r="AL1" s="4">
        <f t="shared" si="0"/>
        <v>45689</v>
      </c>
      <c r="AM1" s="4">
        <f t="shared" si="0"/>
        <v>45690</v>
      </c>
      <c r="AN1" s="4">
        <f t="shared" si="0"/>
        <v>45691</v>
      </c>
      <c r="AO1" s="4">
        <f t="shared" si="0"/>
        <v>45692</v>
      </c>
      <c r="AP1" s="4">
        <f t="shared" si="0"/>
        <v>45693</v>
      </c>
      <c r="AQ1" s="4">
        <f t="shared" si="0"/>
        <v>45694</v>
      </c>
      <c r="AR1" s="4">
        <f t="shared" si="0"/>
        <v>45695</v>
      </c>
      <c r="AS1" s="4">
        <f t="shared" si="0"/>
        <v>45696</v>
      </c>
      <c r="AT1" s="4">
        <f t="shared" si="0"/>
        <v>45697</v>
      </c>
      <c r="AU1" s="4">
        <f t="shared" si="0"/>
        <v>45698</v>
      </c>
      <c r="AV1" s="4">
        <f t="shared" si="0"/>
        <v>45699</v>
      </c>
      <c r="AW1" s="4">
        <f t="shared" si="0"/>
        <v>45700</v>
      </c>
      <c r="AX1" s="4">
        <f t="shared" si="0"/>
        <v>45701</v>
      </c>
      <c r="AY1" s="4">
        <f t="shared" si="0"/>
        <v>45702</v>
      </c>
      <c r="AZ1" s="4">
        <f t="shared" si="0"/>
        <v>45703</v>
      </c>
      <c r="BA1" s="4">
        <f t="shared" si="0"/>
        <v>45704</v>
      </c>
      <c r="BB1" s="4">
        <f t="shared" si="0"/>
        <v>45705</v>
      </c>
      <c r="BC1" s="4">
        <f t="shared" si="0"/>
        <v>45706</v>
      </c>
      <c r="BD1" s="4">
        <f t="shared" si="0"/>
        <v>45707</v>
      </c>
      <c r="BE1" s="4">
        <f t="shared" si="0"/>
        <v>45708</v>
      </c>
      <c r="BF1" s="4">
        <f t="shared" si="0"/>
        <v>45709</v>
      </c>
      <c r="BG1" s="4">
        <f t="shared" si="0"/>
        <v>45710</v>
      </c>
      <c r="BH1" s="4">
        <f t="shared" si="0"/>
        <v>45711</v>
      </c>
      <c r="BI1" s="4">
        <f t="shared" si="0"/>
        <v>45712</v>
      </c>
      <c r="BJ1" s="4">
        <f t="shared" si="0"/>
        <v>45713</v>
      </c>
      <c r="BK1" s="4">
        <f t="shared" si="0"/>
        <v>45714</v>
      </c>
      <c r="BL1" s="4">
        <f t="shared" si="0"/>
        <v>45715</v>
      </c>
      <c r="BM1" s="4">
        <f t="shared" si="0"/>
        <v>45716</v>
      </c>
      <c r="BN1" s="4">
        <f t="shared" si="0"/>
        <v>45717</v>
      </c>
      <c r="BO1" s="4">
        <f t="shared" si="0"/>
        <v>45718</v>
      </c>
      <c r="BP1" s="4">
        <f t="shared" si="0"/>
        <v>45719</v>
      </c>
    </row>
    <row r="2" customHeight="1" spans="1:68">
      <c r="A2" s="5"/>
      <c r="B2" s="5"/>
      <c r="C2" s="5"/>
      <c r="D2" s="5"/>
      <c r="E2" s="5"/>
      <c r="F2" s="5"/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6</v>
      </c>
      <c r="M2" s="6" t="s">
        <v>7</v>
      </c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6</v>
      </c>
      <c r="T2" s="6" t="s">
        <v>7</v>
      </c>
      <c r="U2" s="6" t="s">
        <v>8</v>
      </c>
      <c r="V2" s="6" t="s">
        <v>9</v>
      </c>
      <c r="W2" s="6" t="s">
        <v>10</v>
      </c>
      <c r="X2" s="6" t="s">
        <v>11</v>
      </c>
      <c r="Y2" s="6" t="s">
        <v>12</v>
      </c>
      <c r="Z2" s="6" t="s">
        <v>6</v>
      </c>
      <c r="AA2" s="6" t="s">
        <v>7</v>
      </c>
      <c r="AB2" s="6" t="s">
        <v>8</v>
      </c>
      <c r="AC2" s="6" t="s">
        <v>9</v>
      </c>
      <c r="AD2" s="6" t="s">
        <v>10</v>
      </c>
      <c r="AE2" s="6" t="s">
        <v>11</v>
      </c>
      <c r="AF2" s="6" t="s">
        <v>12</v>
      </c>
      <c r="AG2" s="6" t="s">
        <v>6</v>
      </c>
      <c r="AH2" s="6" t="s">
        <v>7</v>
      </c>
      <c r="AI2" s="6" t="s">
        <v>8</v>
      </c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3"/>
    </row>
    <row r="3" customHeight="1" spans="1:68">
      <c r="A3" s="7">
        <v>10320410</v>
      </c>
      <c r="B3" s="8" t="s">
        <v>58</v>
      </c>
      <c r="C3" s="7" t="s">
        <v>20</v>
      </c>
      <c r="D3" s="7" t="s">
        <v>21</v>
      </c>
      <c r="E3" s="8" t="s">
        <v>22</v>
      </c>
      <c r="F3" s="9">
        <v>3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</row>
    <row r="4" customHeight="1" spans="1:68">
      <c r="A4" s="7">
        <v>10320415</v>
      </c>
      <c r="B4" s="8" t="s">
        <v>63</v>
      </c>
      <c r="C4" s="7" t="s">
        <v>20</v>
      </c>
      <c r="D4" s="7" t="s">
        <v>21</v>
      </c>
      <c r="E4" s="8" t="s">
        <v>22</v>
      </c>
      <c r="F4" s="9">
        <v>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</row>
    <row r="5" customHeight="1" spans="1:68">
      <c r="A5" s="7">
        <v>10317522</v>
      </c>
      <c r="B5" s="8" t="s">
        <v>31</v>
      </c>
      <c r="C5" s="7" t="s">
        <v>20</v>
      </c>
      <c r="D5" s="7" t="s">
        <v>21</v>
      </c>
      <c r="E5" s="8" t="s">
        <v>22</v>
      </c>
      <c r="F5" s="9">
        <v>2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</row>
    <row r="6" customHeight="1" spans="1:68">
      <c r="A6" s="7">
        <v>10316549</v>
      </c>
      <c r="B6" s="8" t="s">
        <v>19</v>
      </c>
      <c r="C6" s="7" t="s">
        <v>20</v>
      </c>
      <c r="D6" s="7" t="s">
        <v>86</v>
      </c>
      <c r="E6" s="8" t="s">
        <v>22</v>
      </c>
      <c r="F6" s="9">
        <v>1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</row>
    <row r="7" customHeight="1" spans="1:68">
      <c r="A7" s="7">
        <v>10320413</v>
      </c>
      <c r="B7" s="8" t="s">
        <v>60</v>
      </c>
      <c r="C7" s="7" t="s">
        <v>20</v>
      </c>
      <c r="D7" s="7" t="s">
        <v>21</v>
      </c>
      <c r="E7" s="8" t="s">
        <v>22</v>
      </c>
      <c r="F7" s="9">
        <v>3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</row>
    <row r="8" customHeight="1" spans="1:68">
      <c r="A8" s="7">
        <v>10320408</v>
      </c>
      <c r="B8" s="8" t="s">
        <v>56</v>
      </c>
      <c r="C8" s="7" t="s">
        <v>20</v>
      </c>
      <c r="D8" s="7" t="s">
        <v>21</v>
      </c>
      <c r="E8" s="8" t="s">
        <v>22</v>
      </c>
      <c r="F8" s="9">
        <v>3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</row>
    <row r="9" customHeight="1" spans="1:68">
      <c r="A9" s="7">
        <v>10317147</v>
      </c>
      <c r="B9" s="8" t="s">
        <v>24</v>
      </c>
      <c r="C9" s="7" t="s">
        <v>20</v>
      </c>
      <c r="D9" s="7" t="s">
        <v>21</v>
      </c>
      <c r="E9" s="8" t="s">
        <v>22</v>
      </c>
      <c r="F9" s="9">
        <v>1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</row>
    <row r="10" customHeight="1" spans="1:68">
      <c r="A10" s="7">
        <v>10272259</v>
      </c>
      <c r="B10" s="8" t="s">
        <v>32</v>
      </c>
      <c r="C10" s="7" t="s">
        <v>20</v>
      </c>
      <c r="D10" s="7" t="s">
        <v>21</v>
      </c>
      <c r="E10" s="8" t="s">
        <v>22</v>
      </c>
      <c r="F10" s="9">
        <v>2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</row>
    <row r="11" customHeight="1" spans="1:68">
      <c r="A11" s="7">
        <v>10320412</v>
      </c>
      <c r="B11" s="8" t="s">
        <v>59</v>
      </c>
      <c r="C11" s="7" t="s">
        <v>20</v>
      </c>
      <c r="D11" s="7" t="s">
        <v>21</v>
      </c>
      <c r="E11" s="8" t="s">
        <v>22</v>
      </c>
      <c r="F11" s="9">
        <v>3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</row>
    <row r="12" customHeight="1" spans="1:68">
      <c r="A12" s="7">
        <v>10320418</v>
      </c>
      <c r="B12" s="8" t="s">
        <v>68</v>
      </c>
      <c r="C12" s="7" t="s">
        <v>20</v>
      </c>
      <c r="D12" s="7" t="s">
        <v>21</v>
      </c>
      <c r="E12" s="8" t="s">
        <v>22</v>
      </c>
      <c r="F12" s="9">
        <v>3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</row>
    <row r="13" customHeight="1" spans="1:68">
      <c r="A13" s="7">
        <v>10316618</v>
      </c>
      <c r="B13" s="8" t="s">
        <v>33</v>
      </c>
      <c r="C13" s="7" t="s">
        <v>20</v>
      </c>
      <c r="D13" s="7" t="s">
        <v>86</v>
      </c>
      <c r="E13" s="8" t="s">
        <v>22</v>
      </c>
      <c r="F13" s="9">
        <v>1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</row>
    <row r="14" customHeight="1" spans="1:68">
      <c r="A14" s="7">
        <v>10250963</v>
      </c>
      <c r="B14" s="8" t="s">
        <v>25</v>
      </c>
      <c r="C14" s="7" t="s">
        <v>20</v>
      </c>
      <c r="D14" s="7" t="s">
        <v>21</v>
      </c>
      <c r="E14" s="8" t="s">
        <v>22</v>
      </c>
      <c r="F14" s="9">
        <v>1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</row>
    <row r="15" customHeight="1" spans="1:68">
      <c r="A15" s="7">
        <v>10295555</v>
      </c>
      <c r="B15" s="8" t="s">
        <v>34</v>
      </c>
      <c r="C15" s="7" t="s">
        <v>20</v>
      </c>
      <c r="D15" s="7" t="s">
        <v>21</v>
      </c>
      <c r="E15" s="8" t="s">
        <v>35</v>
      </c>
      <c r="F15" s="9">
        <v>2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</row>
    <row r="16" customHeight="1" spans="1:68">
      <c r="A16" s="7">
        <v>10317520</v>
      </c>
      <c r="B16" s="8" t="s">
        <v>37</v>
      </c>
      <c r="C16" s="7" t="s">
        <v>20</v>
      </c>
      <c r="D16" s="7" t="s">
        <v>21</v>
      </c>
      <c r="E16" s="8" t="s">
        <v>22</v>
      </c>
      <c r="F16" s="9">
        <v>2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</row>
    <row r="17" customHeight="1" spans="1:68">
      <c r="A17" s="7">
        <v>10320414</v>
      </c>
      <c r="B17" s="8" t="s">
        <v>62</v>
      </c>
      <c r="C17" s="7" t="s">
        <v>20</v>
      </c>
      <c r="D17" s="7" t="s">
        <v>21</v>
      </c>
      <c r="E17" s="8" t="s">
        <v>22</v>
      </c>
      <c r="F17" s="9">
        <v>3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</row>
    <row r="18" customHeight="1" spans="1:68">
      <c r="A18" s="7">
        <v>10316681</v>
      </c>
      <c r="B18" s="8" t="s">
        <v>38</v>
      </c>
      <c r="C18" s="7" t="s">
        <v>89</v>
      </c>
      <c r="D18" s="7" t="s">
        <v>21</v>
      </c>
      <c r="E18" s="8" t="s">
        <v>22</v>
      </c>
      <c r="F18" s="9">
        <v>1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</row>
    <row r="19" customHeight="1" spans="1:68">
      <c r="A19" s="7">
        <v>10316650</v>
      </c>
      <c r="B19" s="8" t="s">
        <v>39</v>
      </c>
      <c r="C19" s="7" t="s">
        <v>20</v>
      </c>
      <c r="D19" s="7" t="s">
        <v>21</v>
      </c>
      <c r="E19" s="8" t="s">
        <v>22</v>
      </c>
      <c r="F19" s="9">
        <v>2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</row>
    <row r="20" customHeight="1" spans="1:68">
      <c r="A20" s="7">
        <v>10320416</v>
      </c>
      <c r="B20" s="8" t="s">
        <v>66</v>
      </c>
      <c r="C20" s="7" t="s">
        <v>20</v>
      </c>
      <c r="D20" s="7" t="s">
        <v>21</v>
      </c>
      <c r="E20" s="8" t="s">
        <v>22</v>
      </c>
      <c r="F20" s="9">
        <v>3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</row>
    <row r="21" customHeight="1" spans="1:68">
      <c r="A21" s="7">
        <v>10316530</v>
      </c>
      <c r="B21" s="8" t="s">
        <v>26</v>
      </c>
      <c r="C21" s="7" t="s">
        <v>20</v>
      </c>
      <c r="D21" s="7" t="s">
        <v>21</v>
      </c>
      <c r="E21" s="8" t="s">
        <v>22</v>
      </c>
      <c r="F21" s="9">
        <v>1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</row>
    <row r="22" customHeight="1" spans="1:68">
      <c r="A22" s="7">
        <v>10316680</v>
      </c>
      <c r="B22" s="8" t="s">
        <v>40</v>
      </c>
      <c r="C22" s="7" t="s">
        <v>20</v>
      </c>
      <c r="D22" s="7" t="s">
        <v>21</v>
      </c>
      <c r="E22" s="8" t="s">
        <v>22</v>
      </c>
      <c r="F22" s="9">
        <v>1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</row>
    <row r="23" customHeight="1" spans="1:68">
      <c r="A23" s="7">
        <v>10317943</v>
      </c>
      <c r="B23" s="8" t="s">
        <v>27</v>
      </c>
      <c r="C23" s="7" t="s">
        <v>20</v>
      </c>
      <c r="D23" s="7" t="s">
        <v>21</v>
      </c>
      <c r="E23" s="8" t="s">
        <v>22</v>
      </c>
      <c r="F23" s="9">
        <v>2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</row>
    <row r="24" customHeight="1" spans="1:68">
      <c r="A24" s="7">
        <v>10250966</v>
      </c>
      <c r="B24" s="8" t="s">
        <v>61</v>
      </c>
      <c r="C24" s="7" t="s">
        <v>20</v>
      </c>
      <c r="D24" s="7" t="s">
        <v>21</v>
      </c>
      <c r="E24" s="8" t="s">
        <v>22</v>
      </c>
      <c r="F24" s="9">
        <v>3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</row>
    <row r="25" customHeight="1" spans="1:68">
      <c r="A25" s="7">
        <v>10316543</v>
      </c>
      <c r="B25" s="8" t="s">
        <v>41</v>
      </c>
      <c r="C25" s="7" t="s">
        <v>20</v>
      </c>
      <c r="D25" s="7" t="s">
        <v>21</v>
      </c>
      <c r="E25" s="8" t="s">
        <v>22</v>
      </c>
      <c r="F25" s="9">
        <v>1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</row>
    <row r="26" customHeight="1" spans="1:68">
      <c r="A26" s="7">
        <v>10317153</v>
      </c>
      <c r="B26" s="8" t="s">
        <v>42</v>
      </c>
      <c r="C26" s="7" t="s">
        <v>20</v>
      </c>
      <c r="D26" s="7" t="s">
        <v>21</v>
      </c>
      <c r="E26" s="8" t="s">
        <v>22</v>
      </c>
      <c r="F26" s="9">
        <v>1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</row>
    <row r="27" customHeight="1" spans="1:68">
      <c r="A27" s="7">
        <v>10317521</v>
      </c>
      <c r="B27" s="8" t="s">
        <v>28</v>
      </c>
      <c r="C27" s="7" t="s">
        <v>20</v>
      </c>
      <c r="D27" s="7" t="s">
        <v>21</v>
      </c>
      <c r="E27" s="8" t="s">
        <v>22</v>
      </c>
      <c r="F27" s="9">
        <v>2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</row>
    <row r="28" customHeight="1" spans="1:68">
      <c r="A28" s="7">
        <v>10317517</v>
      </c>
      <c r="B28" s="8" t="s">
        <v>29</v>
      </c>
      <c r="C28" s="7" t="s">
        <v>20</v>
      </c>
      <c r="D28" s="7" t="s">
        <v>21</v>
      </c>
      <c r="E28" s="8" t="s">
        <v>22</v>
      </c>
      <c r="F28" s="9">
        <v>2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</row>
    <row r="29" customHeight="1" spans="1:68">
      <c r="A29" s="7">
        <v>10252106</v>
      </c>
      <c r="B29" s="8" t="s">
        <v>43</v>
      </c>
      <c r="C29" s="7" t="s">
        <v>20</v>
      </c>
      <c r="D29" s="7" t="s">
        <v>21</v>
      </c>
      <c r="E29" s="8" t="s">
        <v>22</v>
      </c>
      <c r="F29" s="9">
        <v>2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</row>
    <row r="30" customHeight="1" spans="1:68">
      <c r="A30" s="7">
        <v>10320407</v>
      </c>
      <c r="B30" s="8" t="s">
        <v>55</v>
      </c>
      <c r="C30" s="7" t="s">
        <v>20</v>
      </c>
      <c r="D30" s="7" t="s">
        <v>21</v>
      </c>
      <c r="E30" s="8" t="s">
        <v>22</v>
      </c>
      <c r="F30" s="9">
        <v>3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</row>
    <row r="31" customHeight="1" spans="1:68">
      <c r="A31" s="7">
        <v>10320417</v>
      </c>
      <c r="B31" s="8" t="s">
        <v>67</v>
      </c>
      <c r="C31" s="7" t="s">
        <v>20</v>
      </c>
      <c r="D31" s="7" t="s">
        <v>21</v>
      </c>
      <c r="E31" s="8" t="s">
        <v>22</v>
      </c>
      <c r="F31" s="9">
        <v>3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</row>
    <row r="32" customHeight="1" spans="1:68">
      <c r="A32" s="7">
        <v>10317154</v>
      </c>
      <c r="B32" s="8" t="s">
        <v>70</v>
      </c>
      <c r="C32" s="7" t="s">
        <v>20</v>
      </c>
      <c r="D32" s="7" t="s">
        <v>21</v>
      </c>
      <c r="E32" s="8" t="s">
        <v>22</v>
      </c>
      <c r="F32" s="9">
        <v>3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</row>
    <row r="33" customHeight="1" spans="1:68">
      <c r="A33" s="7">
        <v>10320436</v>
      </c>
      <c r="B33" s="8" t="s">
        <v>90</v>
      </c>
      <c r="C33" s="7" t="s">
        <v>20</v>
      </c>
      <c r="D33" s="7" t="s">
        <v>21</v>
      </c>
      <c r="E33" s="8" t="s">
        <v>22</v>
      </c>
      <c r="F33" s="9">
        <v>3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</row>
    <row r="34" customHeight="1" spans="1:68">
      <c r="A34" s="7">
        <v>10316538</v>
      </c>
      <c r="B34" s="8" t="s">
        <v>44</v>
      </c>
      <c r="C34" s="7" t="s">
        <v>20</v>
      </c>
      <c r="D34" s="7" t="s">
        <v>21</v>
      </c>
      <c r="E34" s="8" t="s">
        <v>22</v>
      </c>
      <c r="F34" s="9">
        <v>1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</row>
    <row r="35" customHeight="1" spans="1:68">
      <c r="A35" s="7">
        <v>10293607</v>
      </c>
      <c r="B35" s="8" t="s">
        <v>65</v>
      </c>
      <c r="C35" s="7" t="s">
        <v>20</v>
      </c>
      <c r="D35" s="7" t="s">
        <v>21</v>
      </c>
      <c r="E35" s="8" t="s">
        <v>22</v>
      </c>
      <c r="F35" s="9">
        <v>3</v>
      </c>
      <c r="G35" s="11" t="s">
        <v>36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</row>
    <row r="36" customHeight="1" spans="1:68">
      <c r="A36" s="7">
        <v>10316545</v>
      </c>
      <c r="B36" s="8" t="s">
        <v>45</v>
      </c>
      <c r="C36" s="7" t="s">
        <v>20</v>
      </c>
      <c r="D36" s="7" t="s">
        <v>21</v>
      </c>
      <c r="E36" s="8" t="s">
        <v>22</v>
      </c>
      <c r="F36" s="9">
        <v>1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</row>
    <row r="37" customHeight="1" spans="1:68">
      <c r="A37" s="7">
        <v>10316572</v>
      </c>
      <c r="B37" s="8" t="s">
        <v>46</v>
      </c>
      <c r="C37" s="7" t="s">
        <v>20</v>
      </c>
      <c r="D37" s="7" t="s">
        <v>21</v>
      </c>
      <c r="E37" s="8" t="s">
        <v>22</v>
      </c>
      <c r="F37" s="9">
        <v>2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</row>
    <row r="38" customHeight="1" spans="1:68">
      <c r="A38" s="7">
        <v>10316685</v>
      </c>
      <c r="B38" s="8" t="s">
        <v>47</v>
      </c>
      <c r="C38" s="7" t="s">
        <v>89</v>
      </c>
      <c r="D38" s="7" t="s">
        <v>21</v>
      </c>
      <c r="E38" s="8" t="s">
        <v>22</v>
      </c>
      <c r="F38" s="9">
        <v>1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</row>
    <row r="39" customHeight="1" spans="1:68">
      <c r="A39" s="7">
        <v>10274446</v>
      </c>
      <c r="B39" s="8" t="s">
        <v>88</v>
      </c>
      <c r="C39" s="7" t="s">
        <v>20</v>
      </c>
      <c r="D39" s="7" t="s">
        <v>21</v>
      </c>
      <c r="E39" s="8" t="s">
        <v>22</v>
      </c>
      <c r="F39" s="9">
        <v>2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</row>
    <row r="40" customHeight="1" spans="1:68">
      <c r="A40" s="7">
        <v>10276839</v>
      </c>
      <c r="B40" s="8" t="s">
        <v>54</v>
      </c>
      <c r="C40" s="7" t="s">
        <v>20</v>
      </c>
      <c r="D40" s="7" t="s">
        <v>21</v>
      </c>
      <c r="E40" s="8" t="s">
        <v>22</v>
      </c>
      <c r="F40" s="9">
        <v>2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</row>
    <row r="41" customHeight="1" spans="1:68">
      <c r="A41" s="7">
        <v>10320419</v>
      </c>
      <c r="B41" s="8" t="s">
        <v>69</v>
      </c>
      <c r="C41" s="7" t="s">
        <v>20</v>
      </c>
      <c r="D41" s="7" t="s">
        <v>21</v>
      </c>
      <c r="E41" s="8" t="s">
        <v>22</v>
      </c>
      <c r="F41" s="9">
        <v>3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</row>
    <row r="42" customHeight="1" spans="1:68">
      <c r="A42" s="7">
        <v>10316546</v>
      </c>
      <c r="B42" s="8" t="s">
        <v>49</v>
      </c>
      <c r="C42" s="7" t="s">
        <v>20</v>
      </c>
      <c r="D42" s="7" t="s">
        <v>21</v>
      </c>
      <c r="E42" s="8" t="s">
        <v>22</v>
      </c>
      <c r="F42" s="9">
        <v>1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</row>
    <row r="43" customHeight="1" spans="1:68">
      <c r="A43" s="7">
        <v>10316551</v>
      </c>
      <c r="B43" s="8" t="s">
        <v>87</v>
      </c>
      <c r="C43" s="7" t="s">
        <v>20</v>
      </c>
      <c r="D43" s="7" t="s">
        <v>21</v>
      </c>
      <c r="E43" s="8" t="s">
        <v>22</v>
      </c>
      <c r="F43" s="9">
        <v>1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</row>
    <row r="44" customHeight="1" spans="1:68">
      <c r="A44" s="7">
        <v>10320435</v>
      </c>
      <c r="B44" s="8" t="s">
        <v>71</v>
      </c>
      <c r="C44" s="7" t="s">
        <v>20</v>
      </c>
      <c r="D44" s="7" t="s">
        <v>21</v>
      </c>
      <c r="E44" s="8" t="s">
        <v>22</v>
      </c>
      <c r="F44" s="9">
        <v>3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</row>
    <row r="45" customHeight="1" spans="1:68">
      <c r="A45" s="7">
        <v>10316683</v>
      </c>
      <c r="B45" s="8" t="s">
        <v>51</v>
      </c>
      <c r="C45" s="7" t="s">
        <v>20</v>
      </c>
      <c r="D45" s="7" t="s">
        <v>21</v>
      </c>
      <c r="E45" s="8" t="s">
        <v>22</v>
      </c>
      <c r="F45" s="9">
        <v>1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</row>
    <row r="46" customHeight="1" spans="1:68">
      <c r="A46" s="7">
        <v>10316540</v>
      </c>
      <c r="B46" s="8" t="s">
        <v>30</v>
      </c>
      <c r="C46" s="7" t="s">
        <v>20</v>
      </c>
      <c r="D46" s="7" t="s">
        <v>86</v>
      </c>
      <c r="E46" s="8" t="s">
        <v>22</v>
      </c>
      <c r="F46" s="9">
        <v>1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</row>
    <row r="47" customHeight="1" spans="1:68">
      <c r="A47" s="7">
        <v>10293627</v>
      </c>
      <c r="B47" s="8" t="s">
        <v>92</v>
      </c>
      <c r="C47" s="7" t="s">
        <v>20</v>
      </c>
      <c r="D47" s="7" t="s">
        <v>21</v>
      </c>
      <c r="E47" s="8" t="s">
        <v>22</v>
      </c>
      <c r="F47" s="9">
        <v>3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</row>
    <row r="48" customHeight="1" spans="1:68">
      <c r="A48" s="7">
        <v>10320409</v>
      </c>
      <c r="B48" s="8" t="s">
        <v>57</v>
      </c>
      <c r="C48" s="7" t="s">
        <v>20</v>
      </c>
      <c r="D48" s="7" t="s">
        <v>21</v>
      </c>
      <c r="E48" s="8" t="s">
        <v>22</v>
      </c>
      <c r="F48" s="9">
        <v>3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</row>
    <row r="49" customHeight="1" spans="1:68">
      <c r="A49" s="7">
        <v>10317151</v>
      </c>
      <c r="B49" s="8" t="s">
        <v>52</v>
      </c>
      <c r="C49" s="7" t="s">
        <v>20</v>
      </c>
      <c r="D49" s="7" t="s">
        <v>86</v>
      </c>
      <c r="E49" s="8" t="s">
        <v>22</v>
      </c>
      <c r="F49" s="9">
        <v>1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</row>
    <row r="50" customHeight="1" spans="1:68">
      <c r="A50" s="7">
        <v>10317524</v>
      </c>
      <c r="B50" s="8" t="s">
        <v>53</v>
      </c>
      <c r="C50" s="7" t="s">
        <v>20</v>
      </c>
      <c r="D50" s="7" t="s">
        <v>21</v>
      </c>
      <c r="E50" s="8" t="s">
        <v>22</v>
      </c>
      <c r="F50" s="9">
        <v>2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</row>
  </sheetData>
  <mergeCells count="6">
    <mergeCell ref="A1:A2"/>
    <mergeCell ref="B1:B2"/>
    <mergeCell ref="C1:C2"/>
    <mergeCell ref="D1:D2"/>
    <mergeCell ref="E1:E2"/>
    <mergeCell ref="F1:F2"/>
  </mergeCells>
  <dataValidations count="1">
    <dataValidation type="list" allowBlank="1" showErrorMessage="1" sqref="G3:BP50">
      <formula1>"AN,Planned SK,Early leave"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WK 47</vt:lpstr>
      <vt:lpstr>Copy of WK 48</vt:lpstr>
      <vt:lpstr>WK2 UPDATED</vt:lpstr>
      <vt:lpstr>Swaps draft</vt:lpstr>
      <vt:lpstr>WK 1</vt:lpstr>
      <vt:lpstr>WK2</vt:lpstr>
      <vt:lpstr>WK 52</vt:lpstr>
      <vt:lpstr>WK 51</vt:lpstr>
      <vt:lpstr>Wk 50</vt:lpstr>
      <vt:lpstr>WK 49</vt:lpstr>
      <vt:lpstr>Jan Schedule</vt:lpstr>
      <vt:lpstr>WK4</vt:lpstr>
      <vt:lpstr>WK3</vt:lpstr>
      <vt:lpstr>WK3 FINAL</vt:lpstr>
      <vt:lpstr>WK3 F</vt:lpstr>
      <vt:lpstr>WK 48</vt:lpstr>
      <vt:lpstr>Schedule Wk 47</vt:lpstr>
      <vt:lpstr>Pref</vt:lpstr>
      <vt:lpstr>WK 46</vt:lpstr>
      <vt:lpstr>sheet</vt:lpstr>
      <vt:lpstr>WK 45</vt:lpstr>
      <vt:lpstr>WK 44</vt:lpstr>
      <vt:lpstr>WK 43</vt:lpstr>
      <vt:lpstr>WK 42</vt:lpstr>
      <vt:lpstr>Dec schedule</vt:lpstr>
      <vt:lpstr>Annuals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2025-01-19T14:01:00Z</dcterms:created>
  <dcterms:modified xsi:type="dcterms:W3CDTF">2025-12-18T16:29:29Z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7B188AEB5A8444EFA83AA6EFD759521B_12</vt:lpwstr>
  </property>
  <property fmtid="{D5CDD505-2E9C-101B-9397-08002B2CF9AE}" pid="3" name="KSOProductBuildVer">
    <vt:lpwstr>2057-12.2.0.23149</vt:lpwstr>
  </property>
</Properties>
</file>
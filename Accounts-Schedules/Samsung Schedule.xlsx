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1"/>
  </bookViews>
  <sheets>
    <sheet name="WK 47" sheetId="1" state="hidden" r:id="rId1"/>
    <sheet name="Copy of WK 48" sheetId="2" state="hidden" r:id="rId2"/>
    <sheet name="WK2 UPDATED" sheetId="3" state="hidden" r:id="rId3"/>
    <sheet name="Swaps draft" sheetId="4" state="hidden" r:id="rId4"/>
    <sheet name="WK 1" sheetId="5" state="hidden" r:id="rId5"/>
    <sheet name="WK2" sheetId="6" state="hidden" r:id="rId6"/>
    <sheet name="WK 52" sheetId="7" state="hidden" r:id="rId7"/>
    <sheet name="WK 51" sheetId="8" state="hidden" r:id="rId8"/>
    <sheet name="Wk 50" sheetId="9" state="hidden" r:id="rId9"/>
    <sheet name="WK 49" sheetId="10" state="hidden" r:id="rId10"/>
    <sheet name="Jan Schedule" sheetId="11" state="hidden" r:id="rId11"/>
    <sheet name="WK4" sheetId="12" r:id="rId12"/>
    <sheet name="WK3" sheetId="13" state="hidden" r:id="rId13"/>
    <sheet name="WK3 FINAL" sheetId="14" state="hidden" r:id="rId14"/>
    <sheet name="WK3 F" sheetId="15" state="hidden" r:id="rId15"/>
    <sheet name="WK 48" sheetId="16" state="hidden" r:id="rId16"/>
    <sheet name="Schedule Wk 47" sheetId="17" state="hidden" r:id="rId17"/>
    <sheet name="Pref" sheetId="18" state="hidden" r:id="rId18"/>
    <sheet name="WK 46" sheetId="19" state="hidden" r:id="rId19"/>
    <sheet name="sheet" sheetId="20" state="hidden" r:id="rId20"/>
    <sheet name="WK 45" sheetId="21" state="hidden" r:id="rId21"/>
    <sheet name="WK 44" sheetId="22" state="hidden" r:id="rId22"/>
    <sheet name="WK 43" sheetId="23" state="hidden" r:id="rId23"/>
    <sheet name="WK 42" sheetId="24" state="hidden" r:id="rId24"/>
    <sheet name="Dec schedule" sheetId="25" state="hidden" r:id="rId25"/>
    <sheet name="Annuals" sheetId="26" state="hidden" r:id="rId26"/>
  </sheets>
  <definedNames>
    <definedName name="_xlnm._FilterDatabase" localSheetId="1" hidden="1">'Copy of WK 48'!$A$3:$Y$52</definedName>
    <definedName name="_xlnm._FilterDatabase" localSheetId="5" hidden="1">'WK2'!$D$3:$D$51</definedName>
    <definedName name="_xlnm._FilterDatabase" localSheetId="7" hidden="1">'WK 51'!$A$3:$U$51</definedName>
    <definedName name="_xlnm._FilterDatabase" localSheetId="10" hidden="1">'Jan Schedule'!$Q$3:$R$42</definedName>
    <definedName name="_xlnm._FilterDatabase" localSheetId="24" hidden="1">'Dec schedule'!$F$58</definedName>
    <definedName name="Z_1AE8F616_6DF1_4BE7_ABB8_842FEECB574A_.wvu.FilterData" localSheetId="15" hidden="1">'WK 48'!$Q$1:$R$51</definedName>
    <definedName name="Z_DCE95A5E_FF37_4E04_937B_25E48CB5870C_.wvu.FilterData" localSheetId="15" hidden="1">'WK 48'!$S$1:$T$51</definedName>
    <definedName name="_xlnm._FilterDatabase" localSheetId="11" hidden="1">'WK4'!$A$13:$B$13</definedName>
  </definedNames>
  <calcPr calcId="191029"/>
  <customWorkbookViews>
    <customWorkbookView name="Filter 2" guid="{DCE95A5E-FF37-4E04-937B-25E48CB5870C}" maximized="1" windowWidth="0" windowHeight="0" activeSheetId="0"/>
    <customWorkbookView name="Filter 1" guid="{1AE8F616-6DF1-4BE7-ABB8-842FEECB57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<sst xmlns="http://schemas.openxmlformats.org/spreadsheetml/2006/main" count="10637" uniqueCount="248">
  <si>
    <t>CIM</t>
  </si>
  <si>
    <t>Agent Name</t>
  </si>
  <si>
    <t>Position</t>
  </si>
  <si>
    <t>Stage</t>
  </si>
  <si>
    <t>FT/PT</t>
  </si>
  <si>
    <t>Wave</t>
  </si>
  <si>
    <t>Monday</t>
  </si>
  <si>
    <t>Tuesday</t>
  </si>
  <si>
    <t>Wednesday</t>
  </si>
  <si>
    <t>Thursday</t>
  </si>
  <si>
    <t>Friday</t>
  </si>
  <si>
    <t>Saturday</t>
  </si>
  <si>
    <t>Sunday</t>
  </si>
  <si>
    <t>From</t>
  </si>
  <si>
    <t>To</t>
  </si>
  <si>
    <t>Working Hrs</t>
  </si>
  <si>
    <t>Preference was</t>
  </si>
  <si>
    <t>Difference</t>
  </si>
  <si>
    <t>Pattern</t>
  </si>
  <si>
    <t>Ahmed Mamdouh</t>
  </si>
  <si>
    <t>CSR</t>
  </si>
  <si>
    <t>Production</t>
  </si>
  <si>
    <t>FT</t>
  </si>
  <si>
    <t>OFF</t>
  </si>
  <si>
    <t>Asalla Metwally</t>
  </si>
  <si>
    <t>Dina Hanafy</t>
  </si>
  <si>
    <t>Hassan Hussain</t>
  </si>
  <si>
    <t>Hla Badr</t>
  </si>
  <si>
    <t>Mariam Gadalkarim</t>
  </si>
  <si>
    <t>Mariam Hanna</t>
  </si>
  <si>
    <t>Wafaa Elnaby</t>
  </si>
  <si>
    <t>Ahmed Hisham</t>
  </si>
  <si>
    <t>Aya Hassan</t>
  </si>
  <si>
    <t>Caren Lawendi</t>
  </si>
  <si>
    <t>Duaa Elshareeff</t>
  </si>
  <si>
    <t>PT</t>
  </si>
  <si>
    <t>AN</t>
  </si>
  <si>
    <t>Farida Gadalkarim</t>
  </si>
  <si>
    <t>Habiba Morsy</t>
  </si>
  <si>
    <t>Hana Afifi</t>
  </si>
  <si>
    <t>Hesham Hussien</t>
  </si>
  <si>
    <t>Khaled Zaafarany</t>
  </si>
  <si>
    <t>Mahmoud Abdelaziz</t>
  </si>
  <si>
    <t>Marinass Elhusseni</t>
  </si>
  <si>
    <t>Mohamed Abdelrahman</t>
  </si>
  <si>
    <t>Nada Mosbah</t>
  </si>
  <si>
    <t>Nadine Morsy</t>
  </si>
  <si>
    <t>Nouran Noby</t>
  </si>
  <si>
    <t>Omar Eldeen</t>
  </si>
  <si>
    <t>Salma Majed</t>
  </si>
  <si>
    <t>Salma Badreldin</t>
  </si>
  <si>
    <t>Shahd Abdelaziz</t>
  </si>
  <si>
    <t>Youssef Shokry</t>
  </si>
  <si>
    <t>Zeina Ashraf</t>
  </si>
  <si>
    <t>Reem Alaa</t>
  </si>
  <si>
    <t>Marleen Francis</t>
  </si>
  <si>
    <t>Alaa Ali</t>
  </si>
  <si>
    <t>Youssef Eltokhy</t>
  </si>
  <si>
    <t>Abdelrahman Etman</t>
  </si>
  <si>
    <t>Bassant Amin</t>
  </si>
  <si>
    <t>Alaa Abdulshafi</t>
  </si>
  <si>
    <t>Jumana Ashraf</t>
  </si>
  <si>
    <t>Fatimaalzahra Hafez</t>
  </si>
  <si>
    <t>Abdelrahman Ibrahim</t>
  </si>
  <si>
    <t>Yassin shaker</t>
  </si>
  <si>
    <t>Mohamed Hassan</t>
  </si>
  <si>
    <t>Hana Jankiz</t>
  </si>
  <si>
    <t>Marwa Nofal</t>
  </si>
  <si>
    <t>Bassant Eissa</t>
  </si>
  <si>
    <t>Salma Hassan</t>
  </si>
  <si>
    <t>Mazen Elramlawy</t>
  </si>
  <si>
    <t>Seifeldin Hassan</t>
  </si>
  <si>
    <t>Mazen Shokry</t>
  </si>
  <si>
    <t>Req Hours</t>
  </si>
  <si>
    <t>Available hours</t>
  </si>
  <si>
    <t>Variance</t>
  </si>
  <si>
    <t>Available Agents</t>
  </si>
  <si>
    <t>Required Agents</t>
  </si>
  <si>
    <t>HC Variance</t>
  </si>
  <si>
    <t>Variance %</t>
  </si>
  <si>
    <t xml:space="preserve"> From</t>
  </si>
  <si>
    <t xml:space="preserve"> To</t>
  </si>
  <si>
    <t>Working hours</t>
  </si>
  <si>
    <t>Preferred</t>
  </si>
  <si>
    <t>last week</t>
  </si>
  <si>
    <t>Delta</t>
  </si>
  <si>
    <t>B2B</t>
  </si>
  <si>
    <t>Salma Salah</t>
  </si>
  <si>
    <t>Omar Emad</t>
  </si>
  <si>
    <t>Esc Mgr</t>
  </si>
  <si>
    <t>Mazen Shoukry</t>
  </si>
  <si>
    <t>BH</t>
  </si>
  <si>
    <t>Yassin Shaker</t>
  </si>
  <si>
    <t>RS</t>
  </si>
  <si>
    <t>DT</t>
  </si>
  <si>
    <t>ESC</t>
  </si>
  <si>
    <t>PSK</t>
  </si>
  <si>
    <t>Delivered hours</t>
  </si>
  <si>
    <t>MGR Name</t>
  </si>
  <si>
    <t>Omar Sherif</t>
  </si>
  <si>
    <t>Mahmoud Naguib</t>
  </si>
  <si>
    <t>Nouran Mohammed Noby</t>
  </si>
  <si>
    <t>Mohamed Elsayed Abdelrahman</t>
  </si>
  <si>
    <t>Aya Ahmed Hassan</t>
  </si>
  <si>
    <t>Wafaa Mahmoud Elnaby</t>
  </si>
  <si>
    <t>Dina Hanfy</t>
  </si>
  <si>
    <t>Asala Ibrahem</t>
  </si>
  <si>
    <t>Karim Ahmed Mohamed Hamed</t>
  </si>
  <si>
    <t>WFH</t>
  </si>
  <si>
    <t>smart</t>
  </si>
  <si>
    <t>Name</t>
  </si>
  <si>
    <t>Monday, December 29, 2025</t>
  </si>
  <si>
    <t>Start time</t>
  </si>
  <si>
    <t>Stop time</t>
  </si>
  <si>
    <t>Salma Amr</t>
  </si>
  <si>
    <t>ANN</t>
  </si>
  <si>
    <t>Mohammed Mutaz</t>
  </si>
  <si>
    <t>Sarah Mohammed</t>
  </si>
  <si>
    <t>Mahmoud Moustafa Fahmy</t>
  </si>
  <si>
    <t>Farah Bahaa</t>
  </si>
  <si>
    <t>Moatasem Monib</t>
  </si>
  <si>
    <t>Nabi M.Alamin</t>
  </si>
  <si>
    <t>Hadi Mohamed</t>
  </si>
  <si>
    <t>Mariam Mustafa</t>
  </si>
  <si>
    <t>Mostafa Gad</t>
  </si>
  <si>
    <t>Muhammad Essam</t>
  </si>
  <si>
    <t>Rawan Farouk</t>
  </si>
  <si>
    <t>Roaa Abdelghafar</t>
  </si>
  <si>
    <t>Youssef Elgohary</t>
  </si>
  <si>
    <t>Maram Abdalla</t>
  </si>
  <si>
    <t>Mona Abdelazeem</t>
  </si>
  <si>
    <t>Habiba Adel</t>
  </si>
  <si>
    <t>Aya Ahmed</t>
  </si>
  <si>
    <t>Yousra Ali</t>
  </si>
  <si>
    <t>Salma Mohamed Ali</t>
  </si>
  <si>
    <t>Osama Anwar</t>
  </si>
  <si>
    <t>Lama Gafar</t>
  </si>
  <si>
    <t>Basma Hosny</t>
  </si>
  <si>
    <t>Ahmed Khaled</t>
  </si>
  <si>
    <t>Raghad Mohamed</t>
  </si>
  <si>
    <t>Sherien Hesham</t>
  </si>
  <si>
    <t>Rony Matthew</t>
  </si>
  <si>
    <t>Ahmed Samir</t>
  </si>
  <si>
    <t>Maritchia George</t>
  </si>
  <si>
    <t>Dina Adel</t>
  </si>
  <si>
    <t>Abdelrahman Mostafa</t>
  </si>
  <si>
    <t>Eithar Azzam</t>
  </si>
  <si>
    <t>Farah Maged</t>
  </si>
  <si>
    <t>Fatma Muhammad</t>
  </si>
  <si>
    <t>Merna Salama</t>
  </si>
  <si>
    <t>鈥玬ohamed Rabie</t>
  </si>
  <si>
    <t>Mohammad Lithy</t>
  </si>
  <si>
    <t>Nour Ibrahim</t>
  </si>
  <si>
    <t>Omar Osama</t>
  </si>
  <si>
    <t>Shereen Sameh</t>
  </si>
  <si>
    <t>Razan Ismail</t>
  </si>
  <si>
    <t>Yara Al Sayed</t>
  </si>
  <si>
    <t>Nouran Sami Ahmed</t>
  </si>
  <si>
    <t>Raheeq Ismail</t>
  </si>
  <si>
    <t>Diana Tarek</t>
  </si>
  <si>
    <t>Nada Mandour</t>
  </si>
  <si>
    <t>Yasmeen Ihab</t>
  </si>
  <si>
    <t>Mayar Ayman Aly</t>
  </si>
  <si>
    <t>Anna George</t>
  </si>
  <si>
    <t>Habiba Nassar</t>
  </si>
  <si>
    <t>Mayar Ashraf</t>
  </si>
  <si>
    <t>Yasmine Sayed</t>
  </si>
  <si>
    <t>Salma Mustafa</t>
  </si>
  <si>
    <t>Abdo Elghanam</t>
  </si>
  <si>
    <t>Samah Abuzeid</t>
  </si>
  <si>
    <t>Safaa Awwad</t>
  </si>
  <si>
    <t>Hana Elshazly</t>
  </si>
  <si>
    <t>TL</t>
  </si>
  <si>
    <t>Aliaa Alaa Salah Mostafa</t>
  </si>
  <si>
    <t>RTM</t>
  </si>
  <si>
    <t>Mohamed Osama</t>
  </si>
  <si>
    <t>Trainer</t>
  </si>
  <si>
    <t>This week</t>
  </si>
  <si>
    <t>mazen</t>
  </si>
  <si>
    <t>9 AM</t>
  </si>
  <si>
    <t>Friday &amp; Saturday</t>
  </si>
  <si>
    <t>10 hours (4 weekdays) + 5 hours (1 weekends) (45hrs/Week)</t>
  </si>
  <si>
    <t>mazen.shoukry@transcom.com</t>
  </si>
  <si>
    <t>SeifelDin Hassan</t>
  </si>
  <si>
    <t>Sunday &amp; Monday</t>
  </si>
  <si>
    <t>9 hours (5 weekdays)  (45hrs/Week)</t>
  </si>
  <si>
    <t>seifeldin.hassan@transcom.com</t>
  </si>
  <si>
    <t>jumana.ashraf@transcom.com</t>
  </si>
  <si>
    <t xml:space="preserve">Hana Jankiz </t>
  </si>
  <si>
    <t>Saturday &amp; Sunday</t>
  </si>
  <si>
    <t>hana.jankiz@transcom.com</t>
  </si>
  <si>
    <t>salma.hassan@transcom.com</t>
  </si>
  <si>
    <t>marleen.francis@transcom.com</t>
  </si>
  <si>
    <t>Alaa Osama</t>
  </si>
  <si>
    <t>alaa.abdulshafi@transcom.com</t>
  </si>
  <si>
    <t>Thursday and Friday</t>
  </si>
  <si>
    <t>abdelrahman.etman@transcom.com</t>
  </si>
  <si>
    <t xml:space="preserve">Mohamed Emad Hassan </t>
  </si>
  <si>
    <t>mohamed.hassan@transcom.com</t>
  </si>
  <si>
    <t xml:space="preserve">YASSIN SHAKER </t>
  </si>
  <si>
    <t>yassin.shaker@transcom.com</t>
  </si>
  <si>
    <t>9 hours (4 weekdays) + 5 hours (1 weekends) (41hrs/Week)</t>
  </si>
  <si>
    <t>bassant.eissa@transcom.com</t>
  </si>
  <si>
    <t>bassant.amin@transcom.com</t>
  </si>
  <si>
    <t>Mazen elramlawy</t>
  </si>
  <si>
    <t>mazen.elramlawy@transcom.com</t>
  </si>
  <si>
    <t>abdelrahman.ibrahim1@transcom.com</t>
  </si>
  <si>
    <t>alaa ali</t>
  </si>
  <si>
    <t>Part time (5 days a week, 5hrs/day) (25hrs/week)</t>
  </si>
  <si>
    <t>alaa.ali@transcom.com</t>
  </si>
  <si>
    <t>Youssef ElTokhy</t>
  </si>
  <si>
    <t>9 hours (3 weekdays) + 5 hours (2 weekends) (37hrs/Week)</t>
  </si>
  <si>
    <t>youssef.eltokhy@transcom.com</t>
  </si>
  <si>
    <t>Fatemaelzahraa hafez</t>
  </si>
  <si>
    <t>fatimaalzahra.hafez@transcom.com</t>
  </si>
  <si>
    <t>Mohamed Gharieb</t>
  </si>
  <si>
    <t>Noha Fiky</t>
  </si>
  <si>
    <t>Omar Abdelwahed</t>
  </si>
  <si>
    <t>Youssef Elgammal</t>
  </si>
  <si>
    <t>Nesting</t>
  </si>
  <si>
    <t>Duaa ELshareeff</t>
  </si>
  <si>
    <t>Split days off before</t>
  </si>
  <si>
    <t>Wasfy Kirollos</t>
  </si>
  <si>
    <t>10227727</t>
  </si>
  <si>
    <t>Tarek Adel</t>
  </si>
  <si>
    <t>Hassan Hussein</t>
  </si>
  <si>
    <t>Mohamed elsayed Abdelrahman</t>
  </si>
  <si>
    <t>Dina Saeed Abdelfattah</t>
  </si>
  <si>
    <t>Khaled Hatem Zaafarany</t>
  </si>
  <si>
    <t>Salma Salah Badreldin</t>
  </si>
  <si>
    <t>Caren Mahrous Lawendi</t>
  </si>
  <si>
    <t>Hisham Hussien</t>
  </si>
  <si>
    <t>Habiba Mohamed</t>
  </si>
  <si>
    <t>Shahd bassem Samih abdelaziz</t>
  </si>
  <si>
    <t>Youssef Azzam</t>
  </si>
  <si>
    <t>Mahmoud Nehad</t>
  </si>
  <si>
    <t>Mariam Gamal Hanna</t>
  </si>
  <si>
    <t>Farida Mohamed Gadalkarim</t>
  </si>
  <si>
    <t>Mariam Mohamed Gadalkarim</t>
  </si>
  <si>
    <t>Wasfy Nabil Kirollos</t>
  </si>
  <si>
    <t>Nadine Amr Morsy</t>
  </si>
  <si>
    <t>Hana Mohamed Afifi</t>
  </si>
  <si>
    <t>Omar abdelwahed</t>
  </si>
  <si>
    <t>Marinass Elhusseini</t>
  </si>
  <si>
    <t>Noha Elfeky</t>
  </si>
  <si>
    <t>Hla Mohamed</t>
  </si>
  <si>
    <t>BM</t>
  </si>
  <si>
    <t>Heba Nofal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</si>
</sst>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h:mm\ AM/PM"/>
    <numFmt numFmtId="180" formatCode="0.0"/>
  </numFmts>
  <fonts count="43">
    <font>
      <sz val="10"/>
      <color rgb="FF000000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FFFFFF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FFFFFF"/>
      <name val="Calibri"/>
      <charset val="134"/>
    </font>
    <font>
      <sz val="10"/>
      <color theme="1"/>
      <name val="Calibri"/>
      <charset val="134"/>
    </font>
    <font>
      <sz val="10"/>
      <color rgb="FFEFEFEF"/>
      <name val="Calibri"/>
      <charset val="134"/>
    </font>
    <font>
      <sz val="10"/>
      <color rgb="FF222222"/>
      <name val="Arial"/>
      <charset val="134"/>
    </font>
    <font>
      <sz val="10"/>
      <color theme="1"/>
      <name val="Century Gothic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rgb="FF222222"/>
      <name val="Calibri"/>
      <charset val="134"/>
    </font>
    <font>
      <sz val="10"/>
      <color rgb="FFEFEFEF"/>
      <name val="Arial"/>
      <charset val="134"/>
    </font>
    <font>
      <sz val="10"/>
      <color rgb="FF434343"/>
      <name val="Roboto"/>
      <charset val="134"/>
    </font>
    <font>
      <b/>
      <sz val="10"/>
      <color rgb="FFFFFFFF"/>
      <name val="Arial"/>
      <charset val="134"/>
      <scheme val="minor"/>
    </font>
    <font>
      <b/>
      <sz val="10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b/>
      <sz val="10"/>
      <color rgb="FFEFEFEF"/>
      <name val="Arial"/>
      <charset val="134"/>
      <scheme val="minor"/>
    </font>
    <font>
      <sz val="10"/>
      <color rgb="FFFFFFFF"/>
      <name val="Arial"/>
      <charset val="134"/>
    </font>
    <font>
      <sz val="10"/>
      <color rgb="FF1F1F1F"/>
      <name val="&quot;Google Sans Mono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DEDB"/>
        <bgColor rgb="FFF8DEDB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82CDA8"/>
        <bgColor rgb="FF82CDA8"/>
      </patternFill>
    </fill>
    <fill>
      <patternFill patternType="solid">
        <fgColor rgb="FFEAF7F1"/>
        <bgColor rgb="FFEAF7F1"/>
      </patternFill>
    </fill>
    <fill>
      <patternFill patternType="solid">
        <fgColor rgb="FFB7B7B7"/>
        <bgColor rgb="FFB7B7B7"/>
      </patternFill>
    </fill>
    <fill>
      <patternFill patternType="solid">
        <fgColor rgb="FF96D5B6"/>
        <bgColor rgb="FF96D5B6"/>
      </patternFill>
    </fill>
    <fill>
      <patternFill patternType="solid">
        <fgColor rgb="FFEC9C96"/>
        <bgColor rgb="FFEC9C96"/>
      </patternFill>
    </fill>
    <fill>
      <patternFill patternType="solid">
        <fgColor rgb="FFF2BDB8"/>
        <bgColor rgb="FFF2BDB8"/>
      </patternFill>
    </fill>
    <fill>
      <patternFill patternType="solid">
        <fgColor rgb="FFC1E6D4"/>
        <bgColor rgb="FFC1E6D4"/>
      </patternFill>
    </fill>
    <fill>
      <patternFill patternType="solid">
        <fgColor rgb="FFFFFF00"/>
        <bgColor rgb="FFFFFF00"/>
      </patternFill>
    </fill>
    <fill>
      <patternFill patternType="solid">
        <fgColor rgb="FFE6E6E6"/>
        <bgColor rgb="FFE6E6E6"/>
      </patternFill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A6C77A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FDCC67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rgb="FF3C78D8"/>
        <bgColor rgb="FF3C78D8"/>
      </patternFill>
    </fill>
    <fill>
      <patternFill patternType="solid">
        <fgColor rgb="FFFFD666"/>
        <bgColor rgb="FFFFD666"/>
      </patternFill>
    </fill>
    <fill>
      <patternFill patternType="solid">
        <fgColor rgb="FF95C57D"/>
        <bgColor rgb="FF95C57D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DDD06E"/>
        <bgColor rgb="FFDDD06E"/>
      </patternFill>
    </fill>
    <fill>
      <patternFill patternType="solid">
        <fgColor rgb="FF6D9EEB"/>
        <bgColor rgb="FF6D9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43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4" borderId="26" applyNumberFormat="0" applyAlignment="0" applyProtection="0">
      <alignment vertical="center"/>
    </xf>
    <xf numFmtId="0" fontId="33" fillId="45" borderId="27" applyNumberFormat="0" applyAlignment="0" applyProtection="0">
      <alignment vertical="center"/>
    </xf>
    <xf numFmtId="0" fontId="34" fillId="45" borderId="26" applyNumberFormat="0" applyAlignment="0" applyProtection="0">
      <alignment vertical="center"/>
    </xf>
    <xf numFmtId="0" fontId="35" fillId="46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41" fillId="65" borderId="0" applyNumberFormat="0" applyBorder="0" applyAlignment="0" applyProtection="0">
      <alignment vertical="center"/>
    </xf>
    <xf numFmtId="0" fontId="41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41" fillId="69" borderId="0" applyNumberFormat="0" applyBorder="0" applyAlignment="0" applyProtection="0">
      <alignment vertical="center"/>
    </xf>
    <xf numFmtId="0" fontId="41" fillId="70" borderId="0" applyNumberFormat="0" applyBorder="0" applyAlignment="0" applyProtection="0">
      <alignment vertical="center"/>
    </xf>
    <xf numFmtId="0" fontId="42" fillId="71" borderId="0" applyNumberFormat="0" applyBorder="0" applyAlignment="0" applyProtection="0">
      <alignment vertical="center"/>
    </xf>
    <xf numFmtId="0" fontId="42" fillId="72" borderId="0" applyNumberFormat="0" applyBorder="0" applyAlignment="0" applyProtection="0">
      <alignment vertical="center"/>
    </xf>
    <xf numFmtId="0" fontId="41" fillId="73" borderId="0" applyNumberFormat="0" applyBorder="0" applyAlignment="0" applyProtection="0">
      <alignment vertical="center"/>
    </xf>
  </cellStyleXfs>
  <cellXfs count="18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/>
    </xf>
    <xf numFmtId="178" fontId="2" fillId="2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/>
    <xf numFmtId="178" fontId="2" fillId="2" borderId="6" xfId="0" applyNumberFormat="1" applyFont="1" applyFill="1" applyBorder="1" applyAlignment="1">
      <alignment horizontal="center"/>
    </xf>
    <xf numFmtId="178" fontId="2" fillId="2" borderId="7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8" xfId="0" applyFont="1" applyBorder="1"/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79" fontId="6" fillId="4" borderId="5" xfId="0" applyNumberFormat="1" applyFont="1" applyFill="1" applyBorder="1" applyAlignment="1">
      <alignment horizontal="center"/>
    </xf>
    <xf numFmtId="179" fontId="6" fillId="5" borderId="5" xfId="0" applyNumberFormat="1" applyFont="1" applyFill="1" applyBorder="1" applyAlignment="1">
      <alignment horizontal="center"/>
    </xf>
    <xf numFmtId="179" fontId="6" fillId="6" borderId="5" xfId="0" applyNumberFormat="1" applyFont="1" applyFill="1" applyBorder="1" applyAlignment="1">
      <alignment horizontal="center"/>
    </xf>
    <xf numFmtId="179" fontId="6" fillId="7" borderId="5" xfId="0" applyNumberFormat="1" applyFont="1" applyFill="1" applyBorder="1" applyAlignment="1">
      <alignment horizontal="center"/>
    </xf>
    <xf numFmtId="179" fontId="6" fillId="8" borderId="5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179" fontId="6" fillId="10" borderId="5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79" fontId="7" fillId="9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5" xfId="0" applyFont="1" applyBorder="1"/>
    <xf numFmtId="179" fontId="6" fillId="11" borderId="5" xfId="0" applyNumberFormat="1" applyFont="1" applyFill="1" applyBorder="1" applyAlignment="1">
      <alignment horizontal="center"/>
    </xf>
    <xf numFmtId="179" fontId="6" fillId="12" borderId="5" xfId="0" applyNumberFormat="1" applyFont="1" applyFill="1" applyBorder="1" applyAlignment="1">
      <alignment horizontal="center"/>
    </xf>
    <xf numFmtId="179" fontId="6" fillId="13" borderId="5" xfId="0" applyNumberFormat="1" applyFont="1" applyFill="1" applyBorder="1" applyAlignment="1">
      <alignment horizontal="center"/>
    </xf>
    <xf numFmtId="1" fontId="7" fillId="9" borderId="5" xfId="0" applyNumberFormat="1" applyFont="1" applyFill="1" applyBorder="1" applyAlignment="1">
      <alignment horizontal="center"/>
    </xf>
    <xf numFmtId="179" fontId="6" fillId="5" borderId="3" xfId="0" applyNumberFormat="1" applyFont="1" applyFill="1" applyBorder="1" applyAlignment="1">
      <alignment horizontal="center"/>
    </xf>
    <xf numFmtId="0" fontId="6" fillId="0" borderId="5" xfId="0" applyFont="1" applyBorder="1"/>
    <xf numFmtId="179" fontId="6" fillId="12" borderId="3" xfId="0" applyNumberFormat="1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4" fillId="14" borderId="5" xfId="0" applyFont="1" applyFill="1" applyBorder="1" applyAlignment="1">
      <alignment horizontal="center"/>
    </xf>
    <xf numFmtId="180" fontId="11" fillId="3" borderId="5" xfId="0" applyNumberFormat="1" applyFont="1" applyFill="1" applyBorder="1" applyAlignment="1">
      <alignment horizontal="center"/>
    </xf>
    <xf numFmtId="180" fontId="4" fillId="0" borderId="5" xfId="0" applyNumberFormat="1" applyFont="1" applyBorder="1" applyAlignment="1">
      <alignment horizontal="center"/>
    </xf>
    <xf numFmtId="20" fontId="4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 vertical="center"/>
    </xf>
    <xf numFmtId="180" fontId="12" fillId="15" borderId="9" xfId="0" applyNumberFormat="1" applyFont="1" applyFill="1" applyBorder="1" applyAlignment="1">
      <alignment horizontal="right"/>
    </xf>
    <xf numFmtId="180" fontId="12" fillId="15" borderId="0" xfId="0" applyNumberFormat="1" applyFont="1" applyFill="1" applyAlignment="1">
      <alignment horizontal="right"/>
    </xf>
    <xf numFmtId="180" fontId="4" fillId="0" borderId="0" xfId="0" applyNumberFormat="1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16" fontId="5" fillId="2" borderId="11" xfId="0" applyNumberFormat="1" applyFont="1" applyFill="1" applyBorder="1" applyAlignment="1">
      <alignment horizontal="center"/>
    </xf>
    <xf numFmtId="0" fontId="3" fillId="0" borderId="12" xfId="0" applyFont="1" applyBorder="1"/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180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80" fontId="1" fillId="2" borderId="7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179" fontId="13" fillId="6" borderId="7" xfId="0" applyNumberFormat="1" applyFont="1" applyFill="1" applyBorder="1" applyAlignment="1">
      <alignment horizontal="center"/>
    </xf>
    <xf numFmtId="179" fontId="13" fillId="5" borderId="7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80" fontId="12" fillId="15" borderId="13" xfId="0" applyNumberFormat="1" applyFont="1" applyFill="1" applyBorder="1" applyAlignment="1">
      <alignment horizontal="right"/>
    </xf>
    <xf numFmtId="0" fontId="14" fillId="9" borderId="7" xfId="0" applyFont="1" applyFill="1" applyBorder="1" applyAlignment="1">
      <alignment horizontal="center"/>
    </xf>
    <xf numFmtId="179" fontId="13" fillId="12" borderId="7" xfId="0" applyNumberFormat="1" applyFont="1" applyFill="1" applyBorder="1" applyAlignment="1">
      <alignment horizontal="center"/>
    </xf>
    <xf numFmtId="179" fontId="13" fillId="13" borderId="7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20" fontId="4" fillId="0" borderId="0" xfId="0" applyNumberFormat="1" applyFont="1" applyAlignment="1"/>
    <xf numFmtId="0" fontId="4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80" fontId="12" fillId="15" borderId="5" xfId="0" applyNumberFormat="1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15" fillId="3" borderId="14" xfId="0" applyFont="1" applyFill="1" applyBorder="1" applyAlignment="1">
      <alignment horizontal="right"/>
    </xf>
    <xf numFmtId="0" fontId="15" fillId="3" borderId="14" xfId="0" applyFont="1" applyFill="1" applyBorder="1" applyAlignment="1"/>
    <xf numFmtId="0" fontId="15" fillId="3" borderId="15" xfId="0" applyFont="1" applyFill="1" applyBorder="1" applyAlignment="1"/>
    <xf numFmtId="0" fontId="15" fillId="17" borderId="16" xfId="0" applyFont="1" applyFill="1" applyBorder="1" applyAlignment="1">
      <alignment horizontal="right"/>
    </xf>
    <xf numFmtId="0" fontId="15" fillId="17" borderId="16" xfId="0" applyFont="1" applyFill="1" applyBorder="1" applyAlignment="1"/>
    <xf numFmtId="0" fontId="15" fillId="17" borderId="17" xfId="0" applyFont="1" applyFill="1" applyBorder="1" applyAlignment="1"/>
    <xf numFmtId="0" fontId="10" fillId="3" borderId="14" xfId="0" applyFont="1" applyFill="1" applyBorder="1"/>
    <xf numFmtId="0" fontId="10" fillId="3" borderId="14" xfId="0" applyFont="1" applyFill="1" applyBorder="1" applyAlignment="1"/>
    <xf numFmtId="0" fontId="15" fillId="3" borderId="18" xfId="0" applyFont="1" applyFill="1" applyBorder="1" applyAlignment="1">
      <alignment horizontal="right"/>
    </xf>
    <xf numFmtId="0" fontId="15" fillId="3" borderId="18" xfId="0" applyFont="1" applyFill="1" applyBorder="1" applyAlignment="1"/>
    <xf numFmtId="0" fontId="15" fillId="3" borderId="19" xfId="0" applyFont="1" applyFill="1" applyBorder="1" applyAlignment="1"/>
    <xf numFmtId="58" fontId="2" fillId="2" borderId="2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0" fontId="4" fillId="0" borderId="5" xfId="0" applyNumberFormat="1" applyFont="1" applyBorder="1" applyAlignment="1">
      <alignment horizontal="center"/>
    </xf>
    <xf numFmtId="10" fontId="4" fillId="14" borderId="5" xfId="0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 vertical="center"/>
    </xf>
    <xf numFmtId="20" fontId="13" fillId="6" borderId="7" xfId="0" applyNumberFormat="1" applyFont="1" applyFill="1" applyBorder="1" applyAlignment="1">
      <alignment horizontal="center"/>
    </xf>
    <xf numFmtId="20" fontId="13" fillId="5" borderId="7" xfId="0" applyNumberFormat="1" applyFont="1" applyFill="1" applyBorder="1" applyAlignment="1">
      <alignment horizontal="center"/>
    </xf>
    <xf numFmtId="178" fontId="2" fillId="2" borderId="2" xfId="0" applyNumberFormat="1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20" fontId="10" fillId="0" borderId="5" xfId="0" applyNumberFormat="1" applyFont="1" applyBorder="1" applyAlignment="1">
      <alignment horizontal="center"/>
    </xf>
    <xf numFmtId="178" fontId="16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19" borderId="20" xfId="0" applyFill="1" applyBorder="1" applyAlignment="1">
      <alignment horizontal="center" vertical="center" readingOrder="1"/>
    </xf>
    <xf numFmtId="16" fontId="1" fillId="19" borderId="20" xfId="0" applyNumberFormat="1" applyFont="1" applyFill="1" applyBorder="1" applyAlignment="1">
      <alignment horizontal="center" vertical="center" readingOrder="1"/>
    </xf>
    <xf numFmtId="0" fontId="1" fillId="19" borderId="20" xfId="0" applyFont="1" applyFill="1" applyBorder="1" applyAlignment="1">
      <alignment horizontal="center" vertical="center" readingOrder="1"/>
    </xf>
    <xf numFmtId="0" fontId="0" fillId="20" borderId="20" xfId="0" applyFill="1" applyBorder="1" applyAlignment="1">
      <alignment horizontal="center" vertical="center" readingOrder="1"/>
    </xf>
    <xf numFmtId="179" fontId="18" fillId="21" borderId="20" xfId="0" applyNumberFormat="1" applyFont="1" applyFill="1" applyBorder="1" applyAlignment="1">
      <alignment horizontal="center" vertical="center" readingOrder="1"/>
    </xf>
    <xf numFmtId="179" fontId="18" fillId="22" borderId="20" xfId="0" applyNumberFormat="1" applyFont="1" applyFill="1" applyBorder="1" applyAlignment="1">
      <alignment horizontal="center" vertical="center" readingOrder="1"/>
    </xf>
    <xf numFmtId="0" fontId="1" fillId="23" borderId="20" xfId="0" applyFont="1" applyFill="1" applyBorder="1" applyAlignment="1">
      <alignment horizontal="center" vertical="center" readingOrder="1"/>
    </xf>
    <xf numFmtId="0" fontId="0" fillId="20" borderId="21" xfId="0" applyFill="1" applyBorder="1" applyAlignment="1">
      <alignment horizontal="center" wrapText="1" readingOrder="1"/>
    </xf>
    <xf numFmtId="0" fontId="0" fillId="20" borderId="22" xfId="0" applyFill="1" applyBorder="1" applyAlignment="1">
      <alignment horizontal="center" wrapText="1" readingOrder="1"/>
    </xf>
    <xf numFmtId="0" fontId="18" fillId="21" borderId="22" xfId="0" applyFont="1" applyFill="1" applyBorder="1" applyAlignment="1">
      <alignment horizontal="center" wrapText="1" readingOrder="1"/>
    </xf>
    <xf numFmtId="179" fontId="18" fillId="21" borderId="22" xfId="0" applyNumberFormat="1" applyFont="1" applyFill="1" applyBorder="1" applyAlignment="1">
      <alignment horizontal="center" wrapText="1" readingOrder="1"/>
    </xf>
    <xf numFmtId="179" fontId="18" fillId="22" borderId="22" xfId="0" applyNumberFormat="1" applyFont="1" applyFill="1" applyBorder="1" applyAlignment="1">
      <alignment horizontal="center" wrapText="1" readingOrder="1"/>
    </xf>
    <xf numFmtId="0" fontId="2" fillId="19" borderId="20" xfId="0" applyFont="1" applyFill="1" applyBorder="1" applyAlignment="1">
      <alignment horizontal="center" vertical="center" readingOrder="1"/>
    </xf>
    <xf numFmtId="0" fontId="16" fillId="19" borderId="20" xfId="0" applyFont="1" applyFill="1" applyBorder="1" applyAlignment="1">
      <alignment horizontal="center" vertical="center" readingOrder="1"/>
    </xf>
    <xf numFmtId="0" fontId="16" fillId="19" borderId="20" xfId="0" applyFont="1" applyFill="1" applyBorder="1" applyAlignment="1">
      <alignment horizontal="center" vertical="center" readingOrder="1"/>
    </xf>
    <xf numFmtId="0" fontId="0" fillId="19" borderId="20" xfId="0" applyFont="1" applyFill="1" applyBorder="1" applyAlignment="1">
      <alignment vertical="center" readingOrder="1"/>
    </xf>
    <xf numFmtId="0" fontId="19" fillId="24" borderId="20" xfId="0" applyFont="1" applyFill="1" applyBorder="1" applyAlignment="1">
      <alignment horizontal="center" vertical="center" readingOrder="1"/>
    </xf>
    <xf numFmtId="0" fontId="0" fillId="20" borderId="20" xfId="0" applyFont="1" applyFill="1" applyBorder="1" applyAlignment="1">
      <alignment horizontal="center" vertical="center" readingOrder="1"/>
    </xf>
    <xf numFmtId="0" fontId="0" fillId="20" borderId="20" xfId="0" applyFont="1" applyFill="1" applyBorder="1" applyAlignment="1">
      <alignment horizontal="center" vertical="center" readingOrder="1"/>
    </xf>
    <xf numFmtId="20" fontId="0" fillId="25" borderId="20" xfId="0" applyNumberFormat="1" applyFont="1" applyFill="1" applyBorder="1" applyAlignment="1">
      <alignment horizontal="center" vertical="center" readingOrder="1"/>
    </xf>
    <xf numFmtId="20" fontId="0" fillId="26" borderId="20" xfId="0" applyNumberFormat="1" applyFont="1" applyFill="1" applyBorder="1" applyAlignment="1">
      <alignment horizontal="center" vertical="center" readingOrder="1"/>
    </xf>
    <xf numFmtId="0" fontId="0" fillId="23" borderId="20" xfId="0" applyFont="1" applyFill="1" applyBorder="1" applyAlignment="1">
      <alignment horizontal="center" vertical="center" readingOrder="1"/>
    </xf>
    <xf numFmtId="20" fontId="0" fillId="27" borderId="20" xfId="0" applyNumberFormat="1" applyFont="1" applyFill="1" applyBorder="1" applyAlignment="1">
      <alignment horizontal="center" vertical="center" readingOrder="1"/>
    </xf>
    <xf numFmtId="20" fontId="0" fillId="28" borderId="20" xfId="0" applyNumberFormat="1" applyFont="1" applyFill="1" applyBorder="1" applyAlignment="1">
      <alignment horizontal="center" vertical="center" readingOrder="1"/>
    </xf>
    <xf numFmtId="20" fontId="0" fillId="29" borderId="20" xfId="0" applyNumberFormat="1" applyFont="1" applyFill="1" applyBorder="1" applyAlignment="1">
      <alignment horizontal="center" vertical="center" readingOrder="1"/>
    </xf>
    <xf numFmtId="20" fontId="0" fillId="30" borderId="20" xfId="0" applyNumberFormat="1" applyFont="1" applyFill="1" applyBorder="1" applyAlignment="1">
      <alignment horizontal="center" vertical="center" readingOrder="1"/>
    </xf>
    <xf numFmtId="20" fontId="0" fillId="31" borderId="20" xfId="0" applyNumberFormat="1" applyFont="1" applyFill="1" applyBorder="1" applyAlignment="1">
      <alignment horizontal="center" vertical="center" readingOrder="1"/>
    </xf>
    <xf numFmtId="20" fontId="0" fillId="32" borderId="20" xfId="0" applyNumberFormat="1" applyFont="1" applyFill="1" applyBorder="1" applyAlignment="1">
      <alignment horizontal="center" vertical="center" readingOrder="1"/>
    </xf>
    <xf numFmtId="0" fontId="0" fillId="33" borderId="20" xfId="0" applyFont="1" applyFill="1" applyBorder="1" applyAlignment="1">
      <alignment horizontal="center" vertical="center" readingOrder="1"/>
    </xf>
    <xf numFmtId="0" fontId="20" fillId="34" borderId="20" xfId="0" applyFont="1" applyFill="1" applyBorder="1" applyAlignment="1">
      <alignment horizontal="center" vertical="center" readingOrder="1"/>
    </xf>
    <xf numFmtId="0" fontId="20" fillId="34" borderId="22" xfId="0" applyFont="1" applyFill="1" applyBorder="1" applyAlignment="1">
      <alignment horizontal="center" wrapText="1" readingOrder="1"/>
    </xf>
    <xf numFmtId="0" fontId="0" fillId="20" borderId="20" xfId="0" applyFill="1" applyBorder="1" applyAlignment="1">
      <alignment horizontal="center" vertical="center"/>
    </xf>
    <xf numFmtId="0" fontId="4" fillId="35" borderId="5" xfId="0" applyFont="1" applyFill="1" applyBorder="1" applyAlignment="1">
      <alignment horizontal="center"/>
    </xf>
    <xf numFmtId="178" fontId="4" fillId="0" borderId="0" xfId="0" applyNumberFormat="1" applyFont="1" applyAlignment="1"/>
    <xf numFmtId="20" fontId="10" fillId="36" borderId="5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78" fontId="21" fillId="2" borderId="2" xfId="0" applyNumberFormat="1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20" fontId="10" fillId="37" borderId="5" xfId="0" applyNumberFormat="1" applyFont="1" applyFill="1" applyBorder="1" applyAlignment="1">
      <alignment horizontal="center"/>
    </xf>
    <xf numFmtId="20" fontId="10" fillId="6" borderId="5" xfId="0" applyNumberFormat="1" applyFont="1" applyFill="1" applyBorder="1" applyAlignment="1">
      <alignment horizontal="center"/>
    </xf>
    <xf numFmtId="20" fontId="10" fillId="38" borderId="5" xfId="0" applyNumberFormat="1" applyFont="1" applyFill="1" applyBorder="1" applyAlignment="1">
      <alignment horizontal="center"/>
    </xf>
    <xf numFmtId="0" fontId="4" fillId="39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178" fontId="21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/>
    <xf numFmtId="0" fontId="4" fillId="40" borderId="5" xfId="0" applyFont="1" applyFill="1" applyBorder="1" applyAlignment="1">
      <alignment horizontal="center"/>
    </xf>
    <xf numFmtId="0" fontId="8" fillId="3" borderId="0" xfId="0" applyFont="1" applyFill="1"/>
    <xf numFmtId="0" fontId="4" fillId="18" borderId="5" xfId="0" applyFont="1" applyFill="1" applyBorder="1" applyAlignment="1">
      <alignment horizontal="center"/>
    </xf>
    <xf numFmtId="20" fontId="10" fillId="41" borderId="5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178" fontId="16" fillId="2" borderId="2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78" fontId="16" fillId="2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0" fillId="42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22" fillId="3" borderId="0" xfId="0" applyFont="1" applyFill="1"/>
    <xf numFmtId="0" fontId="15" fillId="3" borderId="14" xfId="0" applyFont="1" applyFill="1" applyBorder="1" applyAlignment="1" quotePrefix="1"/>
    <xf numFmtId="0" fontId="15" fillId="17" borderId="16" xfId="0" applyFont="1" applyFill="1" applyBorder="1" applyAlignment="1" quotePrefix="1"/>
    <xf numFmtId="0" fontId="15" fillId="3" borderId="18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3C78D8"/>
          <bgColor rgb="FF3C78D8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ref-style" pivot="0" count="2" xr9:uid="{E4B43577-0287-47BF-9CE0-4991BC90E5BE}"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F17" headerRowCount="0">
  <tableColumns count="6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</tableColumns>
  <tableStyleInfo name="Pre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9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6.5" customWidth="1"/>
    <col min="4" max="4" width="9" customWidth="1"/>
    <col min="5" max="5" width="4.75454545454545" customWidth="1"/>
    <col min="6" max="6" width="7.88181818181818" customWidth="1"/>
    <col min="7" max="7" width="6.5" customWidth="1"/>
    <col min="8" max="8" width="6.38181818181818" customWidth="1"/>
    <col min="9" max="9" width="8.88181818181818" customWidth="1"/>
    <col min="10" max="10" width="7.12727272727273" customWidth="1"/>
    <col min="11" max="11" width="8.88181818181818" customWidth="1"/>
    <col min="12" max="12" width="6.88181818181818" customWidth="1"/>
    <col min="13" max="13" width="7.12727272727273" customWidth="1"/>
    <col min="14" max="14" width="5.12727272727273" customWidth="1"/>
    <col min="15" max="15" width="5.88181818181818" customWidth="1"/>
    <col min="16" max="16" width="5.12727272727273" customWidth="1"/>
    <col min="17" max="17" width="6.88181818181818" customWidth="1"/>
    <col min="18" max="18" width="5.12727272727273" customWidth="1"/>
    <col min="19" max="19" width="5.88181818181818" customWidth="1"/>
    <col min="20" max="20" width="5.12727272727273" customWidth="1"/>
    <col min="21" max="21" width="10.1272727272727" customWidth="1"/>
    <col min="22" max="22" width="9.12727272727273" customWidth="1"/>
    <col min="23" max="23" width="8.62727272727273" customWidth="1"/>
    <col min="24" max="27" width="6.38181818181818" customWidth="1"/>
  </cols>
  <sheetData>
    <row r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45607</v>
      </c>
      <c r="H1" s="14"/>
      <c r="I1" s="46">
        <v>45608</v>
      </c>
      <c r="J1" s="14"/>
      <c r="K1" s="46">
        <v>45609</v>
      </c>
      <c r="L1" s="14"/>
      <c r="M1" s="46">
        <v>45610</v>
      </c>
      <c r="N1" s="14"/>
      <c r="O1" s="46">
        <v>45611</v>
      </c>
      <c r="P1" s="14"/>
      <c r="Q1" s="46">
        <v>45612</v>
      </c>
      <c r="R1" s="14"/>
      <c r="S1" s="46">
        <v>45613</v>
      </c>
      <c r="T1" s="14"/>
      <c r="U1" s="21"/>
      <c r="V1" s="21"/>
      <c r="W1" s="21"/>
      <c r="X1" s="7"/>
      <c r="Y1" s="17"/>
      <c r="Z1" s="17"/>
      <c r="AA1" s="17"/>
    </row>
    <row r="2" customHeight="1" spans="1:27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  <c r="X2" s="7"/>
      <c r="Y2" s="17"/>
      <c r="Z2" s="17"/>
      <c r="AA2" s="17"/>
    </row>
    <row r="3" customHeight="1" spans="1:27">
      <c r="A3" s="49"/>
      <c r="B3" s="49"/>
      <c r="C3" s="49"/>
      <c r="D3" s="49"/>
      <c r="E3" s="47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7" t="s">
        <v>18</v>
      </c>
      <c r="Y3" s="17"/>
      <c r="Z3" s="17"/>
      <c r="AA3" s="17"/>
    </row>
    <row r="4" customHeight="1" spans="1:27">
      <c r="A4" s="21">
        <v>10316549</v>
      </c>
      <c r="B4" s="86" t="s">
        <v>19</v>
      </c>
      <c r="C4" s="21" t="s">
        <v>20</v>
      </c>
      <c r="D4" s="21" t="s">
        <v>21</v>
      </c>
      <c r="E4" s="21" t="s">
        <v>22</v>
      </c>
      <c r="F4" s="21">
        <v>1</v>
      </c>
      <c r="G4" s="54">
        <v>0.458333333333333</v>
      </c>
      <c r="H4" s="54">
        <v>0.875</v>
      </c>
      <c r="I4" s="54">
        <v>0.458333333333333</v>
      </c>
      <c r="J4" s="54">
        <v>0.875</v>
      </c>
      <c r="K4" s="54">
        <v>0.458333333333333</v>
      </c>
      <c r="L4" s="54">
        <v>0.875</v>
      </c>
      <c r="M4" s="54">
        <v>0.458333333333333</v>
      </c>
      <c r="N4" s="54">
        <v>0.875</v>
      </c>
      <c r="O4" s="21" t="s">
        <v>23</v>
      </c>
      <c r="P4" s="21" t="s">
        <v>23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v>45</v>
      </c>
      <c r="V4" s="7">
        <v>45</v>
      </c>
      <c r="W4" s="7">
        <v>-1.4210854715202e-14</v>
      </c>
      <c r="X4" s="8">
        <v>0.416666666666667</v>
      </c>
      <c r="Y4" s="182" t="str">
        <f t="shared" ref="Y4:AA4" si="0">IF(G4="Off","",IF(AND(G4&gt;=TIME(9,0,0),G4&lt;=TIME(10,0,0)),"early",IF(OR(G4=TIME(11,0,0),G4=TIME(12,0,0)),"late","")))</f>
        <v>late</v>
      </c>
      <c r="Z4" s="182" t="str">
        <f t="shared" si="0"/>
        <v/>
      </c>
      <c r="AA4" s="182" t="str">
        <f t="shared" si="0"/>
        <v>late</v>
      </c>
    </row>
    <row r="5" customHeight="1" spans="1:27">
      <c r="A5" s="21">
        <v>10317147</v>
      </c>
      <c r="B5" s="86" t="s">
        <v>24</v>
      </c>
      <c r="C5" s="21" t="s">
        <v>20</v>
      </c>
      <c r="D5" s="21" t="s">
        <v>21</v>
      </c>
      <c r="E5" s="21" t="s">
        <v>22</v>
      </c>
      <c r="F5" s="21">
        <v>1</v>
      </c>
      <c r="G5" s="21" t="s">
        <v>23</v>
      </c>
      <c r="H5" s="54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v>45</v>
      </c>
      <c r="V5" s="7">
        <v>45</v>
      </c>
      <c r="W5" s="7">
        <v>-7.105427357601e-15</v>
      </c>
      <c r="X5" s="8">
        <v>0.416666666666667</v>
      </c>
      <c r="Y5" s="182" t="str">
        <f t="shared" ref="Y5:Y33" si="1">IF(G5="Off","",IF(AND(G5&gt;=TIME(9,0,0),G5&lt;=TIME(10,0,0)),"early",IF(OR(G5=TIME(11,0,0),G5=TIME(12,0,0)),"late","")))</f>
        <v/>
      </c>
      <c r="Z5" s="182"/>
      <c r="AA5" s="182" t="str">
        <f t="shared" ref="AA5:AA993" si="2">IF(I5="Off","",IF(AND(I5&gt;=TIME(9,0,0),I5&lt;=TIME(10,0,0)),"early",IF(OR(I5=TIME(11,0,0),I5=TIME(12,0,0)),"late","")))</f>
        <v>early</v>
      </c>
    </row>
    <row r="6" customHeight="1" spans="1:27">
      <c r="A6" s="21">
        <v>10250963</v>
      </c>
      <c r="B6" s="86" t="s">
        <v>25</v>
      </c>
      <c r="C6" s="21" t="s">
        <v>20</v>
      </c>
      <c r="D6" s="21" t="s">
        <v>21</v>
      </c>
      <c r="E6" s="21" t="s">
        <v>22</v>
      </c>
      <c r="F6" s="21">
        <v>1</v>
      </c>
      <c r="G6" s="21" t="s">
        <v>23</v>
      </c>
      <c r="H6" s="54" t="s">
        <v>23</v>
      </c>
      <c r="I6" s="54">
        <v>0.458333333333333</v>
      </c>
      <c r="J6" s="54">
        <v>0.875</v>
      </c>
      <c r="K6" s="54">
        <v>0.458333333333333</v>
      </c>
      <c r="L6" s="54">
        <v>0.875</v>
      </c>
      <c r="M6" s="54">
        <v>0.458333333333333</v>
      </c>
      <c r="N6" s="54">
        <v>0.875</v>
      </c>
      <c r="O6" s="54">
        <v>0.458333333333333</v>
      </c>
      <c r="P6" s="54">
        <v>0.875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v>45</v>
      </c>
      <c r="V6" s="7">
        <v>45</v>
      </c>
      <c r="W6" s="7">
        <v>-1.4210854715202e-14</v>
      </c>
      <c r="X6" s="8">
        <v>0.416666666666667</v>
      </c>
      <c r="Y6" s="182" t="str">
        <f t="shared" si="1"/>
        <v/>
      </c>
      <c r="Z6" s="182"/>
      <c r="AA6" s="182" t="str">
        <f t="shared" si="2"/>
        <v>late</v>
      </c>
    </row>
    <row r="7" customHeight="1" spans="1:27">
      <c r="A7" s="21">
        <v>10316530</v>
      </c>
      <c r="B7" s="86" t="s">
        <v>26</v>
      </c>
      <c r="C7" s="21" t="s">
        <v>20</v>
      </c>
      <c r="D7" s="21" t="s">
        <v>21</v>
      </c>
      <c r="E7" s="21" t="s">
        <v>22</v>
      </c>
      <c r="F7" s="21">
        <v>1</v>
      </c>
      <c r="G7" s="21" t="s">
        <v>23</v>
      </c>
      <c r="H7" s="54" t="s">
        <v>23</v>
      </c>
      <c r="I7" s="54">
        <v>0.458333333333333</v>
      </c>
      <c r="J7" s="54">
        <v>0.875</v>
      </c>
      <c r="K7" s="54">
        <v>0.458333333333333</v>
      </c>
      <c r="L7" s="54">
        <v>0.875</v>
      </c>
      <c r="M7" s="54">
        <v>0.458333333333333</v>
      </c>
      <c r="N7" s="54">
        <v>0.875</v>
      </c>
      <c r="O7" s="54">
        <v>0.458333333333333</v>
      </c>
      <c r="P7" s="54">
        <v>0.875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v>45</v>
      </c>
      <c r="V7" s="7">
        <v>45</v>
      </c>
      <c r="W7" s="7">
        <v>-1.4210854715202e-14</v>
      </c>
      <c r="X7" s="8">
        <v>0.416666666666667</v>
      </c>
      <c r="Y7" s="182" t="str">
        <f t="shared" si="1"/>
        <v/>
      </c>
      <c r="Z7" s="182"/>
      <c r="AA7" s="182" t="str">
        <f t="shared" si="2"/>
        <v>late</v>
      </c>
    </row>
    <row r="8" customHeight="1" spans="1:27">
      <c r="A8" s="21">
        <v>10317943</v>
      </c>
      <c r="B8" s="86" t="s">
        <v>27</v>
      </c>
      <c r="C8" s="21" t="s">
        <v>20</v>
      </c>
      <c r="D8" s="21" t="s">
        <v>21</v>
      </c>
      <c r="E8" s="21" t="s">
        <v>22</v>
      </c>
      <c r="F8" s="21">
        <v>2</v>
      </c>
      <c r="G8" s="54">
        <v>0.375</v>
      </c>
      <c r="H8" s="54">
        <v>0.791666666666667</v>
      </c>
      <c r="I8" s="54">
        <v>0.375</v>
      </c>
      <c r="J8" s="54">
        <v>0.791666666666667</v>
      </c>
      <c r="K8" s="54">
        <v>0.375</v>
      </c>
      <c r="L8" s="54">
        <v>0.791666666666667</v>
      </c>
      <c r="M8" s="54">
        <v>0.375</v>
      </c>
      <c r="N8" s="54">
        <v>0.791666666666667</v>
      </c>
      <c r="O8" s="21" t="s">
        <v>23</v>
      </c>
      <c r="P8" s="54" t="s">
        <v>23</v>
      </c>
      <c r="Q8" s="21" t="s">
        <v>23</v>
      </c>
      <c r="R8" s="21" t="s">
        <v>23</v>
      </c>
      <c r="S8" s="54">
        <v>0.458333333333333</v>
      </c>
      <c r="T8" s="54">
        <v>0.666666666666667</v>
      </c>
      <c r="U8" s="21">
        <v>45</v>
      </c>
      <c r="V8" s="7">
        <v>45</v>
      </c>
      <c r="W8" s="7">
        <v>7.105427357601e-15</v>
      </c>
      <c r="X8" s="8">
        <v>0.416666666666667</v>
      </c>
      <c r="Y8" s="182" t="str">
        <f t="shared" si="1"/>
        <v>early</v>
      </c>
      <c r="Z8" s="182"/>
      <c r="AA8" s="182" t="str">
        <f t="shared" si="2"/>
        <v>early</v>
      </c>
    </row>
    <row r="9" customHeight="1" spans="1:27">
      <c r="A9" s="21">
        <v>10317521</v>
      </c>
      <c r="B9" s="86" t="s">
        <v>28</v>
      </c>
      <c r="C9" s="21" t="s">
        <v>20</v>
      </c>
      <c r="D9" s="21" t="s">
        <v>21</v>
      </c>
      <c r="E9" s="21" t="s">
        <v>22</v>
      </c>
      <c r="F9" s="21"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54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v>45</v>
      </c>
      <c r="V9" s="7">
        <v>45</v>
      </c>
      <c r="W9" s="7">
        <v>7.105427357601e-15</v>
      </c>
      <c r="X9" s="8">
        <v>0.416666666666667</v>
      </c>
      <c r="Y9" s="182" t="str">
        <f t="shared" si="1"/>
        <v>early</v>
      </c>
      <c r="Z9" s="182"/>
      <c r="AA9" s="182" t="str">
        <f t="shared" si="2"/>
        <v>early</v>
      </c>
    </row>
    <row r="10" customHeight="1" spans="1:27">
      <c r="A10" s="21">
        <v>10317517</v>
      </c>
      <c r="B10" s="86" t="s">
        <v>29</v>
      </c>
      <c r="C10" s="21" t="s">
        <v>20</v>
      </c>
      <c r="D10" s="21" t="s">
        <v>21</v>
      </c>
      <c r="E10" s="21" t="s">
        <v>22</v>
      </c>
      <c r="F10" s="21">
        <v>2</v>
      </c>
      <c r="G10" s="21" t="s">
        <v>23</v>
      </c>
      <c r="H10" s="54" t="s">
        <v>23</v>
      </c>
      <c r="I10" s="54">
        <v>0.375</v>
      </c>
      <c r="J10" s="54">
        <v>0.791666666666667</v>
      </c>
      <c r="K10" s="54">
        <v>0.375</v>
      </c>
      <c r="L10" s="54">
        <v>0.791666666666667</v>
      </c>
      <c r="M10" s="54">
        <v>0.375</v>
      </c>
      <c r="N10" s="54">
        <v>0.791666666666667</v>
      </c>
      <c r="O10" s="54">
        <v>0.375</v>
      </c>
      <c r="P10" s="54">
        <v>0.791666666666667</v>
      </c>
      <c r="Q10" s="54">
        <v>0.458333333333333</v>
      </c>
      <c r="R10" s="54">
        <v>0.666666666666667</v>
      </c>
      <c r="S10" s="21" t="s">
        <v>23</v>
      </c>
      <c r="T10" s="21" t="s">
        <v>23</v>
      </c>
      <c r="U10" s="21">
        <v>45</v>
      </c>
      <c r="V10" s="7">
        <v>45</v>
      </c>
      <c r="W10" s="7">
        <v>7.105427357601e-15</v>
      </c>
      <c r="X10" s="8">
        <v>0.416666666666667</v>
      </c>
      <c r="Y10" s="182" t="str">
        <f t="shared" si="1"/>
        <v/>
      </c>
      <c r="Z10" s="182"/>
      <c r="AA10" s="182" t="str">
        <f t="shared" si="2"/>
        <v>early</v>
      </c>
    </row>
    <row r="11" customHeight="1" spans="1:27">
      <c r="A11" s="21">
        <v>10316540</v>
      </c>
      <c r="B11" s="86" t="s">
        <v>30</v>
      </c>
      <c r="C11" s="21" t="s">
        <v>20</v>
      </c>
      <c r="D11" s="21" t="s">
        <v>21</v>
      </c>
      <c r="E11" s="21" t="s">
        <v>22</v>
      </c>
      <c r="F11" s="21"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v>45</v>
      </c>
      <c r="V11" s="7">
        <v>45</v>
      </c>
      <c r="W11" s="7">
        <v>-1.4210854715202e-14</v>
      </c>
      <c r="X11" s="8">
        <v>0.416666666666667</v>
      </c>
      <c r="Y11" s="182" t="str">
        <f t="shared" si="1"/>
        <v/>
      </c>
      <c r="Z11" s="182"/>
      <c r="AA11" s="182" t="str">
        <f t="shared" si="2"/>
        <v>late</v>
      </c>
    </row>
    <row r="12" customHeight="1" spans="1:27">
      <c r="A12" s="21">
        <v>10317522</v>
      </c>
      <c r="B12" s="21" t="s">
        <v>31</v>
      </c>
      <c r="C12" s="21" t="s">
        <v>20</v>
      </c>
      <c r="D12" s="21" t="s">
        <v>21</v>
      </c>
      <c r="E12" s="21" t="s">
        <v>22</v>
      </c>
      <c r="F12" s="21">
        <v>2</v>
      </c>
      <c r="G12" s="54">
        <v>0.458333333333333</v>
      </c>
      <c r="H12" s="54">
        <v>0.875</v>
      </c>
      <c r="I12" s="54">
        <v>0.458333333333333</v>
      </c>
      <c r="J12" s="54">
        <v>0.875</v>
      </c>
      <c r="K12" s="54">
        <v>0.458333333333333</v>
      </c>
      <c r="L12" s="54">
        <v>0.875</v>
      </c>
      <c r="M12" s="54">
        <v>0.458333333333333</v>
      </c>
      <c r="N12" s="54">
        <v>0.875</v>
      </c>
      <c r="O12" s="21" t="s">
        <v>23</v>
      </c>
      <c r="P12" s="54" t="s">
        <v>23</v>
      </c>
      <c r="Q12" s="21" t="s">
        <v>23</v>
      </c>
      <c r="R12" s="21" t="s">
        <v>23</v>
      </c>
      <c r="S12" s="54">
        <v>0.458333333333333</v>
      </c>
      <c r="T12" s="54">
        <v>0.666666666666667</v>
      </c>
      <c r="U12" s="21">
        <v>45</v>
      </c>
      <c r="V12" s="7">
        <v>45</v>
      </c>
      <c r="W12" s="7">
        <v>-1.4210854715202e-14</v>
      </c>
      <c r="X12" s="8">
        <v>0.416666666666667</v>
      </c>
      <c r="Y12" s="182" t="str">
        <f t="shared" si="1"/>
        <v>late</v>
      </c>
      <c r="Z12" s="182"/>
      <c r="AA12" s="182" t="str">
        <f t="shared" si="2"/>
        <v>late</v>
      </c>
    </row>
    <row r="13" customHeight="1" spans="1:27">
      <c r="A13" s="21">
        <v>10272259</v>
      </c>
      <c r="B13" s="21" t="s">
        <v>32</v>
      </c>
      <c r="C13" s="21" t="s">
        <v>20</v>
      </c>
      <c r="D13" s="21" t="s">
        <v>21</v>
      </c>
      <c r="E13" s="21" t="s">
        <v>22</v>
      </c>
      <c r="F13" s="21">
        <v>2</v>
      </c>
      <c r="G13" s="54">
        <v>0.5</v>
      </c>
      <c r="H13" s="54">
        <v>0.875</v>
      </c>
      <c r="I13" s="21" t="s">
        <v>23</v>
      </c>
      <c r="J13" s="54" t="s">
        <v>23</v>
      </c>
      <c r="K13" s="21" t="s">
        <v>23</v>
      </c>
      <c r="L13" s="54" t="s">
        <v>23</v>
      </c>
      <c r="M13" s="54">
        <v>0.5</v>
      </c>
      <c r="N13" s="54">
        <v>0.875</v>
      </c>
      <c r="O13" s="54">
        <v>0.5</v>
      </c>
      <c r="P13" s="54">
        <v>0.875</v>
      </c>
      <c r="Q13" s="54">
        <v>0.458333333333333</v>
      </c>
      <c r="R13" s="54">
        <v>0.666666666666667</v>
      </c>
      <c r="S13" s="54">
        <v>0.458333333333333</v>
      </c>
      <c r="T13" s="54">
        <v>0.666666666666667</v>
      </c>
      <c r="U13" s="21">
        <v>37</v>
      </c>
      <c r="V13" s="7">
        <v>37</v>
      </c>
      <c r="W13" s="7">
        <v>0</v>
      </c>
      <c r="X13" s="8">
        <v>0.375</v>
      </c>
      <c r="Y13" s="182" t="str">
        <f t="shared" si="1"/>
        <v>late</v>
      </c>
      <c r="Z13" s="182"/>
      <c r="AA13" s="182" t="str">
        <f t="shared" si="2"/>
        <v/>
      </c>
    </row>
    <row r="14" customHeight="1" spans="1:27">
      <c r="A14" s="21">
        <v>10316618</v>
      </c>
      <c r="B14" s="21" t="s">
        <v>33</v>
      </c>
      <c r="C14" s="21" t="s">
        <v>20</v>
      </c>
      <c r="D14" s="21" t="s">
        <v>21</v>
      </c>
      <c r="E14" s="21" t="s">
        <v>22</v>
      </c>
      <c r="F14" s="21">
        <v>1</v>
      </c>
      <c r="G14" s="54">
        <v>0.458333333333333</v>
      </c>
      <c r="H14" s="54">
        <v>0.875</v>
      </c>
      <c r="I14" s="54">
        <v>0.458333333333333</v>
      </c>
      <c r="J14" s="54">
        <v>0.875</v>
      </c>
      <c r="K14" s="54">
        <v>0.458333333333333</v>
      </c>
      <c r="L14" s="54">
        <v>0.875</v>
      </c>
      <c r="M14" s="54">
        <v>0.458333333333333</v>
      </c>
      <c r="N14" s="54">
        <v>0.875</v>
      </c>
      <c r="O14" s="21" t="s">
        <v>23</v>
      </c>
      <c r="P14" s="54" t="s">
        <v>23</v>
      </c>
      <c r="Q14" s="21" t="s">
        <v>23</v>
      </c>
      <c r="R14" s="21" t="s">
        <v>23</v>
      </c>
      <c r="S14" s="54">
        <v>0.458333333333333</v>
      </c>
      <c r="T14" s="54">
        <v>0.666666666666667</v>
      </c>
      <c r="U14" s="21">
        <v>45</v>
      </c>
      <c r="V14" s="7">
        <v>45</v>
      </c>
      <c r="W14" s="7">
        <v>-1.4210854715202e-14</v>
      </c>
      <c r="X14" s="8">
        <v>0.416666666666667</v>
      </c>
      <c r="Y14" s="182" t="str">
        <f t="shared" si="1"/>
        <v>late</v>
      </c>
      <c r="Z14" s="182"/>
      <c r="AA14" s="182" t="str">
        <f t="shared" si="2"/>
        <v>late</v>
      </c>
    </row>
    <row r="15" customHeight="1" spans="1:27">
      <c r="A15" s="21">
        <v>10295555</v>
      </c>
      <c r="B15" s="21" t="s">
        <v>34</v>
      </c>
      <c r="C15" s="21" t="s">
        <v>20</v>
      </c>
      <c r="D15" s="21" t="s">
        <v>21</v>
      </c>
      <c r="E15" s="21" t="s">
        <v>35</v>
      </c>
      <c r="F15" s="21">
        <v>2</v>
      </c>
      <c r="G15" s="54">
        <v>0.666666666666667</v>
      </c>
      <c r="H15" s="54">
        <v>0.875</v>
      </c>
      <c r="I15" s="54">
        <v>0.666666666666667</v>
      </c>
      <c r="J15" s="54">
        <v>0.875</v>
      </c>
      <c r="K15" s="54">
        <v>0.666666666666667</v>
      </c>
      <c r="L15" s="54">
        <v>0.875</v>
      </c>
      <c r="M15" s="21" t="s">
        <v>23</v>
      </c>
      <c r="N15" s="54" t="s">
        <v>23</v>
      </c>
      <c r="O15" s="21" t="s">
        <v>23</v>
      </c>
      <c r="P15" s="54" t="s">
        <v>23</v>
      </c>
      <c r="Q15" s="89" t="s">
        <v>36</v>
      </c>
      <c r="R15" s="89" t="s">
        <v>36</v>
      </c>
      <c r="S15" s="89" t="s">
        <v>36</v>
      </c>
      <c r="T15" s="89" t="s">
        <v>36</v>
      </c>
      <c r="U15" s="21">
        <v>15</v>
      </c>
      <c r="V15" s="7">
        <v>25</v>
      </c>
      <c r="W15" s="7">
        <v>10</v>
      </c>
      <c r="X15" s="8">
        <v>0.208333333333333</v>
      </c>
      <c r="Y15" s="182" t="str">
        <f t="shared" si="1"/>
        <v/>
      </c>
      <c r="Z15" s="182"/>
      <c r="AA15" s="182" t="str">
        <f t="shared" si="2"/>
        <v/>
      </c>
    </row>
    <row r="16" customHeight="1" spans="1:27">
      <c r="A16" s="21">
        <v>10317520</v>
      </c>
      <c r="B16" s="21" t="s">
        <v>37</v>
      </c>
      <c r="C16" s="21" t="s">
        <v>20</v>
      </c>
      <c r="D16" s="21" t="s">
        <v>21</v>
      </c>
      <c r="E16" s="21" t="s">
        <v>22</v>
      </c>
      <c r="F16" s="21">
        <v>2</v>
      </c>
      <c r="G16" s="54">
        <v>0.375</v>
      </c>
      <c r="H16" s="54">
        <v>0.791666666666667</v>
      </c>
      <c r="I16" s="54">
        <v>0.375</v>
      </c>
      <c r="J16" s="54">
        <v>0.791666666666667</v>
      </c>
      <c r="K16" s="54">
        <v>0.375</v>
      </c>
      <c r="L16" s="54">
        <v>0.791666666666667</v>
      </c>
      <c r="M16" s="54">
        <v>0.375</v>
      </c>
      <c r="N16" s="54">
        <v>0.791666666666667</v>
      </c>
      <c r="O16" s="21" t="s">
        <v>23</v>
      </c>
      <c r="P16" s="54" t="s">
        <v>23</v>
      </c>
      <c r="Q16" s="21" t="s">
        <v>23</v>
      </c>
      <c r="R16" s="21" t="s">
        <v>23</v>
      </c>
      <c r="S16" s="54">
        <v>0.458333333333333</v>
      </c>
      <c r="T16" s="54">
        <v>0.666666666666667</v>
      </c>
      <c r="U16" s="21">
        <v>45</v>
      </c>
      <c r="V16" s="7">
        <v>45</v>
      </c>
      <c r="W16" s="7">
        <v>7.105427357601e-15</v>
      </c>
      <c r="X16" s="8">
        <v>0.416666666666667</v>
      </c>
      <c r="Y16" s="182" t="str">
        <f t="shared" si="1"/>
        <v>early</v>
      </c>
      <c r="Z16" s="182"/>
      <c r="AA16" s="182" t="str">
        <f t="shared" si="2"/>
        <v>early</v>
      </c>
    </row>
    <row r="17" customHeight="1" spans="1:27">
      <c r="A17" s="21">
        <v>10316681</v>
      </c>
      <c r="B17" s="21" t="s">
        <v>38</v>
      </c>
      <c r="C17" s="21" t="s">
        <v>20</v>
      </c>
      <c r="D17" s="21" t="s">
        <v>21</v>
      </c>
      <c r="E17" s="21" t="s">
        <v>22</v>
      </c>
      <c r="F17" s="21">
        <v>1</v>
      </c>
      <c r="G17" s="54">
        <v>0.375</v>
      </c>
      <c r="H17" s="54">
        <v>0.791666666666667</v>
      </c>
      <c r="I17" s="54">
        <v>0.375</v>
      </c>
      <c r="J17" s="54">
        <v>0.791666666666667</v>
      </c>
      <c r="K17" s="54">
        <v>0.375</v>
      </c>
      <c r="L17" s="54">
        <v>0.791666666666667</v>
      </c>
      <c r="M17" s="54">
        <v>0.375</v>
      </c>
      <c r="N17" s="54">
        <v>0.791666666666667</v>
      </c>
      <c r="O17" s="21" t="s">
        <v>23</v>
      </c>
      <c r="P17" s="54" t="s">
        <v>23</v>
      </c>
      <c r="Q17" s="21" t="s">
        <v>23</v>
      </c>
      <c r="R17" s="21" t="s">
        <v>23</v>
      </c>
      <c r="S17" s="54">
        <v>0.458333333333333</v>
      </c>
      <c r="T17" s="54">
        <v>0.666666666666667</v>
      </c>
      <c r="U17" s="21">
        <v>45</v>
      </c>
      <c r="V17" s="7">
        <v>45</v>
      </c>
      <c r="W17" s="7">
        <v>7.105427357601e-15</v>
      </c>
      <c r="X17" s="8">
        <v>0.416666666666667</v>
      </c>
      <c r="Y17" s="182" t="str">
        <f t="shared" si="1"/>
        <v>early</v>
      </c>
      <c r="Z17" s="182"/>
      <c r="AA17" s="182" t="str">
        <f t="shared" si="2"/>
        <v>early</v>
      </c>
    </row>
    <row r="18" customHeight="1" spans="1:27">
      <c r="A18" s="21">
        <v>10316650</v>
      </c>
      <c r="B18" s="21" t="s">
        <v>39</v>
      </c>
      <c r="C18" s="21" t="s">
        <v>20</v>
      </c>
      <c r="D18" s="21" t="s">
        <v>21</v>
      </c>
      <c r="E18" s="21" t="s">
        <v>22</v>
      </c>
      <c r="F18" s="21">
        <v>2</v>
      </c>
      <c r="G18" s="54">
        <v>0.375</v>
      </c>
      <c r="H18" s="54">
        <v>0.791666666666667</v>
      </c>
      <c r="I18" s="54">
        <v>0.375</v>
      </c>
      <c r="J18" s="54">
        <v>0.791666666666667</v>
      </c>
      <c r="K18" s="54">
        <v>0.375</v>
      </c>
      <c r="L18" s="54">
        <v>0.791666666666667</v>
      </c>
      <c r="M18" s="54">
        <v>0.375</v>
      </c>
      <c r="N18" s="54">
        <v>0.791666666666667</v>
      </c>
      <c r="O18" s="21" t="s">
        <v>23</v>
      </c>
      <c r="P18" s="54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v>45</v>
      </c>
      <c r="V18" s="7">
        <v>45</v>
      </c>
      <c r="W18" s="7">
        <v>7.105427357601e-15</v>
      </c>
      <c r="X18" s="8">
        <v>0.416666666666667</v>
      </c>
      <c r="Y18" s="182" t="str">
        <f t="shared" si="1"/>
        <v>early</v>
      </c>
      <c r="Z18" s="182"/>
      <c r="AA18" s="182" t="str">
        <f t="shared" si="2"/>
        <v>early</v>
      </c>
    </row>
    <row r="19" customHeight="1" spans="1:27">
      <c r="A19" s="21">
        <v>10316680</v>
      </c>
      <c r="B19" s="21" t="s">
        <v>40</v>
      </c>
      <c r="C19" s="21" t="s">
        <v>20</v>
      </c>
      <c r="D19" s="21" t="s">
        <v>21</v>
      </c>
      <c r="E19" s="21" t="s">
        <v>22</v>
      </c>
      <c r="F19" s="21">
        <v>1</v>
      </c>
      <c r="G19" s="21" t="s">
        <v>23</v>
      </c>
      <c r="H19" s="54" t="s">
        <v>23</v>
      </c>
      <c r="I19" s="54">
        <v>0.458333333333333</v>
      </c>
      <c r="J19" s="54">
        <v>0.875</v>
      </c>
      <c r="K19" s="54">
        <v>0.458333333333333</v>
      </c>
      <c r="L19" s="54">
        <v>0.875</v>
      </c>
      <c r="M19" s="54">
        <v>0.458333333333333</v>
      </c>
      <c r="N19" s="54">
        <v>0.875</v>
      </c>
      <c r="O19" s="54">
        <v>0.458333333333333</v>
      </c>
      <c r="P19" s="54">
        <v>0.875</v>
      </c>
      <c r="Q19" s="54">
        <v>0.458333333333333</v>
      </c>
      <c r="R19" s="54">
        <v>0.666666666666667</v>
      </c>
      <c r="S19" s="21" t="s">
        <v>23</v>
      </c>
      <c r="T19" s="21" t="s">
        <v>23</v>
      </c>
      <c r="U19" s="21">
        <v>45</v>
      </c>
      <c r="V19" s="7">
        <v>45</v>
      </c>
      <c r="W19" s="7">
        <v>-1.4210854715202e-14</v>
      </c>
      <c r="X19" s="8">
        <v>0.416666666666667</v>
      </c>
      <c r="Y19" s="182" t="str">
        <f t="shared" si="1"/>
        <v/>
      </c>
      <c r="Z19" s="182"/>
      <c r="AA19" s="182" t="str">
        <f t="shared" si="2"/>
        <v>late</v>
      </c>
    </row>
    <row r="20" customHeight="1" spans="1:27">
      <c r="A20" s="21">
        <v>10316543</v>
      </c>
      <c r="B20" s="21" t="s">
        <v>41</v>
      </c>
      <c r="C20" s="21" t="s">
        <v>20</v>
      </c>
      <c r="D20" s="21" t="s">
        <v>21</v>
      </c>
      <c r="E20" s="21" t="s">
        <v>22</v>
      </c>
      <c r="F20" s="21">
        <v>1</v>
      </c>
      <c r="G20" s="54">
        <v>0.458333333333333</v>
      </c>
      <c r="H20" s="54">
        <v>0.875</v>
      </c>
      <c r="I20" s="54">
        <v>0.458333333333333</v>
      </c>
      <c r="J20" s="54">
        <v>0.875</v>
      </c>
      <c r="K20" s="54">
        <v>0.458333333333333</v>
      </c>
      <c r="L20" s="54">
        <v>0.875</v>
      </c>
      <c r="M20" s="54">
        <v>0.458333333333333</v>
      </c>
      <c r="N20" s="54">
        <v>0.875</v>
      </c>
      <c r="O20" s="21" t="s">
        <v>23</v>
      </c>
      <c r="P20" s="54" t="s">
        <v>23</v>
      </c>
      <c r="Q20" s="21" t="s">
        <v>23</v>
      </c>
      <c r="R20" s="21" t="s">
        <v>23</v>
      </c>
      <c r="S20" s="54">
        <v>0.458333333333333</v>
      </c>
      <c r="T20" s="54">
        <v>0.666666666666667</v>
      </c>
      <c r="U20" s="21">
        <v>45</v>
      </c>
      <c r="V20" s="7">
        <v>45</v>
      </c>
      <c r="W20" s="7">
        <v>-1.4210854715202e-14</v>
      </c>
      <c r="X20" s="8">
        <v>0.416666666666667</v>
      </c>
      <c r="Y20" s="182" t="str">
        <f t="shared" si="1"/>
        <v>late</v>
      </c>
      <c r="Z20" s="182"/>
      <c r="AA20" s="182" t="str">
        <f t="shared" si="2"/>
        <v>late</v>
      </c>
    </row>
    <row r="21" customHeight="1" spans="1:27">
      <c r="A21" s="21">
        <v>10317153</v>
      </c>
      <c r="B21" s="21" t="s">
        <v>42</v>
      </c>
      <c r="C21" s="21" t="s">
        <v>20</v>
      </c>
      <c r="D21" s="21" t="s">
        <v>21</v>
      </c>
      <c r="E21" s="21" t="s">
        <v>22</v>
      </c>
      <c r="F21" s="21">
        <v>1</v>
      </c>
      <c r="G21" s="21" t="s">
        <v>23</v>
      </c>
      <c r="H21" s="54" t="s">
        <v>23</v>
      </c>
      <c r="I21" s="54">
        <v>0.375</v>
      </c>
      <c r="J21" s="54">
        <v>0.791666666666667</v>
      </c>
      <c r="K21" s="54">
        <v>0.375</v>
      </c>
      <c r="L21" s="54">
        <v>0.791666666666667</v>
      </c>
      <c r="M21" s="54">
        <v>0.375</v>
      </c>
      <c r="N21" s="54">
        <v>0.791666666666667</v>
      </c>
      <c r="O21" s="54">
        <v>0.375</v>
      </c>
      <c r="P21" s="54">
        <v>0.791666666666667</v>
      </c>
      <c r="Q21" s="54">
        <v>0.458333333333333</v>
      </c>
      <c r="R21" s="54">
        <v>0.666666666666667</v>
      </c>
      <c r="S21" s="21" t="s">
        <v>23</v>
      </c>
      <c r="T21" s="21" t="s">
        <v>23</v>
      </c>
      <c r="U21" s="21">
        <v>45</v>
      </c>
      <c r="V21" s="7">
        <v>45</v>
      </c>
      <c r="W21" s="7">
        <v>-7.105427357601e-15</v>
      </c>
      <c r="X21" s="8">
        <v>0.416666666666667</v>
      </c>
      <c r="Y21" s="182" t="str">
        <f t="shared" si="1"/>
        <v/>
      </c>
      <c r="Z21" s="182"/>
      <c r="AA21" s="182" t="str">
        <f t="shared" si="2"/>
        <v>early</v>
      </c>
    </row>
    <row r="22" customHeight="1" spans="1:27">
      <c r="A22" s="21">
        <v>10252106</v>
      </c>
      <c r="B22" s="21" t="s">
        <v>43</v>
      </c>
      <c r="C22" s="21" t="s">
        <v>20</v>
      </c>
      <c r="D22" s="21" t="s">
        <v>21</v>
      </c>
      <c r="E22" s="21" t="s">
        <v>22</v>
      </c>
      <c r="F22" s="21">
        <v>2</v>
      </c>
      <c r="G22" s="21" t="s">
        <v>23</v>
      </c>
      <c r="H22" s="54" t="s">
        <v>23</v>
      </c>
      <c r="I22" s="54">
        <v>0.375</v>
      </c>
      <c r="J22" s="54">
        <v>0.75</v>
      </c>
      <c r="K22" s="21" t="s">
        <v>23</v>
      </c>
      <c r="L22" s="54" t="s">
        <v>23</v>
      </c>
      <c r="M22" s="54">
        <v>0.375</v>
      </c>
      <c r="N22" s="54">
        <v>0.75</v>
      </c>
      <c r="O22" s="54">
        <v>0.375</v>
      </c>
      <c r="P22" s="54">
        <v>0.75</v>
      </c>
      <c r="Q22" s="54">
        <v>0.458333333333333</v>
      </c>
      <c r="R22" s="54">
        <v>0.666666666666667</v>
      </c>
      <c r="S22" s="54">
        <v>0.458333333333333</v>
      </c>
      <c r="T22" s="54">
        <v>0.666666666666667</v>
      </c>
      <c r="U22" s="21">
        <v>37</v>
      </c>
      <c r="V22" s="7">
        <v>37</v>
      </c>
      <c r="W22" s="7">
        <v>0</v>
      </c>
      <c r="X22" s="8">
        <v>0.375</v>
      </c>
      <c r="Y22" s="182" t="str">
        <f t="shared" si="1"/>
        <v/>
      </c>
      <c r="Z22" s="182"/>
      <c r="AA22" s="182" t="str">
        <f t="shared" si="2"/>
        <v>early</v>
      </c>
    </row>
    <row r="23" customHeight="1" spans="1:27">
      <c r="A23" s="21">
        <v>10316538</v>
      </c>
      <c r="B23" s="21" t="s">
        <v>44</v>
      </c>
      <c r="C23" s="21" t="s">
        <v>20</v>
      </c>
      <c r="D23" s="21" t="s">
        <v>21</v>
      </c>
      <c r="E23" s="21" t="s">
        <v>22</v>
      </c>
      <c r="F23" s="21"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54" t="s">
        <v>23</v>
      </c>
      <c r="M23" s="21" t="s">
        <v>23</v>
      </c>
      <c r="N23" s="54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v>37</v>
      </c>
      <c r="V23" s="7">
        <v>37</v>
      </c>
      <c r="W23" s="7">
        <v>0</v>
      </c>
      <c r="X23" s="8">
        <v>0.375</v>
      </c>
      <c r="Y23" s="182" t="str">
        <f t="shared" si="1"/>
        <v>late</v>
      </c>
      <c r="Z23" s="182"/>
      <c r="AA23" s="182" t="str">
        <f t="shared" si="2"/>
        <v>late</v>
      </c>
    </row>
    <row r="24" customHeight="1" spans="1:27">
      <c r="A24" s="21">
        <v>10316545</v>
      </c>
      <c r="B24" s="21" t="s">
        <v>45</v>
      </c>
      <c r="C24" s="21" t="s">
        <v>20</v>
      </c>
      <c r="D24" s="21" t="s">
        <v>21</v>
      </c>
      <c r="E24" s="21" t="s">
        <v>22</v>
      </c>
      <c r="F24" s="21">
        <v>1</v>
      </c>
      <c r="G24" s="21" t="s">
        <v>23</v>
      </c>
      <c r="H24" s="54" t="s">
        <v>23</v>
      </c>
      <c r="I24" s="54">
        <v>0.375</v>
      </c>
      <c r="J24" s="54">
        <v>0.791666666666667</v>
      </c>
      <c r="K24" s="54">
        <v>0.375</v>
      </c>
      <c r="L24" s="54">
        <v>0.791666666666667</v>
      </c>
      <c r="M24" s="54">
        <v>0.375</v>
      </c>
      <c r="N24" s="54">
        <v>0.791666666666667</v>
      </c>
      <c r="O24" s="54">
        <v>0.375</v>
      </c>
      <c r="P24" s="54">
        <v>0.791666666666667</v>
      </c>
      <c r="Q24" s="54">
        <v>0.458333333333333</v>
      </c>
      <c r="R24" s="54">
        <v>0.666666666666667</v>
      </c>
      <c r="S24" s="21" t="s">
        <v>23</v>
      </c>
      <c r="T24" s="21" t="s">
        <v>23</v>
      </c>
      <c r="U24" s="21">
        <v>45</v>
      </c>
      <c r="V24" s="7">
        <v>45</v>
      </c>
      <c r="W24" s="7">
        <v>-7.105427357601e-15</v>
      </c>
      <c r="X24" s="8">
        <v>0.416666666666667</v>
      </c>
      <c r="Y24" s="182" t="str">
        <f t="shared" si="1"/>
        <v/>
      </c>
      <c r="Z24" s="182"/>
      <c r="AA24" s="182" t="str">
        <f t="shared" si="2"/>
        <v>early</v>
      </c>
    </row>
    <row r="25" customHeight="1" spans="1:27">
      <c r="A25" s="21">
        <v>10316572</v>
      </c>
      <c r="B25" s="21" t="s">
        <v>46</v>
      </c>
      <c r="C25" s="21" t="s">
        <v>20</v>
      </c>
      <c r="D25" s="21" t="s">
        <v>21</v>
      </c>
      <c r="E25" s="21" t="s">
        <v>22</v>
      </c>
      <c r="F25" s="21">
        <v>2</v>
      </c>
      <c r="G25" s="54">
        <v>0.458333333333333</v>
      </c>
      <c r="H25" s="54">
        <v>0.875</v>
      </c>
      <c r="I25" s="54">
        <v>0.458333333333333</v>
      </c>
      <c r="J25" s="54">
        <v>0.875</v>
      </c>
      <c r="K25" s="54">
        <v>0.458333333333333</v>
      </c>
      <c r="L25" s="54">
        <v>0.875</v>
      </c>
      <c r="M25" s="54">
        <v>0.458333333333333</v>
      </c>
      <c r="N25" s="54">
        <v>0.875</v>
      </c>
      <c r="O25" s="21" t="s">
        <v>23</v>
      </c>
      <c r="P25" s="54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v>45</v>
      </c>
      <c r="V25" s="7">
        <v>45</v>
      </c>
      <c r="W25" s="7">
        <v>-1.4210854715202e-14</v>
      </c>
      <c r="X25" s="8">
        <v>0.416666666666667</v>
      </c>
      <c r="Y25" s="182" t="str">
        <f t="shared" si="1"/>
        <v>late</v>
      </c>
      <c r="Z25" s="182"/>
      <c r="AA25" s="182" t="str">
        <f t="shared" si="2"/>
        <v>late</v>
      </c>
    </row>
    <row r="26" customHeight="1" spans="1:27">
      <c r="A26" s="21">
        <v>10316685</v>
      </c>
      <c r="B26" s="21" t="s">
        <v>47</v>
      </c>
      <c r="C26" s="21" t="s">
        <v>20</v>
      </c>
      <c r="D26" s="21" t="s">
        <v>21</v>
      </c>
      <c r="E26" s="21" t="s">
        <v>22</v>
      </c>
      <c r="F26" s="21">
        <v>1</v>
      </c>
      <c r="G26" s="21" t="s">
        <v>23</v>
      </c>
      <c r="H26" s="54" t="s">
        <v>23</v>
      </c>
      <c r="I26" s="54">
        <v>0.458333333333333</v>
      </c>
      <c r="J26" s="54">
        <v>0.875</v>
      </c>
      <c r="K26" s="54">
        <v>0.458333333333333</v>
      </c>
      <c r="L26" s="54">
        <v>0.875</v>
      </c>
      <c r="M26" s="54">
        <v>0.458333333333333</v>
      </c>
      <c r="N26" s="54">
        <v>0.875</v>
      </c>
      <c r="O26" s="54">
        <v>0.458333333333333</v>
      </c>
      <c r="P26" s="54">
        <v>0.875</v>
      </c>
      <c r="Q26" s="54">
        <v>0.458333333333333</v>
      </c>
      <c r="R26" s="54">
        <v>0.666666666666667</v>
      </c>
      <c r="S26" s="21" t="s">
        <v>23</v>
      </c>
      <c r="T26" s="21" t="s">
        <v>23</v>
      </c>
      <c r="U26" s="21">
        <v>45</v>
      </c>
      <c r="V26" s="7">
        <v>45</v>
      </c>
      <c r="W26" s="7">
        <v>-1.4210854715202e-14</v>
      </c>
      <c r="X26" s="8">
        <v>0.416666666666667</v>
      </c>
      <c r="Y26" s="182" t="str">
        <f t="shared" si="1"/>
        <v/>
      </c>
      <c r="Z26" s="182"/>
      <c r="AA26" s="182" t="str">
        <f t="shared" si="2"/>
        <v>late</v>
      </c>
    </row>
    <row r="27" customHeight="1" spans="1:27">
      <c r="A27" s="21">
        <v>10274446</v>
      </c>
      <c r="B27" s="21" t="s">
        <v>48</v>
      </c>
      <c r="C27" s="21" t="s">
        <v>20</v>
      </c>
      <c r="D27" s="21" t="s">
        <v>21</v>
      </c>
      <c r="E27" s="21" t="s">
        <v>22</v>
      </c>
      <c r="F27" s="21">
        <v>2</v>
      </c>
      <c r="G27" s="54">
        <v>0.5</v>
      </c>
      <c r="H27" s="54">
        <v>0.875</v>
      </c>
      <c r="I27" s="54">
        <v>0.5</v>
      </c>
      <c r="J27" s="54">
        <v>0.875</v>
      </c>
      <c r="K27" s="21" t="s">
        <v>23</v>
      </c>
      <c r="L27" s="54" t="s">
        <v>23</v>
      </c>
      <c r="M27" s="21" t="s">
        <v>23</v>
      </c>
      <c r="N27" s="54" t="s">
        <v>23</v>
      </c>
      <c r="O27" s="54">
        <v>0.5</v>
      </c>
      <c r="P27" s="54">
        <v>0.875</v>
      </c>
      <c r="Q27" s="54">
        <v>0.458333333333333</v>
      </c>
      <c r="R27" s="54">
        <v>0.666666666666667</v>
      </c>
      <c r="S27" s="54">
        <v>0.458333333333333</v>
      </c>
      <c r="T27" s="54">
        <v>0.666666666666667</v>
      </c>
      <c r="U27" s="21">
        <v>37</v>
      </c>
      <c r="V27" s="7">
        <v>37</v>
      </c>
      <c r="W27" s="7">
        <v>0</v>
      </c>
      <c r="X27" s="8">
        <v>0.375</v>
      </c>
      <c r="Y27" s="182" t="str">
        <f t="shared" si="1"/>
        <v>late</v>
      </c>
      <c r="Z27" s="182"/>
      <c r="AA27" s="182" t="str">
        <f t="shared" si="2"/>
        <v>late</v>
      </c>
    </row>
    <row r="28" customHeight="1" spans="1:27">
      <c r="A28" s="21">
        <v>10316546</v>
      </c>
      <c r="B28" s="86" t="s">
        <v>49</v>
      </c>
      <c r="C28" s="21" t="s">
        <v>20</v>
      </c>
      <c r="D28" s="21" t="s">
        <v>21</v>
      </c>
      <c r="E28" s="21" t="s">
        <v>22</v>
      </c>
      <c r="F28" s="21">
        <v>1</v>
      </c>
      <c r="G28" s="54">
        <v>0.375</v>
      </c>
      <c r="H28" s="54">
        <v>0.791666666666667</v>
      </c>
      <c r="I28" s="54">
        <v>0.375</v>
      </c>
      <c r="J28" s="54">
        <v>0.791666666666667</v>
      </c>
      <c r="K28" s="54">
        <v>0.375</v>
      </c>
      <c r="L28" s="54">
        <v>0.791666666666667</v>
      </c>
      <c r="M28" s="54">
        <v>0.375</v>
      </c>
      <c r="N28" s="54">
        <v>0.791666666666667</v>
      </c>
      <c r="O28" s="21" t="s">
        <v>23</v>
      </c>
      <c r="P28" s="54" t="s">
        <v>23</v>
      </c>
      <c r="Q28" s="21" t="s">
        <v>23</v>
      </c>
      <c r="R28" s="54" t="s">
        <v>23</v>
      </c>
      <c r="S28" s="54">
        <v>0.458333333333333</v>
      </c>
      <c r="T28" s="54">
        <v>0.666666666666667</v>
      </c>
      <c r="U28" s="21">
        <v>45</v>
      </c>
      <c r="V28" s="7">
        <v>45</v>
      </c>
      <c r="W28" s="7">
        <v>7.105427357601e-15</v>
      </c>
      <c r="X28" s="8">
        <v>0.416666666666667</v>
      </c>
      <c r="Y28" s="182" t="str">
        <f t="shared" si="1"/>
        <v>early</v>
      </c>
      <c r="Z28" s="182"/>
      <c r="AA28" s="182" t="str">
        <f t="shared" si="2"/>
        <v>early</v>
      </c>
    </row>
    <row r="29" customHeight="1" spans="1:27">
      <c r="A29" s="21">
        <v>10316551</v>
      </c>
      <c r="B29" s="86" t="s">
        <v>50</v>
      </c>
      <c r="C29" s="21" t="s">
        <v>20</v>
      </c>
      <c r="D29" s="21" t="s">
        <v>21</v>
      </c>
      <c r="E29" s="21" t="s">
        <v>22</v>
      </c>
      <c r="F29" s="21">
        <v>1</v>
      </c>
      <c r="G29" s="54">
        <v>0.375</v>
      </c>
      <c r="H29" s="54">
        <v>0.791666666666667</v>
      </c>
      <c r="I29" s="54">
        <v>0.375</v>
      </c>
      <c r="J29" s="54">
        <v>0.791666666666667</v>
      </c>
      <c r="K29" s="54">
        <v>0.375</v>
      </c>
      <c r="L29" s="54">
        <v>0.791666666666667</v>
      </c>
      <c r="M29" s="54">
        <v>0.375</v>
      </c>
      <c r="N29" s="54">
        <v>0.791666666666667</v>
      </c>
      <c r="O29" s="21" t="s">
        <v>23</v>
      </c>
      <c r="P29" s="54" t="s">
        <v>23</v>
      </c>
      <c r="Q29" s="21" t="s">
        <v>23</v>
      </c>
      <c r="R29" s="54" t="s">
        <v>23</v>
      </c>
      <c r="S29" s="54">
        <v>0.458333333333333</v>
      </c>
      <c r="T29" s="54">
        <v>0.666666666666667</v>
      </c>
      <c r="U29" s="21">
        <v>45</v>
      </c>
      <c r="V29" s="7">
        <v>45</v>
      </c>
      <c r="W29" s="7">
        <v>7.105427357601e-15</v>
      </c>
      <c r="X29" s="8">
        <v>0.416666666666667</v>
      </c>
      <c r="Y29" s="182" t="str">
        <f t="shared" si="1"/>
        <v>early</v>
      </c>
      <c r="Z29" s="182"/>
      <c r="AA29" s="182" t="str">
        <f t="shared" si="2"/>
        <v>early</v>
      </c>
    </row>
    <row r="30" customHeight="1" spans="1:27">
      <c r="A30" s="21">
        <v>10316683</v>
      </c>
      <c r="B30" s="86" t="s">
        <v>51</v>
      </c>
      <c r="C30" s="21" t="s">
        <v>20</v>
      </c>
      <c r="D30" s="21" t="s">
        <v>21</v>
      </c>
      <c r="E30" s="21" t="s">
        <v>22</v>
      </c>
      <c r="F30" s="21">
        <v>1</v>
      </c>
      <c r="G30" s="21" t="s">
        <v>23</v>
      </c>
      <c r="H30" s="54" t="s">
        <v>23</v>
      </c>
      <c r="I30" s="54">
        <v>0.375</v>
      </c>
      <c r="J30" s="54">
        <v>0.791666666666667</v>
      </c>
      <c r="K30" s="54">
        <v>0.375</v>
      </c>
      <c r="L30" s="54">
        <v>0.791666666666667</v>
      </c>
      <c r="M30" s="54">
        <v>0.375</v>
      </c>
      <c r="N30" s="54">
        <v>0.791666666666667</v>
      </c>
      <c r="O30" s="54">
        <v>0.375</v>
      </c>
      <c r="P30" s="54">
        <v>0.791666666666667</v>
      </c>
      <c r="Q30" s="54">
        <v>0.458333333333333</v>
      </c>
      <c r="R30" s="54">
        <v>0.666666666666667</v>
      </c>
      <c r="S30" s="21" t="s">
        <v>23</v>
      </c>
      <c r="T30" s="21" t="s">
        <v>23</v>
      </c>
      <c r="U30" s="21">
        <v>45</v>
      </c>
      <c r="V30" s="7">
        <v>45</v>
      </c>
      <c r="W30" s="7">
        <v>1.4210854715202e-14</v>
      </c>
      <c r="X30" s="8">
        <v>0.416666666666667</v>
      </c>
      <c r="Y30" s="182" t="str">
        <f t="shared" si="1"/>
        <v/>
      </c>
      <c r="Z30" s="182"/>
      <c r="AA30" s="182" t="str">
        <f t="shared" si="2"/>
        <v>early</v>
      </c>
    </row>
    <row r="31" customHeight="1" spans="1:27">
      <c r="A31" s="21">
        <v>10317151</v>
      </c>
      <c r="B31" s="86" t="s">
        <v>52</v>
      </c>
      <c r="C31" s="21" t="s">
        <v>20</v>
      </c>
      <c r="D31" s="21" t="s">
        <v>21</v>
      </c>
      <c r="E31" s="21" t="s">
        <v>22</v>
      </c>
      <c r="F31" s="21">
        <v>1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v>45</v>
      </c>
      <c r="V31" s="7">
        <v>45</v>
      </c>
      <c r="W31" s="7">
        <v>0</v>
      </c>
      <c r="X31" s="8">
        <v>0.416666666666667</v>
      </c>
      <c r="Y31" s="182" t="str">
        <f t="shared" si="1"/>
        <v>early</v>
      </c>
      <c r="Z31" s="182"/>
      <c r="AA31" s="182" t="str">
        <f t="shared" si="2"/>
        <v>early</v>
      </c>
    </row>
    <row r="32" customHeight="1" spans="1:27">
      <c r="A32" s="21">
        <v>10317524</v>
      </c>
      <c r="B32" s="86" t="s">
        <v>53</v>
      </c>
      <c r="C32" s="21" t="s">
        <v>20</v>
      </c>
      <c r="D32" s="21" t="s">
        <v>21</v>
      </c>
      <c r="E32" s="21" t="s">
        <v>22</v>
      </c>
      <c r="F32" s="21">
        <v>2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54" t="s">
        <v>23</v>
      </c>
      <c r="S32" s="21" t="s">
        <v>23</v>
      </c>
      <c r="T32" s="21" t="s">
        <v>23</v>
      </c>
      <c r="U32" s="21">
        <v>45</v>
      </c>
      <c r="V32" s="7">
        <v>45</v>
      </c>
      <c r="W32" s="7">
        <v>0</v>
      </c>
      <c r="X32" s="8">
        <v>0.375</v>
      </c>
      <c r="Y32" s="182" t="str">
        <f t="shared" si="1"/>
        <v>early</v>
      </c>
      <c r="Z32" s="182"/>
      <c r="AA32" s="182" t="str">
        <f t="shared" si="2"/>
        <v>early</v>
      </c>
    </row>
    <row r="33" customHeight="1" spans="1:27">
      <c r="A33" s="86">
        <v>10276839</v>
      </c>
      <c r="B33" s="51" t="s">
        <v>54</v>
      </c>
      <c r="C33" s="21" t="s">
        <v>20</v>
      </c>
      <c r="D33" s="21" t="s">
        <v>21</v>
      </c>
      <c r="E33" s="21" t="s">
        <v>22</v>
      </c>
      <c r="F33" s="21">
        <v>2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v>45</v>
      </c>
      <c r="V33" s="7">
        <v>45</v>
      </c>
      <c r="W33" s="7">
        <v>0</v>
      </c>
      <c r="X33" s="8">
        <v>0.375</v>
      </c>
      <c r="Y33" s="182" t="str">
        <f t="shared" si="1"/>
        <v>early</v>
      </c>
      <c r="Z33" s="182"/>
      <c r="AA33" s="182" t="str">
        <f t="shared" si="2"/>
        <v>early</v>
      </c>
    </row>
    <row r="34" customHeight="1" spans="1:27">
      <c r="A34" s="86">
        <v>10320407</v>
      </c>
      <c r="B34" s="51" t="s">
        <v>55</v>
      </c>
      <c r="C34" s="21" t="s">
        <v>20</v>
      </c>
      <c r="D34" s="21" t="s">
        <v>21</v>
      </c>
      <c r="E34" s="21" t="s">
        <v>22</v>
      </c>
      <c r="F34" s="87">
        <v>3</v>
      </c>
      <c r="G34" s="54">
        <v>0.375</v>
      </c>
      <c r="H34" s="54">
        <v>0.75</v>
      </c>
      <c r="I34" s="54">
        <v>0.375</v>
      </c>
      <c r="J34" s="54">
        <v>0.75</v>
      </c>
      <c r="K34" s="54">
        <v>0.375</v>
      </c>
      <c r="L34" s="54">
        <v>0.75</v>
      </c>
      <c r="M34" s="54">
        <v>0.375</v>
      </c>
      <c r="N34" s="54">
        <v>0.75</v>
      </c>
      <c r="O34" s="54">
        <v>0.375</v>
      </c>
      <c r="P34" s="54">
        <v>0.75</v>
      </c>
      <c r="Q34" s="21" t="s">
        <v>23</v>
      </c>
      <c r="R34" s="21" t="s">
        <v>23</v>
      </c>
      <c r="S34" s="21" t="s">
        <v>23</v>
      </c>
      <c r="T34" s="21" t="s">
        <v>23</v>
      </c>
      <c r="U34" s="21">
        <v>45</v>
      </c>
      <c r="V34" s="7">
        <v>45</v>
      </c>
      <c r="W34" s="7"/>
      <c r="X34" s="7"/>
      <c r="Y34" s="17"/>
      <c r="Z34" s="17"/>
      <c r="AA34" s="182" t="str">
        <f t="shared" si="2"/>
        <v>early</v>
      </c>
    </row>
    <row r="35" customHeight="1" spans="1:27">
      <c r="A35" s="86">
        <v>10320408</v>
      </c>
      <c r="B35" s="51" t="s">
        <v>56</v>
      </c>
      <c r="C35" s="21" t="s">
        <v>20</v>
      </c>
      <c r="D35" s="21" t="s">
        <v>21</v>
      </c>
      <c r="E35" s="21" t="s">
        <v>22</v>
      </c>
      <c r="F35" s="87">
        <v>3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v>45</v>
      </c>
      <c r="V35" s="7">
        <v>45</v>
      </c>
      <c r="W35" s="7"/>
      <c r="X35" s="7"/>
      <c r="Y35" s="17"/>
      <c r="Z35" s="17"/>
      <c r="AA35" s="182" t="str">
        <f t="shared" si="2"/>
        <v>early</v>
      </c>
    </row>
    <row r="36" customHeight="1" spans="1:27">
      <c r="A36" s="86">
        <v>10320409</v>
      </c>
      <c r="B36" s="51" t="s">
        <v>57</v>
      </c>
      <c r="C36" s="21" t="s">
        <v>20</v>
      </c>
      <c r="D36" s="21" t="s">
        <v>21</v>
      </c>
      <c r="E36" s="21" t="s">
        <v>22</v>
      </c>
      <c r="F36" s="87">
        <v>3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21" t="s">
        <v>23</v>
      </c>
      <c r="S36" s="21" t="s">
        <v>23</v>
      </c>
      <c r="T36" s="21" t="s">
        <v>23</v>
      </c>
      <c r="U36" s="21">
        <v>45</v>
      </c>
      <c r="V36" s="7">
        <v>45</v>
      </c>
      <c r="W36" s="90"/>
      <c r="X36" s="90"/>
      <c r="AA36" s="182" t="str">
        <f t="shared" si="2"/>
        <v>early</v>
      </c>
    </row>
    <row r="37" customHeight="1" spans="1:27">
      <c r="A37" s="86">
        <v>10320410</v>
      </c>
      <c r="B37" s="51" t="s">
        <v>58</v>
      </c>
      <c r="C37" s="21" t="s">
        <v>20</v>
      </c>
      <c r="D37" s="21" t="s">
        <v>21</v>
      </c>
      <c r="E37" s="21" t="s">
        <v>22</v>
      </c>
      <c r="F37" s="87"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v>45</v>
      </c>
      <c r="V37" s="7">
        <v>45</v>
      </c>
      <c r="W37" s="90"/>
      <c r="X37" s="90"/>
      <c r="AA37" s="182" t="str">
        <f t="shared" si="2"/>
        <v>early</v>
      </c>
    </row>
    <row r="38" customHeight="1" spans="1:27">
      <c r="A38" s="86">
        <v>10320412</v>
      </c>
      <c r="B38" s="51" t="s">
        <v>59</v>
      </c>
      <c r="C38" s="21" t="s">
        <v>20</v>
      </c>
      <c r="D38" s="21" t="s">
        <v>21</v>
      </c>
      <c r="E38" s="21" t="s">
        <v>22</v>
      </c>
      <c r="F38" s="87">
        <v>3</v>
      </c>
      <c r="G38" s="54">
        <v>0.375</v>
      </c>
      <c r="H38" s="54">
        <v>0.75</v>
      </c>
      <c r="I38" s="54">
        <v>0.375</v>
      </c>
      <c r="J38" s="54">
        <v>0.75</v>
      </c>
      <c r="K38" s="54">
        <v>0.375</v>
      </c>
      <c r="L38" s="54">
        <v>0.75</v>
      </c>
      <c r="M38" s="54">
        <v>0.375</v>
      </c>
      <c r="N38" s="54">
        <v>0.75</v>
      </c>
      <c r="O38" s="54">
        <v>0.375</v>
      </c>
      <c r="P38" s="54">
        <v>0.75</v>
      </c>
      <c r="Q38" s="21" t="s">
        <v>23</v>
      </c>
      <c r="R38" s="21" t="s">
        <v>23</v>
      </c>
      <c r="S38" s="21" t="s">
        <v>23</v>
      </c>
      <c r="T38" s="21" t="s">
        <v>23</v>
      </c>
      <c r="U38" s="21">
        <v>45</v>
      </c>
      <c r="V38" s="7">
        <v>45</v>
      </c>
      <c r="W38" s="90"/>
      <c r="X38" s="90"/>
      <c r="AA38" s="182" t="str">
        <f t="shared" si="2"/>
        <v>early</v>
      </c>
    </row>
    <row r="39" customHeight="1" spans="1:27">
      <c r="A39" s="86">
        <v>10320413</v>
      </c>
      <c r="B39" s="51" t="s">
        <v>60</v>
      </c>
      <c r="C39" s="21" t="s">
        <v>20</v>
      </c>
      <c r="D39" s="21" t="s">
        <v>21</v>
      </c>
      <c r="E39" s="21" t="s">
        <v>22</v>
      </c>
      <c r="F39" s="87">
        <v>3</v>
      </c>
      <c r="G39" s="54">
        <v>0.375</v>
      </c>
      <c r="H39" s="54">
        <v>0.75</v>
      </c>
      <c r="I39" s="54">
        <v>0.375</v>
      </c>
      <c r="J39" s="54">
        <v>0.75</v>
      </c>
      <c r="K39" s="54">
        <v>0.375</v>
      </c>
      <c r="L39" s="54">
        <v>0.75</v>
      </c>
      <c r="M39" s="54">
        <v>0.375</v>
      </c>
      <c r="N39" s="54">
        <v>0.75</v>
      </c>
      <c r="O39" s="54">
        <v>0.375</v>
      </c>
      <c r="P39" s="54">
        <v>0.75</v>
      </c>
      <c r="Q39" s="21" t="s">
        <v>23</v>
      </c>
      <c r="R39" s="21" t="s">
        <v>23</v>
      </c>
      <c r="S39" s="21" t="s">
        <v>23</v>
      </c>
      <c r="T39" s="21" t="s">
        <v>23</v>
      </c>
      <c r="U39" s="21">
        <v>45</v>
      </c>
      <c r="V39" s="7">
        <v>45</v>
      </c>
      <c r="W39" s="90"/>
      <c r="X39" s="90"/>
      <c r="AA39" s="182" t="str">
        <f t="shared" si="2"/>
        <v>early</v>
      </c>
    </row>
    <row r="40" customHeight="1" spans="1:27">
      <c r="A40" s="86">
        <v>10250966</v>
      </c>
      <c r="B40" s="51" t="s">
        <v>61</v>
      </c>
      <c r="C40" s="21" t="s">
        <v>20</v>
      </c>
      <c r="D40" s="21" t="s">
        <v>21</v>
      </c>
      <c r="E40" s="21" t="s">
        <v>22</v>
      </c>
      <c r="F40" s="87">
        <v>3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v>45</v>
      </c>
      <c r="V40" s="7">
        <v>45</v>
      </c>
      <c r="W40" s="90"/>
      <c r="X40" s="90"/>
      <c r="AA40" s="182" t="str">
        <f t="shared" si="2"/>
        <v>early</v>
      </c>
    </row>
    <row r="41" customHeight="1" spans="1:27">
      <c r="A41" s="86">
        <v>10320414</v>
      </c>
      <c r="B41" s="51" t="s">
        <v>62</v>
      </c>
      <c r="C41" s="21" t="s">
        <v>20</v>
      </c>
      <c r="D41" s="21" t="s">
        <v>21</v>
      </c>
      <c r="E41" s="21" t="s">
        <v>22</v>
      </c>
      <c r="F41" s="87"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v>45</v>
      </c>
      <c r="V41" s="7">
        <v>45</v>
      </c>
      <c r="W41" s="7"/>
      <c r="X41" s="7"/>
      <c r="Y41" s="17"/>
      <c r="Z41" s="17"/>
      <c r="AA41" s="182" t="str">
        <f t="shared" si="2"/>
        <v>early</v>
      </c>
    </row>
    <row r="42" customHeight="1" spans="1:27">
      <c r="A42" s="86">
        <v>10320415</v>
      </c>
      <c r="B42" s="51" t="s">
        <v>63</v>
      </c>
      <c r="C42" s="21" t="s">
        <v>20</v>
      </c>
      <c r="D42" s="21" t="s">
        <v>21</v>
      </c>
      <c r="E42" s="21" t="s">
        <v>22</v>
      </c>
      <c r="F42" s="87">
        <v>3</v>
      </c>
      <c r="G42" s="54">
        <v>0.375</v>
      </c>
      <c r="H42" s="54">
        <v>0.75</v>
      </c>
      <c r="I42" s="54">
        <v>0.375</v>
      </c>
      <c r="J42" s="54">
        <v>0.75</v>
      </c>
      <c r="K42" s="54">
        <v>0.375</v>
      </c>
      <c r="L42" s="54">
        <v>0.75</v>
      </c>
      <c r="M42" s="54">
        <v>0.375</v>
      </c>
      <c r="N42" s="54">
        <v>0.75</v>
      </c>
      <c r="O42" s="54">
        <v>0.375</v>
      </c>
      <c r="P42" s="54">
        <v>0.75</v>
      </c>
      <c r="Q42" s="21" t="s">
        <v>23</v>
      </c>
      <c r="R42" s="21" t="s">
        <v>23</v>
      </c>
      <c r="S42" s="21" t="s">
        <v>23</v>
      </c>
      <c r="T42" s="21" t="s">
        <v>23</v>
      </c>
      <c r="U42" s="21">
        <v>45</v>
      </c>
      <c r="V42" s="7">
        <v>45</v>
      </c>
      <c r="W42" s="7"/>
      <c r="X42" s="7"/>
      <c r="Y42" s="17"/>
      <c r="Z42" s="17"/>
      <c r="AA42" s="182" t="str">
        <f t="shared" si="2"/>
        <v>early</v>
      </c>
    </row>
    <row r="43" customHeight="1" spans="1:27">
      <c r="A43" s="86">
        <v>10293627</v>
      </c>
      <c r="B43" s="51" t="s">
        <v>64</v>
      </c>
      <c r="C43" s="21" t="s">
        <v>20</v>
      </c>
      <c r="D43" s="21" t="s">
        <v>21</v>
      </c>
      <c r="E43" s="21" t="s">
        <v>22</v>
      </c>
      <c r="F43" s="87">
        <v>3</v>
      </c>
      <c r="G43" s="54">
        <v>0.375</v>
      </c>
      <c r="H43" s="54">
        <v>0.75</v>
      </c>
      <c r="I43" s="54">
        <v>0.375</v>
      </c>
      <c r="J43" s="54">
        <v>0.75</v>
      </c>
      <c r="K43" s="54">
        <v>0.375</v>
      </c>
      <c r="L43" s="54">
        <v>0.75</v>
      </c>
      <c r="M43" s="54">
        <v>0.375</v>
      </c>
      <c r="N43" s="54">
        <v>0.75</v>
      </c>
      <c r="O43" s="54">
        <v>0.375</v>
      </c>
      <c r="P43" s="54">
        <v>0.75</v>
      </c>
      <c r="Q43" s="21" t="s">
        <v>23</v>
      </c>
      <c r="R43" s="21" t="s">
        <v>23</v>
      </c>
      <c r="S43" s="21" t="s">
        <v>23</v>
      </c>
      <c r="T43" s="21" t="s">
        <v>23</v>
      </c>
      <c r="U43" s="21">
        <v>45</v>
      </c>
      <c r="V43" s="7">
        <v>45</v>
      </c>
      <c r="W43" s="7"/>
      <c r="X43" s="7"/>
      <c r="Y43" s="17"/>
      <c r="Z43" s="17"/>
      <c r="AA43" s="182" t="str">
        <f t="shared" si="2"/>
        <v>early</v>
      </c>
    </row>
    <row r="44" customHeight="1" spans="1:27">
      <c r="A44" s="86">
        <v>10293607</v>
      </c>
      <c r="B44" s="51" t="s">
        <v>65</v>
      </c>
      <c r="C44" s="21" t="s">
        <v>20</v>
      </c>
      <c r="D44" s="21" t="s">
        <v>21</v>
      </c>
      <c r="E44" s="21" t="s">
        <v>22</v>
      </c>
      <c r="F44" s="87">
        <v>3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v>45</v>
      </c>
      <c r="V44" s="7">
        <v>45</v>
      </c>
      <c r="W44" s="7"/>
      <c r="X44" s="7"/>
      <c r="Y44" s="17"/>
      <c r="Z44" s="17"/>
      <c r="AA44" s="182" t="str">
        <f t="shared" si="2"/>
        <v>early</v>
      </c>
    </row>
    <row r="45" customHeight="1" spans="1:27">
      <c r="A45" s="86">
        <v>10320416</v>
      </c>
      <c r="B45" s="51" t="s">
        <v>66</v>
      </c>
      <c r="C45" s="21" t="s">
        <v>20</v>
      </c>
      <c r="D45" s="21" t="s">
        <v>21</v>
      </c>
      <c r="E45" s="21" t="s">
        <v>22</v>
      </c>
      <c r="F45" s="87"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v>45</v>
      </c>
      <c r="V45" s="7">
        <v>45</v>
      </c>
      <c r="W45" s="7"/>
      <c r="X45" s="7"/>
      <c r="Y45" s="17"/>
      <c r="Z45" s="17"/>
      <c r="AA45" s="182" t="str">
        <f t="shared" si="2"/>
        <v>early</v>
      </c>
    </row>
    <row r="46" customHeight="1" spans="1:27">
      <c r="A46" s="86">
        <v>10320417</v>
      </c>
      <c r="B46" s="51" t="s">
        <v>67</v>
      </c>
      <c r="C46" s="21" t="s">
        <v>20</v>
      </c>
      <c r="D46" s="21" t="s">
        <v>21</v>
      </c>
      <c r="E46" s="21" t="s">
        <v>22</v>
      </c>
      <c r="F46" s="87">
        <v>3</v>
      </c>
      <c r="G46" s="54">
        <v>0.375</v>
      </c>
      <c r="H46" s="54">
        <v>0.75</v>
      </c>
      <c r="I46" s="54">
        <v>0.375</v>
      </c>
      <c r="J46" s="54">
        <v>0.75</v>
      </c>
      <c r="K46" s="54">
        <v>0.375</v>
      </c>
      <c r="L46" s="54">
        <v>0.75</v>
      </c>
      <c r="M46" s="54">
        <v>0.375</v>
      </c>
      <c r="N46" s="54">
        <v>0.75</v>
      </c>
      <c r="O46" s="54">
        <v>0.375</v>
      </c>
      <c r="P46" s="54">
        <v>0.75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v>45</v>
      </c>
      <c r="V46" s="7">
        <v>45</v>
      </c>
      <c r="W46" s="7"/>
      <c r="X46" s="7"/>
      <c r="Y46" s="17"/>
      <c r="Z46" s="17"/>
      <c r="AA46" s="182" t="str">
        <f t="shared" si="2"/>
        <v>early</v>
      </c>
    </row>
    <row r="47" customHeight="1" spans="1:27">
      <c r="A47" s="86">
        <v>10320418</v>
      </c>
      <c r="B47" s="51" t="s">
        <v>68</v>
      </c>
      <c r="C47" s="21" t="s">
        <v>20</v>
      </c>
      <c r="D47" s="21" t="s">
        <v>21</v>
      </c>
      <c r="E47" s="21" t="s">
        <v>22</v>
      </c>
      <c r="F47" s="87">
        <v>3</v>
      </c>
      <c r="G47" s="54">
        <v>0.375</v>
      </c>
      <c r="H47" s="54">
        <v>0.75</v>
      </c>
      <c r="I47" s="54">
        <v>0.375</v>
      </c>
      <c r="J47" s="54">
        <v>0.75</v>
      </c>
      <c r="K47" s="54">
        <v>0.375</v>
      </c>
      <c r="L47" s="54">
        <v>0.75</v>
      </c>
      <c r="M47" s="54">
        <v>0.375</v>
      </c>
      <c r="N47" s="54">
        <v>0.75</v>
      </c>
      <c r="O47" s="54">
        <v>0.375</v>
      </c>
      <c r="P47" s="54">
        <v>0.75</v>
      </c>
      <c r="Q47" s="21" t="s">
        <v>23</v>
      </c>
      <c r="R47" s="21" t="s">
        <v>23</v>
      </c>
      <c r="S47" s="21" t="s">
        <v>23</v>
      </c>
      <c r="T47" s="21" t="s">
        <v>23</v>
      </c>
      <c r="U47" s="21">
        <v>45</v>
      </c>
      <c r="V47" s="7">
        <v>45</v>
      </c>
      <c r="W47" s="7"/>
      <c r="X47" s="7"/>
      <c r="Y47" s="17"/>
      <c r="Z47" s="17"/>
      <c r="AA47" s="182" t="str">
        <f t="shared" si="2"/>
        <v>early</v>
      </c>
    </row>
    <row r="48" customHeight="1" spans="1:27">
      <c r="A48" s="86">
        <v>10320419</v>
      </c>
      <c r="B48" s="51" t="s">
        <v>69</v>
      </c>
      <c r="C48" s="21" t="s">
        <v>20</v>
      </c>
      <c r="D48" s="21" t="s">
        <v>21</v>
      </c>
      <c r="E48" s="21" t="s">
        <v>22</v>
      </c>
      <c r="F48" s="87"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v>45</v>
      </c>
      <c r="V48" s="7">
        <v>45</v>
      </c>
      <c r="W48" s="7"/>
      <c r="X48" s="7"/>
      <c r="Y48" s="17"/>
      <c r="Z48" s="17"/>
      <c r="AA48" s="182" t="str">
        <f t="shared" si="2"/>
        <v>early</v>
      </c>
    </row>
    <row r="49" customHeight="1" spans="1:27">
      <c r="A49" s="86">
        <v>10317154</v>
      </c>
      <c r="B49" s="51" t="s">
        <v>70</v>
      </c>
      <c r="C49" s="21" t="s">
        <v>20</v>
      </c>
      <c r="D49" s="21" t="s">
        <v>21</v>
      </c>
      <c r="E49" s="21" t="s">
        <v>22</v>
      </c>
      <c r="F49" s="87">
        <v>3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21" t="s">
        <v>23</v>
      </c>
      <c r="R49" s="21" t="s">
        <v>23</v>
      </c>
      <c r="S49" s="21" t="s">
        <v>23</v>
      </c>
      <c r="T49" s="21" t="s">
        <v>23</v>
      </c>
      <c r="U49" s="21">
        <v>45</v>
      </c>
      <c r="V49" s="7">
        <v>45</v>
      </c>
      <c r="W49" s="7"/>
      <c r="X49" s="7"/>
      <c r="Y49" s="17"/>
      <c r="Z49" s="17"/>
      <c r="AA49" s="182" t="str">
        <f t="shared" si="2"/>
        <v>early</v>
      </c>
    </row>
    <row r="50" customHeight="1" spans="1:27">
      <c r="A50" s="86">
        <v>10320435</v>
      </c>
      <c r="B50" s="51" t="s">
        <v>71</v>
      </c>
      <c r="C50" s="21" t="s">
        <v>20</v>
      </c>
      <c r="D50" s="21" t="s">
        <v>21</v>
      </c>
      <c r="E50" s="21" t="s">
        <v>22</v>
      </c>
      <c r="F50" s="87">
        <v>3</v>
      </c>
      <c r="G50" s="54">
        <v>0.375</v>
      </c>
      <c r="H50" s="54">
        <v>0.75</v>
      </c>
      <c r="I50" s="54">
        <v>0.375</v>
      </c>
      <c r="J50" s="54">
        <v>0.75</v>
      </c>
      <c r="K50" s="54">
        <v>0.375</v>
      </c>
      <c r="L50" s="54">
        <v>0.75</v>
      </c>
      <c r="M50" s="54">
        <v>0.375</v>
      </c>
      <c r="N50" s="54">
        <v>0.75</v>
      </c>
      <c r="O50" s="54">
        <v>0.375</v>
      </c>
      <c r="P50" s="54">
        <v>0.75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v>45</v>
      </c>
      <c r="V50" s="7">
        <v>45</v>
      </c>
      <c r="W50" s="7"/>
      <c r="X50" s="7"/>
      <c r="Y50" s="17"/>
      <c r="Z50" s="17"/>
      <c r="AA50" s="182" t="str">
        <f t="shared" si="2"/>
        <v>early</v>
      </c>
    </row>
    <row r="51" customHeight="1" spans="1:27">
      <c r="A51" s="86">
        <v>10320436</v>
      </c>
      <c r="B51" s="51" t="s">
        <v>72</v>
      </c>
      <c r="C51" s="21" t="s">
        <v>20</v>
      </c>
      <c r="D51" s="21" t="s">
        <v>21</v>
      </c>
      <c r="E51" s="21" t="s">
        <v>22</v>
      </c>
      <c r="F51" s="87"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v>45</v>
      </c>
      <c r="V51" s="7">
        <v>45</v>
      </c>
      <c r="W51" s="7"/>
      <c r="X51" s="7"/>
      <c r="Y51" s="17"/>
      <c r="Z51" s="17"/>
      <c r="AA51" s="182" t="str">
        <f t="shared" si="2"/>
        <v>early</v>
      </c>
    </row>
    <row r="52" customHeight="1" spans="1:2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82" t="str">
        <f t="shared" si="2"/>
        <v/>
      </c>
    </row>
    <row r="53" customHeight="1" spans="1:2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82" t="str">
        <f t="shared" si="2"/>
        <v/>
      </c>
    </row>
    <row r="54" customHeight="1" spans="1:2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2" t="str">
        <f t="shared" si="2"/>
        <v/>
      </c>
    </row>
    <row r="55" customHeight="1" spans="1:27">
      <c r="A55" s="17"/>
      <c r="B55" s="17"/>
      <c r="C55" s="17"/>
      <c r="D55" s="17"/>
      <c r="E55" s="17"/>
      <c r="F55" s="7"/>
      <c r="G55" s="50" t="s">
        <v>6</v>
      </c>
      <c r="H55" s="50" t="s">
        <v>7</v>
      </c>
      <c r="I55" s="50" t="s">
        <v>8</v>
      </c>
      <c r="J55" s="50" t="s">
        <v>9</v>
      </c>
      <c r="K55" s="50" t="s">
        <v>10</v>
      </c>
      <c r="L55" s="50" t="s">
        <v>11</v>
      </c>
      <c r="M55" s="50" t="s">
        <v>12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82" t="str">
        <f t="shared" si="2"/>
        <v/>
      </c>
    </row>
    <row r="56" customHeight="1" spans="1:27">
      <c r="A56" s="17"/>
      <c r="B56" s="17"/>
      <c r="C56" s="17"/>
      <c r="D56" s="17"/>
      <c r="E56" s="17"/>
      <c r="F56" s="7" t="s">
        <v>73</v>
      </c>
      <c r="G56" s="88">
        <v>251.4</v>
      </c>
      <c r="H56" s="88">
        <v>212.1</v>
      </c>
      <c r="I56" s="88">
        <v>205.7</v>
      </c>
      <c r="J56" s="88">
        <v>187.9</v>
      </c>
      <c r="K56" s="88">
        <v>203.7</v>
      </c>
      <c r="L56" s="88">
        <v>115.9</v>
      </c>
      <c r="M56" s="88">
        <v>84.7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82" t="str">
        <f t="shared" si="2"/>
        <v/>
      </c>
    </row>
    <row r="57" customHeight="1" spans="1:27">
      <c r="A57" s="17"/>
      <c r="B57" s="17"/>
      <c r="C57" s="17"/>
      <c r="D57" s="17"/>
      <c r="E57" s="17"/>
      <c r="F57" s="7" t="s">
        <v>74</v>
      </c>
      <c r="G57" s="7">
        <f t="shared" ref="G57:K57" si="3">G59*7</f>
        <v>252</v>
      </c>
      <c r="H57" s="7">
        <f t="shared" si="3"/>
        <v>322</v>
      </c>
      <c r="I57" s="7">
        <f t="shared" si="3"/>
        <v>301</v>
      </c>
      <c r="J57" s="7">
        <f t="shared" si="3"/>
        <v>308</v>
      </c>
      <c r="K57" s="7">
        <f t="shared" si="3"/>
        <v>245</v>
      </c>
      <c r="L57" s="7">
        <f t="shared" ref="L57:M57" si="4">L59*4</f>
        <v>56</v>
      </c>
      <c r="M57" s="7">
        <f t="shared" si="4"/>
        <v>60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82" t="str">
        <f t="shared" si="2"/>
        <v/>
      </c>
    </row>
    <row r="58" customHeight="1" spans="1:27">
      <c r="A58" s="17"/>
      <c r="B58" s="17"/>
      <c r="C58" s="17"/>
      <c r="D58" s="17"/>
      <c r="E58" s="17"/>
      <c r="F58" s="7" t="s">
        <v>75</v>
      </c>
      <c r="G58" s="57">
        <f t="shared" ref="G58:M58" si="5">G57-G56</f>
        <v>0.599999999999994</v>
      </c>
      <c r="H58" s="57">
        <f t="shared" si="5"/>
        <v>109.9</v>
      </c>
      <c r="I58" s="57">
        <f t="shared" si="5"/>
        <v>95.3</v>
      </c>
      <c r="J58" s="57">
        <f t="shared" si="5"/>
        <v>120.1</v>
      </c>
      <c r="K58" s="57">
        <f t="shared" si="5"/>
        <v>41.3</v>
      </c>
      <c r="L58" s="57">
        <f t="shared" si="5"/>
        <v>-59.9</v>
      </c>
      <c r="M58" s="57">
        <f t="shared" si="5"/>
        <v>-24.7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82" t="str">
        <f t="shared" si="2"/>
        <v/>
      </c>
    </row>
    <row r="59" customHeight="1" spans="1:27">
      <c r="A59" s="17"/>
      <c r="B59" s="17"/>
      <c r="C59" s="17"/>
      <c r="D59" s="17"/>
      <c r="E59" s="17"/>
      <c r="F59" s="7" t="s">
        <v>76</v>
      </c>
      <c r="G59" s="7">
        <f>IFERROR(__xludf.DUMMYFUNCTION("COUNTA(FILTER($C$4:$C$51, $C$4:$C$51=""CSR"", G5:G52&lt;&gt;"""", NOT(ISTEXT(G5:G52))))"),36)</f>
        <v>36</v>
      </c>
      <c r="H59" s="7">
        <f>IFERROR(__xludf.DUMMYFUNCTION("COUNTA(FILTER($C$4:$C$51, $C$4:$C$51=""CSR"", I5:I52&lt;&gt;"""", NOT(ISTEXT(I5:I52))))"),46)</f>
        <v>46</v>
      </c>
      <c r="I59" s="7">
        <f>IFERROR(__xludf.DUMMYFUNCTION("COUNTA(FILTER($C$4:$C$51, $C$4:$C$51=""CSR"", K5:K52&lt;&gt;"""", NOT(ISTEXT(K5:K52))))"),43)</f>
        <v>43</v>
      </c>
      <c r="J59" s="7">
        <f>IFERROR(__xludf.DUMMYFUNCTION("COUNTA(FILTER($C$4:$C$51, $C$4:$C$51=""CSR"", M5:M52&lt;&gt;"""", NOT(ISTEXT(M5:M52))))"),44)</f>
        <v>44</v>
      </c>
      <c r="K59" s="7">
        <f>IFERROR(__xludf.DUMMYFUNCTION("COUNTA(FILTER($C$4:$C$51, $C$4:$C$51=""CSR"", O5:O52&lt;&gt;"""", NOT(ISTEXT(O5:O52))))"),35)</f>
        <v>35</v>
      </c>
      <c r="L59" s="7">
        <f>IFERROR(__xludf.DUMMYFUNCTION("COUNTA(FILTER($C$4:$C$51, $C$4:$C$51=""CSR"", Q5:Q52&lt;&gt;"""", NOT(ISTEXT(Q5:Q52))))"),14)</f>
        <v>14</v>
      </c>
      <c r="M59" s="7">
        <f>IFERROR(__xludf.DUMMYFUNCTION("COUNTA(FILTER($C$4:$C$51, $C$4:$C$51=""CSR"", S5:S52&lt;&gt;"""", NOT(ISTEXT(S5:S52))))"),15)</f>
        <v>15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2" t="str">
        <f t="shared" si="2"/>
        <v/>
      </c>
    </row>
    <row r="60" customHeight="1" spans="1:27">
      <c r="A60" s="17"/>
      <c r="B60" s="17"/>
      <c r="C60" s="17"/>
      <c r="D60" s="17"/>
      <c r="E60" s="17"/>
      <c r="F60" s="7" t="s">
        <v>77</v>
      </c>
      <c r="G60" s="56">
        <f t="shared" ref="G60:K60" si="6">G56/7</f>
        <v>35.9142857142857</v>
      </c>
      <c r="H60" s="56">
        <f t="shared" si="6"/>
        <v>30.3</v>
      </c>
      <c r="I60" s="56">
        <f t="shared" si="6"/>
        <v>29.3857142857143</v>
      </c>
      <c r="J60" s="56">
        <f t="shared" si="6"/>
        <v>26.8428571428571</v>
      </c>
      <c r="K60" s="56">
        <f t="shared" si="6"/>
        <v>29.1</v>
      </c>
      <c r="L60" s="56">
        <f t="shared" ref="L60:M60" si="7">L56/4</f>
        <v>28.975</v>
      </c>
      <c r="M60" s="56">
        <f t="shared" si="7"/>
        <v>21.175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82" t="str">
        <f t="shared" si="2"/>
        <v/>
      </c>
    </row>
    <row r="61" customHeight="1" spans="1:27">
      <c r="A61" s="17"/>
      <c r="B61" s="17"/>
      <c r="C61" s="17"/>
      <c r="D61" s="17"/>
      <c r="E61" s="17"/>
      <c r="F61" s="7" t="s">
        <v>78</v>
      </c>
      <c r="G61" s="57">
        <f t="shared" ref="G61:M61" si="8">G59-G60</f>
        <v>0.0857142857142819</v>
      </c>
      <c r="H61" s="57">
        <f t="shared" si="8"/>
        <v>15.7</v>
      </c>
      <c r="I61" s="57">
        <f t="shared" si="8"/>
        <v>13.6142857142857</v>
      </c>
      <c r="J61" s="57">
        <f t="shared" si="8"/>
        <v>17.1571428571429</v>
      </c>
      <c r="K61" s="57">
        <f t="shared" si="8"/>
        <v>5.9</v>
      </c>
      <c r="L61" s="57">
        <f t="shared" si="8"/>
        <v>-14.975</v>
      </c>
      <c r="M61" s="57">
        <f t="shared" si="8"/>
        <v>-6.175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2" t="str">
        <f t="shared" si="2"/>
        <v/>
      </c>
    </row>
    <row r="62" customHeight="1" spans="1:27">
      <c r="A62" s="17"/>
      <c r="B62" s="17"/>
      <c r="C62" s="17"/>
      <c r="D62" s="17"/>
      <c r="E62" s="17"/>
      <c r="F62" s="7" t="s">
        <v>79</v>
      </c>
      <c r="G62" s="107">
        <f t="shared" ref="G62:M62" si="9">G61/G60</f>
        <v>0.00238663484486863</v>
      </c>
      <c r="H62" s="107">
        <f t="shared" si="9"/>
        <v>0.518151815181518</v>
      </c>
      <c r="I62" s="107">
        <f t="shared" si="9"/>
        <v>0.463296062226544</v>
      </c>
      <c r="J62" s="107">
        <f t="shared" si="9"/>
        <v>0.63916977115487</v>
      </c>
      <c r="K62" s="107">
        <f t="shared" si="9"/>
        <v>0.202749140893471</v>
      </c>
      <c r="L62" s="107">
        <f t="shared" si="9"/>
        <v>-0.516824849007765</v>
      </c>
      <c r="M62" s="107">
        <f t="shared" si="9"/>
        <v>-0.291617473435655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2" t="str">
        <f t="shared" si="2"/>
        <v/>
      </c>
    </row>
    <row r="63" customHeight="1" spans="1:27">
      <c r="A63" s="17"/>
      <c r="B63" s="17"/>
      <c r="C63" s="17"/>
      <c r="D63" s="17"/>
      <c r="E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2" t="str">
        <f t="shared" si="2"/>
        <v/>
      </c>
    </row>
    <row r="64" customHeight="1" spans="1:27">
      <c r="A64" s="17"/>
      <c r="B64" s="17"/>
      <c r="C64" s="17"/>
      <c r="D64" s="17"/>
      <c r="E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82" t="str">
        <f t="shared" si="2"/>
        <v/>
      </c>
    </row>
    <row r="65" customHeight="1" spans="1:2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82" t="str">
        <f t="shared" si="2"/>
        <v/>
      </c>
    </row>
    <row r="66" customHeight="1" spans="1:2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82" t="str">
        <f t="shared" si="2"/>
        <v/>
      </c>
    </row>
    <row r="67" customHeight="1" spans="1:2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82" t="str">
        <f t="shared" si="2"/>
        <v/>
      </c>
    </row>
    <row r="68" customHeight="1" spans="1:2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82" t="str">
        <f t="shared" si="2"/>
        <v/>
      </c>
    </row>
    <row r="69" customHeight="1" spans="1:2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2" t="str">
        <f t="shared" si="2"/>
        <v/>
      </c>
    </row>
    <row r="70" customHeight="1" spans="1:2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2" t="str">
        <f t="shared" si="2"/>
        <v/>
      </c>
    </row>
    <row r="71" customHeight="1" spans="1:2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2" t="str">
        <f t="shared" si="2"/>
        <v/>
      </c>
    </row>
    <row r="72" customHeight="1" spans="1:2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82" t="str">
        <f t="shared" si="2"/>
        <v/>
      </c>
    </row>
    <row r="73" customHeight="1" spans="1:2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82" t="str">
        <f t="shared" si="2"/>
        <v/>
      </c>
    </row>
    <row r="74" customHeight="1" spans="1:2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82" t="str">
        <f t="shared" si="2"/>
        <v/>
      </c>
    </row>
    <row r="75" customHeight="1" spans="1:2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82" t="str">
        <f t="shared" si="2"/>
        <v/>
      </c>
    </row>
    <row r="76" customHeight="1" spans="1:2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82" t="str">
        <f t="shared" si="2"/>
        <v/>
      </c>
    </row>
    <row r="77" customHeight="1" spans="1:2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2" t="str">
        <f t="shared" si="2"/>
        <v/>
      </c>
    </row>
    <row r="78" customHeight="1" spans="1:2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2" t="str">
        <f t="shared" si="2"/>
        <v/>
      </c>
    </row>
    <row r="79" customHeight="1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82" t="str">
        <f t="shared" si="2"/>
        <v/>
      </c>
    </row>
    <row r="80" customHeight="1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2" t="str">
        <f t="shared" si="2"/>
        <v/>
      </c>
    </row>
    <row r="81" customHeight="1" spans="1:2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82" t="str">
        <f t="shared" si="2"/>
        <v/>
      </c>
    </row>
    <row r="82" customHeight="1" spans="1:2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82" t="str">
        <f t="shared" si="2"/>
        <v/>
      </c>
    </row>
    <row r="83" customHeight="1" spans="1:2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82" t="str">
        <f t="shared" si="2"/>
        <v/>
      </c>
    </row>
    <row r="84" customHeight="1" spans="1:2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2" t="str">
        <f t="shared" si="2"/>
        <v/>
      </c>
    </row>
    <row r="85" customHeight="1" spans="1:2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2" t="str">
        <f t="shared" si="2"/>
        <v/>
      </c>
    </row>
    <row r="86" customHeight="1" spans="1:2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2" t="str">
        <f t="shared" si="2"/>
        <v/>
      </c>
    </row>
    <row r="87" customHeight="1" spans="1:2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82" t="str">
        <f t="shared" si="2"/>
        <v/>
      </c>
    </row>
    <row r="88" customHeight="1" spans="1:2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82" t="str">
        <f t="shared" si="2"/>
        <v/>
      </c>
    </row>
    <row r="89" customHeight="1" spans="1:2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82" t="str">
        <f t="shared" si="2"/>
        <v/>
      </c>
    </row>
    <row r="90" customHeight="1" spans="1:2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2" t="str">
        <f t="shared" si="2"/>
        <v/>
      </c>
    </row>
    <row r="91" customHeight="1" spans="1:2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2" t="str">
        <f t="shared" si="2"/>
        <v/>
      </c>
    </row>
    <row r="92" customHeight="1" spans="1:2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82" t="str">
        <f t="shared" si="2"/>
        <v/>
      </c>
    </row>
    <row r="93" customHeight="1" spans="1:2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82" t="str">
        <f t="shared" si="2"/>
        <v/>
      </c>
    </row>
    <row r="94" customHeight="1" spans="1:2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82" t="str">
        <f t="shared" si="2"/>
        <v/>
      </c>
    </row>
    <row r="95" customHeight="1" spans="1:2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2" t="str">
        <f t="shared" si="2"/>
        <v/>
      </c>
    </row>
    <row r="96" customHeight="1" spans="1:2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82" t="str">
        <f t="shared" si="2"/>
        <v/>
      </c>
    </row>
    <row r="97" customHeight="1" spans="1:2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82" t="str">
        <f t="shared" si="2"/>
        <v/>
      </c>
    </row>
    <row r="98" customHeight="1" spans="1:2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2" t="str">
        <f t="shared" si="2"/>
        <v/>
      </c>
    </row>
    <row r="99" customHeight="1" spans="1:2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82" t="str">
        <f t="shared" si="2"/>
        <v/>
      </c>
    </row>
    <row r="100" customHeight="1" spans="1:2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2" t="str">
        <f t="shared" si="2"/>
        <v/>
      </c>
    </row>
    <row r="101" customHeight="1" spans="1:2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82" t="str">
        <f t="shared" si="2"/>
        <v/>
      </c>
    </row>
    <row r="102" customHeight="1" spans="1:2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2" t="str">
        <f t="shared" si="2"/>
        <v/>
      </c>
    </row>
    <row r="103" customHeight="1" spans="1:2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82" t="str">
        <f t="shared" si="2"/>
        <v/>
      </c>
    </row>
    <row r="104" customHeight="1" spans="1:2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82" t="str">
        <f t="shared" si="2"/>
        <v/>
      </c>
    </row>
    <row r="105" customHeight="1" spans="1:2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2" t="str">
        <f t="shared" si="2"/>
        <v/>
      </c>
    </row>
    <row r="106" customHeight="1" spans="1:2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82" t="str">
        <f t="shared" si="2"/>
        <v/>
      </c>
    </row>
    <row r="107" customHeight="1" spans="1:2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2" t="str">
        <f t="shared" si="2"/>
        <v/>
      </c>
    </row>
    <row r="108" customHeight="1" spans="1:2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82" t="str">
        <f t="shared" si="2"/>
        <v/>
      </c>
    </row>
    <row r="109" customHeight="1" spans="1:2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82" t="str">
        <f t="shared" si="2"/>
        <v/>
      </c>
    </row>
    <row r="110" customHeight="1" spans="1:2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2" t="str">
        <f t="shared" si="2"/>
        <v/>
      </c>
    </row>
    <row r="111" customHeight="1" spans="1:2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82" t="str">
        <f t="shared" si="2"/>
        <v/>
      </c>
    </row>
    <row r="112" customHeight="1" spans="1:2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2" t="str">
        <f t="shared" si="2"/>
        <v/>
      </c>
    </row>
    <row r="113" customHeight="1" spans="1:2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82" t="str">
        <f t="shared" si="2"/>
        <v/>
      </c>
    </row>
    <row r="114" customHeight="1" spans="1:2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82" t="str">
        <f t="shared" si="2"/>
        <v/>
      </c>
    </row>
    <row r="115" customHeight="1" spans="1:2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82" t="str">
        <f t="shared" si="2"/>
        <v/>
      </c>
    </row>
    <row r="116" customHeight="1" spans="1:2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82" t="str">
        <f t="shared" si="2"/>
        <v/>
      </c>
    </row>
    <row r="117" customHeight="1" spans="1:2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82" t="str">
        <f t="shared" si="2"/>
        <v/>
      </c>
    </row>
    <row r="118" customHeight="1" spans="1:2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82" t="str">
        <f t="shared" si="2"/>
        <v/>
      </c>
    </row>
    <row r="119" customHeight="1" spans="1:2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2" t="str">
        <f t="shared" si="2"/>
        <v/>
      </c>
    </row>
    <row r="120" customHeight="1" spans="1:2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82" t="str">
        <f t="shared" si="2"/>
        <v/>
      </c>
    </row>
    <row r="121" customHeight="1" spans="1:2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82" t="str">
        <f t="shared" si="2"/>
        <v/>
      </c>
    </row>
    <row r="122" customHeight="1" spans="1:2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82" t="str">
        <f t="shared" si="2"/>
        <v/>
      </c>
    </row>
    <row r="123" customHeight="1" spans="1:2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82" t="str">
        <f t="shared" si="2"/>
        <v/>
      </c>
    </row>
    <row r="124" customHeight="1" spans="1:2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82" t="str">
        <f t="shared" si="2"/>
        <v/>
      </c>
    </row>
    <row r="125" customHeight="1" spans="1:2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82" t="str">
        <f t="shared" si="2"/>
        <v/>
      </c>
    </row>
    <row r="126" customHeight="1" spans="1:2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2" t="str">
        <f t="shared" si="2"/>
        <v/>
      </c>
    </row>
    <row r="127" customHeight="1" spans="1: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82" t="str">
        <f t="shared" si="2"/>
        <v/>
      </c>
    </row>
    <row r="128" customHeight="1" spans="1:2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82" t="str">
        <f t="shared" si="2"/>
        <v/>
      </c>
    </row>
    <row r="129" customHeight="1" spans="1:2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82" t="str">
        <f t="shared" si="2"/>
        <v/>
      </c>
    </row>
    <row r="130" customHeight="1" spans="1:2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82" t="str">
        <f t="shared" si="2"/>
        <v/>
      </c>
    </row>
    <row r="131" customHeight="1" spans="1:2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82" t="str">
        <f t="shared" si="2"/>
        <v/>
      </c>
    </row>
    <row r="132" customHeight="1" spans="1:2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82" t="str">
        <f t="shared" si="2"/>
        <v/>
      </c>
    </row>
    <row r="133" customHeight="1" spans="1:2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2" t="str">
        <f t="shared" si="2"/>
        <v/>
      </c>
    </row>
    <row r="134" customHeight="1" spans="1:2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82" t="str">
        <f t="shared" si="2"/>
        <v/>
      </c>
    </row>
    <row r="135" customHeight="1" spans="1:2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82" t="str">
        <f t="shared" si="2"/>
        <v/>
      </c>
    </row>
    <row r="136" customHeight="1" spans="1:2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82" t="str">
        <f t="shared" si="2"/>
        <v/>
      </c>
    </row>
    <row r="137" customHeight="1" spans="1:2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82" t="str">
        <f t="shared" si="2"/>
        <v/>
      </c>
    </row>
    <row r="138" customHeight="1" spans="1:2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82" t="str">
        <f t="shared" si="2"/>
        <v/>
      </c>
    </row>
    <row r="139" customHeight="1" spans="1:2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82" t="str">
        <f t="shared" si="2"/>
        <v/>
      </c>
    </row>
    <row r="140" customHeight="1" spans="1:2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2" t="str">
        <f t="shared" si="2"/>
        <v/>
      </c>
    </row>
    <row r="141" customHeight="1" spans="1:2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82" t="str">
        <f t="shared" si="2"/>
        <v/>
      </c>
    </row>
    <row r="142" customHeight="1" spans="1:2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82" t="str">
        <f t="shared" si="2"/>
        <v/>
      </c>
    </row>
    <row r="143" customHeight="1" spans="1:2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82" t="str">
        <f t="shared" si="2"/>
        <v/>
      </c>
    </row>
    <row r="144" customHeight="1" spans="1:2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82" t="str">
        <f t="shared" si="2"/>
        <v/>
      </c>
    </row>
    <row r="145" customHeight="1" spans="1:2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82" t="str">
        <f t="shared" si="2"/>
        <v/>
      </c>
    </row>
    <row r="146" customHeight="1" spans="1:2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82" t="str">
        <f t="shared" si="2"/>
        <v/>
      </c>
    </row>
    <row r="147" customHeight="1" spans="1:2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2" t="str">
        <f t="shared" si="2"/>
        <v/>
      </c>
    </row>
    <row r="148" customHeight="1" spans="1:2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82" t="str">
        <f t="shared" si="2"/>
        <v/>
      </c>
    </row>
    <row r="149" customHeight="1" spans="1:2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82" t="str">
        <f t="shared" si="2"/>
        <v/>
      </c>
    </row>
    <row r="150" customHeight="1" spans="1:2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82" t="str">
        <f t="shared" si="2"/>
        <v/>
      </c>
    </row>
    <row r="151" customHeight="1" spans="1:2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82" t="str">
        <f t="shared" si="2"/>
        <v/>
      </c>
    </row>
    <row r="152" customHeight="1" spans="1:2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82" t="str">
        <f t="shared" si="2"/>
        <v/>
      </c>
    </row>
    <row r="153" customHeight="1" spans="1:2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82" t="str">
        <f t="shared" si="2"/>
        <v/>
      </c>
    </row>
    <row r="154" customHeight="1" spans="1:2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2" t="str">
        <f t="shared" si="2"/>
        <v/>
      </c>
    </row>
    <row r="155" customHeight="1" spans="1:2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82" t="str">
        <f t="shared" si="2"/>
        <v/>
      </c>
    </row>
    <row r="156" customHeight="1" spans="1:2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82" t="str">
        <f t="shared" si="2"/>
        <v/>
      </c>
    </row>
    <row r="157" customHeight="1" spans="1:2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2" t="str">
        <f t="shared" si="2"/>
        <v/>
      </c>
    </row>
    <row r="158" customHeight="1" spans="1:2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82" t="str">
        <f t="shared" si="2"/>
        <v/>
      </c>
    </row>
    <row r="159" customHeight="1" spans="1:2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82" t="str">
        <f t="shared" si="2"/>
        <v/>
      </c>
    </row>
    <row r="160" customHeight="1" spans="1:2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82" t="str">
        <f t="shared" si="2"/>
        <v/>
      </c>
    </row>
    <row r="161" customHeight="1" spans="1:2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2" t="str">
        <f t="shared" si="2"/>
        <v/>
      </c>
    </row>
    <row r="162" customHeight="1" spans="1:2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82" t="str">
        <f t="shared" si="2"/>
        <v/>
      </c>
    </row>
    <row r="163" customHeight="1" spans="1:2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82" t="str">
        <f t="shared" si="2"/>
        <v/>
      </c>
    </row>
    <row r="164" customHeight="1" spans="1:2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82" t="str">
        <f t="shared" si="2"/>
        <v/>
      </c>
    </row>
    <row r="165" customHeight="1" spans="1:2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82" t="str">
        <f t="shared" si="2"/>
        <v/>
      </c>
    </row>
    <row r="166" customHeight="1" spans="1:2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82" t="str">
        <f t="shared" si="2"/>
        <v/>
      </c>
    </row>
    <row r="167" customHeight="1" spans="1:2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2" t="str">
        <f t="shared" si="2"/>
        <v/>
      </c>
    </row>
    <row r="168" customHeight="1" spans="1:2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2" t="str">
        <f t="shared" si="2"/>
        <v/>
      </c>
    </row>
    <row r="169" customHeight="1" spans="1:2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82" t="str">
        <f t="shared" si="2"/>
        <v/>
      </c>
    </row>
    <row r="170" customHeight="1" spans="1:2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2" t="str">
        <f t="shared" si="2"/>
        <v/>
      </c>
    </row>
    <row r="171" customHeight="1" spans="1:2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82" t="str">
        <f t="shared" si="2"/>
        <v/>
      </c>
    </row>
    <row r="172" customHeight="1" spans="1:2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82" t="str">
        <f t="shared" si="2"/>
        <v/>
      </c>
    </row>
    <row r="173" customHeight="1" spans="1:2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82" t="str">
        <f t="shared" si="2"/>
        <v/>
      </c>
    </row>
    <row r="174" customHeight="1" spans="1:2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82" t="str">
        <f t="shared" si="2"/>
        <v/>
      </c>
    </row>
    <row r="175" customHeight="1" spans="1:2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2" t="str">
        <f t="shared" si="2"/>
        <v/>
      </c>
    </row>
    <row r="176" customHeight="1" spans="1:2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82" t="str">
        <f t="shared" si="2"/>
        <v/>
      </c>
    </row>
    <row r="177" customHeight="1" spans="1:2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82" t="str">
        <f t="shared" si="2"/>
        <v/>
      </c>
    </row>
    <row r="178" customHeight="1" spans="1:2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82" t="str">
        <f t="shared" si="2"/>
        <v/>
      </c>
    </row>
    <row r="179" customHeight="1" spans="1:2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82" t="str">
        <f t="shared" si="2"/>
        <v/>
      </c>
    </row>
    <row r="180" customHeight="1" spans="1:2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2" t="str">
        <f t="shared" si="2"/>
        <v/>
      </c>
    </row>
    <row r="181" customHeight="1" spans="1:2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82" t="str">
        <f t="shared" si="2"/>
        <v/>
      </c>
    </row>
    <row r="182" customHeight="1" spans="1:2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2" t="str">
        <f t="shared" si="2"/>
        <v/>
      </c>
    </row>
    <row r="183" customHeight="1" spans="1:2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82" t="str">
        <f t="shared" si="2"/>
        <v/>
      </c>
    </row>
    <row r="184" customHeight="1" spans="1:2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82" t="str">
        <f t="shared" si="2"/>
        <v/>
      </c>
    </row>
    <row r="185" customHeight="1" spans="1:2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82" t="str">
        <f t="shared" si="2"/>
        <v/>
      </c>
    </row>
    <row r="186" customHeight="1" spans="1:2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82" t="str">
        <f t="shared" si="2"/>
        <v/>
      </c>
    </row>
    <row r="187" customHeight="1" spans="1:2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82" t="str">
        <f t="shared" si="2"/>
        <v/>
      </c>
    </row>
    <row r="188" customHeight="1" spans="1:2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82" t="str">
        <f t="shared" si="2"/>
        <v/>
      </c>
    </row>
    <row r="189" customHeight="1" spans="1:2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2" t="str">
        <f t="shared" si="2"/>
        <v/>
      </c>
    </row>
    <row r="190" customHeight="1" spans="1:2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2" t="str">
        <f t="shared" si="2"/>
        <v/>
      </c>
    </row>
    <row r="191" customHeight="1" spans="1:2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2" t="str">
        <f t="shared" si="2"/>
        <v/>
      </c>
    </row>
    <row r="192" customHeight="1" spans="1:2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82" t="str">
        <f t="shared" si="2"/>
        <v/>
      </c>
    </row>
    <row r="193" customHeight="1" spans="1:2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82" t="str">
        <f t="shared" si="2"/>
        <v/>
      </c>
    </row>
    <row r="194" customHeight="1" spans="1:2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82" t="str">
        <f t="shared" si="2"/>
        <v/>
      </c>
    </row>
    <row r="195" customHeight="1" spans="1:2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2" t="str">
        <f t="shared" si="2"/>
        <v/>
      </c>
    </row>
    <row r="196" customHeight="1" spans="1:2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2" t="str">
        <f t="shared" si="2"/>
        <v/>
      </c>
    </row>
    <row r="197" customHeight="1" spans="1:2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82" t="str">
        <f t="shared" si="2"/>
        <v/>
      </c>
    </row>
    <row r="198" customHeight="1" spans="1:2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82" t="str">
        <f t="shared" si="2"/>
        <v/>
      </c>
    </row>
    <row r="199" customHeight="1" spans="1:2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82" t="str">
        <f t="shared" si="2"/>
        <v/>
      </c>
    </row>
    <row r="200" customHeight="1" spans="1:2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2" t="str">
        <f t="shared" si="2"/>
        <v/>
      </c>
    </row>
    <row r="201" customHeight="1" spans="1:2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82" t="str">
        <f t="shared" si="2"/>
        <v/>
      </c>
    </row>
    <row r="202" customHeight="1" spans="1:2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82" t="str">
        <f t="shared" si="2"/>
        <v/>
      </c>
    </row>
    <row r="203" customHeight="1" spans="1:2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2" t="str">
        <f t="shared" si="2"/>
        <v/>
      </c>
    </row>
    <row r="204" customHeight="1" spans="1:2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82" t="str">
        <f t="shared" si="2"/>
        <v/>
      </c>
    </row>
    <row r="205" customHeight="1" spans="1:2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82" t="str">
        <f t="shared" si="2"/>
        <v/>
      </c>
    </row>
    <row r="206" customHeight="1" spans="1:2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82" t="str">
        <f t="shared" si="2"/>
        <v/>
      </c>
    </row>
    <row r="207" customHeight="1" spans="1:2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82" t="str">
        <f t="shared" si="2"/>
        <v/>
      </c>
    </row>
    <row r="208" customHeight="1" spans="1:2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82" t="str">
        <f t="shared" si="2"/>
        <v/>
      </c>
    </row>
    <row r="209" customHeight="1" spans="1:2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82" t="str">
        <f t="shared" si="2"/>
        <v/>
      </c>
    </row>
    <row r="210" customHeight="1" spans="1:2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2" t="str">
        <f t="shared" si="2"/>
        <v/>
      </c>
    </row>
    <row r="211" customHeight="1" spans="1:2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82" t="str">
        <f t="shared" si="2"/>
        <v/>
      </c>
    </row>
    <row r="212" customHeight="1" spans="1:2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82" t="str">
        <f t="shared" si="2"/>
        <v/>
      </c>
    </row>
    <row r="213" customHeight="1" spans="1:2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82" t="str">
        <f t="shared" si="2"/>
        <v/>
      </c>
    </row>
    <row r="214" customHeight="1" spans="1:2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82" t="str">
        <f t="shared" si="2"/>
        <v/>
      </c>
    </row>
    <row r="215" customHeight="1" spans="1:2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2" t="str">
        <f t="shared" si="2"/>
        <v/>
      </c>
    </row>
    <row r="216" customHeight="1" spans="1:2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82" t="str">
        <f t="shared" si="2"/>
        <v/>
      </c>
    </row>
    <row r="217" customHeight="1" spans="1:2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2" t="str">
        <f t="shared" si="2"/>
        <v/>
      </c>
    </row>
    <row r="218" customHeight="1" spans="1:2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82" t="str">
        <f t="shared" si="2"/>
        <v/>
      </c>
    </row>
    <row r="219" customHeight="1" spans="1:2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82" t="str">
        <f t="shared" si="2"/>
        <v/>
      </c>
    </row>
    <row r="220" customHeight="1" spans="1:2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2" t="str">
        <f t="shared" si="2"/>
        <v/>
      </c>
    </row>
    <row r="221" customHeight="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2" t="str">
        <f t="shared" si="2"/>
        <v/>
      </c>
    </row>
    <row r="222" customHeight="1" spans="1:2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82" t="str">
        <f t="shared" si="2"/>
        <v/>
      </c>
    </row>
    <row r="223" customHeight="1" spans="1:2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82" t="str">
        <f t="shared" si="2"/>
        <v/>
      </c>
    </row>
    <row r="224" customHeight="1" spans="1:2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2" t="str">
        <f t="shared" si="2"/>
        <v/>
      </c>
    </row>
    <row r="225" customHeight="1" spans="1:2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2" t="str">
        <f t="shared" si="2"/>
        <v/>
      </c>
    </row>
    <row r="226" customHeight="1" spans="1:2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82" t="str">
        <f t="shared" si="2"/>
        <v/>
      </c>
    </row>
    <row r="227" customHeight="1" spans="1: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82" t="str">
        <f t="shared" si="2"/>
        <v/>
      </c>
    </row>
    <row r="228" customHeight="1" spans="1:2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82" t="str">
        <f t="shared" si="2"/>
        <v/>
      </c>
    </row>
    <row r="229" customHeight="1" spans="1:2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82" t="str">
        <f t="shared" si="2"/>
        <v/>
      </c>
    </row>
    <row r="230" customHeight="1" spans="1:2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82" t="str">
        <f t="shared" si="2"/>
        <v/>
      </c>
    </row>
    <row r="231" customHeight="1" spans="1:2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2" t="str">
        <f t="shared" si="2"/>
        <v/>
      </c>
    </row>
    <row r="232" customHeight="1" spans="1:2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82" t="str">
        <f t="shared" si="2"/>
        <v/>
      </c>
    </row>
    <row r="233" customHeight="1" spans="1:2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82" t="str">
        <f t="shared" si="2"/>
        <v/>
      </c>
    </row>
    <row r="234" customHeight="1" spans="1:2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82" t="str">
        <f t="shared" si="2"/>
        <v/>
      </c>
    </row>
    <row r="235" customHeight="1" spans="1:2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82" t="str">
        <f t="shared" si="2"/>
        <v/>
      </c>
    </row>
    <row r="236" customHeight="1" spans="1:2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82" t="str">
        <f t="shared" si="2"/>
        <v/>
      </c>
    </row>
    <row r="237" customHeight="1" spans="1:2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82" t="str">
        <f t="shared" si="2"/>
        <v/>
      </c>
    </row>
    <row r="238" customHeight="1" spans="1:2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2" t="str">
        <f t="shared" si="2"/>
        <v/>
      </c>
    </row>
    <row r="239" customHeight="1" spans="1:2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82" t="str">
        <f t="shared" si="2"/>
        <v/>
      </c>
    </row>
    <row r="240" customHeight="1" spans="1:2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82" t="str">
        <f t="shared" si="2"/>
        <v/>
      </c>
    </row>
    <row r="241" customHeight="1" spans="1:2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82" t="str">
        <f t="shared" si="2"/>
        <v/>
      </c>
    </row>
    <row r="242" customHeight="1" spans="1:2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82" t="str">
        <f t="shared" si="2"/>
        <v/>
      </c>
    </row>
    <row r="243" customHeight="1" spans="1:2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82" t="str">
        <f t="shared" si="2"/>
        <v/>
      </c>
    </row>
    <row r="244" customHeight="1" spans="1:2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82" t="str">
        <f t="shared" si="2"/>
        <v/>
      </c>
    </row>
    <row r="245" customHeight="1" spans="1:2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2" t="str">
        <f t="shared" si="2"/>
        <v/>
      </c>
    </row>
    <row r="246" customHeight="1" spans="1:2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82" t="str">
        <f t="shared" si="2"/>
        <v/>
      </c>
    </row>
    <row r="247" customHeight="1" spans="1:2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82" t="str">
        <f t="shared" si="2"/>
        <v/>
      </c>
    </row>
    <row r="248" customHeight="1" spans="1:2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82" t="str">
        <f t="shared" si="2"/>
        <v/>
      </c>
    </row>
    <row r="249" customHeight="1" spans="1:2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82" t="str">
        <f t="shared" si="2"/>
        <v/>
      </c>
    </row>
    <row r="250" customHeight="1" spans="1:2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82" t="str">
        <f t="shared" si="2"/>
        <v/>
      </c>
    </row>
    <row r="251" customHeight="1" spans="1:2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82" t="str">
        <f t="shared" si="2"/>
        <v/>
      </c>
    </row>
    <row r="252" customHeight="1" spans="1:2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2" t="str">
        <f t="shared" si="2"/>
        <v/>
      </c>
    </row>
    <row r="253" customHeight="1" spans="1:2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82" t="str">
        <f t="shared" si="2"/>
        <v/>
      </c>
    </row>
    <row r="254" customHeight="1" spans="1:2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82" t="str">
        <f t="shared" si="2"/>
        <v/>
      </c>
    </row>
    <row r="255" customHeight="1" spans="1:2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82" t="str">
        <f t="shared" si="2"/>
        <v/>
      </c>
    </row>
    <row r="256" customHeight="1" spans="1:2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82" t="str">
        <f t="shared" si="2"/>
        <v/>
      </c>
    </row>
    <row r="257" customHeight="1" spans="1:2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2" t="str">
        <f t="shared" si="2"/>
        <v/>
      </c>
    </row>
    <row r="258" customHeight="1" spans="1:2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82" t="str">
        <f t="shared" si="2"/>
        <v/>
      </c>
    </row>
    <row r="259" customHeight="1" spans="1:2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82" t="str">
        <f t="shared" si="2"/>
        <v/>
      </c>
    </row>
    <row r="260" customHeight="1" spans="1:2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82" t="str">
        <f t="shared" si="2"/>
        <v/>
      </c>
    </row>
    <row r="261" customHeight="1" spans="1:2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82" t="str">
        <f t="shared" si="2"/>
        <v/>
      </c>
    </row>
    <row r="262" customHeight="1" spans="1:2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2" t="str">
        <f t="shared" si="2"/>
        <v/>
      </c>
    </row>
    <row r="263" customHeight="1" spans="1:2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82" t="str">
        <f t="shared" si="2"/>
        <v/>
      </c>
    </row>
    <row r="264" customHeight="1" spans="1:2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82" t="str">
        <f t="shared" si="2"/>
        <v/>
      </c>
    </row>
    <row r="265" customHeight="1" spans="1:2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82" t="str">
        <f t="shared" si="2"/>
        <v/>
      </c>
    </row>
    <row r="266" customHeight="1" spans="1:2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82" t="str">
        <f t="shared" si="2"/>
        <v/>
      </c>
    </row>
    <row r="267" customHeight="1" spans="1:2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2" t="str">
        <f t="shared" si="2"/>
        <v/>
      </c>
    </row>
    <row r="268" customHeight="1" spans="1:2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82" t="str">
        <f t="shared" si="2"/>
        <v/>
      </c>
    </row>
    <row r="269" customHeight="1" spans="1:2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82" t="str">
        <f t="shared" si="2"/>
        <v/>
      </c>
    </row>
    <row r="270" customHeight="1" spans="1:2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82" t="str">
        <f t="shared" si="2"/>
        <v/>
      </c>
    </row>
    <row r="271" customHeight="1" spans="1:2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82" t="str">
        <f t="shared" si="2"/>
        <v/>
      </c>
    </row>
    <row r="272" customHeight="1" spans="1:2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2" t="str">
        <f t="shared" si="2"/>
        <v/>
      </c>
    </row>
    <row r="273" customHeight="1" spans="1:2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82" t="str">
        <f t="shared" si="2"/>
        <v/>
      </c>
    </row>
    <row r="274" customHeight="1" spans="1:2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82" t="str">
        <f t="shared" si="2"/>
        <v/>
      </c>
    </row>
    <row r="275" customHeight="1" spans="1:2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82" t="str">
        <f t="shared" si="2"/>
        <v/>
      </c>
    </row>
    <row r="276" customHeight="1" spans="1:2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82" t="str">
        <f t="shared" si="2"/>
        <v/>
      </c>
    </row>
    <row r="277" customHeight="1" spans="1:2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2" t="str">
        <f t="shared" si="2"/>
        <v/>
      </c>
    </row>
    <row r="278" customHeight="1" spans="1:2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82" t="str">
        <f t="shared" si="2"/>
        <v/>
      </c>
    </row>
    <row r="279" customHeight="1" spans="1:2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82" t="str">
        <f t="shared" si="2"/>
        <v/>
      </c>
    </row>
    <row r="280" customHeight="1" spans="1:2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82" t="str">
        <f t="shared" si="2"/>
        <v/>
      </c>
    </row>
    <row r="281" customHeight="1" spans="1:2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82" t="str">
        <f t="shared" si="2"/>
        <v/>
      </c>
    </row>
    <row r="282" customHeight="1" spans="1:2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2" t="str">
        <f t="shared" si="2"/>
        <v/>
      </c>
    </row>
    <row r="283" customHeight="1" spans="1:2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2" t="str">
        <f t="shared" si="2"/>
        <v/>
      </c>
    </row>
    <row r="284" customHeight="1" spans="1:2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82" t="str">
        <f t="shared" si="2"/>
        <v/>
      </c>
    </row>
    <row r="285" customHeight="1" spans="1:2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82" t="str">
        <f t="shared" si="2"/>
        <v/>
      </c>
    </row>
    <row r="286" customHeight="1" spans="1:2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82" t="str">
        <f t="shared" si="2"/>
        <v/>
      </c>
    </row>
    <row r="287" customHeight="1" spans="1:2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2" t="str">
        <f t="shared" si="2"/>
        <v/>
      </c>
    </row>
    <row r="288" customHeight="1" spans="1:2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82" t="str">
        <f t="shared" si="2"/>
        <v/>
      </c>
    </row>
    <row r="289" customHeight="1" spans="1:2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82" t="str">
        <f t="shared" si="2"/>
        <v/>
      </c>
    </row>
    <row r="290" customHeight="1" spans="1:2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82" t="str">
        <f t="shared" si="2"/>
        <v/>
      </c>
    </row>
    <row r="291" customHeight="1" spans="1:2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82" t="str">
        <f t="shared" si="2"/>
        <v/>
      </c>
    </row>
    <row r="292" customHeight="1" spans="1:2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2" t="str">
        <f t="shared" si="2"/>
        <v/>
      </c>
    </row>
    <row r="293" customHeight="1" spans="1:2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82" t="str">
        <f t="shared" si="2"/>
        <v/>
      </c>
    </row>
    <row r="294" customHeight="1" spans="1:2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82" t="str">
        <f t="shared" si="2"/>
        <v/>
      </c>
    </row>
    <row r="295" customHeight="1" spans="1:2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82" t="str">
        <f t="shared" si="2"/>
        <v/>
      </c>
    </row>
    <row r="296" customHeight="1" spans="1:2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82" t="str">
        <f t="shared" si="2"/>
        <v/>
      </c>
    </row>
    <row r="297" customHeight="1" spans="1:2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2" t="str">
        <f t="shared" si="2"/>
        <v/>
      </c>
    </row>
    <row r="298" customHeight="1" spans="1:2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82" t="str">
        <f t="shared" si="2"/>
        <v/>
      </c>
    </row>
    <row r="299" customHeight="1" spans="1:2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82" t="str">
        <f t="shared" si="2"/>
        <v/>
      </c>
    </row>
    <row r="300" customHeight="1" spans="1:2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82" t="str">
        <f t="shared" si="2"/>
        <v/>
      </c>
    </row>
    <row r="301" customHeight="1" spans="1:2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82" t="str">
        <f t="shared" si="2"/>
        <v/>
      </c>
    </row>
    <row r="302" customHeight="1" spans="1:2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2" t="str">
        <f t="shared" si="2"/>
        <v/>
      </c>
    </row>
    <row r="303" customHeight="1" spans="1:2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82" t="str">
        <f t="shared" si="2"/>
        <v/>
      </c>
    </row>
    <row r="304" customHeight="1" spans="1:2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82" t="str">
        <f t="shared" si="2"/>
        <v/>
      </c>
    </row>
    <row r="305" customHeight="1" spans="1:2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82" t="str">
        <f t="shared" si="2"/>
        <v/>
      </c>
    </row>
    <row r="306" customHeight="1" spans="1:2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82" t="str">
        <f t="shared" si="2"/>
        <v/>
      </c>
    </row>
    <row r="307" customHeight="1" spans="1:2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2" t="str">
        <f t="shared" si="2"/>
        <v/>
      </c>
    </row>
    <row r="308" customHeight="1" spans="1:2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82" t="str">
        <f t="shared" si="2"/>
        <v/>
      </c>
    </row>
    <row r="309" customHeight="1" spans="1:2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82" t="str">
        <f t="shared" si="2"/>
        <v/>
      </c>
    </row>
    <row r="310" customHeight="1" spans="1:2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82" t="str">
        <f t="shared" si="2"/>
        <v/>
      </c>
    </row>
    <row r="311" customHeight="1" spans="1:2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82" t="str">
        <f t="shared" si="2"/>
        <v/>
      </c>
    </row>
    <row r="312" customHeight="1" spans="1:2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2" t="str">
        <f t="shared" si="2"/>
        <v/>
      </c>
    </row>
    <row r="313" customHeight="1" spans="1:2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82" t="str">
        <f t="shared" si="2"/>
        <v/>
      </c>
    </row>
    <row r="314" customHeight="1" spans="1:2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82" t="str">
        <f t="shared" si="2"/>
        <v/>
      </c>
    </row>
    <row r="315" customHeight="1" spans="1:2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82" t="str">
        <f t="shared" si="2"/>
        <v/>
      </c>
    </row>
    <row r="316" customHeight="1" spans="1:2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82" t="str">
        <f t="shared" si="2"/>
        <v/>
      </c>
    </row>
    <row r="317" customHeight="1" spans="1:2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2" t="str">
        <f t="shared" si="2"/>
        <v/>
      </c>
    </row>
    <row r="318" customHeight="1" spans="1:2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82" t="str">
        <f t="shared" si="2"/>
        <v/>
      </c>
    </row>
    <row r="319" customHeight="1" spans="1:2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82" t="str">
        <f t="shared" si="2"/>
        <v/>
      </c>
    </row>
    <row r="320" customHeight="1" spans="1:2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82" t="str">
        <f t="shared" si="2"/>
        <v/>
      </c>
    </row>
    <row r="321" customHeight="1" spans="1:2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82" t="str">
        <f t="shared" si="2"/>
        <v/>
      </c>
    </row>
    <row r="322" customHeight="1" spans="1:2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2" t="str">
        <f t="shared" si="2"/>
        <v/>
      </c>
    </row>
    <row r="323" customHeight="1" spans="1:2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82" t="str">
        <f t="shared" si="2"/>
        <v/>
      </c>
    </row>
    <row r="324" customHeight="1" spans="1:2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82" t="str">
        <f t="shared" si="2"/>
        <v/>
      </c>
    </row>
    <row r="325" customHeight="1" spans="1:2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82" t="str">
        <f t="shared" si="2"/>
        <v/>
      </c>
    </row>
    <row r="326" customHeight="1" spans="1:2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82" t="str">
        <f t="shared" si="2"/>
        <v/>
      </c>
    </row>
    <row r="327" customHeight="1" spans="1: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2" t="str">
        <f t="shared" si="2"/>
        <v/>
      </c>
    </row>
    <row r="328" customHeight="1" spans="1:2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82" t="str">
        <f t="shared" si="2"/>
        <v/>
      </c>
    </row>
    <row r="329" customHeight="1" spans="1:2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82" t="str">
        <f t="shared" si="2"/>
        <v/>
      </c>
    </row>
    <row r="330" customHeight="1" spans="1:2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82" t="str">
        <f t="shared" si="2"/>
        <v/>
      </c>
    </row>
    <row r="331" customHeight="1" spans="1:2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82" t="str">
        <f t="shared" si="2"/>
        <v/>
      </c>
    </row>
    <row r="332" customHeight="1" spans="1:2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2" t="str">
        <f t="shared" si="2"/>
        <v/>
      </c>
    </row>
    <row r="333" customHeight="1" spans="1:2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82" t="str">
        <f t="shared" si="2"/>
        <v/>
      </c>
    </row>
    <row r="334" customHeight="1" spans="1:2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82" t="str">
        <f t="shared" si="2"/>
        <v/>
      </c>
    </row>
    <row r="335" customHeight="1" spans="1:2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82" t="str">
        <f t="shared" si="2"/>
        <v/>
      </c>
    </row>
    <row r="336" customHeight="1" spans="1:2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82" t="str">
        <f t="shared" si="2"/>
        <v/>
      </c>
    </row>
    <row r="337" customHeight="1" spans="1:2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2" t="str">
        <f t="shared" si="2"/>
        <v/>
      </c>
    </row>
    <row r="338" customHeight="1" spans="1:2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82" t="str">
        <f t="shared" si="2"/>
        <v/>
      </c>
    </row>
    <row r="339" customHeight="1" spans="1:2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82" t="str">
        <f t="shared" si="2"/>
        <v/>
      </c>
    </row>
    <row r="340" customHeight="1" spans="1:2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82" t="str">
        <f t="shared" si="2"/>
        <v/>
      </c>
    </row>
    <row r="341" customHeight="1" spans="1:2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82" t="str">
        <f t="shared" si="2"/>
        <v/>
      </c>
    </row>
    <row r="342" customHeight="1" spans="1:2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2" t="str">
        <f t="shared" si="2"/>
        <v/>
      </c>
    </row>
    <row r="343" customHeight="1" spans="1:2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82" t="str">
        <f t="shared" si="2"/>
        <v/>
      </c>
    </row>
    <row r="344" customHeight="1" spans="1:2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2" t="str">
        <f t="shared" si="2"/>
        <v/>
      </c>
    </row>
    <row r="345" customHeight="1" spans="1:2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82" t="str">
        <f t="shared" si="2"/>
        <v/>
      </c>
    </row>
    <row r="346" customHeight="1" spans="1:2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82" t="str">
        <f t="shared" si="2"/>
        <v/>
      </c>
    </row>
    <row r="347" customHeight="1" spans="1:2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2" t="str">
        <f t="shared" si="2"/>
        <v/>
      </c>
    </row>
    <row r="348" customHeight="1" spans="1:2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82" t="str">
        <f t="shared" si="2"/>
        <v/>
      </c>
    </row>
    <row r="349" customHeight="1" spans="1:2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82" t="str">
        <f t="shared" si="2"/>
        <v/>
      </c>
    </row>
    <row r="350" customHeight="1" spans="1:2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82" t="str">
        <f t="shared" si="2"/>
        <v/>
      </c>
    </row>
    <row r="351" customHeight="1" spans="1:2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82" t="str">
        <f t="shared" si="2"/>
        <v/>
      </c>
    </row>
    <row r="352" customHeight="1" spans="1:2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2" t="str">
        <f t="shared" si="2"/>
        <v/>
      </c>
    </row>
    <row r="353" customHeight="1" spans="1:2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82" t="str">
        <f t="shared" si="2"/>
        <v/>
      </c>
    </row>
    <row r="354" customHeight="1" spans="1:2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82" t="str">
        <f t="shared" si="2"/>
        <v/>
      </c>
    </row>
    <row r="355" customHeight="1" spans="1:2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82" t="str">
        <f t="shared" si="2"/>
        <v/>
      </c>
    </row>
    <row r="356" customHeight="1" spans="1:2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82" t="str">
        <f t="shared" si="2"/>
        <v/>
      </c>
    </row>
    <row r="357" customHeight="1" spans="1:2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2" t="str">
        <f t="shared" si="2"/>
        <v/>
      </c>
    </row>
    <row r="358" customHeight="1" spans="1:2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82" t="str">
        <f t="shared" si="2"/>
        <v/>
      </c>
    </row>
    <row r="359" customHeight="1" spans="1:2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82" t="str">
        <f t="shared" si="2"/>
        <v/>
      </c>
    </row>
    <row r="360" customHeight="1" spans="1:2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82" t="str">
        <f t="shared" si="2"/>
        <v/>
      </c>
    </row>
    <row r="361" customHeight="1" spans="1:2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82" t="str">
        <f t="shared" si="2"/>
        <v/>
      </c>
    </row>
    <row r="362" customHeight="1" spans="1:2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2" t="str">
        <f t="shared" si="2"/>
        <v/>
      </c>
    </row>
    <row r="363" customHeight="1" spans="1:2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82" t="str">
        <f t="shared" si="2"/>
        <v/>
      </c>
    </row>
    <row r="364" customHeight="1" spans="1:2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82" t="str">
        <f t="shared" si="2"/>
        <v/>
      </c>
    </row>
    <row r="365" customHeight="1" spans="1:2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82" t="str">
        <f t="shared" si="2"/>
        <v/>
      </c>
    </row>
    <row r="366" customHeight="1" spans="1:2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82" t="str">
        <f t="shared" si="2"/>
        <v/>
      </c>
    </row>
    <row r="367" customHeight="1" spans="1:2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2" t="str">
        <f t="shared" si="2"/>
        <v/>
      </c>
    </row>
    <row r="368" customHeight="1" spans="1:2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82" t="str">
        <f t="shared" si="2"/>
        <v/>
      </c>
    </row>
    <row r="369" customHeight="1" spans="1:2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82" t="str">
        <f t="shared" si="2"/>
        <v/>
      </c>
    </row>
    <row r="370" customHeight="1" spans="1:2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82" t="str">
        <f t="shared" si="2"/>
        <v/>
      </c>
    </row>
    <row r="371" customHeight="1" spans="1:2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82" t="str">
        <f t="shared" si="2"/>
        <v/>
      </c>
    </row>
    <row r="372" customHeight="1" spans="1:2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2" t="str">
        <f t="shared" si="2"/>
        <v/>
      </c>
    </row>
    <row r="373" customHeight="1" spans="1:2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82" t="str">
        <f t="shared" si="2"/>
        <v/>
      </c>
    </row>
    <row r="374" customHeight="1" spans="1:2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82" t="str">
        <f t="shared" si="2"/>
        <v/>
      </c>
    </row>
    <row r="375" customHeight="1" spans="1:2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82" t="str">
        <f t="shared" si="2"/>
        <v/>
      </c>
    </row>
    <row r="376" customHeight="1" spans="1:2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82" t="str">
        <f t="shared" si="2"/>
        <v/>
      </c>
    </row>
    <row r="377" customHeight="1" spans="1:2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82" t="str">
        <f t="shared" si="2"/>
        <v/>
      </c>
    </row>
    <row r="378" customHeight="1" spans="1:2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82" t="str">
        <f t="shared" si="2"/>
        <v/>
      </c>
    </row>
    <row r="379" customHeight="1" spans="1:2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82" t="str">
        <f t="shared" si="2"/>
        <v/>
      </c>
    </row>
    <row r="380" customHeight="1" spans="1:2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82" t="str">
        <f t="shared" si="2"/>
        <v/>
      </c>
    </row>
    <row r="381" customHeight="1" spans="1:2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82" t="str">
        <f t="shared" si="2"/>
        <v/>
      </c>
    </row>
    <row r="382" customHeight="1" spans="1:2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2" t="str">
        <f t="shared" si="2"/>
        <v/>
      </c>
    </row>
    <row r="383" customHeight="1" spans="1:2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82" t="str">
        <f t="shared" si="2"/>
        <v/>
      </c>
    </row>
    <row r="384" customHeight="1" spans="1:2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82" t="str">
        <f t="shared" si="2"/>
        <v/>
      </c>
    </row>
    <row r="385" customHeight="1" spans="1:2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82" t="str">
        <f t="shared" si="2"/>
        <v/>
      </c>
    </row>
    <row r="386" customHeight="1" spans="1:2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82" t="str">
        <f t="shared" si="2"/>
        <v/>
      </c>
    </row>
    <row r="387" customHeight="1" spans="1:2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2" t="str">
        <f t="shared" si="2"/>
        <v/>
      </c>
    </row>
    <row r="388" customHeight="1" spans="1:2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82" t="str">
        <f t="shared" si="2"/>
        <v/>
      </c>
    </row>
    <row r="389" customHeight="1" spans="1:2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82" t="str">
        <f t="shared" si="2"/>
        <v/>
      </c>
    </row>
    <row r="390" customHeight="1" spans="1:2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82" t="str">
        <f t="shared" si="2"/>
        <v/>
      </c>
    </row>
    <row r="391" customHeight="1" spans="1:2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82" t="str">
        <f t="shared" si="2"/>
        <v/>
      </c>
    </row>
    <row r="392" customHeight="1" spans="1:2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2" t="str">
        <f t="shared" si="2"/>
        <v/>
      </c>
    </row>
    <row r="393" customHeight="1" spans="1:2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82" t="str">
        <f t="shared" si="2"/>
        <v/>
      </c>
    </row>
    <row r="394" customHeight="1" spans="1:2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82" t="str">
        <f t="shared" si="2"/>
        <v/>
      </c>
    </row>
    <row r="395" customHeight="1" spans="1:2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82" t="str">
        <f t="shared" si="2"/>
        <v/>
      </c>
    </row>
    <row r="396" customHeight="1" spans="1:2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82" t="str">
        <f t="shared" si="2"/>
        <v/>
      </c>
    </row>
    <row r="397" customHeight="1" spans="1:2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2" t="str">
        <f t="shared" si="2"/>
        <v/>
      </c>
    </row>
    <row r="398" customHeight="1" spans="1:2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82" t="str">
        <f t="shared" si="2"/>
        <v/>
      </c>
    </row>
    <row r="399" customHeight="1" spans="1:2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82" t="str">
        <f t="shared" si="2"/>
        <v/>
      </c>
    </row>
    <row r="400" customHeight="1" spans="1:2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82" t="str">
        <f t="shared" si="2"/>
        <v/>
      </c>
    </row>
    <row r="401" customHeight="1" spans="1:2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82" t="str">
        <f t="shared" si="2"/>
        <v/>
      </c>
    </row>
    <row r="402" customHeight="1" spans="1:2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82" t="str">
        <f t="shared" si="2"/>
        <v/>
      </c>
    </row>
    <row r="403" customHeight="1" spans="1:2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82" t="str">
        <f t="shared" si="2"/>
        <v/>
      </c>
    </row>
    <row r="404" customHeight="1" spans="1:2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82" t="str">
        <f t="shared" si="2"/>
        <v/>
      </c>
    </row>
    <row r="405" customHeight="1" spans="1:2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82" t="str">
        <f t="shared" si="2"/>
        <v/>
      </c>
    </row>
    <row r="406" customHeight="1" spans="1:2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82" t="str">
        <f t="shared" si="2"/>
        <v/>
      </c>
    </row>
    <row r="407" customHeight="1" spans="1:2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2" t="str">
        <f t="shared" si="2"/>
        <v/>
      </c>
    </row>
    <row r="408" customHeight="1" spans="1:2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82" t="str">
        <f t="shared" si="2"/>
        <v/>
      </c>
    </row>
    <row r="409" customHeight="1" spans="1:2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82" t="str">
        <f t="shared" si="2"/>
        <v/>
      </c>
    </row>
    <row r="410" customHeight="1" spans="1:2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82" t="str">
        <f t="shared" si="2"/>
        <v/>
      </c>
    </row>
    <row r="411" customHeight="1" spans="1:2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82" t="str">
        <f t="shared" si="2"/>
        <v/>
      </c>
    </row>
    <row r="412" customHeight="1" spans="1:2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2" t="str">
        <f t="shared" si="2"/>
        <v/>
      </c>
    </row>
    <row r="413" customHeight="1" spans="1:2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82" t="str">
        <f t="shared" si="2"/>
        <v/>
      </c>
    </row>
    <row r="414" customHeight="1" spans="1:2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82" t="str">
        <f t="shared" si="2"/>
        <v/>
      </c>
    </row>
    <row r="415" customHeight="1" spans="1:2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82" t="str">
        <f t="shared" si="2"/>
        <v/>
      </c>
    </row>
    <row r="416" customHeight="1" spans="1:2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82" t="str">
        <f t="shared" si="2"/>
        <v/>
      </c>
    </row>
    <row r="417" customHeight="1" spans="1:2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2" t="str">
        <f t="shared" si="2"/>
        <v/>
      </c>
    </row>
    <row r="418" customHeight="1" spans="1:2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82" t="str">
        <f t="shared" si="2"/>
        <v/>
      </c>
    </row>
    <row r="419" customHeight="1" spans="1:2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82" t="str">
        <f t="shared" si="2"/>
        <v/>
      </c>
    </row>
    <row r="420" customHeight="1" spans="1:2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82" t="str">
        <f t="shared" si="2"/>
        <v/>
      </c>
    </row>
    <row r="421" customHeight="1" spans="1:2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82" t="str">
        <f t="shared" si="2"/>
        <v/>
      </c>
    </row>
    <row r="422" customHeight="1" spans="1:2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2" t="str">
        <f t="shared" si="2"/>
        <v/>
      </c>
    </row>
    <row r="423" customHeight="1" spans="1:2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82" t="str">
        <f t="shared" si="2"/>
        <v/>
      </c>
    </row>
    <row r="424" customHeight="1" spans="1:2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82" t="str">
        <f t="shared" si="2"/>
        <v/>
      </c>
    </row>
    <row r="425" customHeight="1" spans="1:2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82" t="str">
        <f t="shared" si="2"/>
        <v/>
      </c>
    </row>
    <row r="426" customHeight="1" spans="1:2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82" t="str">
        <f t="shared" si="2"/>
        <v/>
      </c>
    </row>
    <row r="427" customHeight="1" spans="1: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2" t="str">
        <f t="shared" si="2"/>
        <v/>
      </c>
    </row>
    <row r="428" customHeight="1" spans="1:2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82" t="str">
        <f t="shared" si="2"/>
        <v/>
      </c>
    </row>
    <row r="429" customHeight="1" spans="1:2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82" t="str">
        <f t="shared" si="2"/>
        <v/>
      </c>
    </row>
    <row r="430" customHeight="1" spans="1:2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82" t="str">
        <f t="shared" si="2"/>
        <v/>
      </c>
    </row>
    <row r="431" customHeight="1" spans="1:2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82" t="str">
        <f t="shared" si="2"/>
        <v/>
      </c>
    </row>
    <row r="432" customHeight="1" spans="1:2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2" t="str">
        <f t="shared" si="2"/>
        <v/>
      </c>
    </row>
    <row r="433" customHeight="1" spans="1:2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82" t="str">
        <f t="shared" si="2"/>
        <v/>
      </c>
    </row>
    <row r="434" customHeight="1" spans="1:2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82" t="str">
        <f t="shared" si="2"/>
        <v/>
      </c>
    </row>
    <row r="435" customHeight="1" spans="1:2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82" t="str">
        <f t="shared" si="2"/>
        <v/>
      </c>
    </row>
    <row r="436" customHeight="1" spans="1:2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82" t="str">
        <f t="shared" si="2"/>
        <v/>
      </c>
    </row>
    <row r="437" customHeight="1" spans="1:2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2" t="str">
        <f t="shared" si="2"/>
        <v/>
      </c>
    </row>
    <row r="438" customHeight="1" spans="1:2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82" t="str">
        <f t="shared" si="2"/>
        <v/>
      </c>
    </row>
    <row r="439" customHeight="1" spans="1:2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82" t="str">
        <f t="shared" si="2"/>
        <v/>
      </c>
    </row>
    <row r="440" customHeight="1" spans="1:2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82" t="str">
        <f t="shared" si="2"/>
        <v/>
      </c>
    </row>
    <row r="441" customHeight="1" spans="1:2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82" t="str">
        <f t="shared" si="2"/>
        <v/>
      </c>
    </row>
    <row r="442" customHeight="1" spans="1:2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2" t="str">
        <f t="shared" si="2"/>
        <v/>
      </c>
    </row>
    <row r="443" customHeight="1" spans="1:2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82" t="str">
        <f t="shared" si="2"/>
        <v/>
      </c>
    </row>
    <row r="444" customHeight="1" spans="1:2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82" t="str">
        <f t="shared" si="2"/>
        <v/>
      </c>
    </row>
    <row r="445" customHeight="1" spans="1:2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82" t="str">
        <f t="shared" si="2"/>
        <v/>
      </c>
    </row>
    <row r="446" customHeight="1" spans="1:2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82" t="str">
        <f t="shared" si="2"/>
        <v/>
      </c>
    </row>
    <row r="447" customHeight="1" spans="1:2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2" t="str">
        <f t="shared" si="2"/>
        <v/>
      </c>
    </row>
    <row r="448" customHeight="1" spans="1:2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82" t="str">
        <f t="shared" si="2"/>
        <v/>
      </c>
    </row>
    <row r="449" customHeight="1" spans="1:2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82" t="str">
        <f t="shared" si="2"/>
        <v/>
      </c>
    </row>
    <row r="450" customHeight="1" spans="1:2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82" t="str">
        <f t="shared" si="2"/>
        <v/>
      </c>
    </row>
    <row r="451" customHeight="1" spans="1:2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82" t="str">
        <f t="shared" si="2"/>
        <v/>
      </c>
    </row>
    <row r="452" customHeight="1" spans="1:2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2" t="str">
        <f t="shared" si="2"/>
        <v/>
      </c>
    </row>
    <row r="453" customHeight="1" spans="1:2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82" t="str">
        <f t="shared" si="2"/>
        <v/>
      </c>
    </row>
    <row r="454" customHeight="1" spans="1:2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82" t="str">
        <f t="shared" si="2"/>
        <v/>
      </c>
    </row>
    <row r="455" customHeight="1" spans="1:2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82" t="str">
        <f t="shared" si="2"/>
        <v/>
      </c>
    </row>
    <row r="456" customHeight="1" spans="1:2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82" t="str">
        <f t="shared" si="2"/>
        <v/>
      </c>
    </row>
    <row r="457" customHeight="1" spans="1:2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2" t="str">
        <f t="shared" si="2"/>
        <v/>
      </c>
    </row>
    <row r="458" customHeight="1" spans="1:2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82" t="str">
        <f t="shared" si="2"/>
        <v/>
      </c>
    </row>
    <row r="459" customHeight="1" spans="1:2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82" t="str">
        <f t="shared" si="2"/>
        <v/>
      </c>
    </row>
    <row r="460" customHeight="1" spans="1:2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82" t="str">
        <f t="shared" si="2"/>
        <v/>
      </c>
    </row>
    <row r="461" customHeight="1" spans="1:2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82" t="str">
        <f t="shared" si="2"/>
        <v/>
      </c>
    </row>
    <row r="462" customHeight="1" spans="1:2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2" t="str">
        <f t="shared" si="2"/>
        <v/>
      </c>
    </row>
    <row r="463" customHeight="1" spans="1:2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82" t="str">
        <f t="shared" si="2"/>
        <v/>
      </c>
    </row>
    <row r="464" customHeight="1" spans="1:2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82" t="str">
        <f t="shared" si="2"/>
        <v/>
      </c>
    </row>
    <row r="465" customHeight="1" spans="1:2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2" t="str">
        <f t="shared" si="2"/>
        <v/>
      </c>
    </row>
    <row r="466" customHeight="1" spans="1:2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82" t="str">
        <f t="shared" si="2"/>
        <v/>
      </c>
    </row>
    <row r="467" customHeight="1" spans="1:2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2" t="str">
        <f t="shared" si="2"/>
        <v/>
      </c>
    </row>
    <row r="468" customHeight="1" spans="1:2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82" t="str">
        <f t="shared" si="2"/>
        <v/>
      </c>
    </row>
    <row r="469" customHeight="1" spans="1:2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82" t="str">
        <f t="shared" si="2"/>
        <v/>
      </c>
    </row>
    <row r="470" customHeight="1" spans="1:2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82" t="str">
        <f t="shared" si="2"/>
        <v/>
      </c>
    </row>
    <row r="471" customHeight="1" spans="1:2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82" t="str">
        <f t="shared" si="2"/>
        <v/>
      </c>
    </row>
    <row r="472" customHeight="1" spans="1:2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2" t="str">
        <f t="shared" si="2"/>
        <v/>
      </c>
    </row>
    <row r="473" customHeight="1" spans="1:2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82" t="str">
        <f t="shared" si="2"/>
        <v/>
      </c>
    </row>
    <row r="474" customHeight="1" spans="1:2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82" t="str">
        <f t="shared" si="2"/>
        <v/>
      </c>
    </row>
    <row r="475" customHeight="1" spans="1:2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82" t="str">
        <f t="shared" si="2"/>
        <v/>
      </c>
    </row>
    <row r="476" customHeight="1" spans="1:2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82" t="str">
        <f t="shared" si="2"/>
        <v/>
      </c>
    </row>
    <row r="477" customHeight="1" spans="1:2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2" t="str">
        <f t="shared" si="2"/>
        <v/>
      </c>
    </row>
    <row r="478" customHeight="1" spans="1:2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82" t="str">
        <f t="shared" si="2"/>
        <v/>
      </c>
    </row>
    <row r="479" customHeight="1" spans="1:2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82" t="str">
        <f t="shared" si="2"/>
        <v/>
      </c>
    </row>
    <row r="480" customHeight="1" spans="1:2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82" t="str">
        <f t="shared" si="2"/>
        <v/>
      </c>
    </row>
    <row r="481" customHeight="1" spans="1:2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82" t="str">
        <f t="shared" si="2"/>
        <v/>
      </c>
    </row>
    <row r="482" customHeight="1" spans="1:2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2" t="str">
        <f t="shared" si="2"/>
        <v/>
      </c>
    </row>
    <row r="483" customHeight="1" spans="1:2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82" t="str">
        <f t="shared" si="2"/>
        <v/>
      </c>
    </row>
    <row r="484" customHeight="1" spans="1:2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82" t="str">
        <f t="shared" si="2"/>
        <v/>
      </c>
    </row>
    <row r="485" customHeight="1" spans="1:2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82" t="str">
        <f t="shared" si="2"/>
        <v/>
      </c>
    </row>
    <row r="486" customHeight="1" spans="1:2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82" t="str">
        <f t="shared" si="2"/>
        <v/>
      </c>
    </row>
    <row r="487" customHeight="1" spans="1:2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2" t="str">
        <f t="shared" si="2"/>
        <v/>
      </c>
    </row>
    <row r="488" customHeight="1" spans="1:2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82" t="str">
        <f t="shared" si="2"/>
        <v/>
      </c>
    </row>
    <row r="489" customHeight="1" spans="1:2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82" t="str">
        <f t="shared" si="2"/>
        <v/>
      </c>
    </row>
    <row r="490" customHeight="1" spans="1:2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82" t="str">
        <f t="shared" si="2"/>
        <v/>
      </c>
    </row>
    <row r="491" customHeight="1" spans="1:2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82" t="str">
        <f t="shared" si="2"/>
        <v/>
      </c>
    </row>
    <row r="492" customHeight="1" spans="1:2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2" t="str">
        <f t="shared" si="2"/>
        <v/>
      </c>
    </row>
    <row r="493" customHeight="1" spans="1:2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82" t="str">
        <f t="shared" si="2"/>
        <v/>
      </c>
    </row>
    <row r="494" customHeight="1" spans="1:2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82" t="str">
        <f t="shared" si="2"/>
        <v/>
      </c>
    </row>
    <row r="495" customHeight="1" spans="1:2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82" t="str">
        <f t="shared" si="2"/>
        <v/>
      </c>
    </row>
    <row r="496" customHeight="1" spans="1:2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82" t="str">
        <f t="shared" si="2"/>
        <v/>
      </c>
    </row>
    <row r="497" customHeight="1" spans="1:2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2" t="str">
        <f t="shared" si="2"/>
        <v/>
      </c>
    </row>
    <row r="498" customHeight="1" spans="1:2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82" t="str">
        <f t="shared" si="2"/>
        <v/>
      </c>
    </row>
    <row r="499" customHeight="1" spans="1:2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82" t="str">
        <f t="shared" si="2"/>
        <v/>
      </c>
    </row>
    <row r="500" customHeight="1" spans="1:2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82" t="str">
        <f t="shared" si="2"/>
        <v/>
      </c>
    </row>
    <row r="501" customHeight="1" spans="1:2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82" t="str">
        <f t="shared" si="2"/>
        <v/>
      </c>
    </row>
    <row r="502" customHeight="1" spans="1:2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2" t="str">
        <f t="shared" si="2"/>
        <v/>
      </c>
    </row>
    <row r="503" customHeight="1" spans="1:2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82" t="str">
        <f t="shared" si="2"/>
        <v/>
      </c>
    </row>
    <row r="504" customHeight="1" spans="1:2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82" t="str">
        <f t="shared" si="2"/>
        <v/>
      </c>
    </row>
    <row r="505" customHeight="1" spans="1:2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82" t="str">
        <f t="shared" si="2"/>
        <v/>
      </c>
    </row>
    <row r="506" customHeight="1" spans="1:2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82" t="str">
        <f t="shared" si="2"/>
        <v/>
      </c>
    </row>
    <row r="507" customHeight="1" spans="1:2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2" t="str">
        <f t="shared" si="2"/>
        <v/>
      </c>
    </row>
    <row r="508" customHeight="1" spans="1:2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82" t="str">
        <f t="shared" si="2"/>
        <v/>
      </c>
    </row>
    <row r="509" customHeight="1" spans="1:2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82" t="str">
        <f t="shared" si="2"/>
        <v/>
      </c>
    </row>
    <row r="510" customHeight="1" spans="1:2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82" t="str">
        <f t="shared" si="2"/>
        <v/>
      </c>
    </row>
    <row r="511" customHeight="1" spans="1:2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82" t="str">
        <f t="shared" si="2"/>
        <v/>
      </c>
    </row>
    <row r="512" customHeight="1" spans="1:2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2" t="str">
        <f t="shared" si="2"/>
        <v/>
      </c>
    </row>
    <row r="513" customHeight="1" spans="1:2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82" t="str">
        <f t="shared" si="2"/>
        <v/>
      </c>
    </row>
    <row r="514" customHeight="1" spans="1:2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82" t="str">
        <f t="shared" si="2"/>
        <v/>
      </c>
    </row>
    <row r="515" customHeight="1" spans="1:2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82" t="str">
        <f t="shared" si="2"/>
        <v/>
      </c>
    </row>
    <row r="516" customHeight="1" spans="1:2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82" t="str">
        <f t="shared" si="2"/>
        <v/>
      </c>
    </row>
    <row r="517" customHeight="1" spans="1:2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2" t="str">
        <f t="shared" si="2"/>
        <v/>
      </c>
    </row>
    <row r="518" customHeight="1" spans="1:2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82" t="str">
        <f t="shared" si="2"/>
        <v/>
      </c>
    </row>
    <row r="519" customHeight="1" spans="1:2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82" t="str">
        <f t="shared" si="2"/>
        <v/>
      </c>
    </row>
    <row r="520" customHeight="1" spans="1:2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82" t="str">
        <f t="shared" si="2"/>
        <v/>
      </c>
    </row>
    <row r="521" customHeight="1" spans="1:2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82" t="str">
        <f t="shared" si="2"/>
        <v/>
      </c>
    </row>
    <row r="522" customHeight="1" spans="1:2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2" t="str">
        <f t="shared" si="2"/>
        <v/>
      </c>
    </row>
    <row r="523" customHeight="1" spans="1:2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82" t="str">
        <f t="shared" si="2"/>
        <v/>
      </c>
    </row>
    <row r="524" customHeight="1" spans="1:2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82" t="str">
        <f t="shared" si="2"/>
        <v/>
      </c>
    </row>
    <row r="525" customHeight="1" spans="1:2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82" t="str">
        <f t="shared" si="2"/>
        <v/>
      </c>
    </row>
    <row r="526" customHeight="1" spans="1:2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82" t="str">
        <f t="shared" si="2"/>
        <v/>
      </c>
    </row>
    <row r="527" customHeight="1" spans="1: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2" t="str">
        <f t="shared" si="2"/>
        <v/>
      </c>
    </row>
    <row r="528" customHeight="1" spans="1:2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82" t="str">
        <f t="shared" si="2"/>
        <v/>
      </c>
    </row>
    <row r="529" customHeight="1" spans="1:2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82" t="str">
        <f t="shared" si="2"/>
        <v/>
      </c>
    </row>
    <row r="530" customHeight="1" spans="1:2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82" t="str">
        <f t="shared" si="2"/>
        <v/>
      </c>
    </row>
    <row r="531" customHeight="1" spans="1:2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82" t="str">
        <f t="shared" si="2"/>
        <v/>
      </c>
    </row>
    <row r="532" customHeight="1" spans="1:2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2" t="str">
        <f t="shared" si="2"/>
        <v/>
      </c>
    </row>
    <row r="533" customHeight="1" spans="1:2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82" t="str">
        <f t="shared" si="2"/>
        <v/>
      </c>
    </row>
    <row r="534" customHeight="1" spans="1:2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82" t="str">
        <f t="shared" si="2"/>
        <v/>
      </c>
    </row>
    <row r="535" customHeight="1" spans="1:2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82" t="str">
        <f t="shared" si="2"/>
        <v/>
      </c>
    </row>
    <row r="536" customHeight="1" spans="1:2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82" t="str">
        <f t="shared" si="2"/>
        <v/>
      </c>
    </row>
    <row r="537" customHeight="1" spans="1:2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2" t="str">
        <f t="shared" si="2"/>
        <v/>
      </c>
    </row>
    <row r="538" customHeight="1" spans="1:2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82" t="str">
        <f t="shared" si="2"/>
        <v/>
      </c>
    </row>
    <row r="539" customHeight="1" spans="1:2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82" t="str">
        <f t="shared" si="2"/>
        <v/>
      </c>
    </row>
    <row r="540" customHeight="1" spans="1:2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82" t="str">
        <f t="shared" si="2"/>
        <v/>
      </c>
    </row>
    <row r="541" customHeight="1" spans="1:2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82" t="str">
        <f t="shared" si="2"/>
        <v/>
      </c>
    </row>
    <row r="542" customHeight="1" spans="1:2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82" t="str">
        <f t="shared" si="2"/>
        <v/>
      </c>
    </row>
    <row r="543" customHeight="1" spans="1:2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82" t="str">
        <f t="shared" si="2"/>
        <v/>
      </c>
    </row>
    <row r="544" customHeight="1" spans="1:2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82" t="str">
        <f t="shared" si="2"/>
        <v/>
      </c>
    </row>
    <row r="545" customHeight="1" spans="1:2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82" t="str">
        <f t="shared" si="2"/>
        <v/>
      </c>
    </row>
    <row r="546" customHeight="1" spans="1:2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82" t="str">
        <f t="shared" si="2"/>
        <v/>
      </c>
    </row>
    <row r="547" customHeight="1" spans="1:2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2" t="str">
        <f t="shared" si="2"/>
        <v/>
      </c>
    </row>
    <row r="548" customHeight="1" spans="1:2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82" t="str">
        <f t="shared" si="2"/>
        <v/>
      </c>
    </row>
    <row r="549" customHeight="1" spans="1:2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82" t="str">
        <f t="shared" si="2"/>
        <v/>
      </c>
    </row>
    <row r="550" customHeight="1" spans="1:2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82" t="str">
        <f t="shared" si="2"/>
        <v/>
      </c>
    </row>
    <row r="551" customHeight="1" spans="1:2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82" t="str">
        <f t="shared" si="2"/>
        <v/>
      </c>
    </row>
    <row r="552" customHeight="1" spans="1:2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2" t="str">
        <f t="shared" si="2"/>
        <v/>
      </c>
    </row>
    <row r="553" customHeight="1" spans="1:2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82" t="str">
        <f t="shared" si="2"/>
        <v/>
      </c>
    </row>
    <row r="554" customHeight="1" spans="1:2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82" t="str">
        <f t="shared" si="2"/>
        <v/>
      </c>
    </row>
    <row r="555" customHeight="1" spans="1:2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82" t="str">
        <f t="shared" si="2"/>
        <v/>
      </c>
    </row>
    <row r="556" customHeight="1" spans="1:2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82" t="str">
        <f t="shared" si="2"/>
        <v/>
      </c>
    </row>
    <row r="557" customHeight="1" spans="1:2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2" t="str">
        <f t="shared" si="2"/>
        <v/>
      </c>
    </row>
    <row r="558" customHeight="1" spans="1:2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82" t="str">
        <f t="shared" si="2"/>
        <v/>
      </c>
    </row>
    <row r="559" customHeight="1" spans="1:2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82" t="str">
        <f t="shared" si="2"/>
        <v/>
      </c>
    </row>
    <row r="560" customHeight="1" spans="1:2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82" t="str">
        <f t="shared" si="2"/>
        <v/>
      </c>
    </row>
    <row r="561" customHeight="1" spans="1:2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82" t="str">
        <f t="shared" si="2"/>
        <v/>
      </c>
    </row>
    <row r="562" customHeight="1" spans="1:2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2" t="str">
        <f t="shared" si="2"/>
        <v/>
      </c>
    </row>
    <row r="563" customHeight="1" spans="1:2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82" t="str">
        <f t="shared" si="2"/>
        <v/>
      </c>
    </row>
    <row r="564" customHeight="1" spans="1:2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82" t="str">
        <f t="shared" si="2"/>
        <v/>
      </c>
    </row>
    <row r="565" customHeight="1" spans="1:2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82" t="str">
        <f t="shared" si="2"/>
        <v/>
      </c>
    </row>
    <row r="566" customHeight="1" spans="1:2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82" t="str">
        <f t="shared" si="2"/>
        <v/>
      </c>
    </row>
    <row r="567" customHeight="1" spans="1:2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2" t="str">
        <f t="shared" si="2"/>
        <v/>
      </c>
    </row>
    <row r="568" customHeight="1" spans="1:2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82" t="str">
        <f t="shared" si="2"/>
        <v/>
      </c>
    </row>
    <row r="569" customHeight="1" spans="1:2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82" t="str">
        <f t="shared" si="2"/>
        <v/>
      </c>
    </row>
    <row r="570" customHeight="1" spans="1:2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82" t="str">
        <f t="shared" si="2"/>
        <v/>
      </c>
    </row>
    <row r="571" customHeight="1" spans="1:2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82" t="str">
        <f t="shared" si="2"/>
        <v/>
      </c>
    </row>
    <row r="572" customHeight="1" spans="1:2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82" t="str">
        <f t="shared" si="2"/>
        <v/>
      </c>
    </row>
    <row r="573" customHeight="1" spans="1:2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82" t="str">
        <f t="shared" si="2"/>
        <v/>
      </c>
    </row>
    <row r="574" customHeight="1" spans="1:2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82" t="str">
        <f t="shared" si="2"/>
        <v/>
      </c>
    </row>
    <row r="575" customHeight="1" spans="1:2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82" t="str">
        <f t="shared" si="2"/>
        <v/>
      </c>
    </row>
    <row r="576" customHeight="1" spans="1:2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82" t="str">
        <f t="shared" si="2"/>
        <v/>
      </c>
    </row>
    <row r="577" customHeight="1" spans="1:2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2" t="str">
        <f t="shared" si="2"/>
        <v/>
      </c>
    </row>
    <row r="578" customHeight="1" spans="1:2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82" t="str">
        <f t="shared" si="2"/>
        <v/>
      </c>
    </row>
    <row r="579" customHeight="1" spans="1:2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82" t="str">
        <f t="shared" si="2"/>
        <v/>
      </c>
    </row>
    <row r="580" customHeight="1" spans="1:2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82" t="str">
        <f t="shared" si="2"/>
        <v/>
      </c>
    </row>
    <row r="581" customHeight="1" spans="1:2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82" t="str">
        <f t="shared" si="2"/>
        <v/>
      </c>
    </row>
    <row r="582" customHeight="1" spans="1:2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2" t="str">
        <f t="shared" si="2"/>
        <v/>
      </c>
    </row>
    <row r="583" customHeight="1" spans="1:2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82" t="str">
        <f t="shared" si="2"/>
        <v/>
      </c>
    </row>
    <row r="584" customHeight="1" spans="1:2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82" t="str">
        <f t="shared" si="2"/>
        <v/>
      </c>
    </row>
    <row r="585" customHeight="1" spans="1:2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82" t="str">
        <f t="shared" si="2"/>
        <v/>
      </c>
    </row>
    <row r="586" customHeight="1" spans="1:2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82" t="str">
        <f t="shared" si="2"/>
        <v/>
      </c>
    </row>
    <row r="587" customHeight="1" spans="1:2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2" t="str">
        <f t="shared" si="2"/>
        <v/>
      </c>
    </row>
    <row r="588" customHeight="1" spans="1:2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82" t="str">
        <f t="shared" si="2"/>
        <v/>
      </c>
    </row>
    <row r="589" customHeight="1" spans="1:2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82" t="str">
        <f t="shared" si="2"/>
        <v/>
      </c>
    </row>
    <row r="590" customHeight="1" spans="1:2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82" t="str">
        <f t="shared" si="2"/>
        <v/>
      </c>
    </row>
    <row r="591" customHeight="1" spans="1:2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82" t="str">
        <f t="shared" si="2"/>
        <v/>
      </c>
    </row>
    <row r="592" customHeight="1" spans="1:2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2" t="str">
        <f t="shared" si="2"/>
        <v/>
      </c>
    </row>
    <row r="593" customHeight="1" spans="1:2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82" t="str">
        <f t="shared" si="2"/>
        <v/>
      </c>
    </row>
    <row r="594" customHeight="1" spans="1:2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82" t="str">
        <f t="shared" si="2"/>
        <v/>
      </c>
    </row>
    <row r="595" customHeight="1" spans="1:2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82" t="str">
        <f t="shared" si="2"/>
        <v/>
      </c>
    </row>
    <row r="596" customHeight="1" spans="1:2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82" t="str">
        <f t="shared" si="2"/>
        <v/>
      </c>
    </row>
    <row r="597" customHeight="1" spans="1:2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2" t="str">
        <f t="shared" si="2"/>
        <v/>
      </c>
    </row>
    <row r="598" customHeight="1" spans="1:2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82" t="str">
        <f t="shared" si="2"/>
        <v/>
      </c>
    </row>
    <row r="599" customHeight="1" spans="1:2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82" t="str">
        <f t="shared" si="2"/>
        <v/>
      </c>
    </row>
    <row r="600" customHeight="1" spans="1:2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82" t="str">
        <f t="shared" si="2"/>
        <v/>
      </c>
    </row>
    <row r="601" customHeight="1" spans="1:2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82" t="str">
        <f t="shared" si="2"/>
        <v/>
      </c>
    </row>
    <row r="602" customHeight="1" spans="1:2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2" t="str">
        <f t="shared" si="2"/>
        <v/>
      </c>
    </row>
    <row r="603" customHeight="1" spans="1:2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82" t="str">
        <f t="shared" si="2"/>
        <v/>
      </c>
    </row>
    <row r="604" customHeight="1" spans="1:2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82" t="str">
        <f t="shared" si="2"/>
        <v/>
      </c>
    </row>
    <row r="605" customHeight="1" spans="1:2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2" t="str">
        <f t="shared" si="2"/>
        <v/>
      </c>
    </row>
    <row r="606" customHeight="1" spans="1:2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82" t="str">
        <f t="shared" si="2"/>
        <v/>
      </c>
    </row>
    <row r="607" customHeight="1" spans="1:2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2" t="str">
        <f t="shared" si="2"/>
        <v/>
      </c>
    </row>
    <row r="608" customHeight="1" spans="1:2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82" t="str">
        <f t="shared" si="2"/>
        <v/>
      </c>
    </row>
    <row r="609" customHeight="1" spans="1:2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82" t="str">
        <f t="shared" si="2"/>
        <v/>
      </c>
    </row>
    <row r="610" customHeight="1" spans="1:2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82" t="str">
        <f t="shared" si="2"/>
        <v/>
      </c>
    </row>
    <row r="611" customHeight="1" spans="1:2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82" t="str">
        <f t="shared" si="2"/>
        <v/>
      </c>
    </row>
    <row r="612" customHeight="1" spans="1:2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2" t="str">
        <f t="shared" si="2"/>
        <v/>
      </c>
    </row>
    <row r="613" customHeight="1" spans="1:2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82" t="str">
        <f t="shared" si="2"/>
        <v/>
      </c>
    </row>
    <row r="614" customHeight="1" spans="1:2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82" t="str">
        <f t="shared" si="2"/>
        <v/>
      </c>
    </row>
    <row r="615" customHeight="1" spans="1:2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82" t="str">
        <f t="shared" si="2"/>
        <v/>
      </c>
    </row>
    <row r="616" customHeight="1" spans="1:2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82" t="str">
        <f t="shared" si="2"/>
        <v/>
      </c>
    </row>
    <row r="617" customHeight="1" spans="1:2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2" t="str">
        <f t="shared" si="2"/>
        <v/>
      </c>
    </row>
    <row r="618" customHeight="1" spans="1:2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82" t="str">
        <f t="shared" si="2"/>
        <v/>
      </c>
    </row>
    <row r="619" customHeight="1" spans="1:2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82" t="str">
        <f t="shared" si="2"/>
        <v/>
      </c>
    </row>
    <row r="620" customHeight="1" spans="1:2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82" t="str">
        <f t="shared" si="2"/>
        <v/>
      </c>
    </row>
    <row r="621" customHeight="1" spans="1:2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82" t="str">
        <f t="shared" si="2"/>
        <v/>
      </c>
    </row>
    <row r="622" customHeight="1" spans="1:2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2" t="str">
        <f t="shared" si="2"/>
        <v/>
      </c>
    </row>
    <row r="623" customHeight="1" spans="1:2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82" t="str">
        <f t="shared" si="2"/>
        <v/>
      </c>
    </row>
    <row r="624" customHeight="1" spans="1:2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82" t="str">
        <f t="shared" si="2"/>
        <v/>
      </c>
    </row>
    <row r="625" customHeight="1" spans="1:2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82" t="str">
        <f t="shared" si="2"/>
        <v/>
      </c>
    </row>
    <row r="626" customHeight="1" spans="1:2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82" t="str">
        <f t="shared" si="2"/>
        <v/>
      </c>
    </row>
    <row r="627" customHeight="1" spans="1: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2" t="str">
        <f t="shared" si="2"/>
        <v/>
      </c>
    </row>
    <row r="628" customHeight="1" spans="1:2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82" t="str">
        <f t="shared" si="2"/>
        <v/>
      </c>
    </row>
    <row r="629" customHeight="1" spans="1:2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82" t="str">
        <f t="shared" si="2"/>
        <v/>
      </c>
    </row>
    <row r="630" customHeight="1" spans="1:2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82" t="str">
        <f t="shared" si="2"/>
        <v/>
      </c>
    </row>
    <row r="631" customHeight="1" spans="1:2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82" t="str">
        <f t="shared" si="2"/>
        <v/>
      </c>
    </row>
    <row r="632" customHeight="1" spans="1:2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2" t="str">
        <f t="shared" si="2"/>
        <v/>
      </c>
    </row>
    <row r="633" customHeight="1" spans="1:2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82" t="str">
        <f t="shared" si="2"/>
        <v/>
      </c>
    </row>
    <row r="634" customHeight="1" spans="1:2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82" t="str">
        <f t="shared" si="2"/>
        <v/>
      </c>
    </row>
    <row r="635" customHeight="1" spans="1:2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82" t="str">
        <f t="shared" si="2"/>
        <v/>
      </c>
    </row>
    <row r="636" customHeight="1" spans="1:2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82" t="str">
        <f t="shared" si="2"/>
        <v/>
      </c>
    </row>
    <row r="637" customHeight="1" spans="1:2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2" t="str">
        <f t="shared" si="2"/>
        <v/>
      </c>
    </row>
    <row r="638" customHeight="1" spans="1:2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82" t="str">
        <f t="shared" si="2"/>
        <v/>
      </c>
    </row>
    <row r="639" customHeight="1" spans="1:2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82" t="str">
        <f t="shared" si="2"/>
        <v/>
      </c>
    </row>
    <row r="640" customHeight="1" spans="1:2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82" t="str">
        <f t="shared" si="2"/>
        <v/>
      </c>
    </row>
    <row r="641" customHeight="1" spans="1:2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82" t="str">
        <f t="shared" si="2"/>
        <v/>
      </c>
    </row>
    <row r="642" customHeight="1" spans="1:2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2" t="str">
        <f t="shared" si="2"/>
        <v/>
      </c>
    </row>
    <row r="643" customHeight="1" spans="1:2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82" t="str">
        <f t="shared" si="2"/>
        <v/>
      </c>
    </row>
    <row r="644" customHeight="1" spans="1:2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82" t="str">
        <f t="shared" si="2"/>
        <v/>
      </c>
    </row>
    <row r="645" customHeight="1" spans="1:2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82" t="str">
        <f t="shared" si="2"/>
        <v/>
      </c>
    </row>
    <row r="646" customHeight="1" spans="1:2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82" t="str">
        <f t="shared" si="2"/>
        <v/>
      </c>
    </row>
    <row r="647" customHeight="1" spans="1:2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2" t="str">
        <f t="shared" si="2"/>
        <v/>
      </c>
    </row>
    <row r="648" customHeight="1" spans="1:2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82" t="str">
        <f t="shared" si="2"/>
        <v/>
      </c>
    </row>
    <row r="649" customHeight="1" spans="1:2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82" t="str">
        <f t="shared" si="2"/>
        <v/>
      </c>
    </row>
    <row r="650" customHeight="1" spans="1:2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82" t="str">
        <f t="shared" si="2"/>
        <v/>
      </c>
    </row>
    <row r="651" customHeight="1" spans="1:2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82" t="str">
        <f t="shared" si="2"/>
        <v/>
      </c>
    </row>
    <row r="652" customHeight="1" spans="1:2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2" t="str">
        <f t="shared" si="2"/>
        <v/>
      </c>
    </row>
    <row r="653" customHeight="1" spans="1:2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82" t="str">
        <f t="shared" si="2"/>
        <v/>
      </c>
    </row>
    <row r="654" customHeight="1" spans="1:2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82" t="str">
        <f t="shared" si="2"/>
        <v/>
      </c>
    </row>
    <row r="655" customHeight="1" spans="1:2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82" t="str">
        <f t="shared" si="2"/>
        <v/>
      </c>
    </row>
    <row r="656" customHeight="1" spans="1:2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82" t="str">
        <f t="shared" si="2"/>
        <v/>
      </c>
    </row>
    <row r="657" customHeight="1" spans="1:2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2" t="str">
        <f t="shared" si="2"/>
        <v/>
      </c>
    </row>
    <row r="658" customHeight="1" spans="1:2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82" t="str">
        <f t="shared" si="2"/>
        <v/>
      </c>
    </row>
    <row r="659" customHeight="1" spans="1:2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82" t="str">
        <f t="shared" si="2"/>
        <v/>
      </c>
    </row>
    <row r="660" customHeight="1" spans="1:2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82" t="str">
        <f t="shared" si="2"/>
        <v/>
      </c>
    </row>
    <row r="661" customHeight="1" spans="1:2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82" t="str">
        <f t="shared" si="2"/>
        <v/>
      </c>
    </row>
    <row r="662" customHeight="1" spans="1:2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2" t="str">
        <f t="shared" si="2"/>
        <v/>
      </c>
    </row>
    <row r="663" customHeight="1" spans="1:2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82" t="str">
        <f t="shared" si="2"/>
        <v/>
      </c>
    </row>
    <row r="664" customHeight="1" spans="1:2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82" t="str">
        <f t="shared" si="2"/>
        <v/>
      </c>
    </row>
    <row r="665" customHeight="1" spans="1:2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82" t="str">
        <f t="shared" si="2"/>
        <v/>
      </c>
    </row>
    <row r="666" customHeight="1" spans="1:2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82" t="str">
        <f t="shared" si="2"/>
        <v/>
      </c>
    </row>
    <row r="667" customHeight="1" spans="1:2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2" t="str">
        <f t="shared" si="2"/>
        <v/>
      </c>
    </row>
    <row r="668" customHeight="1" spans="1:2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82" t="str">
        <f t="shared" si="2"/>
        <v/>
      </c>
    </row>
    <row r="669" customHeight="1" spans="1:2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82" t="str">
        <f t="shared" si="2"/>
        <v/>
      </c>
    </row>
    <row r="670" customHeight="1" spans="1:2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82" t="str">
        <f t="shared" si="2"/>
        <v/>
      </c>
    </row>
    <row r="671" customHeight="1" spans="1:2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82" t="str">
        <f t="shared" si="2"/>
        <v/>
      </c>
    </row>
    <row r="672" customHeight="1" spans="1:2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2" t="str">
        <f t="shared" si="2"/>
        <v/>
      </c>
    </row>
    <row r="673" customHeight="1" spans="1:2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82" t="str">
        <f t="shared" si="2"/>
        <v/>
      </c>
    </row>
    <row r="674" customHeight="1" spans="1:2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82" t="str">
        <f t="shared" si="2"/>
        <v/>
      </c>
    </row>
    <row r="675" customHeight="1" spans="1:2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82" t="str">
        <f t="shared" si="2"/>
        <v/>
      </c>
    </row>
    <row r="676" customHeight="1" spans="1:2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82" t="str">
        <f t="shared" si="2"/>
        <v/>
      </c>
    </row>
    <row r="677" customHeight="1" spans="1:2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2" t="str">
        <f t="shared" si="2"/>
        <v/>
      </c>
    </row>
    <row r="678" customHeight="1" spans="1:2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82" t="str">
        <f t="shared" si="2"/>
        <v/>
      </c>
    </row>
    <row r="679" customHeight="1" spans="1:2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82" t="str">
        <f t="shared" si="2"/>
        <v/>
      </c>
    </row>
    <row r="680" customHeight="1" spans="1:2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82" t="str">
        <f t="shared" si="2"/>
        <v/>
      </c>
    </row>
    <row r="681" customHeight="1" spans="1:2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82" t="str">
        <f t="shared" si="2"/>
        <v/>
      </c>
    </row>
    <row r="682" customHeight="1" spans="1:2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2" t="str">
        <f t="shared" si="2"/>
        <v/>
      </c>
    </row>
    <row r="683" customHeight="1" spans="1:2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82" t="str">
        <f t="shared" si="2"/>
        <v/>
      </c>
    </row>
    <row r="684" customHeight="1" spans="1:2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82" t="str">
        <f t="shared" si="2"/>
        <v/>
      </c>
    </row>
    <row r="685" customHeight="1" spans="1:2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82" t="str">
        <f t="shared" si="2"/>
        <v/>
      </c>
    </row>
    <row r="686" customHeight="1" spans="1:2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82" t="str">
        <f t="shared" si="2"/>
        <v/>
      </c>
    </row>
    <row r="687" customHeight="1" spans="1:2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2" t="str">
        <f t="shared" si="2"/>
        <v/>
      </c>
    </row>
    <row r="688" customHeight="1" spans="1:2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82" t="str">
        <f t="shared" si="2"/>
        <v/>
      </c>
    </row>
    <row r="689" customHeight="1" spans="1:2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82" t="str">
        <f t="shared" si="2"/>
        <v/>
      </c>
    </row>
    <row r="690" customHeight="1" spans="1:2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82" t="str">
        <f t="shared" si="2"/>
        <v/>
      </c>
    </row>
    <row r="691" customHeight="1" spans="1:2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82" t="str">
        <f t="shared" si="2"/>
        <v/>
      </c>
    </row>
    <row r="692" customHeight="1" spans="1:2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2" t="str">
        <f t="shared" si="2"/>
        <v/>
      </c>
    </row>
    <row r="693" customHeight="1" spans="1:2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82" t="str">
        <f t="shared" si="2"/>
        <v/>
      </c>
    </row>
    <row r="694" customHeight="1" spans="1:2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82" t="str">
        <f t="shared" si="2"/>
        <v/>
      </c>
    </row>
    <row r="695" customHeight="1" spans="1:2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82" t="str">
        <f t="shared" si="2"/>
        <v/>
      </c>
    </row>
    <row r="696" customHeight="1" spans="1:2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82" t="str">
        <f t="shared" si="2"/>
        <v/>
      </c>
    </row>
    <row r="697" customHeight="1" spans="1:2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2" t="str">
        <f t="shared" si="2"/>
        <v/>
      </c>
    </row>
    <row r="698" customHeight="1" spans="1:2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82" t="str">
        <f t="shared" si="2"/>
        <v/>
      </c>
    </row>
    <row r="699" customHeight="1" spans="1:2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82" t="str">
        <f t="shared" si="2"/>
        <v/>
      </c>
    </row>
    <row r="700" customHeight="1" spans="1:2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82" t="str">
        <f t="shared" si="2"/>
        <v/>
      </c>
    </row>
    <row r="701" customHeight="1" spans="1:2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82" t="str">
        <f t="shared" si="2"/>
        <v/>
      </c>
    </row>
    <row r="702" customHeight="1" spans="1:2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2" t="str">
        <f t="shared" si="2"/>
        <v/>
      </c>
    </row>
    <row r="703" customHeight="1" spans="1:2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82" t="str">
        <f t="shared" si="2"/>
        <v/>
      </c>
    </row>
    <row r="704" customHeight="1" spans="1:2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82" t="str">
        <f t="shared" si="2"/>
        <v/>
      </c>
    </row>
    <row r="705" customHeight="1" spans="1:2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82" t="str">
        <f t="shared" si="2"/>
        <v/>
      </c>
    </row>
    <row r="706" customHeight="1" spans="1:2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82" t="str">
        <f t="shared" si="2"/>
        <v/>
      </c>
    </row>
    <row r="707" customHeight="1" spans="1:2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2" t="str">
        <f t="shared" si="2"/>
        <v/>
      </c>
    </row>
    <row r="708" customHeight="1" spans="1:2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82" t="str">
        <f t="shared" si="2"/>
        <v/>
      </c>
    </row>
    <row r="709" customHeight="1" spans="1:2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82" t="str">
        <f t="shared" si="2"/>
        <v/>
      </c>
    </row>
    <row r="710" customHeight="1" spans="1:2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82" t="str">
        <f t="shared" si="2"/>
        <v/>
      </c>
    </row>
    <row r="711" customHeight="1" spans="1:2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82" t="str">
        <f t="shared" si="2"/>
        <v/>
      </c>
    </row>
    <row r="712" customHeight="1" spans="1:2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2" t="str">
        <f t="shared" si="2"/>
        <v/>
      </c>
    </row>
    <row r="713" customHeight="1" spans="1:2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82" t="str">
        <f t="shared" si="2"/>
        <v/>
      </c>
    </row>
    <row r="714" customHeight="1" spans="1:2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82" t="str">
        <f t="shared" si="2"/>
        <v/>
      </c>
    </row>
    <row r="715" customHeight="1" spans="1:2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82" t="str">
        <f t="shared" si="2"/>
        <v/>
      </c>
    </row>
    <row r="716" customHeight="1" spans="1:2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82" t="str">
        <f t="shared" si="2"/>
        <v/>
      </c>
    </row>
    <row r="717" customHeight="1" spans="1:2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2" t="str">
        <f t="shared" si="2"/>
        <v/>
      </c>
    </row>
    <row r="718" customHeight="1" spans="1:2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82" t="str">
        <f t="shared" si="2"/>
        <v/>
      </c>
    </row>
    <row r="719" customHeight="1" spans="1:2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82" t="str">
        <f t="shared" si="2"/>
        <v/>
      </c>
    </row>
    <row r="720" customHeight="1" spans="1:2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82" t="str">
        <f t="shared" si="2"/>
        <v/>
      </c>
    </row>
    <row r="721" customHeight="1" spans="1:2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82" t="str">
        <f t="shared" si="2"/>
        <v/>
      </c>
    </row>
    <row r="722" customHeight="1" spans="1:2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2" t="str">
        <f t="shared" si="2"/>
        <v/>
      </c>
    </row>
    <row r="723" customHeight="1" spans="1:2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82" t="str">
        <f t="shared" si="2"/>
        <v/>
      </c>
    </row>
    <row r="724" customHeight="1" spans="1:2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82" t="str">
        <f t="shared" si="2"/>
        <v/>
      </c>
    </row>
    <row r="725" customHeight="1" spans="1:2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82" t="str">
        <f t="shared" si="2"/>
        <v/>
      </c>
    </row>
    <row r="726" customHeight="1" spans="1:2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82" t="str">
        <f t="shared" si="2"/>
        <v/>
      </c>
    </row>
    <row r="727" customHeight="1" spans="1: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82" t="str">
        <f t="shared" si="2"/>
        <v/>
      </c>
    </row>
    <row r="728" customHeight="1" spans="1:2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82" t="str">
        <f t="shared" si="2"/>
        <v/>
      </c>
    </row>
    <row r="729" customHeight="1" spans="1:2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82" t="str">
        <f t="shared" si="2"/>
        <v/>
      </c>
    </row>
    <row r="730" customHeight="1" spans="1:2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82" t="str">
        <f t="shared" si="2"/>
        <v/>
      </c>
    </row>
    <row r="731" customHeight="1" spans="1:2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82" t="str">
        <f t="shared" si="2"/>
        <v/>
      </c>
    </row>
    <row r="732" customHeight="1" spans="1:2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2" t="str">
        <f t="shared" si="2"/>
        <v/>
      </c>
    </row>
    <row r="733" customHeight="1" spans="1:2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82" t="str">
        <f t="shared" si="2"/>
        <v/>
      </c>
    </row>
    <row r="734" customHeight="1" spans="1:2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82" t="str">
        <f t="shared" si="2"/>
        <v/>
      </c>
    </row>
    <row r="735" customHeight="1" spans="1:2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82" t="str">
        <f t="shared" si="2"/>
        <v/>
      </c>
    </row>
    <row r="736" customHeight="1" spans="1:2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82" t="str">
        <f t="shared" si="2"/>
        <v/>
      </c>
    </row>
    <row r="737" customHeight="1" spans="1:2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2" t="str">
        <f t="shared" si="2"/>
        <v/>
      </c>
    </row>
    <row r="738" customHeight="1" spans="1:2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82" t="str">
        <f t="shared" si="2"/>
        <v/>
      </c>
    </row>
    <row r="739" customHeight="1" spans="1:2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82" t="str">
        <f t="shared" si="2"/>
        <v/>
      </c>
    </row>
    <row r="740" customHeight="1" spans="1:2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82" t="str">
        <f t="shared" si="2"/>
        <v/>
      </c>
    </row>
    <row r="741" customHeight="1" spans="1:2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82" t="str">
        <f t="shared" si="2"/>
        <v/>
      </c>
    </row>
    <row r="742" customHeight="1" spans="1:2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2" t="str">
        <f t="shared" si="2"/>
        <v/>
      </c>
    </row>
    <row r="743" customHeight="1" spans="1:2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82" t="str">
        <f t="shared" si="2"/>
        <v/>
      </c>
    </row>
    <row r="744" customHeight="1" spans="1:2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82" t="str">
        <f t="shared" si="2"/>
        <v/>
      </c>
    </row>
    <row r="745" customHeight="1" spans="1:2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82" t="str">
        <f t="shared" si="2"/>
        <v/>
      </c>
    </row>
    <row r="746" customHeight="1" spans="1:2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82" t="str">
        <f t="shared" si="2"/>
        <v/>
      </c>
    </row>
    <row r="747" customHeight="1" spans="1:2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2" t="str">
        <f t="shared" si="2"/>
        <v/>
      </c>
    </row>
    <row r="748" customHeight="1" spans="1:2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82" t="str">
        <f t="shared" si="2"/>
        <v/>
      </c>
    </row>
    <row r="749" customHeight="1" spans="1:2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82" t="str">
        <f t="shared" si="2"/>
        <v/>
      </c>
    </row>
    <row r="750" customHeight="1" spans="1:2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82" t="str">
        <f t="shared" si="2"/>
        <v/>
      </c>
    </row>
    <row r="751" customHeight="1" spans="1:2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82" t="str">
        <f t="shared" si="2"/>
        <v/>
      </c>
    </row>
    <row r="752" customHeight="1" spans="1:2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2" t="str">
        <f t="shared" si="2"/>
        <v/>
      </c>
    </row>
    <row r="753" customHeight="1" spans="1:2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82" t="str">
        <f t="shared" si="2"/>
        <v/>
      </c>
    </row>
    <row r="754" customHeight="1" spans="1:2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82" t="str">
        <f t="shared" si="2"/>
        <v/>
      </c>
    </row>
    <row r="755" customHeight="1" spans="1:2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82" t="str">
        <f t="shared" si="2"/>
        <v/>
      </c>
    </row>
    <row r="756" customHeight="1" spans="1:2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82" t="str">
        <f t="shared" si="2"/>
        <v/>
      </c>
    </row>
    <row r="757" customHeight="1" spans="1:2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2" t="str">
        <f t="shared" si="2"/>
        <v/>
      </c>
    </row>
    <row r="758" customHeight="1" spans="1:2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82" t="str">
        <f t="shared" si="2"/>
        <v/>
      </c>
    </row>
    <row r="759" customHeight="1" spans="1:2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82" t="str">
        <f t="shared" si="2"/>
        <v/>
      </c>
    </row>
    <row r="760" customHeight="1" spans="1:2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82" t="str">
        <f t="shared" si="2"/>
        <v/>
      </c>
    </row>
    <row r="761" customHeight="1" spans="1:2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82" t="str">
        <f t="shared" si="2"/>
        <v/>
      </c>
    </row>
    <row r="762" customHeight="1" spans="1:2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2" t="str">
        <f t="shared" si="2"/>
        <v/>
      </c>
    </row>
    <row r="763" customHeight="1" spans="1:2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82" t="str">
        <f t="shared" si="2"/>
        <v/>
      </c>
    </row>
    <row r="764" customHeight="1" spans="1:2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82" t="str">
        <f t="shared" si="2"/>
        <v/>
      </c>
    </row>
    <row r="765" customHeight="1" spans="1:2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82" t="str">
        <f t="shared" si="2"/>
        <v/>
      </c>
    </row>
    <row r="766" customHeight="1" spans="1:2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82" t="str">
        <f t="shared" si="2"/>
        <v/>
      </c>
    </row>
    <row r="767" customHeight="1" spans="1:2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2" t="str">
        <f t="shared" si="2"/>
        <v/>
      </c>
    </row>
    <row r="768" customHeight="1" spans="1:2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82" t="str">
        <f t="shared" si="2"/>
        <v/>
      </c>
    </row>
    <row r="769" customHeight="1" spans="1:2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82" t="str">
        <f t="shared" si="2"/>
        <v/>
      </c>
    </row>
    <row r="770" customHeight="1" spans="1:2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82" t="str">
        <f t="shared" si="2"/>
        <v/>
      </c>
    </row>
    <row r="771" customHeight="1" spans="1:2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82" t="str">
        <f t="shared" si="2"/>
        <v/>
      </c>
    </row>
    <row r="772" customHeight="1" spans="1:2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2" t="str">
        <f t="shared" si="2"/>
        <v/>
      </c>
    </row>
    <row r="773" customHeight="1" spans="1:2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82" t="str">
        <f t="shared" si="2"/>
        <v/>
      </c>
    </row>
    <row r="774" customHeight="1" spans="1:2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82" t="str">
        <f t="shared" si="2"/>
        <v/>
      </c>
    </row>
    <row r="775" customHeight="1" spans="1:2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82" t="str">
        <f t="shared" si="2"/>
        <v/>
      </c>
    </row>
    <row r="776" customHeight="1" spans="1:2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82" t="str">
        <f t="shared" si="2"/>
        <v/>
      </c>
    </row>
    <row r="777" customHeight="1" spans="1:2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2" t="str">
        <f t="shared" si="2"/>
        <v/>
      </c>
    </row>
    <row r="778" customHeight="1" spans="1:2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82" t="str">
        <f t="shared" si="2"/>
        <v/>
      </c>
    </row>
    <row r="779" customHeight="1" spans="1:2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82" t="str">
        <f t="shared" si="2"/>
        <v/>
      </c>
    </row>
    <row r="780" customHeight="1" spans="1:2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82" t="str">
        <f t="shared" si="2"/>
        <v/>
      </c>
    </row>
    <row r="781" customHeight="1" spans="1:2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82" t="str">
        <f t="shared" si="2"/>
        <v/>
      </c>
    </row>
    <row r="782" customHeight="1" spans="1:2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2" t="str">
        <f t="shared" si="2"/>
        <v/>
      </c>
    </row>
    <row r="783" customHeight="1" spans="1:2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82" t="str">
        <f t="shared" si="2"/>
        <v/>
      </c>
    </row>
    <row r="784" customHeight="1" spans="1:2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82" t="str">
        <f t="shared" si="2"/>
        <v/>
      </c>
    </row>
    <row r="785" customHeight="1" spans="1:2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82" t="str">
        <f t="shared" si="2"/>
        <v/>
      </c>
    </row>
    <row r="786" customHeight="1" spans="1:2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82" t="str">
        <f t="shared" si="2"/>
        <v/>
      </c>
    </row>
    <row r="787" customHeight="1" spans="1:2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2" t="str">
        <f t="shared" si="2"/>
        <v/>
      </c>
    </row>
    <row r="788" customHeight="1" spans="1:2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82" t="str">
        <f t="shared" si="2"/>
        <v/>
      </c>
    </row>
    <row r="789" customHeight="1" spans="1:2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82" t="str">
        <f t="shared" si="2"/>
        <v/>
      </c>
    </row>
    <row r="790" customHeight="1" spans="1:2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82" t="str">
        <f t="shared" si="2"/>
        <v/>
      </c>
    </row>
    <row r="791" customHeight="1" spans="1:2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82" t="str">
        <f t="shared" si="2"/>
        <v/>
      </c>
    </row>
    <row r="792" customHeight="1" spans="1:2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2" t="str">
        <f t="shared" si="2"/>
        <v/>
      </c>
    </row>
    <row r="793" customHeight="1" spans="1:2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82" t="str">
        <f t="shared" si="2"/>
        <v/>
      </c>
    </row>
    <row r="794" customHeight="1" spans="1:2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82" t="str">
        <f t="shared" si="2"/>
        <v/>
      </c>
    </row>
    <row r="795" customHeight="1" spans="1:2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82" t="str">
        <f t="shared" si="2"/>
        <v/>
      </c>
    </row>
    <row r="796" customHeight="1" spans="1:2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82" t="str">
        <f t="shared" si="2"/>
        <v/>
      </c>
    </row>
    <row r="797" customHeight="1" spans="1:2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2" t="str">
        <f t="shared" si="2"/>
        <v/>
      </c>
    </row>
    <row r="798" customHeight="1" spans="1:2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82" t="str">
        <f t="shared" si="2"/>
        <v/>
      </c>
    </row>
    <row r="799" customHeight="1" spans="1:2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82" t="str">
        <f t="shared" si="2"/>
        <v/>
      </c>
    </row>
    <row r="800" customHeight="1" spans="1:2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82" t="str">
        <f t="shared" si="2"/>
        <v/>
      </c>
    </row>
    <row r="801" customHeight="1" spans="1:2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82" t="str">
        <f t="shared" si="2"/>
        <v/>
      </c>
    </row>
    <row r="802" customHeight="1" spans="1:2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2" t="str">
        <f t="shared" si="2"/>
        <v/>
      </c>
    </row>
    <row r="803" customHeight="1" spans="1:2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82" t="str">
        <f t="shared" si="2"/>
        <v/>
      </c>
    </row>
    <row r="804" customHeight="1" spans="1:2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82" t="str">
        <f t="shared" si="2"/>
        <v/>
      </c>
    </row>
    <row r="805" customHeight="1" spans="1:2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82" t="str">
        <f t="shared" si="2"/>
        <v/>
      </c>
    </row>
    <row r="806" customHeight="1" spans="1:2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82" t="str">
        <f t="shared" si="2"/>
        <v/>
      </c>
    </row>
    <row r="807" customHeight="1" spans="1:2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2" t="str">
        <f t="shared" si="2"/>
        <v/>
      </c>
    </row>
    <row r="808" customHeight="1" spans="1:2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82" t="str">
        <f t="shared" si="2"/>
        <v/>
      </c>
    </row>
    <row r="809" customHeight="1" spans="1:2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82" t="str">
        <f t="shared" si="2"/>
        <v/>
      </c>
    </row>
    <row r="810" customHeight="1" spans="1:2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82" t="str">
        <f t="shared" si="2"/>
        <v/>
      </c>
    </row>
    <row r="811" customHeight="1" spans="1:2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82" t="str">
        <f t="shared" si="2"/>
        <v/>
      </c>
    </row>
    <row r="812" customHeight="1" spans="1:2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2" t="str">
        <f t="shared" si="2"/>
        <v/>
      </c>
    </row>
    <row r="813" customHeight="1" spans="1:2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82" t="str">
        <f t="shared" si="2"/>
        <v/>
      </c>
    </row>
    <row r="814" customHeight="1" spans="1:2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82" t="str">
        <f t="shared" si="2"/>
        <v/>
      </c>
    </row>
    <row r="815" customHeight="1" spans="1:2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82" t="str">
        <f t="shared" si="2"/>
        <v/>
      </c>
    </row>
    <row r="816" customHeight="1" spans="1:2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82" t="str">
        <f t="shared" si="2"/>
        <v/>
      </c>
    </row>
    <row r="817" customHeight="1" spans="1:2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2" t="str">
        <f t="shared" si="2"/>
        <v/>
      </c>
    </row>
    <row r="818" customHeight="1" spans="1:2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82" t="str">
        <f t="shared" si="2"/>
        <v/>
      </c>
    </row>
    <row r="819" customHeight="1" spans="1:2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82" t="str">
        <f t="shared" si="2"/>
        <v/>
      </c>
    </row>
    <row r="820" customHeight="1" spans="1:2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82" t="str">
        <f t="shared" si="2"/>
        <v/>
      </c>
    </row>
    <row r="821" customHeight="1" spans="1:2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82" t="str">
        <f t="shared" si="2"/>
        <v/>
      </c>
    </row>
    <row r="822" customHeight="1" spans="1:2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2" t="str">
        <f t="shared" si="2"/>
        <v/>
      </c>
    </row>
    <row r="823" customHeight="1" spans="1:2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82" t="str">
        <f t="shared" si="2"/>
        <v/>
      </c>
    </row>
    <row r="824" customHeight="1" spans="1:2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82" t="str">
        <f t="shared" si="2"/>
        <v/>
      </c>
    </row>
    <row r="825" customHeight="1" spans="1:2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82" t="str">
        <f t="shared" si="2"/>
        <v/>
      </c>
    </row>
    <row r="826" customHeight="1" spans="1:2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82" t="str">
        <f t="shared" si="2"/>
        <v/>
      </c>
    </row>
    <row r="827" customHeight="1" spans="1: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2" t="str">
        <f t="shared" si="2"/>
        <v/>
      </c>
    </row>
    <row r="828" customHeight="1" spans="1:2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82" t="str">
        <f t="shared" si="2"/>
        <v/>
      </c>
    </row>
    <row r="829" customHeight="1" spans="1:2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82" t="str">
        <f t="shared" si="2"/>
        <v/>
      </c>
    </row>
    <row r="830" customHeight="1" spans="1:2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82" t="str">
        <f t="shared" si="2"/>
        <v/>
      </c>
    </row>
    <row r="831" customHeight="1" spans="1:2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82" t="str">
        <f t="shared" si="2"/>
        <v/>
      </c>
    </row>
    <row r="832" customHeight="1" spans="1:2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2" t="str">
        <f t="shared" si="2"/>
        <v/>
      </c>
    </row>
    <row r="833" customHeight="1" spans="1:2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82" t="str">
        <f t="shared" si="2"/>
        <v/>
      </c>
    </row>
    <row r="834" customHeight="1" spans="1:2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82" t="str">
        <f t="shared" si="2"/>
        <v/>
      </c>
    </row>
    <row r="835" customHeight="1" spans="1:2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82" t="str">
        <f t="shared" si="2"/>
        <v/>
      </c>
    </row>
    <row r="836" customHeight="1" spans="1:2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82" t="str">
        <f t="shared" si="2"/>
        <v/>
      </c>
    </row>
    <row r="837" customHeight="1" spans="1:2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2" t="str">
        <f t="shared" si="2"/>
        <v/>
      </c>
    </row>
    <row r="838" customHeight="1" spans="1:2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82" t="str">
        <f t="shared" si="2"/>
        <v/>
      </c>
    </row>
    <row r="839" customHeight="1" spans="1:2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82" t="str">
        <f t="shared" si="2"/>
        <v/>
      </c>
    </row>
    <row r="840" customHeight="1" spans="1:2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82" t="str">
        <f t="shared" si="2"/>
        <v/>
      </c>
    </row>
    <row r="841" customHeight="1" spans="1:2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82" t="str">
        <f t="shared" si="2"/>
        <v/>
      </c>
    </row>
    <row r="842" customHeight="1" spans="1:2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2" t="str">
        <f t="shared" si="2"/>
        <v/>
      </c>
    </row>
    <row r="843" customHeight="1" spans="1:2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82" t="str">
        <f t="shared" si="2"/>
        <v/>
      </c>
    </row>
    <row r="844" customHeight="1" spans="1:2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82" t="str">
        <f t="shared" si="2"/>
        <v/>
      </c>
    </row>
    <row r="845" customHeight="1" spans="1:2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82" t="str">
        <f t="shared" si="2"/>
        <v/>
      </c>
    </row>
    <row r="846" customHeight="1" spans="1:2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82" t="str">
        <f t="shared" si="2"/>
        <v/>
      </c>
    </row>
    <row r="847" customHeight="1" spans="1:2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2" t="str">
        <f t="shared" si="2"/>
        <v/>
      </c>
    </row>
    <row r="848" customHeight="1" spans="1:2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82" t="str">
        <f t="shared" si="2"/>
        <v/>
      </c>
    </row>
    <row r="849" customHeight="1" spans="1:2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82" t="str">
        <f t="shared" si="2"/>
        <v/>
      </c>
    </row>
    <row r="850" customHeight="1" spans="1:2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82" t="str">
        <f t="shared" si="2"/>
        <v/>
      </c>
    </row>
    <row r="851" customHeight="1" spans="1:2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82" t="str">
        <f t="shared" si="2"/>
        <v/>
      </c>
    </row>
    <row r="852" customHeight="1" spans="1:2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2" t="str">
        <f t="shared" si="2"/>
        <v/>
      </c>
    </row>
    <row r="853" customHeight="1" spans="1:2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82" t="str">
        <f t="shared" si="2"/>
        <v/>
      </c>
    </row>
    <row r="854" customHeight="1" spans="1:2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82" t="str">
        <f t="shared" si="2"/>
        <v/>
      </c>
    </row>
    <row r="855" customHeight="1" spans="1:2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82" t="str">
        <f t="shared" si="2"/>
        <v/>
      </c>
    </row>
    <row r="856" customHeight="1" spans="1:2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82" t="str">
        <f t="shared" si="2"/>
        <v/>
      </c>
    </row>
    <row r="857" customHeight="1" spans="1:2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2" t="str">
        <f t="shared" si="2"/>
        <v/>
      </c>
    </row>
    <row r="858" customHeight="1" spans="1:2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82" t="str">
        <f t="shared" si="2"/>
        <v/>
      </c>
    </row>
    <row r="859" customHeight="1" spans="1:2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82" t="str">
        <f t="shared" si="2"/>
        <v/>
      </c>
    </row>
    <row r="860" customHeight="1" spans="1:2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82" t="str">
        <f t="shared" si="2"/>
        <v/>
      </c>
    </row>
    <row r="861" customHeight="1" spans="1:2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82" t="str">
        <f t="shared" si="2"/>
        <v/>
      </c>
    </row>
    <row r="862" customHeight="1" spans="1:2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2" t="str">
        <f t="shared" si="2"/>
        <v/>
      </c>
    </row>
    <row r="863" customHeight="1" spans="1:2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82" t="str">
        <f t="shared" si="2"/>
        <v/>
      </c>
    </row>
    <row r="864" customHeight="1" spans="1:2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82" t="str">
        <f t="shared" si="2"/>
        <v/>
      </c>
    </row>
    <row r="865" customHeight="1" spans="1:2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82" t="str">
        <f t="shared" si="2"/>
        <v/>
      </c>
    </row>
    <row r="866" customHeight="1" spans="1:2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82" t="str">
        <f t="shared" si="2"/>
        <v/>
      </c>
    </row>
    <row r="867" customHeight="1" spans="1:2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2" t="str">
        <f t="shared" si="2"/>
        <v/>
      </c>
    </row>
    <row r="868" customHeight="1" spans="1:2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82" t="str">
        <f t="shared" si="2"/>
        <v/>
      </c>
    </row>
    <row r="869" customHeight="1" spans="1:2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82" t="str">
        <f t="shared" si="2"/>
        <v/>
      </c>
    </row>
    <row r="870" customHeight="1" spans="1:2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82" t="str">
        <f t="shared" si="2"/>
        <v/>
      </c>
    </row>
    <row r="871" customHeight="1" spans="1:2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82" t="str">
        <f t="shared" si="2"/>
        <v/>
      </c>
    </row>
    <row r="872" customHeight="1" spans="1:2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2" t="str">
        <f t="shared" si="2"/>
        <v/>
      </c>
    </row>
    <row r="873" customHeight="1" spans="1:2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82" t="str">
        <f t="shared" si="2"/>
        <v/>
      </c>
    </row>
    <row r="874" customHeight="1" spans="1:2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82" t="str">
        <f t="shared" si="2"/>
        <v/>
      </c>
    </row>
    <row r="875" customHeight="1" spans="1:2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82" t="str">
        <f t="shared" si="2"/>
        <v/>
      </c>
    </row>
    <row r="876" customHeight="1" spans="1:2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82" t="str">
        <f t="shared" si="2"/>
        <v/>
      </c>
    </row>
    <row r="877" customHeight="1" spans="1:2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82" t="str">
        <f t="shared" si="2"/>
        <v/>
      </c>
    </row>
    <row r="878" customHeight="1" spans="1:2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82" t="str">
        <f t="shared" si="2"/>
        <v/>
      </c>
    </row>
    <row r="879" customHeight="1" spans="1:2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82" t="str">
        <f t="shared" si="2"/>
        <v/>
      </c>
    </row>
    <row r="880" customHeight="1" spans="1:2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82" t="str">
        <f t="shared" si="2"/>
        <v/>
      </c>
    </row>
    <row r="881" customHeight="1" spans="1:2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82" t="str">
        <f t="shared" si="2"/>
        <v/>
      </c>
    </row>
    <row r="882" customHeight="1" spans="1:2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2" t="str">
        <f t="shared" si="2"/>
        <v/>
      </c>
    </row>
    <row r="883" customHeight="1" spans="1:2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82" t="str">
        <f t="shared" si="2"/>
        <v/>
      </c>
    </row>
    <row r="884" customHeight="1" spans="1:2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82" t="str">
        <f t="shared" si="2"/>
        <v/>
      </c>
    </row>
    <row r="885" customHeight="1" spans="1:2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82" t="str">
        <f t="shared" si="2"/>
        <v/>
      </c>
    </row>
    <row r="886" customHeight="1" spans="1:2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82" t="str">
        <f t="shared" si="2"/>
        <v/>
      </c>
    </row>
    <row r="887" customHeight="1" spans="1:2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2" t="str">
        <f t="shared" si="2"/>
        <v/>
      </c>
    </row>
    <row r="888" customHeight="1" spans="1:2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82" t="str">
        <f t="shared" si="2"/>
        <v/>
      </c>
    </row>
    <row r="889" customHeight="1" spans="1:2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82" t="str">
        <f t="shared" si="2"/>
        <v/>
      </c>
    </row>
    <row r="890" customHeight="1" spans="1:2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82" t="str">
        <f t="shared" si="2"/>
        <v/>
      </c>
    </row>
    <row r="891" customHeight="1" spans="1:2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82" t="str">
        <f t="shared" si="2"/>
        <v/>
      </c>
    </row>
    <row r="892" customHeight="1" spans="1:2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2" t="str">
        <f t="shared" si="2"/>
        <v/>
      </c>
    </row>
    <row r="893" customHeight="1" spans="1:2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82" t="str">
        <f t="shared" si="2"/>
        <v/>
      </c>
    </row>
    <row r="894" customHeight="1" spans="1:2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82" t="str">
        <f t="shared" si="2"/>
        <v/>
      </c>
    </row>
    <row r="895" customHeight="1" spans="1:2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82" t="str">
        <f t="shared" si="2"/>
        <v/>
      </c>
    </row>
    <row r="896" customHeight="1" spans="1:2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82" t="str">
        <f t="shared" si="2"/>
        <v/>
      </c>
    </row>
    <row r="897" customHeight="1" spans="1:2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2" t="str">
        <f t="shared" si="2"/>
        <v/>
      </c>
    </row>
    <row r="898" customHeight="1" spans="1:2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82" t="str">
        <f t="shared" si="2"/>
        <v/>
      </c>
    </row>
    <row r="899" customHeight="1" spans="1:2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82" t="str">
        <f t="shared" si="2"/>
        <v/>
      </c>
    </row>
    <row r="900" customHeight="1" spans="1:2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82" t="str">
        <f t="shared" si="2"/>
        <v/>
      </c>
    </row>
    <row r="901" customHeight="1" spans="1:2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82" t="str">
        <f t="shared" si="2"/>
        <v/>
      </c>
    </row>
    <row r="902" customHeight="1" spans="1:2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2" t="str">
        <f t="shared" si="2"/>
        <v/>
      </c>
    </row>
    <row r="903" customHeight="1" spans="1:2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82" t="str">
        <f t="shared" si="2"/>
        <v/>
      </c>
    </row>
    <row r="904" customHeight="1" spans="1:2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82" t="str">
        <f t="shared" si="2"/>
        <v/>
      </c>
    </row>
    <row r="905" customHeight="1" spans="1:2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82" t="str">
        <f t="shared" si="2"/>
        <v/>
      </c>
    </row>
    <row r="906" customHeight="1" spans="1:2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82" t="str">
        <f t="shared" si="2"/>
        <v/>
      </c>
    </row>
    <row r="907" customHeight="1" spans="1:2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2" t="str">
        <f t="shared" si="2"/>
        <v/>
      </c>
    </row>
    <row r="908" customHeight="1" spans="1:2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82" t="str">
        <f t="shared" si="2"/>
        <v/>
      </c>
    </row>
    <row r="909" customHeight="1" spans="1:2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82" t="str">
        <f t="shared" si="2"/>
        <v/>
      </c>
    </row>
    <row r="910" customHeight="1" spans="1:2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82" t="str">
        <f t="shared" si="2"/>
        <v/>
      </c>
    </row>
    <row r="911" customHeight="1" spans="1:2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82" t="str">
        <f t="shared" si="2"/>
        <v/>
      </c>
    </row>
    <row r="912" customHeight="1" spans="1:2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2" t="str">
        <f t="shared" si="2"/>
        <v/>
      </c>
    </row>
    <row r="913" customHeight="1" spans="1:2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82" t="str">
        <f t="shared" si="2"/>
        <v/>
      </c>
    </row>
    <row r="914" customHeight="1" spans="1:2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82" t="str">
        <f t="shared" si="2"/>
        <v/>
      </c>
    </row>
    <row r="915" customHeight="1" spans="1:2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82" t="str">
        <f t="shared" si="2"/>
        <v/>
      </c>
    </row>
    <row r="916" customHeight="1" spans="1:2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82" t="str">
        <f t="shared" si="2"/>
        <v/>
      </c>
    </row>
    <row r="917" customHeight="1" spans="1:2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2" t="str">
        <f t="shared" si="2"/>
        <v/>
      </c>
    </row>
    <row r="918" customHeight="1" spans="1:2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82" t="str">
        <f t="shared" si="2"/>
        <v/>
      </c>
    </row>
    <row r="919" customHeight="1" spans="1:2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82" t="str">
        <f t="shared" si="2"/>
        <v/>
      </c>
    </row>
    <row r="920" customHeight="1" spans="1:2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82" t="str">
        <f t="shared" si="2"/>
        <v/>
      </c>
    </row>
    <row r="921" customHeight="1" spans="1:2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82" t="str">
        <f t="shared" si="2"/>
        <v/>
      </c>
    </row>
    <row r="922" customHeight="1" spans="1:2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2" t="str">
        <f t="shared" si="2"/>
        <v/>
      </c>
    </row>
    <row r="923" customHeight="1" spans="1:2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82" t="str">
        <f t="shared" si="2"/>
        <v/>
      </c>
    </row>
    <row r="924" customHeight="1" spans="1:2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82" t="str">
        <f t="shared" si="2"/>
        <v/>
      </c>
    </row>
    <row r="925" customHeight="1" spans="1:2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82" t="str">
        <f t="shared" si="2"/>
        <v/>
      </c>
    </row>
    <row r="926" customHeight="1" spans="1:2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82" t="str">
        <f t="shared" si="2"/>
        <v/>
      </c>
    </row>
    <row r="927" customHeight="1" spans="1: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82" t="str">
        <f t="shared" si="2"/>
        <v/>
      </c>
    </row>
    <row r="928" customHeight="1" spans="1:2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82" t="str">
        <f t="shared" si="2"/>
        <v/>
      </c>
    </row>
    <row r="929" customHeight="1" spans="1:2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82" t="str">
        <f t="shared" si="2"/>
        <v/>
      </c>
    </row>
    <row r="930" customHeight="1" spans="1:2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82" t="str">
        <f t="shared" si="2"/>
        <v/>
      </c>
    </row>
    <row r="931" customHeight="1" spans="1:2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82" t="str">
        <f t="shared" si="2"/>
        <v/>
      </c>
    </row>
    <row r="932" customHeight="1" spans="1:2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2" t="str">
        <f t="shared" si="2"/>
        <v/>
      </c>
    </row>
    <row r="933" customHeight="1" spans="1:2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82" t="str">
        <f t="shared" si="2"/>
        <v/>
      </c>
    </row>
    <row r="934" customHeight="1" spans="1:2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82" t="str">
        <f t="shared" si="2"/>
        <v/>
      </c>
    </row>
    <row r="935" customHeight="1" spans="1:2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82" t="str">
        <f t="shared" si="2"/>
        <v/>
      </c>
    </row>
    <row r="936" customHeight="1" spans="1:2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82" t="str">
        <f t="shared" si="2"/>
        <v/>
      </c>
    </row>
    <row r="937" customHeight="1" spans="1:2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2" t="str">
        <f t="shared" si="2"/>
        <v/>
      </c>
    </row>
    <row r="938" customHeight="1" spans="1:2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82" t="str">
        <f t="shared" si="2"/>
        <v/>
      </c>
    </row>
    <row r="939" customHeight="1" spans="1:2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82" t="str">
        <f t="shared" si="2"/>
        <v/>
      </c>
    </row>
    <row r="940" customHeight="1" spans="1:2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82" t="str">
        <f t="shared" si="2"/>
        <v/>
      </c>
    </row>
    <row r="941" customHeight="1" spans="1:2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82" t="str">
        <f t="shared" si="2"/>
        <v/>
      </c>
    </row>
    <row r="942" customHeight="1" spans="1:2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2" t="str">
        <f t="shared" si="2"/>
        <v/>
      </c>
    </row>
    <row r="943" customHeight="1" spans="1:2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82" t="str">
        <f t="shared" si="2"/>
        <v/>
      </c>
    </row>
    <row r="944" customHeight="1" spans="1:2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82" t="str">
        <f t="shared" si="2"/>
        <v/>
      </c>
    </row>
    <row r="945" customHeight="1" spans="1:2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82" t="str">
        <f t="shared" si="2"/>
        <v/>
      </c>
    </row>
    <row r="946" customHeight="1" spans="1:2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82" t="str">
        <f t="shared" si="2"/>
        <v/>
      </c>
    </row>
    <row r="947" customHeight="1" spans="1:2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2" t="str">
        <f t="shared" si="2"/>
        <v/>
      </c>
    </row>
    <row r="948" customHeight="1" spans="1:2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82" t="str">
        <f t="shared" si="2"/>
        <v/>
      </c>
    </row>
    <row r="949" customHeight="1" spans="1:2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82" t="str">
        <f t="shared" si="2"/>
        <v/>
      </c>
    </row>
    <row r="950" customHeight="1" spans="1:2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82" t="str">
        <f t="shared" si="2"/>
        <v/>
      </c>
    </row>
    <row r="951" customHeight="1" spans="1:2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82" t="str">
        <f t="shared" si="2"/>
        <v/>
      </c>
    </row>
    <row r="952" customHeight="1" spans="1:2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2" t="str">
        <f t="shared" si="2"/>
        <v/>
      </c>
    </row>
    <row r="953" customHeight="1" spans="1:2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82" t="str">
        <f t="shared" si="2"/>
        <v/>
      </c>
    </row>
    <row r="954" customHeight="1" spans="1:2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82" t="str">
        <f t="shared" si="2"/>
        <v/>
      </c>
    </row>
    <row r="955" customHeight="1" spans="1:2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82" t="str">
        <f t="shared" si="2"/>
        <v/>
      </c>
    </row>
    <row r="956" customHeight="1" spans="1:2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82" t="str">
        <f t="shared" si="2"/>
        <v/>
      </c>
    </row>
    <row r="957" customHeight="1" spans="1:2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2" t="str">
        <f t="shared" si="2"/>
        <v/>
      </c>
    </row>
    <row r="958" customHeight="1" spans="1:2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82" t="str">
        <f t="shared" si="2"/>
        <v/>
      </c>
    </row>
    <row r="959" customHeight="1" spans="1:2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82" t="str">
        <f t="shared" si="2"/>
        <v/>
      </c>
    </row>
    <row r="960" customHeight="1" spans="1:2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82" t="str">
        <f t="shared" si="2"/>
        <v/>
      </c>
    </row>
    <row r="961" customHeight="1" spans="1:2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82" t="str">
        <f t="shared" si="2"/>
        <v/>
      </c>
    </row>
    <row r="962" customHeight="1" spans="1:2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2" t="str">
        <f t="shared" si="2"/>
        <v/>
      </c>
    </row>
    <row r="963" customHeight="1" spans="1:2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82" t="str">
        <f t="shared" si="2"/>
        <v/>
      </c>
    </row>
    <row r="964" customHeight="1" spans="1:2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82" t="str">
        <f t="shared" si="2"/>
        <v/>
      </c>
    </row>
    <row r="965" customHeight="1" spans="1:2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82" t="str">
        <f t="shared" si="2"/>
        <v/>
      </c>
    </row>
    <row r="966" customHeight="1" spans="1:2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82" t="str">
        <f t="shared" si="2"/>
        <v/>
      </c>
    </row>
    <row r="967" customHeight="1" spans="1:2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2" t="str">
        <f t="shared" si="2"/>
        <v/>
      </c>
    </row>
    <row r="968" customHeight="1" spans="1:2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82" t="str">
        <f t="shared" si="2"/>
        <v/>
      </c>
    </row>
    <row r="969" customHeight="1" spans="1:2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82" t="str">
        <f t="shared" si="2"/>
        <v/>
      </c>
    </row>
    <row r="970" customHeight="1" spans="1:2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82" t="str">
        <f t="shared" si="2"/>
        <v/>
      </c>
    </row>
    <row r="971" customHeight="1" spans="1:2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82" t="str">
        <f t="shared" si="2"/>
        <v/>
      </c>
    </row>
    <row r="972" customHeight="1" spans="1:2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2" t="str">
        <f t="shared" si="2"/>
        <v/>
      </c>
    </row>
    <row r="973" customHeight="1" spans="1:2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82" t="str">
        <f t="shared" si="2"/>
        <v/>
      </c>
    </row>
    <row r="974" customHeight="1" spans="1:2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82" t="str">
        <f t="shared" si="2"/>
        <v/>
      </c>
    </row>
    <row r="975" customHeight="1" spans="1:2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82" t="str">
        <f t="shared" si="2"/>
        <v/>
      </c>
    </row>
    <row r="976" customHeight="1" spans="1:2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82" t="str">
        <f t="shared" si="2"/>
        <v/>
      </c>
    </row>
    <row r="977" customHeight="1" spans="1:2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2" t="str">
        <f t="shared" si="2"/>
        <v/>
      </c>
    </row>
    <row r="978" customHeight="1" spans="1:2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82" t="str">
        <f t="shared" si="2"/>
        <v/>
      </c>
    </row>
    <row r="979" customHeight="1" spans="1:2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82" t="str">
        <f t="shared" si="2"/>
        <v/>
      </c>
    </row>
    <row r="980" customHeight="1" spans="1:2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82" t="str">
        <f t="shared" si="2"/>
        <v/>
      </c>
    </row>
    <row r="981" customHeight="1" spans="1:2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82" t="str">
        <f t="shared" si="2"/>
        <v/>
      </c>
    </row>
    <row r="982" customHeight="1" spans="1:2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2" t="str">
        <f t="shared" si="2"/>
        <v/>
      </c>
    </row>
    <row r="983" customHeight="1" spans="1:2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82" t="str">
        <f t="shared" si="2"/>
        <v/>
      </c>
    </row>
    <row r="984" customHeight="1" spans="1:2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82" t="str">
        <f t="shared" si="2"/>
        <v/>
      </c>
    </row>
    <row r="985" customHeight="1" spans="1:2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82" t="str">
        <f t="shared" si="2"/>
        <v/>
      </c>
    </row>
    <row r="986" customHeight="1" spans="1:2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82" t="str">
        <f t="shared" si="2"/>
        <v/>
      </c>
    </row>
    <row r="987" customHeight="1" spans="1:2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2" t="str">
        <f t="shared" si="2"/>
        <v/>
      </c>
    </row>
    <row r="988" customHeight="1" spans="1:2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82" t="str">
        <f t="shared" si="2"/>
        <v/>
      </c>
    </row>
    <row r="989" customHeight="1" spans="1:2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82" t="str">
        <f t="shared" si="2"/>
        <v/>
      </c>
    </row>
    <row r="990" customHeight="1" spans="1:2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82" t="str">
        <f t="shared" si="2"/>
        <v/>
      </c>
    </row>
    <row r="991" customHeight="1" spans="1:2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82" t="str">
        <f t="shared" si="2"/>
        <v/>
      </c>
    </row>
    <row r="992" customHeight="1" spans="1:2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2" t="str">
        <f t="shared" si="2"/>
        <v/>
      </c>
    </row>
    <row r="993" customHeight="1" spans="1:2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82" t="str">
        <f t="shared" si="2"/>
        <v/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58:M58">
    <cfRule type="cellIs" dxfId="0" priority="4" operator="lessThan">
      <formula>0</formula>
    </cfRule>
  </conditionalFormatting>
  <conditionalFormatting sqref="W4:W33">
    <cfRule type="cellIs" dxfId="0" priority="2" operator="greaterThanOrEqual">
      <formula>1</formula>
    </cfRule>
    <cfRule type="cellIs" dxfId="0" priority="3" operator="lessThanOrEqual">
      <formula>-1</formula>
    </cfRule>
  </conditionalFormatting>
  <conditionalFormatting sqref="A4:A51 A74:A993">
    <cfRule type="expression" dxfId="1" priority="1">
      <formula>COUNTIF(A:A,A4)&gt;1</formula>
    </cfRule>
  </conditionalFormatting>
  <conditionalFormatting sqref="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AG998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4" width="9" customWidth="1"/>
    <col min="5" max="5" width="13.3818181818182" customWidth="1"/>
    <col min="6" max="6" width="8" customWidth="1"/>
    <col min="7" max="7" width="9.38181818181818" customWidth="1"/>
    <col min="8" max="8" width="8.88181818181818" customWidth="1"/>
    <col min="9" max="9" width="9.38181818181818" customWidth="1"/>
    <col min="10" max="10" width="6.12727272727273" customWidth="1"/>
    <col min="11" max="11" width="9.38181818181818" customWidth="1"/>
    <col min="12" max="12" width="7.25454545454545" customWidth="1"/>
    <col min="13" max="13" width="9.38181818181818" customWidth="1"/>
    <col min="14" max="14" width="5.88181818181818" customWidth="1"/>
    <col min="15" max="15" width="9.38181818181818" customWidth="1"/>
    <col min="16" max="16" width="5.88181818181818" customWidth="1"/>
    <col min="17" max="17" width="9.38181818181818" customWidth="1"/>
    <col min="18" max="18" width="5.88181818181818" customWidth="1"/>
    <col min="19" max="19" width="9.5" customWidth="1"/>
    <col min="20" max="20" width="5.88181818181818" customWidth="1"/>
    <col min="21" max="21" width="15.2545454545455" customWidth="1"/>
    <col min="22" max="23" width="10.8818181818182" customWidth="1"/>
    <col min="24" max="24" width="7.62727272727273" customWidth="1"/>
    <col min="25" max="25" width="46.2545454545455" customWidth="1"/>
  </cols>
  <sheetData>
    <row r="1" customHeight="1" spans="1:33">
      <c r="A1" s="47"/>
      <c r="B1" s="47"/>
      <c r="C1" s="47"/>
      <c r="D1" s="47"/>
      <c r="E1" s="47"/>
      <c r="F1" s="50"/>
      <c r="G1" s="112">
        <v>45621</v>
      </c>
      <c r="H1" s="14"/>
      <c r="I1" s="112">
        <v>45622</v>
      </c>
      <c r="J1" s="14"/>
      <c r="K1" s="112">
        <v>45623</v>
      </c>
      <c r="L1" s="14"/>
      <c r="M1" s="112">
        <v>45624</v>
      </c>
      <c r="N1" s="14"/>
      <c r="O1" s="112">
        <v>45625</v>
      </c>
      <c r="P1" s="14"/>
      <c r="Q1" s="112">
        <v>45626</v>
      </c>
      <c r="R1" s="14"/>
      <c r="S1" s="112">
        <v>45627</v>
      </c>
      <c r="T1" s="14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customHeight="1" spans="1:33">
      <c r="A2" s="47"/>
      <c r="B2" s="47"/>
      <c r="C2" s="47"/>
      <c r="D2" s="47"/>
      <c r="E2" s="47"/>
      <c r="F2" s="50" t="s">
        <v>5</v>
      </c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customHeight="1" spans="1:3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0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84</v>
      </c>
      <c r="X3" s="17" t="s">
        <v>85</v>
      </c>
      <c r="Y3" s="17" t="s">
        <v>18</v>
      </c>
      <c r="Z3" s="61"/>
      <c r="AA3" s="61"/>
      <c r="AB3" s="61"/>
      <c r="AC3" s="61"/>
      <c r="AD3" s="61"/>
      <c r="AE3" s="61"/>
      <c r="AF3" s="61"/>
      <c r="AG3" s="61"/>
    </row>
    <row r="4" customHeight="1" spans="1:33">
      <c r="A4" s="21">
        <v>10317524</v>
      </c>
      <c r="B4" s="86" t="s">
        <v>53</v>
      </c>
      <c r="C4" s="21" t="s">
        <v>20</v>
      </c>
      <c r="D4" s="21" t="s">
        <v>21</v>
      </c>
      <c r="E4" s="54" t="str">
        <f t="array" ref="E4">_xlfn.XLOOKUP(A4,'Schedule Wk 47'!A:A,'Schedule Wk 47'!E:E,"")</f>
        <v>FT</v>
      </c>
      <c r="F4" s="103">
        <f t="array" ref="F4">_xlfn.XLOOKUP(A4,'Schedule Wk 47'!A:A,'Schedule Wk 47'!F:F,"")</f>
        <v>2</v>
      </c>
      <c r="G4" s="54">
        <v>0.375</v>
      </c>
      <c r="H4" s="54">
        <f t="shared" ref="H4:H5" si="0">IFERROR(G4+$Y4,"OFF")</f>
        <v>0.75</v>
      </c>
      <c r="I4" s="54">
        <v>0.375</v>
      </c>
      <c r="J4" s="54">
        <f t="shared" ref="J4:J7" si="1">IFERROR(I4+$Y4,"OFF")</f>
        <v>0.75</v>
      </c>
      <c r="K4" s="54">
        <v>0.375</v>
      </c>
      <c r="L4" s="54">
        <f t="shared" ref="L4:L7" si="2">IFERROR(K4+$Y4,"OFF")</f>
        <v>0.75</v>
      </c>
      <c r="M4" s="54">
        <v>0.375</v>
      </c>
      <c r="N4" s="54">
        <f t="shared" ref="N4:N7" si="3">IFERROR(M4+$Y4,"OFF")</f>
        <v>0.75</v>
      </c>
      <c r="O4" s="54">
        <v>0.375</v>
      </c>
      <c r="P4" s="54">
        <f>IFERROR(O4+$Y4,"OFF")</f>
        <v>0.75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17">
        <f t="array" ref="V4">_xlfn.XLOOKUP(A4,'WK 47'!A:A,'WK 47'!V:V,"")</f>
        <v>45</v>
      </c>
      <c r="W4" s="17" t="str">
        <f t="array" ref="W4">_xlfn.XLOOKUP(A4,'WK 47'!A:A,'WK 47'!AA:AA,"")</f>
        <v>early</v>
      </c>
      <c r="X4" s="7">
        <f t="shared" ref="X4:X51" si="4">V4-U4</f>
        <v>0</v>
      </c>
      <c r="Y4" s="20">
        <f t="array" ref="Y4">_xlfn.XLOOKUP(A4,'WK 45'!A:A,'WK 45'!X:X,"")</f>
        <v>0.375</v>
      </c>
      <c r="Z4" s="61"/>
      <c r="AA4" s="61"/>
      <c r="AB4" s="61"/>
      <c r="AC4" s="61"/>
      <c r="AD4" s="61"/>
      <c r="AE4" s="61"/>
      <c r="AF4" s="61"/>
      <c r="AG4" s="61"/>
    </row>
    <row r="5" customHeight="1" spans="1:33">
      <c r="A5" s="21">
        <v>10316683</v>
      </c>
      <c r="B5" s="86" t="s">
        <v>51</v>
      </c>
      <c r="C5" s="21" t="s">
        <v>20</v>
      </c>
      <c r="D5" s="21" t="s">
        <v>21</v>
      </c>
      <c r="E5" s="54" t="str">
        <f t="array" ref="E5">_xlfn.XLOOKUP(A5,'Schedule Wk 47'!A:A,'Schedule Wk 47'!E:E,"")</f>
        <v>FT</v>
      </c>
      <c r="F5" s="103">
        <f t="array" ref="F5">_xlfn.XLOOKUP(A5,'Schedule Wk 47'!A:A,'Schedule Wk 47'!F:F,"")</f>
        <v>1</v>
      </c>
      <c r="G5" s="54">
        <v>0.375</v>
      </c>
      <c r="H5" s="54">
        <f t="shared" si="0"/>
        <v>0.791666666666667</v>
      </c>
      <c r="I5" s="54">
        <v>0.375</v>
      </c>
      <c r="J5" s="54">
        <f t="shared" si="1"/>
        <v>0.791666666666667</v>
      </c>
      <c r="K5" s="54">
        <v>0.375</v>
      </c>
      <c r="L5" s="54">
        <f t="shared" si="2"/>
        <v>0.791666666666667</v>
      </c>
      <c r="M5" s="54">
        <v>0.375</v>
      </c>
      <c r="N5" s="54">
        <f t="shared" si="3"/>
        <v>0.791666666666667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17" t="str">
        <f t="array" ref="W5">_xlfn.XLOOKUP(A5,'WK 47'!A:A,'WK 47'!AA:AA,"")</f>
        <v>early</v>
      </c>
      <c r="X5" s="7">
        <f t="shared" si="4"/>
        <v>9.9475983006414e-14</v>
      </c>
      <c r="Y5" s="20">
        <f t="array" ref="Y5">_xlfn.XLOOKUP(A5,'WK 45'!A:A,'WK 45'!X:X,"")</f>
        <v>0.416666666666667</v>
      </c>
      <c r="Z5" s="61"/>
      <c r="AA5" s="61"/>
      <c r="AB5" s="61"/>
      <c r="AC5" s="61"/>
      <c r="AD5" s="61"/>
      <c r="AE5" s="61"/>
      <c r="AF5" s="61"/>
      <c r="AG5" s="61"/>
    </row>
    <row r="6" customHeight="1" spans="1:33">
      <c r="A6" s="21">
        <v>10320419</v>
      </c>
      <c r="B6" s="86" t="s">
        <v>69</v>
      </c>
      <c r="C6" s="21" t="s">
        <v>20</v>
      </c>
      <c r="D6" s="21" t="s">
        <v>21</v>
      </c>
      <c r="E6" s="54" t="str">
        <f t="array" ref="E6">_xlfn.XLOOKUP(A6,'Schedule Wk 47'!A:A,'Schedule Wk 47'!E:E,"")</f>
        <v>FT</v>
      </c>
      <c r="F6" s="103">
        <f t="array" ref="F6">_xlfn.XLOOKUP(A6,'Schedule Wk 47'!A:A,'Schedule Wk 47'!F:F,"")</f>
        <v>3</v>
      </c>
      <c r="G6" s="21" t="s">
        <v>23</v>
      </c>
      <c r="H6" s="21" t="s">
        <v>23</v>
      </c>
      <c r="I6" s="54">
        <v>0.375</v>
      </c>
      <c r="J6" s="54">
        <f t="shared" si="1"/>
        <v>0.791666666666667</v>
      </c>
      <c r="K6" s="54">
        <v>0.375</v>
      </c>
      <c r="L6" s="54">
        <f t="shared" si="2"/>
        <v>0.791666666666667</v>
      </c>
      <c r="M6" s="54">
        <v>0.375</v>
      </c>
      <c r="N6" s="54">
        <f t="shared" si="3"/>
        <v>0.791666666666667</v>
      </c>
      <c r="O6" s="54">
        <v>0.375</v>
      </c>
      <c r="P6" s="54">
        <f t="shared" ref="P6:P7" si="5">IFERROR(O6+$Y6,"OFF")</f>
        <v>0.791666666666667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ISODD(COLUMN(G6:T6)))))*24"),44.9999999999999)</f>
        <v>44.9999999999999</v>
      </c>
      <c r="V6" s="17">
        <f t="array" ref="V6">_xlfn.XLOOKUP(A6,'WK 47'!A:A,'WK 47'!V:V,"")</f>
        <v>45</v>
      </c>
      <c r="W6" s="17" t="str">
        <f t="array" ref="W6">_xlfn.XLOOKUP(A6,'WK 47'!A:A,'WK 47'!AA:AA,"")</f>
        <v>early</v>
      </c>
      <c r="X6" s="7">
        <f t="shared" si="4"/>
        <v>9.9475983006414e-14</v>
      </c>
      <c r="Y6" s="20">
        <v>0.416666666666667</v>
      </c>
      <c r="Z6" s="61"/>
      <c r="AA6" s="61"/>
      <c r="AB6" s="61"/>
      <c r="AC6" s="61"/>
      <c r="AD6" s="61"/>
      <c r="AE6" s="61"/>
      <c r="AF6" s="61"/>
      <c r="AG6" s="61"/>
    </row>
    <row r="7" customHeight="1" spans="1:33">
      <c r="A7" s="21">
        <v>10316572</v>
      </c>
      <c r="B7" s="86" t="s">
        <v>46</v>
      </c>
      <c r="C7" s="21" t="s">
        <v>20</v>
      </c>
      <c r="D7" s="21" t="s">
        <v>21</v>
      </c>
      <c r="E7" s="54" t="str">
        <f t="array" ref="E7">_xlfn.XLOOKUP(A7,'Schedule Wk 47'!A:A,'Schedule Wk 47'!E:E,"")</f>
        <v>FT</v>
      </c>
      <c r="F7" s="103">
        <f t="array" ref="F7">_xlfn.XLOOKUP(A7,'Schedule Wk 47'!A:A,'Schedule Wk 47'!F:F,"")</f>
        <v>2</v>
      </c>
      <c r="G7" s="54">
        <v>0.5</v>
      </c>
      <c r="H7" s="54">
        <f>IFERROR(G7+$Y7,"OFF")</f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5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17">
        <f t="array" ref="V7">_xlfn.XLOOKUP(A7,'WK 47'!A:A,'WK 47'!V:V,"")</f>
        <v>45</v>
      </c>
      <c r="W7" s="17" t="str">
        <f t="array" ref="W7">_xlfn.XLOOKUP(A7,'WK 47'!A:A,'WK 47'!AA:AA,"")</f>
        <v>late</v>
      </c>
      <c r="X7" s="7">
        <f t="shared" si="4"/>
        <v>0</v>
      </c>
      <c r="Y7" s="20">
        <f t="array" ref="Y7">_xlfn.XLOOKUP(A7,'WK 45'!A:A,'WK 45'!X:X,"")</f>
        <v>0.375</v>
      </c>
      <c r="Z7" s="61"/>
      <c r="AA7" s="61"/>
      <c r="AB7" s="61"/>
      <c r="AC7" s="61"/>
      <c r="AD7" s="61"/>
      <c r="AE7" s="61"/>
      <c r="AF7" s="61"/>
      <c r="AG7" s="61"/>
    </row>
    <row r="8" customHeight="1" spans="1:33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_xlfn.XLOOKUP(A8,'Schedule Wk 47'!A:A,'Schedule Wk 47'!E:E,"")</f>
        <v>FT</v>
      </c>
      <c r="F8" s="103">
        <f t="array" ref="F8">_xlfn.XLOOKUP(A8,'Schedule Wk 47'!A:A,'Schedule Wk 47'!F:F,"")</f>
        <v>1</v>
      </c>
      <c r="G8" s="54">
        <v>0.375</v>
      </c>
      <c r="H8" s="54">
        <v>0.75</v>
      </c>
      <c r="I8" s="54">
        <v>0.375</v>
      </c>
      <c r="J8" s="54">
        <v>0.75</v>
      </c>
      <c r="K8" s="54">
        <v>0.375</v>
      </c>
      <c r="L8" s="54">
        <v>0.75</v>
      </c>
      <c r="M8" s="54">
        <v>0.375</v>
      </c>
      <c r="N8" s="54">
        <v>0.75</v>
      </c>
      <c r="O8" s="54">
        <v>0.375</v>
      </c>
      <c r="P8" s="54">
        <v>0.75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17" t="str">
        <f t="array" ref="W8">_xlfn.XLOOKUP(A8,'WK 47'!A:A,'WK 47'!AA:AA,"")</f>
        <v>early</v>
      </c>
      <c r="X8" s="7">
        <f t="shared" si="4"/>
        <v>0</v>
      </c>
      <c r="Y8" s="20">
        <f t="array" ref="Y8">_xlfn.XLOOKUP(A8,'WK 45'!A:A,'WK 45'!X:X,"")</f>
        <v>0.416666666666667</v>
      </c>
      <c r="Z8" s="61"/>
      <c r="AA8" s="61"/>
      <c r="AB8" s="61"/>
      <c r="AC8" s="61"/>
      <c r="AD8" s="61"/>
      <c r="AE8" s="61"/>
      <c r="AF8" s="61"/>
      <c r="AG8" s="61"/>
    </row>
    <row r="9" customHeight="1" spans="1:33">
      <c r="A9" s="21">
        <v>10317517</v>
      </c>
      <c r="B9" s="86" t="s">
        <v>29</v>
      </c>
      <c r="C9" s="21" t="s">
        <v>20</v>
      </c>
      <c r="D9" s="21" t="s">
        <v>21</v>
      </c>
      <c r="E9" s="54" t="str">
        <f t="array" ref="E9">_xlfn.XLOOKUP(A9,'Schedule Wk 47'!A:A,'Schedule Wk 47'!E:E,"")</f>
        <v>FT</v>
      </c>
      <c r="F9" s="103">
        <f t="array" ref="F9">_xlfn.XLOOKUP(A9,'Schedule Wk 47'!A:A,'Schedule Wk 47'!F:F,"")</f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21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f>IFERROR(__xludf.DUMMYFUNCTION("TO_PURE_NUMBER(SUM(FILTER(G9:T9, ISEVEN(COLUMN(G9:T9))))-SUM(FILTER(G9:T9, ISODD(COLUMN(G9:T9)))))*24"),44.9999999999999)</f>
        <v>44.9999999999999</v>
      </c>
      <c r="V9" s="17">
        <f t="array" ref="V9">_xlfn.XLOOKUP(A9,'WK 47'!A:A,'WK 47'!V:V,"")</f>
        <v>45</v>
      </c>
      <c r="W9" s="17" t="str">
        <f t="array" ref="W9">_xlfn.XLOOKUP(A9,'WK 47'!A:A,'WK 47'!AA:AA,"")</f>
        <v>early</v>
      </c>
      <c r="X9" s="7">
        <f t="shared" si="4"/>
        <v>9.9475983006414e-14</v>
      </c>
      <c r="Y9" s="20">
        <f t="array" ref="Y9">_xlfn.XLOOKUP(A9,'WK 45'!A:A,'WK 45'!X:X,"")</f>
        <v>0.375</v>
      </c>
      <c r="Z9" s="61"/>
      <c r="AA9" s="61"/>
      <c r="AB9" s="61"/>
      <c r="AC9" s="61"/>
      <c r="AD9" s="61"/>
      <c r="AE9" s="61"/>
      <c r="AF9" s="61"/>
      <c r="AG9" s="61"/>
    </row>
    <row r="10" customHeight="1" spans="1:33">
      <c r="A10" s="21">
        <v>10317521</v>
      </c>
      <c r="B10" s="86" t="s">
        <v>28</v>
      </c>
      <c r="C10" s="21" t="s">
        <v>20</v>
      </c>
      <c r="D10" s="21" t="s">
        <v>21</v>
      </c>
      <c r="E10" s="54" t="str">
        <f t="array" ref="E10">_xlfn.XLOOKUP(A10,'Schedule Wk 47'!A:A,'Schedule Wk 47'!E:E,"")</f>
        <v>FT</v>
      </c>
      <c r="F10" s="103">
        <f t="array" ref="F10">_xlfn.XLOOKUP(A10,'Schedule Wk 47'!A:A,'Schedule Wk 47'!F:F,"")</f>
        <v>2</v>
      </c>
      <c r="G10" s="54">
        <v>0.375</v>
      </c>
      <c r="H10" s="54">
        <v>0.75</v>
      </c>
      <c r="I10" s="54">
        <v>0.375</v>
      </c>
      <c r="J10" s="54">
        <v>0.75</v>
      </c>
      <c r="K10" s="54">
        <v>0.375</v>
      </c>
      <c r="L10" s="54">
        <v>0.75</v>
      </c>
      <c r="M10" s="54">
        <v>0.375</v>
      </c>
      <c r="N10" s="54">
        <v>0.75</v>
      </c>
      <c r="O10" s="54">
        <v>0.375</v>
      </c>
      <c r="P10" s="54">
        <v>0.75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17">
        <f t="array" ref="V10">_xlfn.XLOOKUP(A10,'WK 47'!A:A,'WK 47'!V:V,"")</f>
        <v>45</v>
      </c>
      <c r="W10" s="17" t="str">
        <f t="array" ref="W10">_xlfn.XLOOKUP(A10,'WK 47'!A:A,'WK 47'!AA:AA,"")</f>
        <v>early</v>
      </c>
      <c r="X10" s="7">
        <f t="shared" si="4"/>
        <v>0</v>
      </c>
      <c r="Y10" s="20">
        <f t="array" ref="Y10">_xlfn.XLOOKUP(A10,'WK 45'!A:A,'WK 45'!X:X,"")</f>
        <v>0.375</v>
      </c>
      <c r="Z10" s="61"/>
      <c r="AA10" s="61"/>
      <c r="AB10" s="61"/>
      <c r="AC10" s="61"/>
      <c r="AD10" s="61"/>
      <c r="AE10" s="61"/>
      <c r="AF10" s="61"/>
      <c r="AG10" s="61"/>
    </row>
    <row r="11" customHeight="1" spans="1:33">
      <c r="A11" s="21">
        <v>10316680</v>
      </c>
      <c r="B11" s="86" t="s">
        <v>40</v>
      </c>
      <c r="C11" s="21" t="s">
        <v>20</v>
      </c>
      <c r="D11" s="21" t="s">
        <v>21</v>
      </c>
      <c r="E11" s="54" t="str">
        <f t="array" ref="E11">_xlfn.XLOOKUP(A11,'Schedule Wk 47'!A:A,'Schedule Wk 47'!E:E,"")</f>
        <v>FT</v>
      </c>
      <c r="F11" s="103">
        <f t="array" ref="F11">_xlfn.XLOOKUP(A11,'Schedule Wk 47'!A:A,'Schedule Wk 47'!F:F,"")</f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17" t="str">
        <f t="array" ref="W11">_xlfn.XLOOKUP(A11,'WK 47'!A:A,'WK 47'!AA:AA,"")</f>
        <v>late</v>
      </c>
      <c r="X11" s="7">
        <f t="shared" si="4"/>
        <v>0</v>
      </c>
      <c r="Y11" s="20">
        <f t="array" ref="Y11">_xlfn.XLOOKUP(A11,'WK 45'!A:A,'WK 45'!X:X,"")</f>
        <v>0.416666666666667</v>
      </c>
      <c r="Z11" s="61"/>
      <c r="AA11" s="61"/>
      <c r="AB11" s="61"/>
      <c r="AC11" s="61"/>
      <c r="AD11" s="61"/>
      <c r="AE11" s="61"/>
      <c r="AF11" s="61"/>
      <c r="AG11" s="61"/>
    </row>
    <row r="12" customHeight="1" spans="1:33">
      <c r="A12" s="21">
        <v>10320416</v>
      </c>
      <c r="B12" s="86" t="s">
        <v>66</v>
      </c>
      <c r="C12" s="21" t="s">
        <v>20</v>
      </c>
      <c r="D12" s="21" t="s">
        <v>21</v>
      </c>
      <c r="E12" s="54" t="str">
        <f t="array" ref="E12">_xlfn.XLOOKUP(A12,'Schedule Wk 47'!A:A,'Schedule Wk 47'!E:E,"")</f>
        <v>FT</v>
      </c>
      <c r="F12" s="103">
        <f t="array" ref="F12">_xlfn.XLOOKUP(A12,'Schedule Wk 47'!A:A,'Schedule Wk 47'!F:F,"")</f>
        <v>3</v>
      </c>
      <c r="G12" s="21" t="s">
        <v>23</v>
      </c>
      <c r="H12" s="21" t="s">
        <v>23</v>
      </c>
      <c r="I12" s="54">
        <v>0.375</v>
      </c>
      <c r="J12" s="54">
        <v>0.791666666666667</v>
      </c>
      <c r="K12" s="54">
        <v>0.375</v>
      </c>
      <c r="L12" s="54">
        <v>0.791666666666667</v>
      </c>
      <c r="M12" s="54">
        <v>0.375</v>
      </c>
      <c r="N12" s="54">
        <v>0.791666666666667</v>
      </c>
      <c r="O12" s="54">
        <v>0.375</v>
      </c>
      <c r="P12" s="54">
        <v>0.791666666666667</v>
      </c>
      <c r="Q12" s="54">
        <v>0.458333333333333</v>
      </c>
      <c r="R12" s="54">
        <v>0.666666666666667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ISODD(COLUMN(G12:T12)))))*24"),44.9999999999999)</f>
        <v>44.9999999999999</v>
      </c>
      <c r="V12" s="17">
        <f t="array" ref="V12">_xlfn.XLOOKUP(A12,'WK 47'!A:A,'WK 47'!V:V,"")</f>
        <v>45</v>
      </c>
      <c r="W12" s="17" t="str">
        <f t="array" ref="W12">_xlfn.XLOOKUP(A12,'WK 47'!A:A,'WK 47'!AA:AA,"")</f>
        <v>early</v>
      </c>
      <c r="X12" s="7">
        <f t="shared" si="4"/>
        <v>9.9475983006414e-14</v>
      </c>
      <c r="Y12" s="17" t="str">
        <f t="array" ref="Y12">_xlfn.XLOOKUP(A12,'WK 45'!A:A,'WK 45'!X:X,"")</f>
        <v/>
      </c>
      <c r="Z12" s="61"/>
      <c r="AA12" s="61"/>
      <c r="AB12" s="61"/>
      <c r="AC12" s="61"/>
      <c r="AD12" s="61"/>
      <c r="AE12" s="61"/>
      <c r="AF12" s="61"/>
      <c r="AG12" s="61"/>
    </row>
    <row r="13" customHeight="1" spans="1:33">
      <c r="A13" s="21">
        <v>10316650</v>
      </c>
      <c r="B13" s="86" t="s">
        <v>39</v>
      </c>
      <c r="C13" s="21" t="s">
        <v>20</v>
      </c>
      <c r="D13" s="21" t="s">
        <v>21</v>
      </c>
      <c r="E13" s="54" t="str">
        <f t="array" ref="E13">_xlfn.XLOOKUP(A13,'Schedule Wk 47'!A:A,'Schedule Wk 47'!E:E,"")</f>
        <v>FT</v>
      </c>
      <c r="F13" s="103">
        <f t="array" ref="F13">_xlfn.XLOOKUP(A13,'Schedule Wk 47'!A:A,'Schedule Wk 47'!F:F,"")</f>
        <v>2</v>
      </c>
      <c r="G13" s="54">
        <v>0.5</v>
      </c>
      <c r="H13" s="54">
        <v>0.875</v>
      </c>
      <c r="I13" s="54">
        <v>0.5</v>
      </c>
      <c r="J13" s="54">
        <v>0.875</v>
      </c>
      <c r="K13" s="54">
        <v>0.5</v>
      </c>
      <c r="L13" s="54">
        <v>0.875</v>
      </c>
      <c r="M13" s="54">
        <v>0.5</v>
      </c>
      <c r="N13" s="54">
        <v>0.875</v>
      </c>
      <c r="O13" s="54">
        <v>0.5</v>
      </c>
      <c r="P13" s="54"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17" t="str">
        <f t="array" ref="W13">_xlfn.XLOOKUP(A13,'WK 47'!A:A,'WK 47'!AA:AA,"")</f>
        <v>early</v>
      </c>
      <c r="X13" s="7">
        <f t="shared" si="4"/>
        <v>0</v>
      </c>
      <c r="Y13" s="20">
        <f t="array" ref="Y13">_xlfn.XLOOKUP(A13,'WK 45'!A:A,'WK 45'!X:X,"")</f>
        <v>0.375</v>
      </c>
      <c r="Z13" s="61"/>
      <c r="AA13" s="61"/>
      <c r="AB13" s="61"/>
      <c r="AC13" s="61"/>
      <c r="AD13" s="61"/>
      <c r="AE13" s="61"/>
      <c r="AF13" s="61"/>
      <c r="AG13" s="61"/>
    </row>
    <row r="14" customHeight="1" spans="1:33">
      <c r="A14" s="21">
        <v>10317520</v>
      </c>
      <c r="B14" s="86" t="s">
        <v>37</v>
      </c>
      <c r="C14" s="21" t="s">
        <v>20</v>
      </c>
      <c r="D14" s="21" t="s">
        <v>21</v>
      </c>
      <c r="E14" s="54" t="str">
        <f t="array" ref="E14">_xlfn.XLOOKUP(A14,'Schedule Wk 47'!A:A,'Schedule Wk 47'!E:E,"")</f>
        <v>FT</v>
      </c>
      <c r="F14" s="103">
        <f t="array" ref="F14">_xlfn.XLOOKUP(A14,'Schedule Wk 47'!A:A,'Schedule Wk 47'!F:F,"")</f>
        <v>2</v>
      </c>
      <c r="G14" s="54">
        <v>0.375</v>
      </c>
      <c r="H14" s="54">
        <v>0.75</v>
      </c>
      <c r="I14" s="54">
        <v>0.375</v>
      </c>
      <c r="J14" s="54">
        <v>0.75</v>
      </c>
      <c r="K14" s="54">
        <v>0.375</v>
      </c>
      <c r="L14" s="54">
        <v>0.75</v>
      </c>
      <c r="M14" s="54">
        <v>0.375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17" t="str">
        <f t="array" ref="W14">_xlfn.XLOOKUP(A14,'WK 47'!A:A,'WK 47'!AA:AA,"")</f>
        <v>early</v>
      </c>
      <c r="X14" s="7">
        <f t="shared" si="4"/>
        <v>0</v>
      </c>
      <c r="Y14" s="20">
        <f t="array" ref="Y14">_xlfn.XLOOKUP(A14,'WK 45'!A:A,'WK 45'!X:X,"")</f>
        <v>0.375</v>
      </c>
      <c r="Z14" s="61"/>
      <c r="AA14" s="61"/>
      <c r="AB14" s="61"/>
      <c r="AC14" s="61"/>
      <c r="AD14" s="61"/>
      <c r="AE14" s="61"/>
      <c r="AF14" s="61"/>
      <c r="AG14" s="61"/>
    </row>
    <row r="15" customHeight="1" spans="1:33">
      <c r="A15" s="21">
        <v>10317147</v>
      </c>
      <c r="B15" s="86" t="s">
        <v>24</v>
      </c>
      <c r="C15" s="21" t="s">
        <v>20</v>
      </c>
      <c r="D15" s="21" t="s">
        <v>21</v>
      </c>
      <c r="E15" s="54" t="str">
        <f t="array" ref="E15">_xlfn.XLOOKUP(A15,'Schedule Wk 47'!A:A,'Schedule Wk 47'!E:E,"")</f>
        <v>FT</v>
      </c>
      <c r="F15" s="103">
        <f t="array" ref="F15">_xlfn.XLOOKUP(A15,'Schedule Wk 47'!A:A,'Schedule Wk 47'!F:F,"")</f>
        <v>1</v>
      </c>
      <c r="G15" s="21" t="s">
        <v>23</v>
      </c>
      <c r="H15" s="21" t="s">
        <v>23</v>
      </c>
      <c r="I15" s="54">
        <v>0.458333333333333</v>
      </c>
      <c r="J15" s="54">
        <v>0.875</v>
      </c>
      <c r="K15" s="54">
        <v>0.458333333333333</v>
      </c>
      <c r="L15" s="54">
        <v>0.875</v>
      </c>
      <c r="M15" s="54">
        <v>0.458333333333333</v>
      </c>
      <c r="N15" s="54">
        <v>0.875</v>
      </c>
      <c r="O15" s="54">
        <v>0.458333333333333</v>
      </c>
      <c r="P15" s="54">
        <v>0.875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f>IFERROR(__xludf.DUMMYFUNCTION("TO_PURE_NUMBER(SUM(FILTER(G15:T15, ISEVEN(COLUMN(G15:T15))))-SUM(FILTER(G15:T15, ISODD(COLUMN(G15:T15)))))*24"),45)</f>
        <v>45</v>
      </c>
      <c r="V15" s="17">
        <f t="array" ref="V15">_xlfn.XLOOKUP(A15,'WK 47'!A:A,'WK 47'!V:V,"")</f>
        <v>45</v>
      </c>
      <c r="W15" s="17" t="str">
        <f t="array" ref="W15">_xlfn.XLOOKUP(A15,'WK 47'!A:A,'WK 47'!AA:AA,"")</f>
        <v>early</v>
      </c>
      <c r="X15" s="7">
        <f t="shared" si="4"/>
        <v>0</v>
      </c>
      <c r="Y15" s="20">
        <f t="array" ref="Y15">_xlfn.XLOOKUP(A15,'WK 45'!A:A,'WK 45'!X:X,"")</f>
        <v>0.416666666666667</v>
      </c>
      <c r="Z15" s="61"/>
      <c r="AA15" s="61"/>
      <c r="AB15" s="61"/>
      <c r="AC15" s="61"/>
      <c r="AD15" s="61"/>
      <c r="AE15" s="61"/>
      <c r="AF15" s="61"/>
      <c r="AG15" s="61"/>
    </row>
    <row r="16" customHeight="1" spans="1:33">
      <c r="A16" s="21">
        <v>10320413</v>
      </c>
      <c r="B16" s="86" t="s">
        <v>60</v>
      </c>
      <c r="C16" s="21" t="s">
        <v>20</v>
      </c>
      <c r="D16" s="21" t="s">
        <v>21</v>
      </c>
      <c r="E16" s="54" t="str">
        <f t="array" ref="E16">_xlfn.XLOOKUP(A16,'Schedule Wk 47'!A:A,'Schedule Wk 47'!E:E,"")</f>
        <v>FT</v>
      </c>
      <c r="F16" s="103">
        <f t="array" ref="F16">_xlfn.XLOOKUP(A16,'Schedule Wk 47'!A:A,'Schedule Wk 47'!F:F,"")</f>
        <v>3</v>
      </c>
      <c r="G16" s="21" t="s">
        <v>23</v>
      </c>
      <c r="H16" s="21" t="s">
        <v>23</v>
      </c>
      <c r="I16" s="54">
        <v>0.375</v>
      </c>
      <c r="J16" s="54">
        <v>0.791666666666667</v>
      </c>
      <c r="K16" s="54">
        <v>0.375</v>
      </c>
      <c r="L16" s="54">
        <v>0.791666666666667</v>
      </c>
      <c r="M16" s="54">
        <v>0.375</v>
      </c>
      <c r="N16" s="54">
        <v>0.791666666666667</v>
      </c>
      <c r="O16" s="54">
        <v>0.375</v>
      </c>
      <c r="P16" s="54">
        <v>0.791666666666667</v>
      </c>
      <c r="Q16" s="54">
        <v>0.458333333333333</v>
      </c>
      <c r="R16" s="54">
        <v>0.666666666666667</v>
      </c>
      <c r="S16" s="21" t="s">
        <v>23</v>
      </c>
      <c r="T16" s="21" t="s">
        <v>23</v>
      </c>
      <c r="U16" s="21">
        <f>IFERROR(__xludf.DUMMYFUNCTION("TO_PURE_NUMBER(SUM(FILTER(G16:T16, ISEVEN(COLUMN(G16:T16))))-SUM(FILTER(G16:T16, ISODD(COLUMN(G16:T16)))))*24"),44.9999999999999)</f>
        <v>44.9999999999999</v>
      </c>
      <c r="V16" s="17">
        <f t="array" ref="V16">_xlfn.XLOOKUP(A16,'WK 47'!A:A,'WK 47'!V:V,"")</f>
        <v>45</v>
      </c>
      <c r="W16" s="17" t="str">
        <f t="array" ref="W16">_xlfn.XLOOKUP(A16,'WK 47'!A:A,'WK 47'!AA:AA,"")</f>
        <v>early</v>
      </c>
      <c r="X16" s="7">
        <f t="shared" si="4"/>
        <v>9.9475983006414e-14</v>
      </c>
      <c r="Y16" s="17" t="str">
        <f t="array" ref="Y16">_xlfn.XLOOKUP(A16,'WK 45'!A:A,'WK 45'!X:X,"")</f>
        <v/>
      </c>
      <c r="Z16" s="61"/>
      <c r="AA16" s="61"/>
      <c r="AB16" s="61"/>
      <c r="AC16" s="61"/>
      <c r="AD16" s="61"/>
      <c r="AE16" s="61"/>
      <c r="AF16" s="61"/>
      <c r="AG16" s="61"/>
    </row>
    <row r="17" customHeight="1" spans="1:33">
      <c r="A17" s="21">
        <v>10317522</v>
      </c>
      <c r="B17" s="86" t="s">
        <v>31</v>
      </c>
      <c r="C17" s="21" t="s">
        <v>20</v>
      </c>
      <c r="D17" s="21" t="s">
        <v>21</v>
      </c>
      <c r="E17" s="54" t="str">
        <f t="array" ref="E17">_xlfn.XLOOKUP(A17,'Schedule Wk 47'!A:A,'Schedule Wk 47'!E:E,"")</f>
        <v>FT</v>
      </c>
      <c r="F17" s="103">
        <f t="array" ref="F17">_xlfn.XLOOKUP(A17,'Schedule Wk 47'!A:A,'Schedule Wk 47'!F:F,"")</f>
        <v>2</v>
      </c>
      <c r="G17" s="21" t="s">
        <v>23</v>
      </c>
      <c r="H17" s="21" t="s">
        <v>23</v>
      </c>
      <c r="I17" s="54">
        <v>0.458333333333333</v>
      </c>
      <c r="J17" s="54">
        <v>0.875</v>
      </c>
      <c r="K17" s="54">
        <v>0.458333333333333</v>
      </c>
      <c r="L17" s="54">
        <v>0.875</v>
      </c>
      <c r="M17" s="54">
        <v>0.458333333333333</v>
      </c>
      <c r="N17" s="54">
        <v>0.875</v>
      </c>
      <c r="O17" s="54">
        <v>0.458333333333333</v>
      </c>
      <c r="P17" s="54">
        <v>0.875</v>
      </c>
      <c r="Q17" s="54">
        <v>0.458333333333333</v>
      </c>
      <c r="R17" s="54">
        <v>0.666666666666667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17">
        <f t="array" ref="V17">_xlfn.XLOOKUP(A17,'WK 47'!A:A,'WK 47'!V:V,"")</f>
        <v>45</v>
      </c>
      <c r="W17" s="17" t="str">
        <f t="array" ref="W17">_xlfn.XLOOKUP(A17,'WK 47'!A:A,'WK 47'!AA:AA,"")</f>
        <v>late</v>
      </c>
      <c r="X17" s="7">
        <f t="shared" si="4"/>
        <v>0</v>
      </c>
      <c r="Y17" s="20">
        <f t="array" ref="Y17">_xlfn.XLOOKUP(A17,'WK 45'!A:A,'WK 45'!X:X,"")</f>
        <v>0.375</v>
      </c>
      <c r="Z17" s="61"/>
      <c r="AA17" s="61"/>
      <c r="AB17" s="61"/>
      <c r="AC17" s="61"/>
      <c r="AD17" s="61"/>
      <c r="AE17" s="61"/>
      <c r="AF17" s="61"/>
      <c r="AG17" s="61"/>
    </row>
    <row r="18" hidden="1" customHeight="1" spans="1:33">
      <c r="A18" s="21">
        <v>10317151</v>
      </c>
      <c r="B18" s="86" t="s">
        <v>52</v>
      </c>
      <c r="C18" s="21" t="s">
        <v>20</v>
      </c>
      <c r="D18" s="21" t="s">
        <v>86</v>
      </c>
      <c r="E18" s="54" t="str">
        <f t="array" ref="E18">_xlfn.XLOOKUP(A18,'Schedule Wk 47'!A:A,'Schedule Wk 47'!E:E,"")</f>
        <v>FT</v>
      </c>
      <c r="F18" s="103">
        <f t="array" ref="F18">_xlfn.XLOOKUP(A18,'Schedule Wk 47'!A:A,'Schedule Wk 47'!F:F,"")</f>
        <v>1</v>
      </c>
      <c r="G18" s="54">
        <v>0.375</v>
      </c>
      <c r="H18" s="54">
        <v>0.75</v>
      </c>
      <c r="I18" s="54">
        <v>0.375</v>
      </c>
      <c r="J18" s="54">
        <v>0.75</v>
      </c>
      <c r="K18" s="54">
        <v>0.375</v>
      </c>
      <c r="L18" s="54">
        <v>0.75</v>
      </c>
      <c r="M18" s="54">
        <v>0.375</v>
      </c>
      <c r="N18" s="54">
        <v>0.75</v>
      </c>
      <c r="O18" s="54">
        <v>0.375</v>
      </c>
      <c r="P18" s="54">
        <v>0.75</v>
      </c>
      <c r="Q18" s="114" t="s">
        <v>23</v>
      </c>
      <c r="R18" s="114" t="s">
        <v>23</v>
      </c>
      <c r="S18" s="114" t="s">
        <v>23</v>
      </c>
      <c r="T18" s="114" t="s">
        <v>23</v>
      </c>
      <c r="U18" s="21">
        <f>IFERROR(__xludf.DUMMYFUNCTION("TO_PURE_NUMBER(SUM(FILTER(G18:T18, ISEVEN(COLUMN(G18:T18))))-SUM(FILTER(G18:T18, ISODD(COLUMN(G18:T18)))))*24"),45)</f>
        <v>45</v>
      </c>
      <c r="V18" s="17">
        <f t="array" ref="V18">_xlfn.XLOOKUP(A18,'WK 47'!A:A,'WK 47'!V:V,"")</f>
        <v>45</v>
      </c>
      <c r="W18" s="17" t="str">
        <f t="array" ref="W18">_xlfn.XLOOKUP(A18,'WK 47'!A:A,'WK 47'!AA:AA,"")</f>
        <v>early</v>
      </c>
      <c r="X18" s="7">
        <f t="shared" si="4"/>
        <v>0</v>
      </c>
      <c r="Y18" s="20">
        <f t="array" ref="Y18">_xlfn.XLOOKUP(A18,'WK 45'!A:A,'WK 45'!X:X,"")</f>
        <v>0.416666666666667</v>
      </c>
      <c r="Z18" s="61"/>
      <c r="AA18" s="61"/>
      <c r="AB18" s="61"/>
      <c r="AC18" s="61"/>
      <c r="AD18" s="61"/>
      <c r="AE18" s="61"/>
      <c r="AF18" s="61"/>
      <c r="AG18" s="61"/>
    </row>
    <row r="19" customHeight="1" spans="1:33">
      <c r="A19" s="21">
        <v>10320409</v>
      </c>
      <c r="B19" s="21" t="s">
        <v>57</v>
      </c>
      <c r="C19" s="21" t="s">
        <v>20</v>
      </c>
      <c r="D19" s="21" t="s">
        <v>21</v>
      </c>
      <c r="E19" s="54" t="str">
        <f t="array" ref="E19">_xlfn.XLOOKUP(A19,'Schedule Wk 47'!A:A,'Schedule Wk 47'!E:E,"")</f>
        <v>FT</v>
      </c>
      <c r="F19" s="103">
        <f t="array" ref="F19">_xlfn.XLOOKUP(A19,'Schedule Wk 47'!A:A,'Schedule Wk 47'!F:F,"")</f>
        <v>3</v>
      </c>
      <c r="G19" s="54">
        <v>0.375</v>
      </c>
      <c r="H19" s="54">
        <v>0.75</v>
      </c>
      <c r="I19" s="54">
        <v>0.375</v>
      </c>
      <c r="J19" s="54">
        <v>0.75</v>
      </c>
      <c r="K19" s="54">
        <v>0.375</v>
      </c>
      <c r="L19" s="54">
        <v>0.75</v>
      </c>
      <c r="M19" s="54">
        <v>0.375</v>
      </c>
      <c r="N19" s="54">
        <v>0.75</v>
      </c>
      <c r="O19" s="54">
        <v>0.375</v>
      </c>
      <c r="P19" s="54">
        <v>0.75</v>
      </c>
      <c r="Q19" s="21" t="s">
        <v>23</v>
      </c>
      <c r="R19" s="21" t="s">
        <v>23</v>
      </c>
      <c r="S19" s="21" t="s">
        <v>23</v>
      </c>
      <c r="T19" s="21" t="s">
        <v>23</v>
      </c>
      <c r="U19" s="21">
        <f>IFERROR(__xludf.DUMMYFUNCTION("TO_PURE_NUMBER(SUM(FILTER(G19:T19, ISEVEN(COLUMN(G19:T19))))-SUM(FILTER(G19:T19, ISODD(COLUMN(G19:T19)))))*24"),45)</f>
        <v>45</v>
      </c>
      <c r="V19" s="17">
        <f t="array" ref="V19">_xlfn.XLOOKUP(A19,'WK 47'!A:A,'WK 47'!V:V,"")</f>
        <v>45</v>
      </c>
      <c r="W19" s="17" t="str">
        <f t="array" ref="W19">_xlfn.XLOOKUP(A19,'WK 47'!A:A,'WK 47'!AA:AA,"")</f>
        <v>early</v>
      </c>
      <c r="X19" s="7">
        <f t="shared" si="4"/>
        <v>0</v>
      </c>
      <c r="Y19" s="17" t="str">
        <f t="array" ref="Y19">_xlfn.XLOOKUP(A19,'WK 45'!A:A,'WK 45'!X:X,"")</f>
        <v/>
      </c>
      <c r="Z19" s="61"/>
      <c r="AA19" s="61"/>
      <c r="AB19" s="61"/>
      <c r="AC19" s="61"/>
      <c r="AD19" s="61"/>
      <c r="AE19" s="61"/>
      <c r="AF19" s="61"/>
      <c r="AG19" s="61"/>
    </row>
    <row r="20" customHeight="1" spans="1:33">
      <c r="A20" s="21">
        <v>10293627</v>
      </c>
      <c r="B20" s="181" t="s">
        <v>64</v>
      </c>
      <c r="C20" s="21" t="s">
        <v>20</v>
      </c>
      <c r="D20" s="21" t="s">
        <v>21</v>
      </c>
      <c r="E20" s="54" t="str">
        <f t="array" ref="E20">_xlfn.XLOOKUP(A20,'Schedule Wk 47'!A:A,'Schedule Wk 47'!E:E,"")</f>
        <v>FT</v>
      </c>
      <c r="F20" s="103">
        <f t="array" ref="F20">_xlfn.XLOOKUP(A20,'Schedule Wk 47'!A:A,'Schedule Wk 47'!F:F,"")</f>
        <v>3</v>
      </c>
      <c r="G20" s="54">
        <v>0.375</v>
      </c>
      <c r="H20" s="54">
        <v>0.75</v>
      </c>
      <c r="I20" s="54">
        <v>0.375</v>
      </c>
      <c r="J20" s="54">
        <v>0.75</v>
      </c>
      <c r="K20" s="54">
        <v>0.375</v>
      </c>
      <c r="L20" s="54">
        <v>0.75</v>
      </c>
      <c r="M20" s="54">
        <v>0.375</v>
      </c>
      <c r="N20" s="54">
        <v>0.75</v>
      </c>
      <c r="O20" s="54">
        <v>0.375</v>
      </c>
      <c r="P20" s="54">
        <v>0.75</v>
      </c>
      <c r="Q20" s="21" t="s">
        <v>23</v>
      </c>
      <c r="R20" s="21" t="s">
        <v>23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17">
        <f t="array" ref="V20">_xlfn.XLOOKUP(A20,'WK 47'!A:A,'WK 47'!V:V,"")</f>
        <v>45</v>
      </c>
      <c r="W20" s="17" t="str">
        <f t="array" ref="W20">_xlfn.XLOOKUP(A20,'WK 47'!A:A,'WK 47'!AA:AA,"")</f>
        <v>early</v>
      </c>
      <c r="X20" s="7">
        <f t="shared" si="4"/>
        <v>0</v>
      </c>
      <c r="Y20" s="20">
        <v>0.416666666666667</v>
      </c>
      <c r="Z20" s="61"/>
      <c r="AA20" s="61"/>
      <c r="AB20" s="61"/>
      <c r="AC20" s="61"/>
      <c r="AD20" s="61"/>
      <c r="AE20" s="61"/>
      <c r="AF20" s="61"/>
      <c r="AG20" s="61"/>
    </row>
    <row r="21" hidden="1" customHeight="1" spans="1:33">
      <c r="A21" s="21">
        <v>10316540</v>
      </c>
      <c r="B21" s="21" t="s">
        <v>30</v>
      </c>
      <c r="C21" s="21" t="s">
        <v>20</v>
      </c>
      <c r="D21" s="21" t="s">
        <v>86</v>
      </c>
      <c r="E21" s="54" t="str">
        <f t="array" ref="E21">_xlfn.XLOOKUP(A21,'Schedule Wk 47'!A:A,'Schedule Wk 47'!E:E,"")</f>
        <v>FT</v>
      </c>
      <c r="F21" s="103">
        <f t="array" ref="F21">_xlfn.XLOOKUP(A21,'Schedule Wk 47'!A:A,'Schedule Wk 47'!F:F,"")</f>
        <v>1</v>
      </c>
      <c r="G21" s="54">
        <v>0.375</v>
      </c>
      <c r="H21" s="54">
        <v>0.75</v>
      </c>
      <c r="I21" s="54">
        <v>0.375</v>
      </c>
      <c r="J21" s="54">
        <v>0.75</v>
      </c>
      <c r="K21" s="54">
        <v>0.375</v>
      </c>
      <c r="L21" s="54">
        <v>0.75</v>
      </c>
      <c r="M21" s="54">
        <v>0.375</v>
      </c>
      <c r="N21" s="54">
        <v>0.75</v>
      </c>
      <c r="O21" s="54">
        <v>0.375</v>
      </c>
      <c r="P21" s="54">
        <v>0.75</v>
      </c>
      <c r="Q21" s="114" t="s">
        <v>23</v>
      </c>
      <c r="R21" s="114" t="s">
        <v>23</v>
      </c>
      <c r="S21" s="114" t="s">
        <v>23</v>
      </c>
      <c r="T21" s="114" t="s">
        <v>23</v>
      </c>
      <c r="U21" s="21">
        <f>IFERROR(__xludf.DUMMYFUNCTION("TO_PURE_NUMBER(SUM(FILTER(G21:T21, ISEVEN(COLUMN(G21:T21))))-SUM(FILTER(G21:T21, ISODD(COLUMN(G21:T21)))))*24"),45)</f>
        <v>45</v>
      </c>
      <c r="V21" s="17">
        <f t="array" ref="V21">_xlfn.XLOOKUP(A21,'WK 47'!A:A,'WK 47'!V:V,"")</f>
        <v>45</v>
      </c>
      <c r="W21" s="17" t="str">
        <f t="array" ref="W21">_xlfn.XLOOKUP(A21,'WK 47'!A:A,'WK 47'!AA:AA,"")</f>
        <v>late</v>
      </c>
      <c r="X21" s="7">
        <f t="shared" si="4"/>
        <v>0</v>
      </c>
      <c r="Y21" s="20">
        <f t="array" ref="Y21">_xlfn.XLOOKUP(A21,'WK 45'!A:A,'WK 45'!X:X,"")</f>
        <v>0.416666666666667</v>
      </c>
      <c r="Z21" s="61"/>
      <c r="AA21" s="61"/>
      <c r="AB21" s="61"/>
      <c r="AC21" s="61"/>
      <c r="AD21" s="61"/>
      <c r="AE21" s="61"/>
      <c r="AF21" s="61"/>
      <c r="AG21" s="61"/>
    </row>
    <row r="22" customHeight="1" spans="1:33">
      <c r="A22" s="21">
        <v>10320435</v>
      </c>
      <c r="B22" s="21" t="s">
        <v>71</v>
      </c>
      <c r="C22" s="21" t="s">
        <v>20</v>
      </c>
      <c r="D22" s="21" t="s">
        <v>21</v>
      </c>
      <c r="E22" s="54" t="str">
        <f t="array" ref="E22">_xlfn.XLOOKUP(A22,'Schedule Wk 47'!A:A,'Schedule Wk 47'!E:E,"")</f>
        <v>FT</v>
      </c>
      <c r="F22" s="103">
        <f t="array" ref="F22">_xlfn.XLOOKUP(A22,'Schedule Wk 47'!A:A,'Schedule Wk 47'!F:F,"")</f>
        <v>3</v>
      </c>
      <c r="G22" s="54">
        <v>0.375</v>
      </c>
      <c r="H22" s="54">
        <v>0.75</v>
      </c>
      <c r="I22" s="54">
        <v>0.375</v>
      </c>
      <c r="J22" s="54">
        <v>0.75</v>
      </c>
      <c r="K22" s="54">
        <v>0.375</v>
      </c>
      <c r="L22" s="54">
        <v>0.75</v>
      </c>
      <c r="M22" s="54">
        <v>0.375</v>
      </c>
      <c r="N22" s="54">
        <v>0.75</v>
      </c>
      <c r="O22" s="54">
        <v>0.375</v>
      </c>
      <c r="P22" s="54">
        <v>0.75</v>
      </c>
      <c r="Q22" s="21" t="s">
        <v>23</v>
      </c>
      <c r="R22" s="21" t="s">
        <v>23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17">
        <f t="array" ref="V22">_xlfn.XLOOKUP(A22,'WK 47'!A:A,'WK 47'!V:V,"")</f>
        <v>45</v>
      </c>
      <c r="W22" s="17" t="str">
        <f t="array" ref="W22">_xlfn.XLOOKUP(A22,'WK 47'!A:A,'WK 47'!AA:AA,"")</f>
        <v>early</v>
      </c>
      <c r="X22" s="7">
        <f t="shared" si="4"/>
        <v>0</v>
      </c>
      <c r="Y22" s="17" t="str">
        <f t="array" ref="Y22">_xlfn.XLOOKUP(A22,'WK 45'!A:A,'WK 45'!X:X,"")</f>
        <v/>
      </c>
      <c r="Z22" s="61"/>
      <c r="AA22" s="61"/>
      <c r="AB22" s="61"/>
      <c r="AC22" s="61"/>
      <c r="AD22" s="61"/>
      <c r="AE22" s="61"/>
      <c r="AF22" s="61"/>
      <c r="AG22" s="61"/>
    </row>
    <row r="23" hidden="1" customHeight="1" spans="1:33">
      <c r="A23" s="21">
        <v>10316551</v>
      </c>
      <c r="B23" s="21" t="s">
        <v>87</v>
      </c>
      <c r="C23" s="21" t="s">
        <v>20</v>
      </c>
      <c r="D23" s="21" t="s">
        <v>21</v>
      </c>
      <c r="E23" s="54" t="str">
        <f t="array" ref="E23">_xlfn.XLOOKUP(A23,'Schedule Wk 47'!A:A,'Schedule Wk 47'!E:E,"")</f>
        <v>FT</v>
      </c>
      <c r="F23" s="103">
        <f t="array" ref="F23">_xlfn.XLOOKUP(A23,'Schedule Wk 47'!A:A,'Schedule Wk 47'!F:F,"")</f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21" t="s">
        <v>23</v>
      </c>
      <c r="M23" s="21" t="s">
        <v>23</v>
      </c>
      <c r="N23" s="21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ISODD(COLUMN(G23:T23)))))*24"),37)</f>
        <v>37</v>
      </c>
      <c r="V23" s="17">
        <f t="array" ref="V23">_xlfn.XLOOKUP(A23,'WK 47'!A:A,'WK 47'!V:V,"")</f>
        <v>45</v>
      </c>
      <c r="W23" s="17" t="str">
        <f t="array" ref="W23">_xlfn.XLOOKUP(A23,'WK 47'!A:A,'WK 47'!AA:AA,"")</f>
        <v>early</v>
      </c>
      <c r="X23" s="7">
        <f t="shared" si="4"/>
        <v>8</v>
      </c>
      <c r="Y23" s="20">
        <v>0.416666666666667</v>
      </c>
      <c r="Z23" s="61"/>
      <c r="AA23" s="61"/>
      <c r="AB23" s="61"/>
      <c r="AC23" s="61"/>
      <c r="AD23" s="61"/>
      <c r="AE23" s="61"/>
      <c r="AF23" s="61"/>
      <c r="AG23" s="61"/>
    </row>
    <row r="24" hidden="1" customHeight="1" spans="1:33">
      <c r="A24" s="21">
        <v>10316546</v>
      </c>
      <c r="B24" s="21" t="s">
        <v>49</v>
      </c>
      <c r="C24" s="21" t="s">
        <v>20</v>
      </c>
      <c r="D24" s="21" t="s">
        <v>21</v>
      </c>
      <c r="E24" s="54" t="str">
        <f t="array" ref="E24">_xlfn.XLOOKUP(A24,'Schedule Wk 47'!A:A,'Schedule Wk 47'!E:E,"")</f>
        <v>FT</v>
      </c>
      <c r="F24" s="103">
        <f t="array" ref="F24">_xlfn.XLOOKUP(A24,'Schedule Wk 47'!A:A,'Schedule Wk 47'!F:F,"")</f>
        <v>1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21" t="s">
        <v>23</v>
      </c>
      <c r="N24" s="21" t="s">
        <v>23</v>
      </c>
      <c r="O24" s="21" t="s">
        <v>23</v>
      </c>
      <c r="P24" s="21" t="s">
        <v>23</v>
      </c>
      <c r="Q24" s="54">
        <v>0.458333333333333</v>
      </c>
      <c r="R24" s="54">
        <v>0.666666666666667</v>
      </c>
      <c r="S24" s="54">
        <v>0.458333333333333</v>
      </c>
      <c r="T24" s="54">
        <v>0.666666666666667</v>
      </c>
      <c r="U24" s="21">
        <f>IFERROR(__xludf.DUMMYFUNCTION("TO_PURE_NUMBER(SUM(FILTER(G24:T24, ISEVEN(COLUMN(G24:T24))))-SUM(FILTER(G24:T24, ISODD(COLUMN(G24:T24)))))*24"),37)</f>
        <v>37</v>
      </c>
      <c r="V24" s="17">
        <v>37</v>
      </c>
      <c r="W24" s="17" t="str">
        <f t="array" ref="W24">_xlfn.XLOOKUP(A24,'WK 47'!A:A,'WK 47'!AA:AA,"")</f>
        <v>early</v>
      </c>
      <c r="X24" s="7">
        <f t="shared" si="4"/>
        <v>0</v>
      </c>
      <c r="Y24" s="20">
        <v>0.375</v>
      </c>
      <c r="Z24" s="61"/>
      <c r="AA24" s="61"/>
      <c r="AB24" s="61"/>
      <c r="AC24" s="61"/>
      <c r="AD24" s="61"/>
      <c r="AE24" s="61"/>
      <c r="AF24" s="61"/>
      <c r="AG24" s="61"/>
    </row>
    <row r="25" customHeight="1" spans="1:33">
      <c r="A25" s="21">
        <v>10276839</v>
      </c>
      <c r="B25" s="21" t="s">
        <v>54</v>
      </c>
      <c r="C25" s="21" t="s">
        <v>20</v>
      </c>
      <c r="D25" s="21" t="s">
        <v>21</v>
      </c>
      <c r="E25" s="54" t="str">
        <f t="array" ref="E25">_xlfn.XLOOKUP(A25,'Schedule Wk 47'!A:A,'Schedule Wk 47'!E:E,"")</f>
        <v>FT</v>
      </c>
      <c r="F25" s="103">
        <f t="array" ref="F25">_xlfn.XLOOKUP(A25,'Schedule Wk 47'!A:A,'Schedule Wk 47'!F:F,"")</f>
        <v>2</v>
      </c>
      <c r="G25" s="54">
        <v>0.375</v>
      </c>
      <c r="H25" s="54">
        <v>0.791666666666667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21" t="s">
        <v>23</v>
      </c>
      <c r="P25" s="21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17" t="str">
        <f t="array" ref="W25">_xlfn.XLOOKUP(A25,'WK 47'!A:A,'WK 47'!AA:AA,"")</f>
        <v>early</v>
      </c>
      <c r="X25" s="7">
        <f t="shared" si="4"/>
        <v>9.9475983006414e-14</v>
      </c>
      <c r="Y25" s="20">
        <f t="array" ref="Y25">_xlfn.XLOOKUP(A25,'WK 45'!A:A,'WK 45'!X:X,"")</f>
        <v>0.375</v>
      </c>
      <c r="Z25" s="61"/>
      <c r="AA25" s="61"/>
      <c r="AB25" s="61"/>
      <c r="AC25" s="61"/>
      <c r="AD25" s="61"/>
      <c r="AE25" s="61"/>
      <c r="AF25" s="61"/>
      <c r="AG25" s="61"/>
    </row>
    <row r="26" hidden="1" customHeight="1" spans="1:33">
      <c r="A26" s="21">
        <v>10274446</v>
      </c>
      <c r="B26" s="21" t="s">
        <v>88</v>
      </c>
      <c r="C26" s="21" t="s">
        <v>20</v>
      </c>
      <c r="D26" s="21" t="s">
        <v>21</v>
      </c>
      <c r="E26" s="54" t="str">
        <f t="array" ref="E26">_xlfn.XLOOKUP(A26,'Schedule Wk 47'!A:A,'Schedule Wk 47'!E:E,"")</f>
        <v>FT</v>
      </c>
      <c r="F26" s="103">
        <f t="array" ref="F26">_xlfn.XLOOKUP(A26,'Schedule Wk 47'!A:A,'Schedule Wk 47'!F:F,"")</f>
        <v>2</v>
      </c>
      <c r="G26" s="54">
        <v>0.5</v>
      </c>
      <c r="H26" s="54">
        <v>0.875</v>
      </c>
      <c r="I26" s="21" t="s">
        <v>23</v>
      </c>
      <c r="J26" s="21" t="s">
        <v>23</v>
      </c>
      <c r="K26" s="21" t="s">
        <v>23</v>
      </c>
      <c r="L26" s="21" t="s">
        <v>23</v>
      </c>
      <c r="M26" s="54">
        <v>0.5</v>
      </c>
      <c r="N26" s="54">
        <v>0.875</v>
      </c>
      <c r="O26" s="54">
        <v>0.5</v>
      </c>
      <c r="P26" s="54">
        <v>0.875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ISODD(COLUMN(G26:T26)))))*24"),37)</f>
        <v>37</v>
      </c>
      <c r="V26" s="17">
        <v>37</v>
      </c>
      <c r="W26" s="17" t="str">
        <f t="array" ref="W26">_xlfn.XLOOKUP(A26,'WK 47'!A:A,'WK 47'!AA:AA,"")</f>
        <v>late</v>
      </c>
      <c r="X26" s="7">
        <f t="shared" si="4"/>
        <v>0</v>
      </c>
      <c r="Y26" s="20">
        <v>0.375</v>
      </c>
      <c r="Z26" s="61"/>
      <c r="AA26" s="61"/>
      <c r="AB26" s="61"/>
      <c r="AC26" s="61"/>
      <c r="AD26" s="61"/>
      <c r="AE26" s="61"/>
      <c r="AF26" s="61"/>
      <c r="AG26" s="61"/>
    </row>
    <row r="27" hidden="1" customHeight="1" spans="1:33">
      <c r="A27" s="21">
        <v>10316685</v>
      </c>
      <c r="B27" s="86" t="s">
        <v>47</v>
      </c>
      <c r="C27" s="21" t="s">
        <v>89</v>
      </c>
      <c r="D27" s="21" t="s">
        <v>21</v>
      </c>
      <c r="E27" s="54" t="str">
        <f t="array" ref="E27">_xlfn.XLOOKUP(A27,'Schedule Wk 47'!A:A,'Schedule Wk 47'!E:E,"")</f>
        <v>FT</v>
      </c>
      <c r="F27" s="103">
        <f t="array" ref="F27">_xlfn.XLOOKUP(A27,'Schedule Wk 47'!A:A,'Schedule Wk 47'!F:F,"")</f>
        <v>1</v>
      </c>
      <c r="G27" s="54">
        <v>0.375</v>
      </c>
      <c r="H27" s="54">
        <v>0.75</v>
      </c>
      <c r="I27" s="54">
        <v>0.375</v>
      </c>
      <c r="J27" s="54">
        <v>0.75</v>
      </c>
      <c r="K27" s="54">
        <v>0.375</v>
      </c>
      <c r="L27" s="54">
        <v>0.75</v>
      </c>
      <c r="M27" s="54">
        <v>0.375</v>
      </c>
      <c r="N27" s="54">
        <v>0.75</v>
      </c>
      <c r="O27" s="54">
        <v>0.375</v>
      </c>
      <c r="P27" s="54">
        <v>0.75</v>
      </c>
      <c r="Q27" s="115" t="s">
        <v>23</v>
      </c>
      <c r="R27" s="115" t="s">
        <v>23</v>
      </c>
      <c r="S27" s="21" t="s">
        <v>23</v>
      </c>
      <c r="T27" s="21" t="s">
        <v>23</v>
      </c>
      <c r="U27" s="21">
        <f>IFERROR(__xludf.DUMMYFUNCTION("TO_PURE_NUMBER(SUM(FILTER(G27:T27, ISEVEN(COLUMN(G27:T27))))-SUM(FILTER(G27:T27, ISODD(COLUMN(G27:T27)))))*24"),45)</f>
        <v>45</v>
      </c>
      <c r="V27" s="17">
        <f t="array" ref="V27">_xlfn.XLOOKUP(A27,'WK 47'!A:A,'WK 47'!V:V,"")</f>
        <v>45</v>
      </c>
      <c r="W27" s="17" t="str">
        <f t="array" ref="W27">_xlfn.XLOOKUP(A27,'WK 47'!A:A,'WK 47'!AA:AA,"")</f>
        <v>late</v>
      </c>
      <c r="X27" s="7">
        <f t="shared" si="4"/>
        <v>0</v>
      </c>
      <c r="Y27" s="20">
        <f t="array" ref="Y27">_xlfn.XLOOKUP(A27,'WK 45'!A:A,'WK 45'!X:X,"")</f>
        <v>0.416666666666667</v>
      </c>
      <c r="Z27" s="61"/>
      <c r="AA27" s="61"/>
      <c r="AB27" s="61"/>
      <c r="AC27" s="61"/>
      <c r="AD27" s="61"/>
      <c r="AE27" s="61"/>
      <c r="AF27" s="61"/>
      <c r="AG27" s="61"/>
    </row>
    <row r="28" customHeight="1" spans="1:33">
      <c r="A28" s="21">
        <v>10293607</v>
      </c>
      <c r="B28" s="181" t="s">
        <v>65</v>
      </c>
      <c r="C28" s="21" t="s">
        <v>20</v>
      </c>
      <c r="D28" s="21" t="s">
        <v>21</v>
      </c>
      <c r="E28" s="54" t="str">
        <f t="array" ref="E28">_xlfn.XLOOKUP(A28,'Schedule Wk 47'!A:A,'Schedule Wk 47'!E:E,"")</f>
        <v>FT</v>
      </c>
      <c r="F28" s="103">
        <f t="array" ref="F28">_xlfn.XLOOKUP(A28,'Schedule Wk 47'!A:A,'Schedule Wk 47'!F:F,"")</f>
        <v>3</v>
      </c>
      <c r="G28" s="54">
        <v>0.375</v>
      </c>
      <c r="H28" s="54">
        <v>0.75</v>
      </c>
      <c r="I28" s="54">
        <v>0.375</v>
      </c>
      <c r="J28" s="54">
        <v>0.75</v>
      </c>
      <c r="K28" s="54">
        <v>0.375</v>
      </c>
      <c r="L28" s="54">
        <v>0.75</v>
      </c>
      <c r="M28" s="54">
        <v>0.375</v>
      </c>
      <c r="N28" s="54">
        <v>0.75</v>
      </c>
      <c r="O28" s="54">
        <v>0.375</v>
      </c>
      <c r="P28" s="54"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17">
        <f t="array" ref="V28">_xlfn.XLOOKUP(A28,'WK 47'!A:A,'WK 47'!V:V,"")</f>
        <v>45</v>
      </c>
      <c r="W28" s="17" t="str">
        <f t="array" ref="W28">_xlfn.XLOOKUP(A28,'WK 47'!A:A,'WK 47'!AA:AA,"")</f>
        <v>early</v>
      </c>
      <c r="X28" s="7">
        <f t="shared" si="4"/>
        <v>0</v>
      </c>
      <c r="Y28" s="17" t="str">
        <f t="array" ref="Y28">_xlfn.XLOOKUP(A28,'WK 45'!A:A,'WK 45'!X:X,"")</f>
        <v/>
      </c>
      <c r="Z28" s="61"/>
      <c r="AA28" s="61"/>
      <c r="AB28" s="61"/>
      <c r="AC28" s="61"/>
      <c r="AD28" s="61"/>
      <c r="AE28" s="61"/>
      <c r="AF28" s="61"/>
      <c r="AG28" s="61"/>
    </row>
    <row r="29" hidden="1" customHeight="1" spans="1:33">
      <c r="A29" s="21">
        <v>10316538</v>
      </c>
      <c r="B29" s="21" t="s">
        <v>44</v>
      </c>
      <c r="C29" s="21" t="s">
        <v>20</v>
      </c>
      <c r="D29" s="21" t="s">
        <v>21</v>
      </c>
      <c r="E29" s="54" t="str">
        <f t="array" ref="E29">_xlfn.XLOOKUP(A29,'Schedule Wk 47'!A:A,'Schedule Wk 47'!E:E,"")</f>
        <v>FT</v>
      </c>
      <c r="F29" s="103">
        <f t="array" ref="F29">_xlfn.XLOOKUP(A29,'Schedule Wk 47'!A:A,'Schedule Wk 47'!F:F,"")</f>
        <v>1</v>
      </c>
      <c r="G29" s="54">
        <v>0.5</v>
      </c>
      <c r="H29" s="54">
        <v>0.875</v>
      </c>
      <c r="I29" s="54">
        <v>0.5</v>
      </c>
      <c r="J29" s="54"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f t="array" ref="V29">_xlfn.XLOOKUP(A29,'WK 47'!A:A,'WK 47'!V:V,"")</f>
        <v>37</v>
      </c>
      <c r="W29" s="17" t="str">
        <f t="array" ref="W29">_xlfn.XLOOKUP(A29,'WK 47'!A:A,'WK 47'!AA:AA,"")</f>
        <v>late</v>
      </c>
      <c r="X29" s="7">
        <f t="shared" si="4"/>
        <v>0</v>
      </c>
      <c r="Y29" s="20">
        <f t="array" ref="Y29">_xlfn.XLOOKUP(A29,'WK 45'!A:A,'WK 45'!X:X,"")</f>
        <v>0.416666666666667</v>
      </c>
      <c r="Z29" s="61"/>
      <c r="AA29" s="61"/>
      <c r="AB29" s="61"/>
      <c r="AC29" s="61"/>
      <c r="AD29" s="61"/>
      <c r="AE29" s="61"/>
      <c r="AF29" s="61"/>
      <c r="AG29" s="61"/>
    </row>
    <row r="30" customHeight="1" spans="1:33">
      <c r="A30" s="21">
        <v>10320436</v>
      </c>
      <c r="B30" s="21" t="s">
        <v>90</v>
      </c>
      <c r="C30" s="21" t="s">
        <v>20</v>
      </c>
      <c r="D30" s="21" t="s">
        <v>21</v>
      </c>
      <c r="E30" s="54" t="str">
        <f t="array" ref="E30">_xlfn.XLOOKUP(A30,'Schedule Wk 47'!A:A,'Schedule Wk 47'!E:E,"")</f>
        <v>FT</v>
      </c>
      <c r="F30" s="103">
        <f t="array" ref="F30">_xlfn.XLOOKUP(A30,'Schedule Wk 47'!A:A,'Schedule Wk 47'!F:F,"")</f>
        <v>3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17" t="str">
        <f t="array" ref="W30">_xlfn.XLOOKUP(A30,'WK 47'!A:A,'WK 47'!AA:AA,"")</f>
        <v>early</v>
      </c>
      <c r="X30" s="7">
        <f t="shared" si="4"/>
        <v>0</v>
      </c>
      <c r="Y30" s="17" t="str">
        <f t="array" ref="Y30">_xlfn.XLOOKUP(A30,'WK 45'!A:A,'WK 45'!X:X,"")</f>
        <v/>
      </c>
      <c r="Z30" s="61"/>
      <c r="AA30" s="61"/>
      <c r="AB30" s="61"/>
      <c r="AC30" s="61"/>
      <c r="AD30" s="61"/>
      <c r="AE30" s="61"/>
      <c r="AF30" s="61"/>
      <c r="AG30" s="61"/>
    </row>
    <row r="31" customHeight="1" spans="1:33">
      <c r="A31" s="21">
        <v>10317154</v>
      </c>
      <c r="B31" s="21" t="s">
        <v>70</v>
      </c>
      <c r="C31" s="21" t="s">
        <v>20</v>
      </c>
      <c r="D31" s="21" t="s">
        <v>21</v>
      </c>
      <c r="E31" s="54" t="str">
        <f t="array" ref="E31">_xlfn.XLOOKUP(A31,'Schedule Wk 47'!A:A,'Schedule Wk 47'!E:E,"")</f>
        <v>FT</v>
      </c>
      <c r="F31" s="103">
        <f t="array" ref="F31">_xlfn.XLOOKUP(A31,'Schedule Wk 47'!A:A,'Schedule Wk 47'!F:F,"")</f>
        <v>3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17" t="str">
        <f t="array" ref="W31">_xlfn.XLOOKUP(A31,'WK 47'!A:A,'WK 47'!AA:AA,"")</f>
        <v>early</v>
      </c>
      <c r="X31" s="7">
        <f t="shared" si="4"/>
        <v>0</v>
      </c>
      <c r="Y31" s="17" t="str">
        <f t="array" ref="Y31">_xlfn.XLOOKUP(A31,'WK 45'!A:A,'WK 45'!X:X,"")</f>
        <v/>
      </c>
      <c r="Z31" s="61"/>
      <c r="AA31" s="61"/>
      <c r="AB31" s="61"/>
      <c r="AC31" s="61"/>
      <c r="AD31" s="61"/>
      <c r="AE31" s="61"/>
      <c r="AF31" s="61"/>
      <c r="AG31" s="61"/>
    </row>
    <row r="32" customHeight="1" spans="1:33">
      <c r="A32" s="21">
        <v>10320417</v>
      </c>
      <c r="B32" s="21" t="s">
        <v>67</v>
      </c>
      <c r="C32" s="21" t="s">
        <v>20</v>
      </c>
      <c r="D32" s="21" t="s">
        <v>21</v>
      </c>
      <c r="E32" s="54" t="str">
        <f t="array" ref="E32">_xlfn.XLOOKUP(A32,'Schedule Wk 47'!A:A,'Schedule Wk 47'!E:E,"")</f>
        <v>FT</v>
      </c>
      <c r="F32" s="103">
        <f t="array" ref="F32">_xlfn.XLOOKUP(A32,'Schedule Wk 47'!A:A,'Schedule Wk 47'!F:F,"")</f>
        <v>3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17" t="str">
        <f t="array" ref="W32">_xlfn.XLOOKUP(A32,'WK 47'!A:A,'WK 47'!AA:AA,"")</f>
        <v>early</v>
      </c>
      <c r="X32" s="7">
        <f t="shared" si="4"/>
        <v>0</v>
      </c>
      <c r="Y32" s="20">
        <v>0.208333333333333</v>
      </c>
      <c r="Z32" s="61"/>
      <c r="AA32" s="61"/>
      <c r="AB32" s="61"/>
      <c r="AC32" s="61"/>
      <c r="AD32" s="61"/>
      <c r="AE32" s="61"/>
      <c r="AF32" s="61"/>
      <c r="AG32" s="61"/>
    </row>
    <row r="33" customHeight="1" spans="1:33">
      <c r="A33" s="21">
        <v>10320407</v>
      </c>
      <c r="B33" s="21" t="s">
        <v>55</v>
      </c>
      <c r="C33" s="21" t="s">
        <v>20</v>
      </c>
      <c r="D33" s="21" t="s">
        <v>21</v>
      </c>
      <c r="E33" s="54" t="str">
        <f t="array" ref="E33">_xlfn.XLOOKUP(A33,'Schedule Wk 47'!A:A,'Schedule Wk 47'!E:E,"")</f>
        <v>FT</v>
      </c>
      <c r="F33" s="103">
        <f t="array" ref="F33">_xlfn.XLOOKUP(A33,'Schedule Wk 47'!A:A,'Schedule 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17" t="str">
        <f t="array" ref="W33">_xlfn.XLOOKUP(A33,'WK 47'!A:A,'WK 47'!AA:AA,"")</f>
        <v>early</v>
      </c>
      <c r="X33" s="7">
        <f t="shared" si="4"/>
        <v>0</v>
      </c>
      <c r="Y33" s="17" t="str">
        <f t="array" ref="Y33">_xlfn.XLOOKUP(A33,Pref!A:A,Pref!E:E,"")</f>
        <v>10 hours (4 weekdays) + 5 hours (1 weekends) (45hrs/Week)</v>
      </c>
      <c r="Z33" s="61"/>
      <c r="AA33" s="61"/>
      <c r="AB33" s="61"/>
      <c r="AC33" s="61"/>
      <c r="AD33" s="61"/>
      <c r="AE33" s="61"/>
      <c r="AF33" s="61"/>
      <c r="AG33" s="61"/>
    </row>
    <row r="34" hidden="1" customHeight="1" spans="1:33">
      <c r="A34" s="21">
        <v>10252106</v>
      </c>
      <c r="B34" s="21" t="s">
        <v>43</v>
      </c>
      <c r="C34" s="21" t="s">
        <v>20</v>
      </c>
      <c r="D34" s="21" t="s">
        <v>21</v>
      </c>
      <c r="E34" s="54" t="str">
        <f t="array" ref="E34">_xlfn.XLOOKUP(A34,'Schedule Wk 47'!A:A,'Schedule Wk 47'!E:E,"")</f>
        <v>FT</v>
      </c>
      <c r="F34" s="103">
        <f t="array" ref="F34">_xlfn.XLOOKUP(A34,'Schedule Wk 47'!A:A,'Schedule Wk 47'!F:F,"")</f>
        <v>2</v>
      </c>
      <c r="G34" s="21" t="s">
        <v>23</v>
      </c>
      <c r="H34" s="21" t="s">
        <v>23</v>
      </c>
      <c r="I34" s="54">
        <v>0.375</v>
      </c>
      <c r="J34" s="54">
        <v>0.75</v>
      </c>
      <c r="K34" s="21" t="s">
        <v>23</v>
      </c>
      <c r="L34" s="21" t="s">
        <v>23</v>
      </c>
      <c r="M34" s="54">
        <v>0.375</v>
      </c>
      <c r="N34" s="54">
        <v>0.75</v>
      </c>
      <c r="O34" s="54">
        <v>0.375</v>
      </c>
      <c r="P34" s="54">
        <v>0.75</v>
      </c>
      <c r="Q34" s="54">
        <v>0.458333333333333</v>
      </c>
      <c r="R34" s="54">
        <v>0.666666666666667</v>
      </c>
      <c r="S34" s="54">
        <v>0.458333333333333</v>
      </c>
      <c r="T34" s="54">
        <v>0.666666666666667</v>
      </c>
      <c r="U34" s="21">
        <f>IFERROR(__xludf.DUMMYFUNCTION("TO_PURE_NUMBER(SUM(FILTER(G34:T34, ISEVEN(COLUMN(G34:T34))))-SUM(FILTER(G34:T34, ISODD(COLUMN(G34:T34)))))*24"),37)</f>
        <v>37</v>
      </c>
      <c r="V34" s="17">
        <f t="array" ref="V34">_xlfn.XLOOKUP(A34,'WK 47'!A:A,'WK 47'!V:V,"")</f>
        <v>37</v>
      </c>
      <c r="W34" s="17" t="str">
        <f t="array" ref="W34">_xlfn.XLOOKUP(A34,'WK 47'!A:A,'WK 47'!AA:AA,"")</f>
        <v>early</v>
      </c>
      <c r="X34" s="7">
        <f t="shared" si="4"/>
        <v>0</v>
      </c>
      <c r="Y34" s="20">
        <v>0.375</v>
      </c>
      <c r="Z34" s="61"/>
      <c r="AA34" s="61"/>
      <c r="AB34" s="61"/>
      <c r="AC34" s="61"/>
      <c r="AD34" s="61"/>
      <c r="AE34" s="61"/>
      <c r="AF34" s="61"/>
      <c r="AG34" s="61"/>
    </row>
    <row r="35" hidden="1" customHeight="1" spans="1:33">
      <c r="A35" s="21">
        <v>10317153</v>
      </c>
      <c r="B35" s="21" t="s">
        <v>42</v>
      </c>
      <c r="C35" s="21" t="s">
        <v>20</v>
      </c>
      <c r="D35" s="21" t="s">
        <v>21</v>
      </c>
      <c r="E35" s="54" t="str">
        <f t="array" ref="E35">_xlfn.XLOOKUP(A35,'Schedule Wk 47'!A:A,'Schedule Wk 47'!E:E,"")</f>
        <v>FT</v>
      </c>
      <c r="F35" s="103">
        <f t="array" ref="F35">_xlfn.XLOOKUP(A35,'Schedule Wk 47'!A:A,'Schedule Wk 47'!F:F,"")</f>
        <v>1</v>
      </c>
      <c r="G35" s="21" t="s">
        <v>23</v>
      </c>
      <c r="H35" s="21" t="s">
        <v>23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0.791666666666667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ISODD(COLUMN(G35:T35)))))*24"),41.9999999999999)</f>
        <v>41.9999999999999</v>
      </c>
      <c r="V35" s="17">
        <f t="array" ref="V35">_xlfn.XLOOKUP(A35,'WK 47'!A:A,'WK 47'!V:V,"")</f>
        <v>45</v>
      </c>
      <c r="W35" s="17" t="str">
        <f t="array" ref="W35">_xlfn.XLOOKUP(A35,'WK 47'!A:A,'WK 47'!AA:AA,"")</f>
        <v>early</v>
      </c>
      <c r="X35" s="7">
        <f t="shared" si="4"/>
        <v>3.0000000000001</v>
      </c>
      <c r="Y35" s="20">
        <v>0.416666666666667</v>
      </c>
      <c r="Z35" s="61"/>
      <c r="AA35" s="61"/>
      <c r="AB35" s="61"/>
      <c r="AC35" s="61"/>
      <c r="AD35" s="61"/>
      <c r="AE35" s="61"/>
      <c r="AF35" s="61"/>
      <c r="AG35" s="61"/>
    </row>
    <row r="36" customHeight="1" spans="1:33">
      <c r="A36" s="21">
        <v>10316543</v>
      </c>
      <c r="B36" s="21" t="s">
        <v>41</v>
      </c>
      <c r="C36" s="21" t="s">
        <v>20</v>
      </c>
      <c r="D36" s="21" t="s">
        <v>21</v>
      </c>
      <c r="E36" s="54" t="str">
        <f t="array" ref="E36">_xlfn.XLOOKUP(A36,'Schedule Wk 47'!A:A,'Schedule Wk 47'!E:E,"")</f>
        <v>FT</v>
      </c>
      <c r="F36" s="103">
        <f t="array" ref="F36">_xlfn.XLOOKUP(A36,'Schedule Wk 47'!A:A,'Schedule Wk 47'!F:F,"")</f>
        <v>1</v>
      </c>
      <c r="G36" s="54">
        <v>0.458333333333333</v>
      </c>
      <c r="H36" s="54">
        <v>0.875</v>
      </c>
      <c r="I36" s="54">
        <v>0.458333333333333</v>
      </c>
      <c r="J36" s="54">
        <v>0.875</v>
      </c>
      <c r="K36" s="54">
        <v>0.458333333333333</v>
      </c>
      <c r="L36" s="54">
        <v>0.875</v>
      </c>
      <c r="M36" s="54">
        <v>0.458333333333333</v>
      </c>
      <c r="N36" s="54">
        <v>0.875</v>
      </c>
      <c r="O36" s="21" t="s">
        <v>23</v>
      </c>
      <c r="P36" s="21" t="s">
        <v>23</v>
      </c>
      <c r="Q36" s="21" t="s">
        <v>23</v>
      </c>
      <c r="R36" s="21" t="s">
        <v>23</v>
      </c>
      <c r="S36" s="54">
        <v>0.458333333333333</v>
      </c>
      <c r="T36" s="54">
        <v>0.666666666666667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17" t="str">
        <f t="array" ref="W36">_xlfn.XLOOKUP(A36,'WK 47'!A:A,'WK 47'!AA:AA,"")</f>
        <v>late</v>
      </c>
      <c r="X36" s="7">
        <f t="shared" si="4"/>
        <v>0</v>
      </c>
      <c r="Y36" s="20">
        <v>0.416666666666667</v>
      </c>
      <c r="Z36" s="61"/>
      <c r="AA36" s="61"/>
      <c r="AB36" s="61"/>
      <c r="AC36" s="61"/>
      <c r="AD36" s="61"/>
      <c r="AE36" s="61"/>
      <c r="AF36" s="61"/>
      <c r="AG36" s="61"/>
    </row>
    <row r="37" customHeight="1" spans="1:33">
      <c r="A37" s="21">
        <v>10250966</v>
      </c>
      <c r="B37" s="181" t="s">
        <v>61</v>
      </c>
      <c r="C37" s="21" t="s">
        <v>20</v>
      </c>
      <c r="D37" s="21" t="s">
        <v>21</v>
      </c>
      <c r="E37" s="54" t="str">
        <f t="array" ref="E37">_xlfn.XLOOKUP(A37,'Schedule Wk 47'!A:A,'Schedule Wk 47'!E:E,"")</f>
        <v>FT</v>
      </c>
      <c r="F37" s="103">
        <f t="array" ref="F37">_xlfn.XLOOKUP(A37,'Schedule Wk 47'!A:A,'Schedule Wk 47'!F:F,"")</f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17" t="str">
        <f t="array" ref="W37">_xlfn.XLOOKUP(A37,'WK 47'!A:A,'WK 47'!AA:AA,"")</f>
        <v>early</v>
      </c>
      <c r="X37" s="7">
        <f t="shared" si="4"/>
        <v>0</v>
      </c>
      <c r="Y37" s="20">
        <v>0.416666666666667</v>
      </c>
      <c r="Z37" s="61"/>
      <c r="AA37" s="61"/>
      <c r="AB37" s="61"/>
      <c r="AC37" s="61"/>
      <c r="AD37" s="61"/>
      <c r="AE37" s="61"/>
      <c r="AF37" s="61"/>
      <c r="AG37" s="61"/>
    </row>
    <row r="38" customHeight="1" spans="1:33">
      <c r="A38" s="21">
        <v>10317943</v>
      </c>
      <c r="B38" s="21" t="s">
        <v>27</v>
      </c>
      <c r="C38" s="21" t="s">
        <v>20</v>
      </c>
      <c r="D38" s="21" t="s">
        <v>21</v>
      </c>
      <c r="E38" s="54" t="str">
        <f t="array" ref="E38">_xlfn.XLOOKUP(A38,'Schedule Wk 47'!A:A,'Schedule Wk 47'!E:E,"")</f>
        <v>FT</v>
      </c>
      <c r="F38" s="103">
        <f t="array" ref="F38">_xlfn.XLOOKUP(A38,'Schedule Wk 47'!A:A,'Schedule Wk 47'!F:F,"")</f>
        <v>2</v>
      </c>
      <c r="G38" s="54">
        <v>0.458333333333333</v>
      </c>
      <c r="H38" s="54">
        <v>0.875</v>
      </c>
      <c r="I38" s="54">
        <v>0.458333333333333</v>
      </c>
      <c r="J38" s="54">
        <v>0.875</v>
      </c>
      <c r="K38" s="54">
        <v>0.458333333333333</v>
      </c>
      <c r="L38" s="54">
        <v>0.875</v>
      </c>
      <c r="M38" s="54">
        <v>0.458333333333333</v>
      </c>
      <c r="N38" s="54">
        <v>0.875</v>
      </c>
      <c r="O38" s="21" t="s">
        <v>23</v>
      </c>
      <c r="P38" s="21" t="s">
        <v>23</v>
      </c>
      <c r="Q38" s="21" t="s">
        <v>23</v>
      </c>
      <c r="R38" s="21" t="s">
        <v>23</v>
      </c>
      <c r="S38" s="54">
        <v>0.458333333333333</v>
      </c>
      <c r="T38" s="54">
        <v>0.666666666666667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17" t="str">
        <f t="array" ref="W38">_xlfn.XLOOKUP(A38,'WK 47'!A:A,'WK 47'!AA:AA,"")</f>
        <v>early</v>
      </c>
      <c r="X38" s="7">
        <f t="shared" si="4"/>
        <v>0</v>
      </c>
      <c r="Y38" s="20">
        <v>0.416666666666667</v>
      </c>
      <c r="Z38" s="61"/>
      <c r="AA38" s="61"/>
      <c r="AB38" s="61"/>
      <c r="AC38" s="61"/>
      <c r="AD38" s="61"/>
      <c r="AE38" s="61"/>
      <c r="AF38" s="61"/>
      <c r="AG38" s="61"/>
    </row>
    <row r="39" customHeight="1" spans="1:33">
      <c r="A39" s="21">
        <v>10316530</v>
      </c>
      <c r="B39" s="21" t="s">
        <v>26</v>
      </c>
      <c r="C39" s="21" t="s">
        <v>20</v>
      </c>
      <c r="D39" s="21" t="s">
        <v>21</v>
      </c>
      <c r="E39" s="54" t="str">
        <f t="array" ref="E39">_xlfn.XLOOKUP(A39,'Schedule Wk 47'!A:A,'Schedule Wk 47'!E:E,"")</f>
        <v>FT</v>
      </c>
      <c r="F39" s="103">
        <f t="array" ref="F39">_xlfn.XLOOKUP(A39,'Schedule Wk 47'!A:A,'Schedule Wk 47'!F:F,"")</f>
        <v>1</v>
      </c>
      <c r="G39" s="21" t="s">
        <v>23</v>
      </c>
      <c r="H39" s="21" t="s">
        <v>23</v>
      </c>
      <c r="I39" s="54">
        <v>0.458333333333333</v>
      </c>
      <c r="J39" s="54">
        <v>0.875</v>
      </c>
      <c r="K39" s="54">
        <v>0.458333333333333</v>
      </c>
      <c r="L39" s="54">
        <v>0.875</v>
      </c>
      <c r="M39" s="54">
        <v>0.458333333333333</v>
      </c>
      <c r="N39" s="54">
        <v>0.875</v>
      </c>
      <c r="O39" s="54">
        <v>0.458333333333333</v>
      </c>
      <c r="P39" s="54"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17" t="str">
        <f t="array" ref="W39">_xlfn.XLOOKUP(A39,'WK 47'!A:A,'WK 47'!AA:AA,"")</f>
        <v>late</v>
      </c>
      <c r="X39" s="7">
        <f t="shared" si="4"/>
        <v>0</v>
      </c>
      <c r="Y39" s="20">
        <v>0.416666666666667</v>
      </c>
      <c r="Z39" s="61"/>
      <c r="AA39" s="61"/>
      <c r="AB39" s="61"/>
      <c r="AC39" s="61"/>
      <c r="AD39" s="61"/>
      <c r="AE39" s="61"/>
      <c r="AF39" s="61"/>
      <c r="AG39" s="61"/>
    </row>
    <row r="40" hidden="1" customHeight="1" spans="1:33">
      <c r="A40" s="21">
        <v>10316681</v>
      </c>
      <c r="B40" s="86" t="s">
        <v>38</v>
      </c>
      <c r="C40" s="21" t="s">
        <v>89</v>
      </c>
      <c r="D40" s="21" t="s">
        <v>21</v>
      </c>
      <c r="E40" s="54" t="str">
        <f t="array" ref="E40">_xlfn.XLOOKUP(A40,'Schedule Wk 47'!A:A,'Schedule Wk 47'!E:E,"")</f>
        <v>FT</v>
      </c>
      <c r="F40" s="103">
        <f t="array" ref="F40">_xlfn.XLOOKUP(A40,'Schedule Wk 47'!A:A,'Schedule Wk 47'!F:F,"")</f>
        <v>1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17" t="str">
        <f t="array" ref="W40">_xlfn.XLOOKUP(A40,'WK 47'!A:A,'WK 47'!AA:AA,"")</f>
        <v>early</v>
      </c>
      <c r="X40" s="7">
        <f t="shared" si="4"/>
        <v>0</v>
      </c>
      <c r="Y40" s="20">
        <f t="array" ref="Y40">_xlfn.XLOOKUP(A40,'WK 45'!A:A,'WK 45'!X:X,"")</f>
        <v>0.375</v>
      </c>
      <c r="Z40" s="61"/>
      <c r="AA40" s="61"/>
      <c r="AB40" s="61"/>
      <c r="AC40" s="61"/>
      <c r="AD40" s="61"/>
      <c r="AE40" s="61"/>
      <c r="AF40" s="61"/>
      <c r="AG40" s="61"/>
    </row>
    <row r="41" customHeight="1" spans="1:33">
      <c r="A41" s="21">
        <v>10320414</v>
      </c>
      <c r="B41" s="21" t="s">
        <v>62</v>
      </c>
      <c r="C41" s="21" t="s">
        <v>20</v>
      </c>
      <c r="D41" s="21" t="s">
        <v>21</v>
      </c>
      <c r="E41" s="54" t="str">
        <f t="array" ref="E41">_xlfn.XLOOKUP(A41,'Schedule Wk 47'!A:A,'Schedule Wk 47'!E:E,"")</f>
        <v>FT</v>
      </c>
      <c r="F41" s="103">
        <f t="array" ref="F41">_xlfn.XLOOKUP(A41,'Schedule Wk 47'!A:A,'Schedule Wk 47'!F:F,"")</f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f>IFERROR(__xludf.DUMMYFUNCTION("TO_PURE_NUMBER(SUM(FILTER(G41:T41, ISEVEN(COLUMN(G41:T41))))-SUM(FILTER(G41:T41, ISODD(COLUMN(G41:T41)))))*24"),45)</f>
        <v>45</v>
      </c>
      <c r="V41" s="17">
        <f t="array" ref="V41">_xlfn.XLOOKUP(A41,'WK 47'!A:A,'WK 47'!V:V,"")</f>
        <v>45</v>
      </c>
      <c r="W41" s="17" t="str">
        <f t="array" ref="W41">_xlfn.XLOOKUP(A41,'WK 47'!A:A,'WK 47'!AA:AA,"")</f>
        <v>early</v>
      </c>
      <c r="X41" s="7">
        <f t="shared" si="4"/>
        <v>0</v>
      </c>
      <c r="Y41" s="20">
        <v>0.416666666666667</v>
      </c>
      <c r="Z41" s="61"/>
      <c r="AA41" s="61"/>
      <c r="AB41" s="61"/>
      <c r="AC41" s="61"/>
      <c r="AD41" s="61"/>
      <c r="AE41" s="61"/>
      <c r="AF41" s="61"/>
      <c r="AG41" s="61"/>
    </row>
    <row r="42" hidden="1" customHeight="1" spans="1:33">
      <c r="A42" s="21">
        <v>10295555</v>
      </c>
      <c r="B42" s="21" t="s">
        <v>34</v>
      </c>
      <c r="C42" s="21" t="s">
        <v>20</v>
      </c>
      <c r="D42" s="21" t="s">
        <v>21</v>
      </c>
      <c r="E42" s="54" t="str">
        <f t="array" ref="E42">_xlfn.XLOOKUP(A42,'Schedule Wk 47'!A:A,'Schedule Wk 47'!E:E,"")</f>
        <v>PT</v>
      </c>
      <c r="F42" s="103">
        <f t="array" ref="F42">_xlfn.XLOOKUP(A42,'Schedule Wk 47'!A:A,'Schedule Wk 47'!F:F,"")</f>
        <v>2</v>
      </c>
      <c r="G42" s="54">
        <v>0.375</v>
      </c>
      <c r="H42" s="54">
        <v>0.583333333333333</v>
      </c>
      <c r="I42" s="54">
        <v>0.375</v>
      </c>
      <c r="J42" s="54">
        <v>0.583333333333333</v>
      </c>
      <c r="K42" s="54">
        <v>0.375</v>
      </c>
      <c r="L42" s="54">
        <v>0.583333333333333</v>
      </c>
      <c r="M42" s="21" t="s">
        <v>23</v>
      </c>
      <c r="N42" s="21" t="s">
        <v>23</v>
      </c>
      <c r="O42" s="21" t="s">
        <v>23</v>
      </c>
      <c r="P42" s="21" t="s">
        <v>23</v>
      </c>
      <c r="Q42" s="54">
        <v>0.458333333333333</v>
      </c>
      <c r="R42" s="54">
        <v>0.666666666666667</v>
      </c>
      <c r="S42" s="54">
        <v>0.458333333333333</v>
      </c>
      <c r="T42" s="54">
        <v>0.666666666666667</v>
      </c>
      <c r="U42" s="21">
        <f>IFERROR(__xludf.DUMMYFUNCTION("TO_PURE_NUMBER(SUM(FILTER(G42:T42, ISEVEN(COLUMN(G42:T42))))-SUM(FILTER(G42:T42, ISODD(COLUMN(G42:T42)))))*24"),24.9999999999999)</f>
        <v>24.9999999999999</v>
      </c>
      <c r="V42" s="17">
        <f t="array" ref="V42">_xlfn.XLOOKUP(A42,'WK 47'!A:A,'WK 47'!V:V,"")</f>
        <v>25</v>
      </c>
      <c r="W42" s="17" t="str">
        <f t="array" ref="W42">_xlfn.XLOOKUP(A42,'WK 47'!A:A,'WK 47'!AA:AA,"")</f>
        <v/>
      </c>
      <c r="X42" s="17">
        <f t="shared" si="4"/>
        <v>9.9475983006414e-14</v>
      </c>
      <c r="Y42" s="20">
        <f t="array" ref="Y42">_xlfn.XLOOKUP(A42,'WK 45'!A:A,'WK 45'!X:X,"")</f>
        <v>0.208333333333333</v>
      </c>
      <c r="Z42" s="61"/>
      <c r="AA42" s="61"/>
      <c r="AB42" s="61"/>
      <c r="AC42" s="61"/>
      <c r="AD42" s="61"/>
      <c r="AE42" s="61"/>
      <c r="AF42" s="61"/>
      <c r="AG42" s="61"/>
    </row>
    <row r="43" customHeight="1" spans="1:33">
      <c r="A43" s="21">
        <v>10250963</v>
      </c>
      <c r="B43" s="21" t="s">
        <v>25</v>
      </c>
      <c r="C43" s="21" t="s">
        <v>20</v>
      </c>
      <c r="D43" s="21" t="s">
        <v>21</v>
      </c>
      <c r="E43" s="54" t="str">
        <f t="array" ref="E43">_xlfn.XLOOKUP(A43,'Schedule Wk 47'!A:A,'Schedule Wk 47'!E:E,"")</f>
        <v>FT</v>
      </c>
      <c r="F43" s="103">
        <f t="array" ref="F43">_xlfn.XLOOKUP(A43,'Schedule Wk 47'!A:A,'Schedule Wk 47'!F:F,"")</f>
        <v>1</v>
      </c>
      <c r="G43" s="21" t="s">
        <v>23</v>
      </c>
      <c r="H43" s="21" t="s">
        <v>23</v>
      </c>
      <c r="I43" s="54">
        <v>0.458333333333333</v>
      </c>
      <c r="J43" s="54">
        <v>0.875</v>
      </c>
      <c r="K43" s="54">
        <v>0.458333333333333</v>
      </c>
      <c r="L43" s="54">
        <v>0.875</v>
      </c>
      <c r="M43" s="54">
        <v>0.458333333333333</v>
      </c>
      <c r="N43" s="54">
        <v>0.875</v>
      </c>
      <c r="O43" s="54">
        <v>0.458333333333333</v>
      </c>
      <c r="P43" s="54"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17" t="str">
        <f t="array" ref="W43">_xlfn.XLOOKUP(A43,'WK 47'!A:A,'WK 47'!AA:AA,"")</f>
        <v>late</v>
      </c>
      <c r="X43" s="7">
        <f t="shared" si="4"/>
        <v>0</v>
      </c>
      <c r="Y43" s="20">
        <v>0.416666666666667</v>
      </c>
      <c r="Z43" s="61"/>
      <c r="AA43" s="61"/>
      <c r="AB43" s="61"/>
      <c r="AC43" s="61"/>
      <c r="AD43" s="61"/>
      <c r="AE43" s="61"/>
      <c r="AF43" s="61"/>
      <c r="AG43" s="61"/>
    </row>
    <row r="44" hidden="1" customHeight="1" spans="1:33">
      <c r="A44" s="21">
        <v>10316618</v>
      </c>
      <c r="B44" s="86" t="s">
        <v>33</v>
      </c>
      <c r="C44" s="21" t="s">
        <v>20</v>
      </c>
      <c r="D44" s="21" t="s">
        <v>86</v>
      </c>
      <c r="E44" s="54" t="str">
        <f t="array" ref="E44">_xlfn.XLOOKUP(A44,'Schedule Wk 47'!A:A,'Schedule Wk 47'!E:E,"")</f>
        <v>FT</v>
      </c>
      <c r="F44" s="103">
        <f t="array" ref="F44">_xlfn.XLOOKUP(A44,'Schedule Wk 47'!A:A,'Schedule Wk 47'!F:F,"")</f>
        <v>1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114" t="s">
        <v>23</v>
      </c>
      <c r="R44" s="114" t="s">
        <v>23</v>
      </c>
      <c r="S44" s="114" t="s">
        <v>23</v>
      </c>
      <c r="T44" s="114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17" t="str">
        <f t="array" ref="W44">_xlfn.XLOOKUP(A44,'WK 47'!A:A,'WK 47'!AA:AA,"")</f>
        <v>late</v>
      </c>
      <c r="X44" s="7">
        <f t="shared" si="4"/>
        <v>0</v>
      </c>
      <c r="Y44" s="20">
        <f t="array" ref="Y44">_xlfn.XLOOKUP(A44,'WK 45'!A:A,'WK 45'!X:X,"")</f>
        <v>0.416666666666667</v>
      </c>
      <c r="Z44" s="61"/>
      <c r="AA44" s="61"/>
      <c r="AB44" s="61"/>
      <c r="AC44" s="61"/>
      <c r="AD44" s="61"/>
      <c r="AE44" s="61"/>
      <c r="AF44" s="61"/>
      <c r="AG44" s="61"/>
    </row>
    <row r="45" customHeight="1" spans="1:33">
      <c r="A45" s="21">
        <v>10320418</v>
      </c>
      <c r="B45" s="21" t="s">
        <v>68</v>
      </c>
      <c r="C45" s="21" t="s">
        <v>20</v>
      </c>
      <c r="D45" s="21" t="s">
        <v>21</v>
      </c>
      <c r="E45" s="54" t="str">
        <f t="array" ref="E45">_xlfn.XLOOKUP(A45,'Schedule Wk 47'!A:A,'Schedule Wk 47'!E:E,"")</f>
        <v>FT</v>
      </c>
      <c r="F45" s="103">
        <f t="array" ref="F45">_xlfn.XLOOKUP(A45,'Schedule Wk 47'!A:A,'Schedule Wk 47'!F:F,"")</f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17" t="str">
        <f t="array" ref="W45">_xlfn.XLOOKUP(A45,'WK 47'!A:A,'WK 47'!AA:AA,"")</f>
        <v>early</v>
      </c>
      <c r="X45" s="7">
        <f t="shared" si="4"/>
        <v>0</v>
      </c>
      <c r="Y45" s="20">
        <v>0.416666666666667</v>
      </c>
      <c r="Z45" s="61"/>
      <c r="AA45" s="61"/>
      <c r="AB45" s="61"/>
      <c r="AC45" s="61"/>
      <c r="AD45" s="61"/>
      <c r="AE45" s="61"/>
      <c r="AF45" s="61"/>
      <c r="AG45" s="61"/>
    </row>
    <row r="46" customHeight="1" spans="1:33">
      <c r="A46" s="21">
        <v>10320412</v>
      </c>
      <c r="B46" s="21" t="s">
        <v>59</v>
      </c>
      <c r="C46" s="21" t="s">
        <v>20</v>
      </c>
      <c r="D46" s="21" t="s">
        <v>21</v>
      </c>
      <c r="E46" s="54" t="str">
        <f t="array" ref="E46">_xlfn.XLOOKUP(A46,'Schedule Wk 47'!A:A,'Schedule Wk 47'!E:E,"")</f>
        <v>FT</v>
      </c>
      <c r="F46" s="103">
        <f t="array" ref="F46">_xlfn.XLOOKUP(A46,'Schedule Wk 47'!A:A,'Schedule Wk 47'!F:F,"")</f>
        <v>3</v>
      </c>
      <c r="G46" s="54">
        <v>0.5</v>
      </c>
      <c r="H46" s="54">
        <v>0.875</v>
      </c>
      <c r="I46" s="54">
        <v>0.5</v>
      </c>
      <c r="J46" s="54">
        <v>0.875</v>
      </c>
      <c r="K46" s="54">
        <v>0.5</v>
      </c>
      <c r="L46" s="54">
        <v>0.875</v>
      </c>
      <c r="M46" s="54">
        <v>0.5</v>
      </c>
      <c r="N46" s="54">
        <v>0.875</v>
      </c>
      <c r="O46" s="54">
        <v>0.5</v>
      </c>
      <c r="P46" s="54">
        <v>0.875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17" t="str">
        <f t="array" ref="W46">_xlfn.XLOOKUP(A46,'WK 47'!A:A,'WK 47'!AA:AA,"")</f>
        <v>early</v>
      </c>
      <c r="X46" s="7">
        <f t="shared" si="4"/>
        <v>0</v>
      </c>
      <c r="Y46" s="20">
        <v>0.375</v>
      </c>
      <c r="Z46" s="61"/>
      <c r="AA46" s="61"/>
      <c r="AB46" s="61"/>
      <c r="AC46" s="61"/>
      <c r="AD46" s="61"/>
      <c r="AE46" s="61"/>
      <c r="AF46" s="61"/>
      <c r="AG46" s="61"/>
    </row>
    <row r="47" hidden="1" customHeight="1" spans="1:33">
      <c r="A47" s="21">
        <v>10272259</v>
      </c>
      <c r="B47" s="21" t="s">
        <v>32</v>
      </c>
      <c r="C47" s="21" t="s">
        <v>20</v>
      </c>
      <c r="D47" s="21" t="s">
        <v>21</v>
      </c>
      <c r="E47" s="54" t="str">
        <f t="array" ref="E47">_xlfn.XLOOKUP(A47,'Schedule Wk 47'!A:A,'Schedule Wk 47'!E:E,"")</f>
        <v>FT</v>
      </c>
      <c r="F47" s="103">
        <f t="array" ref="F47">_xlfn.XLOOKUP(A47,'Schedule Wk 47'!A:A,'Schedule Wk 47'!F:F,"")</f>
        <v>2</v>
      </c>
      <c r="G47" s="54">
        <v>0.5</v>
      </c>
      <c r="H47" s="54">
        <v>0.875</v>
      </c>
      <c r="I47" s="21" t="s">
        <v>23</v>
      </c>
      <c r="J47" s="21" t="s">
        <v>23</v>
      </c>
      <c r="K47" s="21" t="s">
        <v>23</v>
      </c>
      <c r="L47" s="21" t="s">
        <v>23</v>
      </c>
      <c r="M47" s="54">
        <v>0.5</v>
      </c>
      <c r="N47" s="54">
        <v>0.875</v>
      </c>
      <c r="O47" s="54">
        <v>0.5</v>
      </c>
      <c r="P47" s="54">
        <v>0.875</v>
      </c>
      <c r="Q47" s="54">
        <v>0.458333333333333</v>
      </c>
      <c r="R47" s="54">
        <v>0.666666666666667</v>
      </c>
      <c r="S47" s="54">
        <v>0.458333333333333</v>
      </c>
      <c r="T47" s="54">
        <v>0.666666666666667</v>
      </c>
      <c r="U47" s="21">
        <f>IFERROR(__xludf.DUMMYFUNCTION("TO_PURE_NUMBER(SUM(FILTER(G47:T47, ISEVEN(COLUMN(G47:T47))))-SUM(FILTER(G47:T47, ISODD(COLUMN(G47:T47)))))*24"),37)</f>
        <v>37</v>
      </c>
      <c r="V47" s="17">
        <f t="array" ref="V47">_xlfn.XLOOKUP(A47,'WK 47'!A:A,'WK 47'!V:V,"")</f>
        <v>37</v>
      </c>
      <c r="W47" s="17" t="str">
        <f t="array" ref="W47">_xlfn.XLOOKUP(A47,'WK 47'!A:A,'WK 47'!AA:AA,"")</f>
        <v/>
      </c>
      <c r="X47" s="7">
        <f t="shared" si="4"/>
        <v>0</v>
      </c>
      <c r="Y47" s="20">
        <v>0.416666666666667</v>
      </c>
      <c r="Z47" s="61"/>
      <c r="AA47" s="61"/>
      <c r="AB47" s="61"/>
      <c r="AC47" s="61"/>
      <c r="AD47" s="61"/>
      <c r="AE47" s="61"/>
      <c r="AF47" s="61"/>
      <c r="AG47" s="61"/>
    </row>
    <row r="48" customHeight="1" spans="1:33">
      <c r="A48" s="21">
        <v>10320408</v>
      </c>
      <c r="B48" s="21" t="s">
        <v>56</v>
      </c>
      <c r="C48" s="21" t="s">
        <v>20</v>
      </c>
      <c r="D48" s="21" t="s">
        <v>21</v>
      </c>
      <c r="E48" s="54" t="str">
        <f t="array" ref="E48">_xlfn.XLOOKUP(A48,'Schedule Wk 47'!A:A,'Schedule Wk 47'!E:E,"")</f>
        <v>FT</v>
      </c>
      <c r="F48" s="103">
        <f t="array" ref="F48">_xlfn.XLOOKUP(A48,'Schedule Wk 47'!A:A,'Schedule Wk 47'!F:F,"")</f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f>IFERROR(__xludf.DUMMYFUNCTION("TO_PURE_NUMBER(SUM(FILTER(G48:T48, ISEVEN(COLUMN(G48:T48))))-SUM(FILTER(G48:T48, ISODD(COLUMN(G48:T48)))))*24"),45)</f>
        <v>45</v>
      </c>
      <c r="V48" s="17">
        <f t="array" ref="V48">_xlfn.XLOOKUP(A48,'WK 47'!A:A,'WK 47'!V:V,"")</f>
        <v>45</v>
      </c>
      <c r="W48" s="17" t="str">
        <f t="array" ref="W48">_xlfn.XLOOKUP(A48,'WK 47'!A:A,'WK 47'!AA:AA,"")</f>
        <v>early</v>
      </c>
      <c r="X48" s="7">
        <f t="shared" si="4"/>
        <v>0</v>
      </c>
      <c r="Y48" s="20">
        <v>0.416666666666667</v>
      </c>
      <c r="Z48" s="61"/>
      <c r="AA48" s="61"/>
      <c r="AB48" s="61"/>
      <c r="AC48" s="61"/>
      <c r="AD48" s="61"/>
      <c r="AE48" s="61"/>
      <c r="AF48" s="61"/>
      <c r="AG48" s="61"/>
    </row>
    <row r="49" hidden="1" customHeight="1" spans="1:33">
      <c r="A49" s="21">
        <v>10316549</v>
      </c>
      <c r="B49" s="86" t="s">
        <v>19</v>
      </c>
      <c r="C49" s="21" t="s">
        <v>20</v>
      </c>
      <c r="D49" s="21" t="s">
        <v>86</v>
      </c>
      <c r="E49" s="54" t="str">
        <f t="array" ref="E49">_xlfn.XLOOKUP(A49,'Schedule Wk 47'!A:A,'Schedule Wk 47'!E:E,"")</f>
        <v>FT</v>
      </c>
      <c r="F49" s="103">
        <f t="array" ref="F49">_xlfn.XLOOKUP(A49,'Schedule Wk 47'!A:A,'Schedule Wk 47'!F:F,"")</f>
        <v>1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114" t="s">
        <v>23</v>
      </c>
      <c r="R49" s="114" t="s">
        <v>23</v>
      </c>
      <c r="S49" s="114" t="s">
        <v>23</v>
      </c>
      <c r="T49" s="114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17" t="str">
        <f t="array" ref="W49">_xlfn.XLOOKUP(A49,'WK 47'!A:A,'WK 47'!AA:AA,"")</f>
        <v>late</v>
      </c>
      <c r="X49" s="7">
        <f t="shared" si="4"/>
        <v>0</v>
      </c>
      <c r="Y49" s="20">
        <f t="array" ref="Y49">_xlfn.XLOOKUP(A49,'WK 45'!A:A,'WK 45'!X:X,"")</f>
        <v>0.416666666666667</v>
      </c>
      <c r="Z49" s="61"/>
      <c r="AA49" s="61"/>
      <c r="AB49" s="61"/>
      <c r="AC49" s="61"/>
      <c r="AD49" s="61"/>
      <c r="AE49" s="61"/>
      <c r="AF49" s="61"/>
      <c r="AG49" s="61"/>
    </row>
    <row r="50" customHeight="1" spans="1:33">
      <c r="A50" s="21">
        <v>10320415</v>
      </c>
      <c r="B50" s="21" t="s">
        <v>63</v>
      </c>
      <c r="C50" s="21" t="s">
        <v>20</v>
      </c>
      <c r="D50" s="21" t="s">
        <v>21</v>
      </c>
      <c r="E50" s="54" t="str">
        <f t="array" ref="E50">_xlfn.XLOOKUP(A50,'Schedule Wk 47'!A:A,'Schedule Wk 47'!E:E,"")</f>
        <v>FT</v>
      </c>
      <c r="F50" s="103">
        <f t="array" ref="F50">_xlfn.XLOOKUP(A50,'Schedule Wk 47'!A:A,'Schedule Wk 47'!F:F,"")</f>
        <v>3</v>
      </c>
      <c r="G50" s="54">
        <v>0.5</v>
      </c>
      <c r="H50" s="54">
        <v>0.875</v>
      </c>
      <c r="I50" s="54">
        <v>0.5</v>
      </c>
      <c r="J50" s="54">
        <v>0.875</v>
      </c>
      <c r="K50" s="54">
        <v>0.5</v>
      </c>
      <c r="L50" s="54">
        <v>0.875</v>
      </c>
      <c r="M50" s="54">
        <v>0.5</v>
      </c>
      <c r="N50" s="54">
        <v>0.875</v>
      </c>
      <c r="O50" s="54">
        <v>0.5</v>
      </c>
      <c r="P50" s="54">
        <v>0.875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17" t="str">
        <f t="array" ref="W50">_xlfn.XLOOKUP(A50,'WK 47'!A:A,'WK 47'!AA:AA,"")</f>
        <v>early</v>
      </c>
      <c r="X50" s="7">
        <f t="shared" si="4"/>
        <v>0</v>
      </c>
      <c r="Y50" s="20">
        <v>0.416666666666667</v>
      </c>
      <c r="Z50" s="61"/>
      <c r="AA50" s="61"/>
      <c r="AB50" s="61"/>
      <c r="AC50" s="61"/>
      <c r="AD50" s="61"/>
      <c r="AE50" s="61"/>
      <c r="AF50" s="61"/>
      <c r="AG50" s="61"/>
    </row>
    <row r="51" customHeight="1" spans="1:33">
      <c r="A51" s="21">
        <v>10320410</v>
      </c>
      <c r="B51" s="21" t="s">
        <v>58</v>
      </c>
      <c r="C51" s="21" t="s">
        <v>20</v>
      </c>
      <c r="D51" s="21" t="s">
        <v>21</v>
      </c>
      <c r="E51" s="54" t="str">
        <f t="array" ref="E51">_xlfn.XLOOKUP(A51,'Schedule Wk 47'!A:A,'Schedule Wk 47'!E:E,"")</f>
        <v>FT</v>
      </c>
      <c r="F51" s="103">
        <f t="array" ref="F51">_xlfn.XLOOKUP(A51,'Schedule Wk 47'!A:A,'Schedule Wk 47'!F:F,"")</f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f>IFERROR(__xludf.DUMMYFUNCTION("TO_PURE_NUMBER(SUM(FILTER(G51:T51, ISEVEN(COLUMN(G51:T51))))-SUM(FILTER(G51:T51, ISODD(COLUMN(G51:T51)))))*24"),45)</f>
        <v>45</v>
      </c>
      <c r="V51" s="17">
        <f t="array" ref="V51">_xlfn.XLOOKUP(A51,'WK 47'!A:A,'WK 47'!V:V,"")</f>
        <v>45</v>
      </c>
      <c r="W51" s="17" t="str">
        <f t="array" ref="W51">_xlfn.XLOOKUP(A51,'WK 47'!A:A,'WK 47'!AA:AA,"")</f>
        <v>early</v>
      </c>
      <c r="X51" s="7">
        <f t="shared" si="4"/>
        <v>0</v>
      </c>
      <c r="Y51" s="17" t="str">
        <f t="array" ref="Y51">_xlfn.XLOOKUP(A51,'WK 45'!A:A,'WK 45'!X:X,"")</f>
        <v/>
      </c>
      <c r="Z51" s="61"/>
      <c r="AA51" s="61"/>
      <c r="AB51" s="61"/>
      <c r="AC51" s="61"/>
      <c r="AD51" s="61"/>
      <c r="AE51" s="61"/>
      <c r="AF51" s="61"/>
      <c r="AG51" s="61"/>
    </row>
    <row r="52" hidden="1" customHeight="1" spans="1:33">
      <c r="A52" s="2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customHeight="1" spans="1:33">
      <c r="A53" s="2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customHeight="1" spans="1:33">
      <c r="A54" s="21"/>
      <c r="B54" s="61"/>
      <c r="C54" s="61"/>
      <c r="D54" s="61"/>
      <c r="E54" s="7"/>
      <c r="F54" s="50" t="s">
        <v>6</v>
      </c>
      <c r="G54" s="50" t="s">
        <v>7</v>
      </c>
      <c r="H54" s="50" t="s">
        <v>8</v>
      </c>
      <c r="I54" s="50" t="s">
        <v>9</v>
      </c>
      <c r="J54" s="50" t="s">
        <v>10</v>
      </c>
      <c r="K54" s="50" t="s">
        <v>11</v>
      </c>
      <c r="L54" s="50" t="s">
        <v>12</v>
      </c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customHeight="1" spans="1:33">
      <c r="A55" s="21"/>
      <c r="B55" s="61"/>
      <c r="C55" s="61"/>
      <c r="D55" s="61"/>
      <c r="E55" s="7" t="s">
        <v>73</v>
      </c>
      <c r="F55" s="88">
        <v>309.9</v>
      </c>
      <c r="G55" s="88">
        <v>260.8</v>
      </c>
      <c r="H55" s="88">
        <v>254.7</v>
      </c>
      <c r="I55" s="88">
        <v>233.8</v>
      </c>
      <c r="J55" s="88">
        <v>251.8</v>
      </c>
      <c r="K55" s="88">
        <v>112</v>
      </c>
      <c r="L55" s="88">
        <v>69.8</v>
      </c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customHeight="1" spans="1:33">
      <c r="A56" s="21"/>
      <c r="B56" s="61"/>
      <c r="C56" s="61"/>
      <c r="D56" s="61"/>
      <c r="E56" s="7" t="s">
        <v>74</v>
      </c>
      <c r="F56" s="7">
        <f t="shared" ref="F56:J56" si="6">F58*7.5</f>
        <v>270</v>
      </c>
      <c r="G56" s="7">
        <f t="shared" si="6"/>
        <v>330</v>
      </c>
      <c r="H56" s="7">
        <f t="shared" si="6"/>
        <v>307.5</v>
      </c>
      <c r="I56" s="7">
        <f t="shared" si="6"/>
        <v>315</v>
      </c>
      <c r="J56" s="7">
        <f t="shared" si="6"/>
        <v>292.5</v>
      </c>
      <c r="K56" s="7">
        <f t="shared" ref="K56:L56" si="7">K58*4</f>
        <v>64</v>
      </c>
      <c r="L56" s="7">
        <f t="shared" si="7"/>
        <v>48</v>
      </c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customHeight="1" spans="1:33">
      <c r="A57" s="21"/>
      <c r="B57" s="61"/>
      <c r="C57" s="61"/>
      <c r="D57" s="61"/>
      <c r="E57" s="7" t="s">
        <v>75</v>
      </c>
      <c r="F57" s="57">
        <f t="shared" ref="F57:L57" si="8">F56-F55</f>
        <v>-39.9</v>
      </c>
      <c r="G57" s="57">
        <f t="shared" si="8"/>
        <v>69.2</v>
      </c>
      <c r="H57" s="57">
        <f t="shared" si="8"/>
        <v>52.8</v>
      </c>
      <c r="I57" s="57">
        <f t="shared" si="8"/>
        <v>81.2</v>
      </c>
      <c r="J57" s="57">
        <f t="shared" si="8"/>
        <v>40.7</v>
      </c>
      <c r="K57" s="57">
        <f t="shared" si="8"/>
        <v>-48</v>
      </c>
      <c r="L57" s="57">
        <f t="shared" si="8"/>
        <v>-21.8</v>
      </c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customHeight="1" spans="1:33">
      <c r="A58" s="21"/>
      <c r="B58" s="61"/>
      <c r="C58" s="61"/>
      <c r="D58" s="61"/>
      <c r="E58" s="7" t="s">
        <v>76</v>
      </c>
      <c r="F58" s="7">
        <f>IFERROR(__xludf.DUMMYFUNCTION("COUNTA(FILTER($C$4:$C$51, $C$4:$C$51=""CSR"", G4:G51&lt;&gt;"""", NOT(ISTEXT(G4:G51))))"),36)</f>
        <v>36</v>
      </c>
      <c r="G58" s="7">
        <f>IFERROR(__xludf.DUMMYFUNCTION("COUNTA(FILTER($C$4:$C$51, $C$4:$C$51=""CSR"", I4:I51&lt;&gt;"""", NOT(ISTEXT(I4:I51))))"),44)</f>
        <v>44</v>
      </c>
      <c r="H58" s="7">
        <f>IFERROR(__xludf.DUMMYFUNCTION("COUNTA(FILTER($C$4:$C$51, $C$4:$C$51=""CSR"", K4:K51&lt;&gt;"""", NOT(ISTEXT(K4:K51))))"),41)</f>
        <v>41</v>
      </c>
      <c r="I58" s="7">
        <f>IFERROR(__xludf.DUMMYFUNCTION("COUNTA(FILTER($C$4:$C$51, $C$4:$C$51=""CSR"", M4:M51&lt;&gt;"""", NOT(ISTEXT(M4:M51))))"),42)</f>
        <v>42</v>
      </c>
      <c r="J58" s="7">
        <f>IFERROR(__xludf.DUMMYFUNCTION("COUNTA(FILTER($C$4:$C$51, $C$4:$C$51=""CSR"", O4:O51&lt;&gt;"""", NOT(ISTEXT(O4:O51))))"),39)</f>
        <v>39</v>
      </c>
      <c r="K58" s="7">
        <f>IFERROR(__xludf.DUMMYFUNCTION("COUNTA(FILTER($C$4:$C$51, $C$4:$C$51=""CSR"", Q4:Q51&lt;&gt;"""", NOT(ISTEXT(Q4:Q51))))"),16)</f>
        <v>16</v>
      </c>
      <c r="L58" s="7">
        <f>IFERROR(__xludf.DUMMYFUNCTION("COUNTA(FILTER($C$4:$C$51, $C$4:$C$51=""CSR"", S4:S51&lt;&gt;"""", NOT(ISTEXT(S4:S51))))"),12)</f>
        <v>12</v>
      </c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customHeight="1" spans="1:33">
      <c r="A59" s="21"/>
      <c r="B59" s="61"/>
      <c r="C59" s="61"/>
      <c r="D59" s="61"/>
      <c r="E59" s="7" t="s">
        <v>77</v>
      </c>
      <c r="F59" s="56">
        <f t="shared" ref="F59:J59" si="9">F55/7</f>
        <v>44.2714285714286</v>
      </c>
      <c r="G59" s="56">
        <f t="shared" si="9"/>
        <v>37.2571428571429</v>
      </c>
      <c r="H59" s="56">
        <f t="shared" si="9"/>
        <v>36.3857142857143</v>
      </c>
      <c r="I59" s="56">
        <f t="shared" si="9"/>
        <v>33.4</v>
      </c>
      <c r="J59" s="56">
        <f t="shared" si="9"/>
        <v>35.9714285714286</v>
      </c>
      <c r="K59" s="56">
        <f t="shared" ref="K59:L59" si="10">K55/4</f>
        <v>28</v>
      </c>
      <c r="L59" s="56">
        <f t="shared" si="10"/>
        <v>17.45</v>
      </c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 customHeight="1" spans="1:33">
      <c r="A60" s="21"/>
      <c r="B60" s="61"/>
      <c r="C60" s="61"/>
      <c r="D60" s="61"/>
      <c r="E60" s="7" t="s">
        <v>78</v>
      </c>
      <c r="F60" s="57">
        <f t="shared" ref="F60:L60" si="11">F58-F59</f>
        <v>-8.27142857142857</v>
      </c>
      <c r="G60" s="57">
        <f t="shared" si="11"/>
        <v>6.74285714285714</v>
      </c>
      <c r="H60" s="57">
        <f t="shared" si="11"/>
        <v>4.61428571428571</v>
      </c>
      <c r="I60" s="57">
        <f t="shared" si="11"/>
        <v>8.6</v>
      </c>
      <c r="J60" s="57">
        <f t="shared" si="11"/>
        <v>3.02857142857142</v>
      </c>
      <c r="K60" s="57">
        <f t="shared" si="11"/>
        <v>-12</v>
      </c>
      <c r="L60" s="57">
        <f t="shared" si="11"/>
        <v>-5.45</v>
      </c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 customHeight="1" spans="1:33">
      <c r="A61" s="21"/>
      <c r="B61" s="61"/>
      <c r="C61" s="61"/>
      <c r="D61" s="61"/>
      <c r="E61" s="7" t="s">
        <v>79</v>
      </c>
      <c r="F61" s="107">
        <f t="shared" ref="F61:L61" si="12">F60/F59</f>
        <v>-0.186834462729913</v>
      </c>
      <c r="G61" s="107">
        <f t="shared" si="12"/>
        <v>0.180981595092024</v>
      </c>
      <c r="H61" s="107">
        <f t="shared" si="12"/>
        <v>0.126815861798194</v>
      </c>
      <c r="I61" s="107">
        <f t="shared" si="12"/>
        <v>0.25748502994012</v>
      </c>
      <c r="J61" s="107">
        <f t="shared" si="12"/>
        <v>0.0841938046068307</v>
      </c>
      <c r="K61" s="107">
        <f t="shared" si="12"/>
        <v>-0.428571428571429</v>
      </c>
      <c r="L61" s="107">
        <f t="shared" si="12"/>
        <v>-0.312320916905444</v>
      </c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 customHeight="1" spans="1:33">
      <c r="A62" s="2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customHeight="1" spans="1:33">
      <c r="A63" s="2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 customHeight="1" spans="1:33">
      <c r="A64" s="2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 customHeight="1" spans="1:33">
      <c r="A65" s="2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 customHeight="1" spans="1:33">
      <c r="A66" s="2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 customHeight="1" spans="1:33">
      <c r="A67" s="21"/>
      <c r="B67" s="61"/>
      <c r="C67" s="61"/>
      <c r="D67" s="61"/>
      <c r="E67" s="61"/>
      <c r="F67" s="61">
        <f t="shared" ref="F67:L67" si="13">F55/8</f>
        <v>38.7375</v>
      </c>
      <c r="G67" s="61">
        <f t="shared" si="13"/>
        <v>32.6</v>
      </c>
      <c r="H67" s="61">
        <f t="shared" si="13"/>
        <v>31.8375</v>
      </c>
      <c r="I67" s="61">
        <f t="shared" si="13"/>
        <v>29.225</v>
      </c>
      <c r="J67" s="61">
        <f t="shared" si="13"/>
        <v>31.475</v>
      </c>
      <c r="K67" s="61">
        <f t="shared" si="13"/>
        <v>14</v>
      </c>
      <c r="L67" s="61">
        <f t="shared" si="13"/>
        <v>8.725</v>
      </c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 customHeight="1" spans="1:33">
      <c r="A68" s="21"/>
      <c r="B68" s="61"/>
      <c r="C68" s="61"/>
      <c r="D68" s="61"/>
      <c r="E68" s="61"/>
      <c r="F68" s="7">
        <f>IFERROR(__xludf.DUMMYFUNCTION("COUNTA(FILTER($C$4:$C$51, $C$4:$C$51=""CSR"", G14:G61&lt;&gt;"""", NOT(ISTEXT(G14:G61))))"),36)</f>
        <v>36</v>
      </c>
      <c r="G68" s="7">
        <f>IFERROR(__xludf.DUMMYFUNCTION("COUNTA(FILTER($C$4:$C$51, $C$4:$C$51=""CSR"", H14:H61&lt;&gt;"""", NOT(ISTEXT(H14:H61))))"),36)</f>
        <v>36</v>
      </c>
      <c r="H68" s="7">
        <f>IFERROR(__xludf.DUMMYFUNCTION("COUNTA(FILTER($C$4:$C$51, $C$4:$C$51=""CSR"", I14:I61&lt;&gt;"""", NOT(ISTEXT(I14:I61))))"),41)</f>
        <v>41</v>
      </c>
      <c r="I68" s="7">
        <f>IFERROR(__xludf.DUMMYFUNCTION("COUNTA(FILTER($C$4:$C$51, $C$4:$C$51=""CSR"", J14:J61&lt;&gt;"""", NOT(ISTEXT(J14:J61))))"),41)</f>
        <v>41</v>
      </c>
      <c r="J68" s="7">
        <f>IFERROR(__xludf.DUMMYFUNCTION("COUNTA(FILTER($C$4:$C$51, $C$4:$C$51=""CSR"", K14:K61&lt;&gt;"""", NOT(ISTEXT(K14:K61))))"),38)</f>
        <v>38</v>
      </c>
      <c r="K68" s="7">
        <f>IFERROR(__xludf.DUMMYFUNCTION("COUNTA(FILTER($C$4:$C$51, $C$4:$C$51=""CSR"", L14:L61&lt;&gt;"""", NOT(ISTEXT(L14:L61))))"),38)</f>
        <v>38</v>
      </c>
      <c r="L68" s="7">
        <f>IFERROR(__xludf.DUMMYFUNCTION("COUNTA(FILTER($C$4:$C$51, $C$4:$C$51=""CSR"", M14:M61&lt;&gt;"""", NOT(ISTEXT(M14:M61))))"),32)</f>
        <v>32</v>
      </c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 customHeight="1" spans="1:33">
      <c r="A69" s="21"/>
      <c r="B69" s="61"/>
      <c r="C69" s="61"/>
      <c r="D69" s="61"/>
      <c r="E69" s="61"/>
      <c r="F69" s="61">
        <f t="shared" ref="F69:L69" si="14">F68-F67</f>
        <v>-2.7375</v>
      </c>
      <c r="G69" s="61">
        <f t="shared" si="14"/>
        <v>3.4</v>
      </c>
      <c r="H69" s="61">
        <f t="shared" si="14"/>
        <v>9.1625</v>
      </c>
      <c r="I69" s="61">
        <f t="shared" si="14"/>
        <v>11.775</v>
      </c>
      <c r="J69" s="61">
        <f t="shared" si="14"/>
        <v>6.525</v>
      </c>
      <c r="K69" s="61">
        <f t="shared" si="14"/>
        <v>24</v>
      </c>
      <c r="L69" s="61">
        <f t="shared" si="14"/>
        <v>23.275</v>
      </c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 customHeight="1" spans="1:33">
      <c r="A70" s="2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 customHeight="1" spans="1:33">
      <c r="A71" s="2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 customHeight="1" spans="1:33">
      <c r="A72" s="2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 customHeight="1" spans="1:33">
      <c r="A73" s="2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 customHeight="1" spans="1:33">
      <c r="A74" s="2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 customHeight="1" spans="1:33">
      <c r="A75" s="2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 customHeight="1" spans="1:33">
      <c r="A76" s="2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 customHeight="1" spans="1:33">
      <c r="A77" s="2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 customHeight="1" spans="1:33">
      <c r="A78" s="2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 customHeight="1" spans="1:33">
      <c r="A79" s="2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 customHeight="1" spans="1:33">
      <c r="A80" s="2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 customHeight="1" spans="1:33">
      <c r="A81" s="2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customHeight="1" spans="1:33">
      <c r="A82" s="2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 customHeight="1" spans="1:33">
      <c r="A83" s="2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customHeight="1" spans="1:33">
      <c r="A84" s="2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customHeight="1" spans="1:33">
      <c r="A85" s="105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customHeight="1" spans="1:33">
      <c r="A86" s="2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customHeight="1" spans="1:33">
      <c r="A87" s="105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customHeight="1" spans="1:33">
      <c r="A88" s="105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customHeight="1" spans="1:33">
      <c r="A89" s="2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customHeight="1" spans="1:33">
      <c r="A90" s="2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customHeight="1" spans="1:33">
      <c r="A91" s="2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customHeight="1" spans="1:33">
      <c r="A92" s="2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customHeight="1" spans="1:33">
      <c r="A93" s="2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customHeight="1" spans="1:33">
      <c r="A94" s="2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customHeight="1" spans="1:33">
      <c r="A95" s="2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customHeight="1" spans="1:33">
      <c r="A96" s="2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customHeight="1" spans="1:3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customHeight="1" spans="1:3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customHeight="1" spans="1:3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customHeight="1" spans="1:3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customHeight="1" spans="1:3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customHeight="1" spans="1:3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customHeight="1" spans="1:3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customHeight="1" spans="1:3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customHeight="1" spans="1:3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customHeight="1" spans="1:3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customHeight="1" spans="1:3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customHeight="1" spans="1:3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customHeight="1" spans="1:3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customHeight="1" spans="1:3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customHeight="1" spans="1:3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customHeight="1" spans="1:3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customHeight="1" spans="1:3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customHeight="1" spans="1:3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customHeight="1" spans="1:3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customHeight="1" spans="1:3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customHeight="1" spans="1:3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customHeight="1" spans="1:3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customHeight="1" spans="1:3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customHeight="1" spans="1:3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customHeight="1" spans="1:3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customHeight="1" spans="1:3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customHeight="1" spans="1:3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customHeight="1" spans="1:3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customHeight="1" spans="1:3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customHeight="1" spans="1:3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customHeight="1" spans="1:3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customHeight="1" spans="1:3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customHeight="1" spans="1:3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customHeight="1" spans="1:3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customHeight="1" spans="1:3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customHeight="1" spans="1:3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customHeight="1" spans="1: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customHeight="1" spans="1:3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customHeight="1" spans="1:3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customHeight="1" spans="1:3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customHeight="1" spans="1:3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customHeight="1" spans="1:3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customHeight="1" spans="1:3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customHeight="1" spans="1:3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customHeight="1" spans="1:3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customHeight="1" spans="1:3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customHeight="1" spans="1:3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customHeight="1" spans="1:3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customHeight="1" spans="1:3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customHeight="1" spans="1:3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customHeight="1" spans="1:3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customHeight="1" spans="1:3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customHeight="1" spans="1:3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customHeight="1" spans="1:3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customHeight="1" spans="1:3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customHeight="1" spans="1:3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customHeight="1" spans="1:3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customHeight="1" spans="1:3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customHeight="1" spans="1:3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customHeight="1" spans="1:3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customHeight="1" spans="1:3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customHeight="1" spans="1:3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customHeight="1" spans="1:3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customHeight="1" spans="1:3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customHeight="1" spans="1:3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customHeight="1" spans="1:3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customHeight="1" spans="1:3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customHeight="1" spans="1:3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customHeight="1" spans="1:3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customHeight="1" spans="1:3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customHeight="1" spans="1:3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customHeight="1" spans="1:3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customHeight="1" spans="1:3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customHeight="1" spans="1:3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customHeight="1" spans="1:3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customHeight="1" spans="1:3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customHeight="1" spans="1:3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customHeight="1" spans="1:3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customHeight="1" spans="1:3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customHeight="1" spans="1:3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customHeight="1" spans="1:3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customHeight="1" spans="1:3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customHeight="1" spans="1:3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customHeight="1" spans="1:3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customHeight="1" spans="1:3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customHeight="1" spans="1:3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customHeight="1" spans="1:3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customHeight="1" spans="1:3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customHeight="1" spans="1:3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customHeight="1" spans="1:3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customHeight="1" spans="1:3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customHeight="1" spans="1:3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customHeight="1" spans="1:3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customHeight="1" spans="1:3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customHeight="1" spans="1:3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customHeight="1" spans="1:3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customHeight="1" spans="1:3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customHeight="1" spans="1:3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customHeight="1" spans="1:3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customHeight="1" spans="1:3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customHeight="1" spans="1:3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customHeight="1" spans="1:3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customHeight="1" spans="1:3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customHeight="1" spans="1:3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customHeight="1" spans="1:3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customHeight="1" spans="1:3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customHeight="1" spans="1:3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customHeight="1" spans="1:3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customHeight="1" spans="1:3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customHeight="1" spans="1:3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customHeight="1" spans="1:3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customHeight="1" spans="1:3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customHeight="1" spans="1:3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customHeight="1" spans="1:3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customHeight="1" spans="1:3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customHeight="1" spans="1:3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customHeight="1" spans="1:3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customHeight="1" spans="1:3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customHeight="1" spans="1:3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customHeight="1" spans="1:3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customHeight="1" spans="1:3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customHeight="1" spans="1:3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customHeight="1" spans="1:3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customHeight="1" spans="1:3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customHeight="1" spans="1:3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customHeight="1" spans="1:3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customHeight="1" spans="1:3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customHeight="1" spans="1:3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customHeight="1" spans="1:3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customHeight="1" spans="1:3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customHeight="1" spans="1:3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customHeight="1" spans="1:3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customHeight="1" spans="1:3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customHeight="1" spans="1:3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customHeight="1" spans="1:3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customHeight="1" spans="1:3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customHeight="1" spans="1: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customHeight="1" spans="1:3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customHeight="1" spans="1:3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customHeight="1" spans="1:3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customHeight="1" spans="1:3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customHeight="1" spans="1:3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customHeight="1" spans="1:3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customHeight="1" spans="1:3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customHeight="1" spans="1:3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customHeight="1" spans="1:3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customHeight="1" spans="1:3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customHeight="1" spans="1:3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customHeight="1" spans="1:3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customHeight="1" spans="1:3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customHeight="1" spans="1:3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customHeight="1" spans="1:3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customHeight="1" spans="1:3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customHeight="1" spans="1:3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customHeight="1" spans="1:3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customHeight="1" spans="1:3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customHeight="1" spans="1:3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customHeight="1" spans="1:3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customHeight="1" spans="1:3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customHeight="1" spans="1:3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customHeight="1" spans="1:3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customHeight="1" spans="1:3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customHeight="1" spans="1:3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customHeight="1" spans="1:3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customHeight="1" spans="1:3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customHeight="1" spans="1:3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customHeight="1" spans="1:3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customHeight="1" spans="1:3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customHeight="1" spans="1:3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customHeight="1" spans="1:3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customHeight="1" spans="1:3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customHeight="1" spans="1:3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customHeight="1" spans="1:3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customHeight="1" spans="1:3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customHeight="1" spans="1:3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customHeight="1" spans="1:3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customHeight="1" spans="1:3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customHeight="1" spans="1:3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customHeight="1" spans="1:3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customHeight="1" spans="1:3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customHeight="1" spans="1:3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customHeight="1" spans="1:3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customHeight="1" spans="1:3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customHeight="1" spans="1:3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customHeight="1" spans="1:3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customHeight="1" spans="1:3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customHeight="1" spans="1:3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customHeight="1" spans="1:3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customHeight="1" spans="1:3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customHeight="1" spans="1:3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customHeight="1" spans="1:3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customHeight="1" spans="1:3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customHeight="1" spans="1:3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customHeight="1" spans="1:3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customHeight="1" spans="1:3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customHeight="1" spans="1:3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customHeight="1" spans="1:3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customHeight="1" spans="1:3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customHeight="1" spans="1:3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customHeight="1" spans="1:3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customHeight="1" spans="1:3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customHeight="1" spans="1:3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customHeight="1" spans="1:3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customHeight="1" spans="1:3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customHeight="1" spans="1:3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customHeight="1" spans="1:3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customHeight="1" spans="1:3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customHeight="1" spans="1:3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customHeight="1" spans="1:3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customHeight="1" spans="1:3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customHeight="1" spans="1:3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customHeight="1" spans="1:3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customHeight="1" spans="1:3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customHeight="1" spans="1:3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customHeight="1" spans="1:3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customHeight="1" spans="1:3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customHeight="1" spans="1:3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customHeight="1" spans="1:3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customHeight="1" spans="1:3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customHeight="1" spans="1:3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customHeight="1" spans="1:3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customHeight="1" spans="1:3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customHeight="1" spans="1:3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customHeight="1" spans="1:3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customHeight="1" spans="1:3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customHeight="1" spans="1:3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customHeight="1" spans="1:3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customHeight="1" spans="1:3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customHeight="1" spans="1:3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customHeight="1" spans="1:3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customHeight="1" spans="1:3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customHeight="1" spans="1:3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customHeight="1" spans="1:3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customHeight="1" spans="1:3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customHeight="1" spans="1:3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customHeight="1" spans="1:3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customHeight="1" spans="1: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customHeight="1" spans="1:3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customHeight="1" spans="1:3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customHeight="1" spans="1:3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customHeight="1" spans="1:3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customHeight="1" spans="1:3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customHeight="1" spans="1:3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customHeight="1" spans="1:3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customHeight="1" spans="1:3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customHeight="1" spans="1:3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customHeight="1" spans="1:3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customHeight="1" spans="1:3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customHeight="1" spans="1:3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customHeight="1" spans="1:3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customHeight="1" spans="1:3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customHeight="1" spans="1:3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customHeight="1" spans="1:3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customHeight="1" spans="1:3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customHeight="1" spans="1:3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customHeight="1" spans="1:3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customHeight="1" spans="1:3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customHeight="1" spans="1:3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customHeight="1" spans="1:3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customHeight="1" spans="1:3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customHeight="1" spans="1:3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customHeight="1" spans="1:3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customHeight="1" spans="1:3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customHeight="1" spans="1:3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customHeight="1" spans="1:3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customHeight="1" spans="1:3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customHeight="1" spans="1:3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customHeight="1" spans="1:3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customHeight="1" spans="1:3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customHeight="1" spans="1:3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customHeight="1" spans="1:3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customHeight="1" spans="1:3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customHeight="1" spans="1:3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customHeight="1" spans="1:3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customHeight="1" spans="1:3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customHeight="1" spans="1:3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customHeight="1" spans="1:3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customHeight="1" spans="1:3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customHeight="1" spans="1:3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customHeight="1" spans="1:3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customHeight="1" spans="1:3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customHeight="1" spans="1:3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customHeight="1" spans="1:3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customHeight="1" spans="1:3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customHeight="1" spans="1:3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customHeight="1" spans="1:3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customHeight="1" spans="1:3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customHeight="1" spans="1:3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customHeight="1" spans="1:3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customHeight="1" spans="1:3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customHeight="1" spans="1:3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customHeight="1" spans="1:3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customHeight="1" spans="1:3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customHeight="1" spans="1:3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customHeight="1" spans="1:3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customHeight="1" spans="1:3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customHeight="1" spans="1:3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customHeight="1" spans="1:3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customHeight="1" spans="1:3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customHeight="1" spans="1:3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customHeight="1" spans="1:3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customHeight="1" spans="1:3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customHeight="1" spans="1:3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customHeight="1" spans="1:3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customHeight="1" spans="1:3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customHeight="1" spans="1:3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customHeight="1" spans="1:3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customHeight="1" spans="1:3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customHeight="1" spans="1:3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customHeight="1" spans="1:3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customHeight="1" spans="1:3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customHeight="1" spans="1:3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customHeight="1" spans="1:3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customHeight="1" spans="1:3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customHeight="1" spans="1:3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customHeight="1" spans="1:3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customHeight="1" spans="1:3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customHeight="1" spans="1:3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customHeight="1" spans="1:3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customHeight="1" spans="1:3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customHeight="1" spans="1:3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customHeight="1" spans="1:3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customHeight="1" spans="1:3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customHeight="1" spans="1:3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customHeight="1" spans="1:3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customHeight="1" spans="1:3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customHeight="1" spans="1:3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customHeight="1" spans="1:3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customHeight="1" spans="1:3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customHeight="1" spans="1:3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customHeight="1" spans="1:3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customHeight="1" spans="1:3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customHeight="1" spans="1:3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customHeight="1" spans="1:3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customHeight="1" spans="1:3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customHeight="1" spans="1:3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customHeight="1" spans="1: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customHeight="1" spans="1:3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customHeight="1" spans="1:3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customHeight="1" spans="1:3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customHeight="1" spans="1:3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customHeight="1" spans="1:3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customHeight="1" spans="1:3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customHeight="1" spans="1:3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customHeight="1" spans="1:3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customHeight="1" spans="1:3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customHeight="1" spans="1:3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customHeight="1" spans="1:3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customHeight="1" spans="1:3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customHeight="1" spans="1:3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customHeight="1" spans="1:3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customHeight="1" spans="1:3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customHeight="1" spans="1:3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customHeight="1" spans="1:3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customHeight="1" spans="1:3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customHeight="1" spans="1:3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customHeight="1" spans="1:3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customHeight="1" spans="1:3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customHeight="1" spans="1:3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customHeight="1" spans="1:3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customHeight="1" spans="1:3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customHeight="1" spans="1:3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customHeight="1" spans="1:3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customHeight="1" spans="1:3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customHeight="1" spans="1:3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customHeight="1" spans="1:3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customHeight="1" spans="1:3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customHeight="1" spans="1:3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customHeight="1" spans="1:3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customHeight="1" spans="1:3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customHeight="1" spans="1:3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customHeight="1" spans="1:3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customHeight="1" spans="1:3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customHeight="1" spans="1:3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customHeight="1" spans="1:3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customHeight="1" spans="1:3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customHeight="1" spans="1:3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customHeight="1" spans="1:3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customHeight="1" spans="1:3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customHeight="1" spans="1:3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customHeight="1" spans="1:3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customHeight="1" spans="1:3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customHeight="1" spans="1:3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customHeight="1" spans="1:3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customHeight="1" spans="1:3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customHeight="1" spans="1:3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customHeight="1" spans="1:3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customHeight="1" spans="1:3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customHeight="1" spans="1:3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customHeight="1" spans="1:3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customHeight="1" spans="1:3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customHeight="1" spans="1:3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customHeight="1" spans="1:3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customHeight="1" spans="1:3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customHeight="1" spans="1:3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customHeight="1" spans="1:3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customHeight="1" spans="1:3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customHeight="1" spans="1:3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customHeight="1" spans="1:3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customHeight="1" spans="1:3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customHeight="1" spans="1:3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customHeight="1" spans="1:3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customHeight="1" spans="1:3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customHeight="1" spans="1:3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customHeight="1" spans="1:3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customHeight="1" spans="1:3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customHeight="1" spans="1:3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customHeight="1" spans="1:3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customHeight="1" spans="1:3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customHeight="1" spans="1:3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customHeight="1" spans="1:3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customHeight="1" spans="1:3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customHeight="1" spans="1:3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customHeight="1" spans="1:3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customHeight="1" spans="1:3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customHeight="1" spans="1:3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customHeight="1" spans="1:3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customHeight="1" spans="1:3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customHeight="1" spans="1:3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customHeight="1" spans="1:3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customHeight="1" spans="1:3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customHeight="1" spans="1:3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customHeight="1" spans="1:3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customHeight="1" spans="1:3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customHeight="1" spans="1:3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customHeight="1" spans="1:3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customHeight="1" spans="1:3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customHeight="1" spans="1:3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customHeight="1" spans="1:3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customHeight="1" spans="1:3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customHeight="1" spans="1:3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customHeight="1" spans="1:3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customHeight="1" spans="1:3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customHeight="1" spans="1:3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customHeight="1" spans="1:3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customHeight="1" spans="1:3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customHeight="1" spans="1: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customHeight="1" spans="1:3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customHeight="1" spans="1:3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customHeight="1" spans="1:3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customHeight="1" spans="1:3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customHeight="1" spans="1:3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customHeight="1" spans="1:3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customHeight="1" spans="1:3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customHeight="1" spans="1:3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customHeight="1" spans="1:3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customHeight="1" spans="1:3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customHeight="1" spans="1:3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customHeight="1" spans="1:3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customHeight="1" spans="1:3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customHeight="1" spans="1:3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customHeight="1" spans="1:3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customHeight="1" spans="1:3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customHeight="1" spans="1:3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customHeight="1" spans="1:3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customHeight="1" spans="1:3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customHeight="1" spans="1:3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customHeight="1" spans="1:3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customHeight="1" spans="1:3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customHeight="1" spans="1:3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customHeight="1" spans="1:3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customHeight="1" spans="1:3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customHeight="1" spans="1:3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customHeight="1" spans="1:3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customHeight="1" spans="1:3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customHeight="1" spans="1:3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customHeight="1" spans="1:3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customHeight="1" spans="1:3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customHeight="1" spans="1:3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customHeight="1" spans="1:3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customHeight="1" spans="1:3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customHeight="1" spans="1:3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customHeight="1" spans="1:3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customHeight="1" spans="1:3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customHeight="1" spans="1:3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customHeight="1" spans="1:3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customHeight="1" spans="1:3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customHeight="1" spans="1:3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customHeight="1" spans="1:3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customHeight="1" spans="1:3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customHeight="1" spans="1:3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customHeight="1" spans="1:3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customHeight="1" spans="1:3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customHeight="1" spans="1:3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customHeight="1" spans="1:3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customHeight="1" spans="1:3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customHeight="1" spans="1:3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customHeight="1" spans="1:3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customHeight="1" spans="1:3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customHeight="1" spans="1:3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customHeight="1" spans="1:3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customHeight="1" spans="1:3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customHeight="1" spans="1:3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customHeight="1" spans="1:3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customHeight="1" spans="1:3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customHeight="1" spans="1:3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customHeight="1" spans="1:3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customHeight="1" spans="1:3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customHeight="1" spans="1:3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customHeight="1" spans="1:3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customHeight="1" spans="1:3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customHeight="1" spans="1:3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customHeight="1" spans="1:3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customHeight="1" spans="1:3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customHeight="1" spans="1:3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customHeight="1" spans="1:3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customHeight="1" spans="1:3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customHeight="1" spans="1:3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customHeight="1" spans="1:3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customHeight="1" spans="1:3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customHeight="1" spans="1:3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customHeight="1" spans="1:3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customHeight="1" spans="1:3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customHeight="1" spans="1:3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customHeight="1" spans="1:3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customHeight="1" spans="1:3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customHeight="1" spans="1:3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customHeight="1" spans="1:3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customHeight="1" spans="1:3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customHeight="1" spans="1:3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customHeight="1" spans="1:3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customHeight="1" spans="1:3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customHeight="1" spans="1:3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customHeight="1" spans="1:3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customHeight="1" spans="1:3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customHeight="1" spans="1:3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customHeight="1" spans="1:3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customHeight="1" spans="1:3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customHeight="1" spans="1:3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customHeight="1" spans="1:3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customHeight="1" spans="1:3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customHeight="1" spans="1:3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customHeight="1" spans="1:3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customHeight="1" spans="1:3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customHeight="1" spans="1:3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customHeight="1" spans="1:3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customHeight="1" spans="1: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customHeight="1" spans="1:3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customHeight="1" spans="1:3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customHeight="1" spans="1:3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customHeight="1" spans="1:3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customHeight="1" spans="1:3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customHeight="1" spans="1:3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customHeight="1" spans="1:3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customHeight="1" spans="1:3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customHeight="1" spans="1:3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customHeight="1" spans="1:3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customHeight="1" spans="1:3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customHeight="1" spans="1:3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customHeight="1" spans="1:3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customHeight="1" spans="1:3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customHeight="1" spans="1:3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customHeight="1" spans="1:3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customHeight="1" spans="1:3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customHeight="1" spans="1:3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customHeight="1" spans="1:3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customHeight="1" spans="1:3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customHeight="1" spans="1:3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customHeight="1" spans="1:3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customHeight="1" spans="1:3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customHeight="1" spans="1:3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customHeight="1" spans="1:3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customHeight="1" spans="1:3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customHeight="1" spans="1:3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customHeight="1" spans="1:3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customHeight="1" spans="1:3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customHeight="1" spans="1:3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customHeight="1" spans="1:3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customHeight="1" spans="1:3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customHeight="1" spans="1:3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customHeight="1" spans="1:3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customHeight="1" spans="1:3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customHeight="1" spans="1:3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customHeight="1" spans="1:3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customHeight="1" spans="1:3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customHeight="1" spans="1:3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customHeight="1" spans="1:3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customHeight="1" spans="1:3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customHeight="1" spans="1:3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customHeight="1" spans="1:3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customHeight="1" spans="1:3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customHeight="1" spans="1:3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customHeight="1" spans="1:3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customHeight="1" spans="1:3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customHeight="1" spans="1:3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customHeight="1" spans="1:3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customHeight="1" spans="1:3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customHeight="1" spans="1:3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customHeight="1" spans="1:3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customHeight="1" spans="1:3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customHeight="1" spans="1:3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customHeight="1" spans="1:3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customHeight="1" spans="1:3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customHeight="1" spans="1:3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customHeight="1" spans="1:3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customHeight="1" spans="1:3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customHeight="1" spans="1:3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customHeight="1" spans="1:3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customHeight="1" spans="1:3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customHeight="1" spans="1:3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customHeight="1" spans="1:3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customHeight="1" spans="1:3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customHeight="1" spans="1:3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customHeight="1" spans="1:3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customHeight="1" spans="1:3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customHeight="1" spans="1:3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customHeight="1" spans="1:3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customHeight="1" spans="1:3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customHeight="1" spans="1:3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customHeight="1" spans="1:3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customHeight="1" spans="1:3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customHeight="1" spans="1:3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customHeight="1" spans="1:3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customHeight="1" spans="1:3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customHeight="1" spans="1:3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customHeight="1" spans="1:3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customHeight="1" spans="1:3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customHeight="1" spans="1:3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customHeight="1" spans="1:3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customHeight="1" spans="1:3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customHeight="1" spans="1:3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customHeight="1" spans="1:3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customHeight="1" spans="1:3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customHeight="1" spans="1:3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customHeight="1" spans="1:3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customHeight="1" spans="1:3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customHeight="1" spans="1:3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customHeight="1" spans="1:3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customHeight="1" spans="1:3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customHeight="1" spans="1:3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customHeight="1" spans="1:3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customHeight="1" spans="1:3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customHeight="1" spans="1:3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customHeight="1" spans="1:3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customHeight="1" spans="1:3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customHeight="1" spans="1:3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customHeight="1" spans="1: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customHeight="1" spans="1:3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customHeight="1" spans="1:3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customHeight="1" spans="1:3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customHeight="1" spans="1:3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customHeight="1" spans="1:3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customHeight="1" spans="1:3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customHeight="1" spans="1:3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customHeight="1" spans="1:3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customHeight="1" spans="1:3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customHeight="1" spans="1:3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customHeight="1" spans="1:3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customHeight="1" spans="1:3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customHeight="1" spans="1:3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customHeight="1" spans="1:3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customHeight="1" spans="1:3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customHeight="1" spans="1:3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customHeight="1" spans="1:3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customHeight="1" spans="1:3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customHeight="1" spans="1:3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customHeight="1" spans="1:3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customHeight="1" spans="1:3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customHeight="1" spans="1:3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customHeight="1" spans="1:3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customHeight="1" spans="1:3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customHeight="1" spans="1:3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customHeight="1" spans="1:3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customHeight="1" spans="1:3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customHeight="1" spans="1:3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customHeight="1" spans="1:3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customHeight="1" spans="1:3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customHeight="1" spans="1:3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customHeight="1" spans="1:3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customHeight="1" spans="1:3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customHeight="1" spans="1:3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customHeight="1" spans="1:3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customHeight="1" spans="1:3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customHeight="1" spans="1:3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customHeight="1" spans="1:3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customHeight="1" spans="1:3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customHeight="1" spans="1:3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customHeight="1" spans="1:3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customHeight="1" spans="1:3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customHeight="1" spans="1:3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customHeight="1" spans="1:3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customHeight="1" spans="1:3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customHeight="1" spans="1:3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customHeight="1" spans="1:3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customHeight="1" spans="1:3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customHeight="1" spans="1:3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customHeight="1" spans="1:3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customHeight="1" spans="1:3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customHeight="1" spans="1:3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customHeight="1" spans="1:3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customHeight="1" spans="1:3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customHeight="1" spans="1:3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customHeight="1" spans="1:3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customHeight="1" spans="1:3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customHeight="1" spans="1:3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customHeight="1" spans="1:3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customHeight="1" spans="1:3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customHeight="1" spans="1:3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customHeight="1" spans="1:3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customHeight="1" spans="1:3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customHeight="1" spans="1:3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customHeight="1" spans="1:3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customHeight="1" spans="1:3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customHeight="1" spans="1:3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customHeight="1" spans="1:3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customHeight="1" spans="1:3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customHeight="1" spans="1:3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customHeight="1" spans="1:3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customHeight="1" spans="1:3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customHeight="1" spans="1:3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customHeight="1" spans="1:3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customHeight="1" spans="1:3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customHeight="1" spans="1:3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customHeight="1" spans="1:3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customHeight="1" spans="1:3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customHeight="1" spans="1:3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customHeight="1" spans="1:3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customHeight="1" spans="1:3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customHeight="1" spans="1:3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customHeight="1" spans="1:3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customHeight="1" spans="1:3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customHeight="1" spans="1:3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customHeight="1" spans="1:3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customHeight="1" spans="1:3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customHeight="1" spans="1:3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customHeight="1" spans="1:3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customHeight="1" spans="1:3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customHeight="1" spans="1:3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customHeight="1" spans="1:3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customHeight="1" spans="1:3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customHeight="1" spans="1:3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customHeight="1" spans="1:3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customHeight="1" spans="1:3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customHeight="1" spans="1:3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customHeight="1" spans="1:3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customHeight="1" spans="1:3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customHeight="1" spans="1: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customHeight="1" spans="1:3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customHeight="1" spans="1:3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customHeight="1" spans="1:3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customHeight="1" spans="1:3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customHeight="1" spans="1:3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customHeight="1" spans="1:3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customHeight="1" spans="1:3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customHeight="1" spans="1:3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customHeight="1" spans="1:3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customHeight="1" spans="1:3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customHeight="1" spans="1:3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customHeight="1" spans="1:3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customHeight="1" spans="1:3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customHeight="1" spans="1:3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customHeight="1" spans="1:3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customHeight="1" spans="1:3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customHeight="1" spans="1:3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customHeight="1" spans="1:3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customHeight="1" spans="1:3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customHeight="1" spans="1:3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customHeight="1" spans="1:3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customHeight="1" spans="1:3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customHeight="1" spans="1:3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customHeight="1" spans="1:3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customHeight="1" spans="1:3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customHeight="1" spans="1:3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customHeight="1" spans="1:3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customHeight="1" spans="1:3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customHeight="1" spans="1:3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customHeight="1" spans="1:3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customHeight="1" spans="1:3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customHeight="1" spans="1:3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customHeight="1" spans="1:3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customHeight="1" spans="1:3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customHeight="1" spans="1:3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customHeight="1" spans="1:3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customHeight="1" spans="1:3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customHeight="1" spans="1:3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customHeight="1" spans="1:3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customHeight="1" spans="1:3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customHeight="1" spans="1:3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customHeight="1" spans="1:3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customHeight="1" spans="1:3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customHeight="1" spans="1:3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customHeight="1" spans="1:3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customHeight="1" spans="1:3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customHeight="1" spans="1:3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customHeight="1" spans="1:3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customHeight="1" spans="1:3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customHeight="1" spans="1:3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customHeight="1" spans="1:3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customHeight="1" spans="1:3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customHeight="1" spans="1:3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customHeight="1" spans="1:3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customHeight="1" spans="1:3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customHeight="1" spans="1:3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customHeight="1" spans="1:3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customHeight="1" spans="1:3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customHeight="1" spans="1:3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customHeight="1" spans="1:3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customHeight="1" spans="1:3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customHeight="1" spans="1:3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customHeight="1" spans="1:3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customHeight="1" spans="1:3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customHeight="1" spans="1:3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customHeight="1" spans="1:3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customHeight="1" spans="1:3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customHeight="1" spans="1:3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customHeight="1" spans="1:3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customHeight="1" spans="1:3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customHeight="1" spans="1:3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customHeight="1" spans="1:3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customHeight="1" spans="1:3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customHeight="1" spans="1:3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customHeight="1" spans="1:3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customHeight="1" spans="1:3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customHeight="1" spans="1:3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customHeight="1" spans="1:3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customHeight="1" spans="1:3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customHeight="1" spans="1:3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customHeight="1" spans="1:3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customHeight="1" spans="1:3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customHeight="1" spans="1:3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customHeight="1" spans="1:3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customHeight="1" spans="1:3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customHeight="1" spans="1:3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customHeight="1" spans="1:3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customHeight="1" spans="1:3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customHeight="1" spans="1:3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customHeight="1" spans="1:3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customHeight="1" spans="1:3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customHeight="1" spans="1:3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customHeight="1" spans="1:3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customHeight="1" spans="1:3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customHeight="1" spans="1:3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customHeight="1" spans="1:3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customHeight="1" spans="1:3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customHeight="1" spans="1:3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customHeight="1" spans="1:3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customHeight="1" spans="1: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customHeight="1" spans="1:3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customHeight="1" spans="1:3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customHeight="1" spans="1:3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customHeight="1" spans="1:3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customHeight="1" spans="1:3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customHeight="1" spans="1:3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customHeight="1" spans="1:3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customHeight="1" spans="1:3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customHeight="1" spans="1:3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customHeight="1" spans="1:3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customHeight="1" spans="1:3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customHeight="1" spans="1:3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customHeight="1" spans="1:3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customHeight="1" spans="1:3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customHeight="1" spans="1:3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customHeight="1" spans="1:3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customHeight="1" spans="1:3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customHeight="1" spans="1:3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customHeight="1" spans="1:3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customHeight="1" spans="1:3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customHeight="1" spans="1:3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customHeight="1" spans="1:3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customHeight="1" spans="1:3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customHeight="1" spans="1:3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customHeight="1" spans="1:3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customHeight="1" spans="1:3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customHeight="1" spans="1:3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customHeight="1" spans="1:3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customHeight="1" spans="1:3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customHeight="1" spans="1:3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customHeight="1" spans="1:3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customHeight="1" spans="1:3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customHeight="1" spans="1:3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customHeight="1" spans="1:3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customHeight="1" spans="1:3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customHeight="1" spans="1:3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customHeight="1" spans="1:3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customHeight="1" spans="1:3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customHeight="1" spans="1:3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customHeight="1" spans="1:3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customHeight="1" spans="1:3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customHeight="1" spans="1:3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customHeight="1" spans="1:3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customHeight="1" spans="1:3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customHeight="1" spans="1:3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customHeight="1" spans="1:3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customHeight="1" spans="1:3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customHeight="1" spans="1:3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customHeight="1" spans="1:3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customHeight="1" spans="1:3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customHeight="1" spans="1:3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customHeight="1" spans="1:3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customHeight="1" spans="1:3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customHeight="1" spans="1:3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customHeight="1" spans="1:3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customHeight="1" spans="1:3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customHeight="1" spans="1:3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customHeight="1" spans="1:3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customHeight="1" spans="1:3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customHeight="1" spans="1:3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customHeight="1" spans="1:3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customHeight="1" spans="1:3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customHeight="1" spans="1:3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customHeight="1" spans="1:3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customHeight="1" spans="1:3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</sheetData>
  <autoFilter xmlns:etc="http://www.wps.cn/officeDocument/2017/etCustomData" ref="A3:Y52" etc:filterBottomFollowUsedRange="0">
    <filterColumn colId="2">
      <customFilters>
        <customFilter operator="equal" val=""/>
        <customFilter operator="equal" val="CSR"/>
      </customFilters>
    </filterColumn>
    <filterColumn colId="3">
      <customFilters>
        <customFilter operator="equal" val=""/>
        <customFilter operator="equal" val="Production"/>
      </customFilters>
    </filterColumn>
    <filterColumn colId="20">
      <customFilters>
        <customFilter operator="equal" val="45"/>
      </customFilters>
    </filterColumn>
    <sortState ref="A3:Y52">
      <sortCondition ref="B3:B52" descending="1" sortBy="cellColor" dxfId="2"/>
    </sortState>
    <extLst/>
  </autoFilter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F57:S57">
    <cfRule type="cellIs" dxfId="0" priority="4" operator="lessThan">
      <formula>0</formula>
    </cfRule>
  </conditionalFormatting>
  <conditionalFormatting sqref="A4:A100">
    <cfRule type="expression" dxfId="1" priority="1">
      <formula>COUNTIF(A:A,A49)&gt;1</formula>
    </cfRule>
  </conditionalFormatting>
  <conditionalFormatting sqref="C4:C51 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X4:X41 X43:X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9"/>
  <sheetViews>
    <sheetView workbookViewId="0">
      <selection activeCell="A1" sqref="A1:A2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62727272727273" customWidth="1"/>
    <col min="4" max="4" width="9" customWidth="1"/>
    <col min="5" max="5" width="5.62727272727273" customWidth="1"/>
    <col min="6" max="6" width="5.25454545454545" customWidth="1"/>
    <col min="7" max="7" width="9.5" customWidth="1"/>
    <col min="8" max="8" width="5.12727272727273" customWidth="1"/>
    <col min="9" max="9" width="9.5" customWidth="1"/>
    <col min="10" max="10" width="5.12727272727273" customWidth="1"/>
    <col min="11" max="11" width="10.2545454545455" customWidth="1"/>
    <col min="12" max="12" width="5.12727272727273" customWidth="1"/>
    <col min="13" max="13" width="9.5" customWidth="1"/>
    <col min="14" max="14" width="5.12727272727273" customWidth="1"/>
    <col min="15" max="15" width="9.5" customWidth="1"/>
    <col min="16" max="16" width="5.12727272727273" customWidth="1"/>
    <col min="17" max="17" width="9.38181818181818" customWidth="1"/>
    <col min="18" max="18" width="5.12727272727273" customWidth="1"/>
    <col min="19" max="19" width="9.5" customWidth="1"/>
    <col min="20" max="20" width="5.12727272727273" customWidth="1"/>
  </cols>
  <sheetData>
    <row r="1" customHeight="1" spans="1:20">
      <c r="A1" s="173" t="s">
        <v>0</v>
      </c>
      <c r="B1" s="173" t="s">
        <v>1</v>
      </c>
      <c r="C1" s="173" t="s">
        <v>2</v>
      </c>
      <c r="D1" s="173" t="s">
        <v>3</v>
      </c>
      <c r="E1" s="173" t="s">
        <v>4</v>
      </c>
      <c r="F1" s="174" t="s">
        <v>5</v>
      </c>
      <c r="G1" s="175">
        <v>45663</v>
      </c>
      <c r="H1" s="14"/>
      <c r="I1" s="175">
        <v>45664</v>
      </c>
      <c r="J1" s="14"/>
      <c r="K1" s="175">
        <v>45665</v>
      </c>
      <c r="L1" s="14"/>
      <c r="M1" s="175">
        <v>45666</v>
      </c>
      <c r="N1" s="14"/>
      <c r="O1" s="175">
        <v>45667</v>
      </c>
      <c r="P1" s="14"/>
      <c r="Q1" s="175">
        <v>45668</v>
      </c>
      <c r="R1" s="14"/>
      <c r="S1" s="175">
        <v>45669</v>
      </c>
      <c r="T1" s="14"/>
    </row>
    <row r="2" customHeight="1" spans="1:20">
      <c r="A2" s="5"/>
      <c r="B2" s="5"/>
      <c r="C2" s="5"/>
      <c r="D2" s="5"/>
      <c r="E2" s="5"/>
      <c r="F2" s="5"/>
      <c r="G2" s="176" t="s">
        <v>6</v>
      </c>
      <c r="H2" s="14"/>
      <c r="I2" s="176" t="s">
        <v>7</v>
      </c>
      <c r="J2" s="14"/>
      <c r="K2" s="176" t="s">
        <v>8</v>
      </c>
      <c r="L2" s="14"/>
      <c r="M2" s="176" t="s">
        <v>9</v>
      </c>
      <c r="N2" s="14"/>
      <c r="O2" s="176" t="s">
        <v>10</v>
      </c>
      <c r="P2" s="14"/>
      <c r="Q2" s="176" t="s">
        <v>11</v>
      </c>
      <c r="R2" s="14"/>
      <c r="S2" s="176" t="s">
        <v>12</v>
      </c>
      <c r="T2" s="14"/>
    </row>
    <row r="3" customHeight="1" spans="1:20">
      <c r="A3" s="177"/>
      <c r="B3" s="177"/>
      <c r="C3" s="177"/>
      <c r="D3" s="177"/>
      <c r="E3" s="177"/>
      <c r="F3" s="177"/>
      <c r="G3" s="177" t="s">
        <v>13</v>
      </c>
      <c r="H3" s="177" t="s">
        <v>14</v>
      </c>
      <c r="I3" s="177" t="s">
        <v>13</v>
      </c>
      <c r="J3" s="177" t="s">
        <v>14</v>
      </c>
      <c r="K3" s="177" t="s">
        <v>13</v>
      </c>
      <c r="L3" s="177" t="s">
        <v>14</v>
      </c>
      <c r="M3" s="177" t="s">
        <v>13</v>
      </c>
      <c r="N3" s="177" t="s">
        <v>14</v>
      </c>
      <c r="O3" s="177" t="s">
        <v>13</v>
      </c>
      <c r="P3" s="177" t="s">
        <v>14</v>
      </c>
      <c r="Q3" s="177" t="s">
        <v>13</v>
      </c>
      <c r="R3" s="177" t="s">
        <v>14</v>
      </c>
      <c r="S3" s="177" t="s">
        <v>13</v>
      </c>
      <c r="T3" s="177" t="s">
        <v>14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0.458333333333333</v>
      </c>
      <c r="H5" s="8">
        <v>0.875</v>
      </c>
      <c r="I5" s="8">
        <v>0.458333333333333</v>
      </c>
      <c r="J5" s="8">
        <v>0.875</v>
      </c>
      <c r="K5" s="8">
        <v>0.458333333333333</v>
      </c>
      <c r="L5" s="8">
        <v>0.875</v>
      </c>
      <c r="M5" s="8">
        <v>0.458333333333333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7" t="s">
        <v>36</v>
      </c>
      <c r="H6" s="7" t="s">
        <v>36</v>
      </c>
      <c r="I6" s="7" t="s">
        <v>91</v>
      </c>
      <c r="J6" s="7" t="s">
        <v>91</v>
      </c>
      <c r="K6" s="8">
        <v>0.458333333333333</v>
      </c>
      <c r="L6" s="8">
        <v>0.875</v>
      </c>
      <c r="M6" s="8">
        <v>0.458333333333333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7" t="s">
        <v>36</v>
      </c>
      <c r="H7" s="7" t="s">
        <v>36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0.458333333333333</v>
      </c>
      <c r="H8" s="8">
        <v>0.875</v>
      </c>
      <c r="I8" s="8">
        <v>0.458333333333333</v>
      </c>
      <c r="J8" s="8">
        <v>0.875</v>
      </c>
      <c r="K8" s="8">
        <v>0.458333333333333</v>
      </c>
      <c r="L8" s="8">
        <v>0.875</v>
      </c>
      <c r="M8" s="8">
        <v>0.458333333333333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0.458333333333333</v>
      </c>
      <c r="J10" s="8">
        <v>0.875</v>
      </c>
      <c r="K10" s="8">
        <v>0.458333333333333</v>
      </c>
      <c r="L10" s="8">
        <v>0.875</v>
      </c>
      <c r="M10" s="8">
        <v>0.458333333333333</v>
      </c>
      <c r="N10" s="8">
        <v>0.875</v>
      </c>
      <c r="O10" s="8">
        <v>0.458333333333333</v>
      </c>
      <c r="P10" s="8">
        <v>0.875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7" t="s">
        <v>36</v>
      </c>
      <c r="H14" s="7" t="s">
        <v>36</v>
      </c>
      <c r="I14" s="7" t="s">
        <v>91</v>
      </c>
      <c r="J14" s="7" t="s">
        <v>91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0.5</v>
      </c>
      <c r="H15" s="8">
        <v>0.875</v>
      </c>
      <c r="I15" s="8">
        <v>0.5</v>
      </c>
      <c r="J15" s="8">
        <v>0.875</v>
      </c>
      <c r="K15" s="8">
        <v>0.5</v>
      </c>
      <c r="L15" s="8">
        <v>0.875</v>
      </c>
      <c r="M15" s="8">
        <v>0.5</v>
      </c>
      <c r="N15" s="8">
        <v>0.875</v>
      </c>
      <c r="O15" s="8">
        <v>0.5</v>
      </c>
      <c r="P15" s="8">
        <v>0.875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0.666666666666667</v>
      </c>
      <c r="H16" s="8">
        <v>0.875</v>
      </c>
      <c r="I16" s="8">
        <v>0.666666666666667</v>
      </c>
      <c r="J16" s="8">
        <v>0.875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0.791666666666667</v>
      </c>
      <c r="K18" s="8">
        <v>0.375</v>
      </c>
      <c r="L18" s="8">
        <v>0.791666666666667</v>
      </c>
      <c r="M18" s="8">
        <v>0.375</v>
      </c>
      <c r="N18" s="8">
        <v>0.791666666666667</v>
      </c>
      <c r="O18" s="8">
        <v>0.375</v>
      </c>
      <c r="P18" s="8">
        <v>0.791666666666667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0.791666666666667</v>
      </c>
      <c r="I20" s="8">
        <v>0.375</v>
      </c>
      <c r="J20" s="8">
        <v>0.791666666666667</v>
      </c>
      <c r="K20" s="8">
        <v>0.375</v>
      </c>
      <c r="L20" s="8">
        <v>0.791666666666667</v>
      </c>
      <c r="M20" s="8">
        <v>0.375</v>
      </c>
      <c r="N20" s="8">
        <v>0.791666666666667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36</v>
      </c>
      <c r="H22" s="7" t="s">
        <v>36</v>
      </c>
      <c r="I22" s="7" t="s">
        <v>91</v>
      </c>
      <c r="J22" s="7" t="s">
        <v>91</v>
      </c>
      <c r="K22" s="7" t="s">
        <v>36</v>
      </c>
      <c r="L22" s="7" t="s">
        <v>36</v>
      </c>
      <c r="M22" s="8">
        <v>0.5</v>
      </c>
      <c r="N22" s="8">
        <v>0.875</v>
      </c>
      <c r="O22" s="8">
        <v>0.5</v>
      </c>
      <c r="P22" s="8">
        <v>0.875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0.458333333333333</v>
      </c>
      <c r="H26" s="8">
        <v>0.875</v>
      </c>
      <c r="I26" s="8">
        <v>0.458333333333333</v>
      </c>
      <c r="J26" s="8">
        <v>0.875</v>
      </c>
      <c r="K26" s="8">
        <v>0.458333333333333</v>
      </c>
      <c r="L26" s="8">
        <v>0.875</v>
      </c>
      <c r="M26" s="8">
        <v>0.458333333333333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customHeight="1" spans="1:20">
      <c r="A27" s="7">
        <v>10317521</v>
      </c>
      <c r="B27" s="8" t="s">
        <v>28</v>
      </c>
      <c r="C27" s="7" t="s">
        <v>20</v>
      </c>
      <c r="D27" s="7" t="s">
        <v>21</v>
      </c>
      <c r="E27" s="8" t="s">
        <v>22</v>
      </c>
      <c r="F27" s="9">
        <v>2</v>
      </c>
      <c r="G27" s="7" t="s">
        <v>23</v>
      </c>
      <c r="H27" s="7" t="s">
        <v>23</v>
      </c>
      <c r="I27" s="8">
        <v>0.333333333333333</v>
      </c>
      <c r="J27" s="8">
        <v>0.75</v>
      </c>
      <c r="K27" s="8">
        <v>0.333333333333333</v>
      </c>
      <c r="L27" s="8">
        <v>0.75</v>
      </c>
      <c r="M27" s="8">
        <v>0.333333333333333</v>
      </c>
      <c r="N27" s="8">
        <v>0.75</v>
      </c>
      <c r="O27" s="8">
        <v>0.333333333333333</v>
      </c>
      <c r="P27" s="8">
        <v>0.75</v>
      </c>
      <c r="Q27" s="8">
        <v>0.416666666666667</v>
      </c>
      <c r="R27" s="8">
        <v>0.625</v>
      </c>
      <c r="S27" s="7" t="s">
        <v>23</v>
      </c>
      <c r="T27" s="7" t="s">
        <v>23</v>
      </c>
    </row>
    <row r="28" customHeight="1" spans="1:20">
      <c r="A28" s="7">
        <v>10317517</v>
      </c>
      <c r="B28" s="8" t="s">
        <v>29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0.375</v>
      </c>
      <c r="H28" s="8">
        <v>0.75</v>
      </c>
      <c r="I28" s="7" t="s">
        <v>91</v>
      </c>
      <c r="J28" s="7" t="s">
        <v>91</v>
      </c>
      <c r="K28" s="7" t="s">
        <v>36</v>
      </c>
      <c r="L28" s="7" t="s">
        <v>36</v>
      </c>
      <c r="M28" s="8">
        <v>0.375</v>
      </c>
      <c r="N28" s="8">
        <v>0.75</v>
      </c>
      <c r="O28" s="8">
        <v>0.375</v>
      </c>
      <c r="P28" s="8">
        <v>0.75</v>
      </c>
      <c r="Q28" s="7" t="s">
        <v>23</v>
      </c>
      <c r="R28" s="7" t="s">
        <v>23</v>
      </c>
      <c r="S28" s="7" t="s">
        <v>23</v>
      </c>
      <c r="T28" s="7" t="s">
        <v>23</v>
      </c>
    </row>
    <row r="29" customHeight="1" spans="1:20">
      <c r="A29" s="7">
        <v>10252106</v>
      </c>
      <c r="B29" s="8" t="s">
        <v>43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0.375</v>
      </c>
      <c r="H29" s="8">
        <v>0.75</v>
      </c>
      <c r="I29" s="7" t="s">
        <v>23</v>
      </c>
      <c r="J29" s="7" t="s">
        <v>23</v>
      </c>
      <c r="K29" s="7" t="s">
        <v>23</v>
      </c>
      <c r="L29" s="7" t="s">
        <v>23</v>
      </c>
      <c r="M29" s="8">
        <v>0.375</v>
      </c>
      <c r="N29" s="8">
        <v>0.75</v>
      </c>
      <c r="O29" s="7" t="s">
        <v>36</v>
      </c>
      <c r="P29" s="7" t="s">
        <v>36</v>
      </c>
      <c r="Q29" s="7" t="s">
        <v>36</v>
      </c>
      <c r="R29" s="7" t="s">
        <v>36</v>
      </c>
      <c r="S29" s="8">
        <v>0.458333333333333</v>
      </c>
      <c r="T29" s="8">
        <v>0.666666666666667</v>
      </c>
    </row>
    <row r="30" customHeight="1" spans="1:20">
      <c r="A30" s="7">
        <v>10320407</v>
      </c>
      <c r="B30" s="8" t="s">
        <v>55</v>
      </c>
      <c r="C30" s="7" t="s">
        <v>20</v>
      </c>
      <c r="D30" s="7" t="s">
        <v>21</v>
      </c>
      <c r="E30" s="8" t="s">
        <v>22</v>
      </c>
      <c r="F30" s="9">
        <v>3</v>
      </c>
      <c r="G30" s="7" t="s">
        <v>23</v>
      </c>
      <c r="H30" s="7" t="s">
        <v>23</v>
      </c>
      <c r="I30" s="7" t="s">
        <v>91</v>
      </c>
      <c r="J30" s="7" t="s">
        <v>91</v>
      </c>
      <c r="K30" s="8">
        <v>0.375</v>
      </c>
      <c r="L30" s="8">
        <v>0.791666666666667</v>
      </c>
      <c r="M30" s="8">
        <v>0.375</v>
      </c>
      <c r="N30" s="8">
        <v>0.791666666666667</v>
      </c>
      <c r="O30" s="8">
        <v>0.375</v>
      </c>
      <c r="P30" s="8">
        <v>0.791666666666667</v>
      </c>
      <c r="Q30" s="8">
        <v>0.458333333333333</v>
      </c>
      <c r="R30" s="8">
        <v>0.666666666666667</v>
      </c>
      <c r="S30" s="7" t="s">
        <v>23</v>
      </c>
      <c r="T30" s="7" t="s">
        <v>23</v>
      </c>
    </row>
    <row r="31" customHeight="1" spans="1:20">
      <c r="A31" s="7">
        <v>10320417</v>
      </c>
      <c r="B31" s="8" t="s">
        <v>67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0.375</v>
      </c>
      <c r="H31" s="8">
        <v>0.791666666666667</v>
      </c>
      <c r="I31" s="7" t="s">
        <v>91</v>
      </c>
      <c r="J31" s="7" t="s">
        <v>91</v>
      </c>
      <c r="K31" s="8">
        <v>0.375</v>
      </c>
      <c r="L31" s="8">
        <v>0.791666666666667</v>
      </c>
      <c r="M31" s="8">
        <v>0.375</v>
      </c>
      <c r="N31" s="8">
        <v>0.791666666666667</v>
      </c>
      <c r="O31" s="7" t="s">
        <v>23</v>
      </c>
      <c r="P31" s="7" t="s">
        <v>23</v>
      </c>
      <c r="Q31" s="7" t="s">
        <v>23</v>
      </c>
      <c r="R31" s="7" t="s">
        <v>23</v>
      </c>
      <c r="S31" s="8">
        <v>0.458333333333333</v>
      </c>
      <c r="T31" s="8">
        <v>0.666666666666667</v>
      </c>
    </row>
    <row r="32" customHeight="1" spans="1:20">
      <c r="A32" s="7">
        <v>10317154</v>
      </c>
      <c r="B32" s="8" t="s">
        <v>70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0.333333333333333</v>
      </c>
      <c r="H32" s="8">
        <v>0.75</v>
      </c>
      <c r="I32" s="8">
        <v>0.333333333333333</v>
      </c>
      <c r="J32" s="8">
        <v>0.75</v>
      </c>
      <c r="K32" s="8">
        <v>0.333333333333333</v>
      </c>
      <c r="L32" s="8">
        <v>0.75</v>
      </c>
      <c r="M32" s="8">
        <v>0.333333333333333</v>
      </c>
      <c r="N32" s="8">
        <v>0.75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0.416666666666667</v>
      </c>
      <c r="T32" s="8">
        <v>0.625</v>
      </c>
    </row>
    <row r="33" customHeight="1" spans="1:20">
      <c r="A33" s="7">
        <v>10320436</v>
      </c>
      <c r="B33" s="8" t="s">
        <v>90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0.375</v>
      </c>
      <c r="H33" s="8">
        <v>0.791666666666667</v>
      </c>
      <c r="I33" s="8">
        <v>0.375</v>
      </c>
      <c r="J33" s="8">
        <v>0.791666666666667</v>
      </c>
      <c r="K33" s="8">
        <v>0.375</v>
      </c>
      <c r="L33" s="8">
        <v>0.791666666666667</v>
      </c>
      <c r="M33" s="8">
        <v>0.375</v>
      </c>
      <c r="N33" s="8">
        <v>0.791666666666667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0.458333333333333</v>
      </c>
      <c r="T33" s="8">
        <v>0.666666666666667</v>
      </c>
    </row>
    <row r="34" customHeight="1" spans="1:20">
      <c r="A34" s="7">
        <v>10316538</v>
      </c>
      <c r="B34" s="8" t="s">
        <v>44</v>
      </c>
      <c r="C34" s="7" t="s">
        <v>20</v>
      </c>
      <c r="D34" s="7" t="s">
        <v>21</v>
      </c>
      <c r="E34" s="8" t="s">
        <v>22</v>
      </c>
      <c r="F34" s="9">
        <v>1</v>
      </c>
      <c r="G34" s="8">
        <v>0.5</v>
      </c>
      <c r="H34" s="8">
        <v>0.875</v>
      </c>
      <c r="I34" s="8">
        <v>0.5</v>
      </c>
      <c r="J34" s="8">
        <v>0.875</v>
      </c>
      <c r="K34" s="7" t="s">
        <v>23</v>
      </c>
      <c r="L34" s="7" t="s">
        <v>23</v>
      </c>
      <c r="M34" s="7" t="s">
        <v>23</v>
      </c>
      <c r="N34" s="7" t="s">
        <v>23</v>
      </c>
      <c r="O34" s="8">
        <v>0.5</v>
      </c>
      <c r="P34" s="8">
        <v>0.875</v>
      </c>
      <c r="Q34" s="8">
        <v>0.458333333333333</v>
      </c>
      <c r="R34" s="8">
        <v>0.666666666666667</v>
      </c>
      <c r="S34" s="8">
        <v>0.458333333333333</v>
      </c>
      <c r="T34" s="8">
        <v>0.666666666666667</v>
      </c>
    </row>
    <row r="35" customHeight="1" spans="1:20">
      <c r="A35" s="7">
        <v>10293607</v>
      </c>
      <c r="B35" s="8" t="s">
        <v>65</v>
      </c>
      <c r="C35" s="7" t="s">
        <v>20</v>
      </c>
      <c r="D35" s="7" t="s">
        <v>21</v>
      </c>
      <c r="E35" s="8" t="s">
        <v>22</v>
      </c>
      <c r="F35" s="9">
        <v>3</v>
      </c>
      <c r="G35" s="8">
        <v>0.458333333333333</v>
      </c>
      <c r="H35" s="8">
        <v>0.875</v>
      </c>
      <c r="I35" s="8">
        <v>0.458333333333333</v>
      </c>
      <c r="J35" s="8">
        <v>0.875</v>
      </c>
      <c r="K35" s="8">
        <v>0.458333333333333</v>
      </c>
      <c r="L35" s="8">
        <v>0.875</v>
      </c>
      <c r="M35" s="8">
        <v>0.458333333333333</v>
      </c>
      <c r="N35" s="8">
        <v>0.875</v>
      </c>
      <c r="O35" s="7" t="s">
        <v>23</v>
      </c>
      <c r="P35" s="7" t="s">
        <v>23</v>
      </c>
      <c r="Q35" s="7" t="s">
        <v>23</v>
      </c>
      <c r="R35" s="7" t="s">
        <v>23</v>
      </c>
      <c r="S35" s="8">
        <v>0.458333333333333</v>
      </c>
      <c r="T35" s="8">
        <v>0.666666666666667</v>
      </c>
    </row>
    <row r="36" customHeight="1" spans="1:20">
      <c r="A36" s="7">
        <v>10316545</v>
      </c>
      <c r="B36" s="8" t="s">
        <v>45</v>
      </c>
      <c r="C36" s="7" t="s">
        <v>20</v>
      </c>
      <c r="D36" s="7" t="s">
        <v>21</v>
      </c>
      <c r="E36" s="8" t="s">
        <v>22</v>
      </c>
      <c r="F36" s="9">
        <v>1</v>
      </c>
      <c r="G36" s="8">
        <v>0.375</v>
      </c>
      <c r="H36" s="8">
        <v>0.75</v>
      </c>
      <c r="I36" s="8">
        <v>0.375</v>
      </c>
      <c r="J36" s="8">
        <v>0.75</v>
      </c>
      <c r="K36" s="8">
        <v>0.375</v>
      </c>
      <c r="L36" s="8">
        <v>0.75</v>
      </c>
      <c r="M36" s="8">
        <v>0.375</v>
      </c>
      <c r="N36" s="8">
        <v>0.75</v>
      </c>
      <c r="O36" s="8">
        <v>0.375</v>
      </c>
      <c r="P36" s="8">
        <v>0.75</v>
      </c>
      <c r="Q36" s="7" t="s">
        <v>23</v>
      </c>
      <c r="R36" s="7" t="s">
        <v>23</v>
      </c>
      <c r="S36" s="7" t="s">
        <v>23</v>
      </c>
      <c r="T36" s="7" t="s">
        <v>23</v>
      </c>
    </row>
    <row r="37" customHeight="1" spans="1:20">
      <c r="A37" s="7">
        <v>10316572</v>
      </c>
      <c r="B37" s="8" t="s">
        <v>46</v>
      </c>
      <c r="C37" s="7" t="s">
        <v>20</v>
      </c>
      <c r="D37" s="7" t="s">
        <v>21</v>
      </c>
      <c r="E37" s="8" t="s">
        <v>22</v>
      </c>
      <c r="F37" s="9">
        <v>2</v>
      </c>
      <c r="G37" s="8">
        <v>0.333333333333333</v>
      </c>
      <c r="H37" s="8">
        <v>0.75</v>
      </c>
      <c r="I37" s="8">
        <v>0.375</v>
      </c>
      <c r="J37" s="8">
        <v>0.791666666666667</v>
      </c>
      <c r="K37" s="8">
        <v>0.375</v>
      </c>
      <c r="L37" s="8">
        <v>0.791666666666667</v>
      </c>
      <c r="M37" s="8">
        <v>0.375</v>
      </c>
      <c r="N37" s="8">
        <v>0.791666666666667</v>
      </c>
      <c r="O37" s="7" t="s">
        <v>23</v>
      </c>
      <c r="P37" s="7" t="s">
        <v>23</v>
      </c>
      <c r="Q37" s="7" t="s">
        <v>23</v>
      </c>
      <c r="R37" s="7" t="s">
        <v>23</v>
      </c>
      <c r="S37" s="8">
        <v>0.416666666666667</v>
      </c>
      <c r="T37" s="8">
        <v>0.625</v>
      </c>
    </row>
    <row r="38" customHeight="1" spans="1:20">
      <c r="A38" s="7">
        <v>10316685</v>
      </c>
      <c r="B38" s="8" t="s">
        <v>47</v>
      </c>
      <c r="C38" s="7" t="s">
        <v>89</v>
      </c>
      <c r="D38" s="7" t="s">
        <v>21</v>
      </c>
      <c r="E38" s="8" t="s">
        <v>22</v>
      </c>
      <c r="F38" s="9">
        <v>1</v>
      </c>
      <c r="G38" s="8">
        <v>0.5</v>
      </c>
      <c r="H38" s="8">
        <v>0.875</v>
      </c>
      <c r="I38" s="8">
        <v>0.5</v>
      </c>
      <c r="J38" s="8">
        <v>0.875</v>
      </c>
      <c r="K38" s="8">
        <v>0.5</v>
      </c>
      <c r="L38" s="8">
        <v>0.875</v>
      </c>
      <c r="M38" s="8">
        <v>0.5</v>
      </c>
      <c r="N38" s="8">
        <v>0.875</v>
      </c>
      <c r="O38" s="8">
        <v>0.5</v>
      </c>
      <c r="P38" s="8">
        <v>0.875</v>
      </c>
      <c r="Q38" s="7" t="s">
        <v>23</v>
      </c>
      <c r="R38" s="7" t="s">
        <v>23</v>
      </c>
      <c r="S38" s="7" t="s">
        <v>23</v>
      </c>
      <c r="T38" s="7" t="s">
        <v>23</v>
      </c>
    </row>
    <row r="39" customHeight="1" spans="1:20">
      <c r="A39" s="7">
        <v>10274446</v>
      </c>
      <c r="B39" s="8" t="s">
        <v>88</v>
      </c>
      <c r="C39" s="7" t="s">
        <v>20</v>
      </c>
      <c r="D39" s="7" t="s">
        <v>21</v>
      </c>
      <c r="E39" s="8" t="s">
        <v>22</v>
      </c>
      <c r="F39" s="9">
        <v>2</v>
      </c>
      <c r="G39" s="8">
        <v>0.375</v>
      </c>
      <c r="H39" s="8">
        <v>0.75</v>
      </c>
      <c r="I39" s="8">
        <v>0.375</v>
      </c>
      <c r="J39" s="8">
        <v>0.75</v>
      </c>
      <c r="K39" s="7" t="s">
        <v>23</v>
      </c>
      <c r="L39" s="7" t="s">
        <v>23</v>
      </c>
      <c r="M39" s="7" t="s">
        <v>23</v>
      </c>
      <c r="N39" s="7" t="s">
        <v>23</v>
      </c>
      <c r="O39" s="8">
        <v>0.375</v>
      </c>
      <c r="P39" s="8">
        <v>0.75</v>
      </c>
      <c r="Q39" s="8">
        <v>0.458333333333333</v>
      </c>
      <c r="R39" s="8">
        <v>0.666666666666667</v>
      </c>
      <c r="S39" s="8">
        <v>0.458333333333333</v>
      </c>
      <c r="T39" s="8">
        <v>0.666666666666667</v>
      </c>
    </row>
    <row r="40" customHeight="1" spans="1:20">
      <c r="A40" s="7">
        <v>10276839</v>
      </c>
      <c r="B40" s="8" t="s">
        <v>54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0.458333333333333</v>
      </c>
      <c r="H40" s="8">
        <v>0.875</v>
      </c>
      <c r="I40" s="8">
        <v>0.458333333333333</v>
      </c>
      <c r="J40" s="8">
        <v>0.875</v>
      </c>
      <c r="K40" s="8">
        <v>0.458333333333333</v>
      </c>
      <c r="L40" s="8">
        <v>0.875</v>
      </c>
      <c r="M40" s="8">
        <v>0.458333333333333</v>
      </c>
      <c r="N40" s="8">
        <v>0.875</v>
      </c>
      <c r="O40" s="7" t="s">
        <v>23</v>
      </c>
      <c r="P40" s="7" t="s">
        <v>23</v>
      </c>
      <c r="Q40" s="7" t="s">
        <v>23</v>
      </c>
      <c r="R40" s="7" t="s">
        <v>23</v>
      </c>
      <c r="S40" s="8">
        <v>0.458333333333333</v>
      </c>
      <c r="T40" s="8">
        <v>0.666666666666667</v>
      </c>
    </row>
    <row r="41" customHeight="1" spans="1:20">
      <c r="A41" s="7">
        <v>10320419</v>
      </c>
      <c r="B41" s="8" t="s">
        <v>69</v>
      </c>
      <c r="C41" s="7" t="s">
        <v>20</v>
      </c>
      <c r="D41" s="7" t="s">
        <v>21</v>
      </c>
      <c r="E41" s="8" t="s">
        <v>22</v>
      </c>
      <c r="F41" s="9">
        <v>3</v>
      </c>
      <c r="G41" s="7" t="s">
        <v>23</v>
      </c>
      <c r="H41" s="7" t="s">
        <v>23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8">
        <v>0.375</v>
      </c>
      <c r="P41" s="8">
        <v>0.791666666666667</v>
      </c>
      <c r="Q41" s="8">
        <v>0.458333333333333</v>
      </c>
      <c r="R41" s="8">
        <v>0.666666666666667</v>
      </c>
      <c r="S41" s="7" t="s">
        <v>23</v>
      </c>
      <c r="T41" s="7" t="s">
        <v>23</v>
      </c>
    </row>
    <row r="42" customHeight="1" spans="1:20">
      <c r="A42" s="7">
        <v>10316551</v>
      </c>
      <c r="B42" s="8" t="s">
        <v>87</v>
      </c>
      <c r="C42" s="7" t="s">
        <v>20</v>
      </c>
      <c r="D42" s="7" t="s">
        <v>21</v>
      </c>
      <c r="E42" s="8" t="s">
        <v>22</v>
      </c>
      <c r="F42" s="9">
        <v>1</v>
      </c>
      <c r="G42" s="8">
        <v>0.458333333333333</v>
      </c>
      <c r="H42" s="8">
        <v>0.875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7" t="s">
        <v>23</v>
      </c>
      <c r="P42" s="7" t="s">
        <v>23</v>
      </c>
      <c r="Q42" s="7" t="s">
        <v>23</v>
      </c>
      <c r="R42" s="7" t="s">
        <v>23</v>
      </c>
      <c r="S42" s="8">
        <v>0.458333333333333</v>
      </c>
      <c r="T42" s="8">
        <v>0.666666666666667</v>
      </c>
    </row>
    <row r="43" customHeight="1" spans="1:20">
      <c r="A43" s="7">
        <v>10320435</v>
      </c>
      <c r="B43" s="8" t="s">
        <v>71</v>
      </c>
      <c r="C43" s="7" t="s">
        <v>20</v>
      </c>
      <c r="D43" s="7" t="s">
        <v>21</v>
      </c>
      <c r="E43" s="8" t="s">
        <v>22</v>
      </c>
      <c r="F43" s="9">
        <v>3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8">
        <v>0.375</v>
      </c>
      <c r="N43" s="8">
        <v>0.75</v>
      </c>
      <c r="O43" s="8">
        <v>0.375</v>
      </c>
      <c r="P43" s="8">
        <v>0.75</v>
      </c>
      <c r="Q43" s="7" t="s">
        <v>23</v>
      </c>
      <c r="R43" s="7" t="s">
        <v>23</v>
      </c>
      <c r="S43" s="7" t="s">
        <v>23</v>
      </c>
      <c r="T43" s="7" t="s">
        <v>23</v>
      </c>
    </row>
    <row r="44" customHeight="1" spans="1:20">
      <c r="A44" s="7">
        <v>10316683</v>
      </c>
      <c r="B44" s="8" t="s">
        <v>51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0.75</v>
      </c>
      <c r="I44" s="8">
        <v>0.375</v>
      </c>
      <c r="J44" s="8">
        <v>0.75</v>
      </c>
      <c r="K44" s="8">
        <v>0.375</v>
      </c>
      <c r="L44" s="8">
        <v>0.75</v>
      </c>
      <c r="M44" s="8">
        <v>0.375</v>
      </c>
      <c r="N44" s="8">
        <v>0.75</v>
      </c>
      <c r="O44" s="8">
        <v>0.375</v>
      </c>
      <c r="P44" s="8">
        <v>0.75</v>
      </c>
      <c r="Q44" s="7" t="s">
        <v>23</v>
      </c>
      <c r="R44" s="7" t="s">
        <v>23</v>
      </c>
      <c r="S44" s="7" t="s">
        <v>23</v>
      </c>
      <c r="T44" s="7" t="s">
        <v>23</v>
      </c>
    </row>
    <row r="45" customHeight="1" spans="1:20">
      <c r="A45" s="7">
        <v>10316540</v>
      </c>
      <c r="B45" s="8" t="s">
        <v>30</v>
      </c>
      <c r="C45" s="7" t="s">
        <v>20</v>
      </c>
      <c r="D45" s="7" t="s">
        <v>86</v>
      </c>
      <c r="E45" s="8" t="s">
        <v>22</v>
      </c>
      <c r="F45" s="9">
        <v>1</v>
      </c>
      <c r="G45" s="7" t="s">
        <v>36</v>
      </c>
      <c r="H45" s="7" t="s">
        <v>36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10293627</v>
      </c>
      <c r="B46" s="8" t="s">
        <v>92</v>
      </c>
      <c r="C46" s="7" t="s">
        <v>20</v>
      </c>
      <c r="D46" s="7" t="s">
        <v>21</v>
      </c>
      <c r="E46" s="8" t="s">
        <v>22</v>
      </c>
      <c r="F46" s="9">
        <v>3</v>
      </c>
      <c r="G46" s="8">
        <v>0.375</v>
      </c>
      <c r="H46" s="8">
        <v>0.791666666666667</v>
      </c>
      <c r="I46" s="8">
        <v>0.375</v>
      </c>
      <c r="J46" s="8">
        <v>0.791666666666667</v>
      </c>
      <c r="K46" s="8">
        <v>0.375</v>
      </c>
      <c r="L46" s="8">
        <v>0.791666666666667</v>
      </c>
      <c r="M46" s="8">
        <v>0.375</v>
      </c>
      <c r="N46" s="8">
        <v>0.791666666666667</v>
      </c>
      <c r="O46" s="7" t="s">
        <v>23</v>
      </c>
      <c r="P46" s="7" t="s">
        <v>23</v>
      </c>
      <c r="Q46" s="7" t="s">
        <v>23</v>
      </c>
      <c r="R46" s="7" t="s">
        <v>23</v>
      </c>
      <c r="S46" s="8">
        <v>0.458333333333333</v>
      </c>
      <c r="T46" s="8">
        <v>0.666666666666667</v>
      </c>
    </row>
    <row r="47" customHeight="1" spans="1:20">
      <c r="A47" s="7">
        <v>10320409</v>
      </c>
      <c r="B47" s="8" t="s">
        <v>57</v>
      </c>
      <c r="C47" s="7" t="s">
        <v>20</v>
      </c>
      <c r="D47" s="7" t="s">
        <v>21</v>
      </c>
      <c r="E47" s="8" t="s">
        <v>22</v>
      </c>
      <c r="F47" s="9">
        <v>3</v>
      </c>
      <c r="G47" s="8">
        <v>0.5</v>
      </c>
      <c r="H47" s="8">
        <v>0.875</v>
      </c>
      <c r="I47" s="7" t="s">
        <v>23</v>
      </c>
      <c r="J47" s="7" t="s">
        <v>23</v>
      </c>
      <c r="K47" s="7" t="s">
        <v>23</v>
      </c>
      <c r="L47" s="7" t="s">
        <v>23</v>
      </c>
      <c r="M47" s="8">
        <v>0.5</v>
      </c>
      <c r="N47" s="8">
        <v>0.875</v>
      </c>
      <c r="O47" s="8">
        <v>0.5</v>
      </c>
      <c r="P47" s="8">
        <v>0.875</v>
      </c>
      <c r="Q47" s="8">
        <v>0.458333333333333</v>
      </c>
      <c r="R47" s="8">
        <v>0.666666666666667</v>
      </c>
      <c r="S47" s="8">
        <v>0.458333333333333</v>
      </c>
      <c r="T47" s="8">
        <v>0.666666666666667</v>
      </c>
    </row>
    <row r="48" customHeight="1" spans="1:20">
      <c r="A48" s="7">
        <v>10317151</v>
      </c>
      <c r="B48" s="8" t="s">
        <v>52</v>
      </c>
      <c r="C48" s="7" t="s">
        <v>20</v>
      </c>
      <c r="D48" s="7" t="s">
        <v>86</v>
      </c>
      <c r="E48" s="8" t="s">
        <v>22</v>
      </c>
      <c r="F48" s="9">
        <v>1</v>
      </c>
      <c r="G48" s="7" t="s">
        <v>36</v>
      </c>
      <c r="H48" s="7" t="s">
        <v>36</v>
      </c>
      <c r="I48" s="8">
        <v>0.375</v>
      </c>
      <c r="J48" s="8">
        <v>0.75</v>
      </c>
      <c r="K48" s="8">
        <v>0.375</v>
      </c>
      <c r="L48" s="8">
        <v>0.75</v>
      </c>
      <c r="M48" s="8">
        <v>0.375</v>
      </c>
      <c r="N48" s="8">
        <v>0.75</v>
      </c>
      <c r="O48" s="8">
        <v>0.375</v>
      </c>
      <c r="P48" s="8">
        <v>0.75</v>
      </c>
      <c r="Q48" s="7" t="s">
        <v>23</v>
      </c>
      <c r="R48" s="7" t="s">
        <v>23</v>
      </c>
      <c r="S48" s="7" t="s">
        <v>23</v>
      </c>
      <c r="T48" s="7" t="s">
        <v>23</v>
      </c>
    </row>
    <row r="49" customHeight="1" spans="1:20">
      <c r="A49" s="7">
        <v>10317524</v>
      </c>
      <c r="B49" s="8" t="s">
        <v>53</v>
      </c>
      <c r="C49" s="7" t="s">
        <v>20</v>
      </c>
      <c r="D49" s="7" t="s">
        <v>21</v>
      </c>
      <c r="E49" s="8" t="s">
        <v>22</v>
      </c>
      <c r="F49" s="9">
        <v>2</v>
      </c>
      <c r="G49" s="7" t="s">
        <v>23</v>
      </c>
      <c r="H49" s="7" t="s">
        <v>23</v>
      </c>
      <c r="I49" s="8">
        <v>0.458333333333333</v>
      </c>
      <c r="J49" s="8">
        <v>0.875</v>
      </c>
      <c r="K49" s="8">
        <v>0.458333333333333</v>
      </c>
      <c r="L49" s="8">
        <v>0.875</v>
      </c>
      <c r="M49" s="8">
        <v>0.458333333333333</v>
      </c>
      <c r="N49" s="8">
        <v>0.875</v>
      </c>
      <c r="O49" s="8">
        <v>0.458333333333333</v>
      </c>
      <c r="P49" s="8">
        <v>0.875</v>
      </c>
      <c r="Q49" s="8">
        <v>0.458333333333333</v>
      </c>
      <c r="R49" s="8">
        <v>0.666666666666667</v>
      </c>
      <c r="S49" s="7" t="s">
        <v>23</v>
      </c>
      <c r="T49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49">
    <cfRule type="containsText" dxfId="3" priority="1" operator="between" text="OFF">
      <formula>NOT(ISERROR(SEARCH("OFF",G4)))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NOT(ISERROR(SEARCH("AN",G4)))</formula>
    </cfRule>
    <cfRule type="containsText" dxfId="5" priority="4" operator="between" text="DT">
      <formula>NOT(ISERROR(SEARCH("DT",G4)))</formula>
    </cfRule>
    <cfRule type="containsText" dxfId="6" priority="5" operator="between" text="RS">
      <formula>NOT(ISERROR(SEARCH("RS",G4)))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3:H32"/>
  <sheetViews>
    <sheetView workbookViewId="0">
      <selection activeCell="A1" sqref="A1"/>
    </sheetView>
  </sheetViews>
  <sheetFormatPr defaultColWidth="12.6272727272727" defaultRowHeight="15.75" customHeight="1" outlineLevelCol="7"/>
  <cols>
    <col min="2" max="2" width="23" customWidth="1"/>
  </cols>
  <sheetData>
    <row r="13" customHeight="1" spans="1:8">
      <c r="A13" s="173" t="s">
        <v>0</v>
      </c>
      <c r="B13" s="173" t="s">
        <v>1</v>
      </c>
      <c r="C13" s="173" t="s">
        <v>2</v>
      </c>
      <c r="D13" s="173" t="s">
        <v>3</v>
      </c>
      <c r="E13" s="173" t="s">
        <v>4</v>
      </c>
      <c r="F13" s="174" t="s">
        <v>5</v>
      </c>
      <c r="G13" s="175">
        <v>45663</v>
      </c>
      <c r="H13" s="14"/>
    </row>
    <row r="14" customHeight="1" spans="1:8">
      <c r="A14" s="5"/>
      <c r="B14" s="5"/>
      <c r="C14" s="5"/>
      <c r="D14" s="5"/>
      <c r="E14" s="5"/>
      <c r="F14" s="5"/>
      <c r="G14" s="176" t="s">
        <v>6</v>
      </c>
      <c r="H14" s="14"/>
    </row>
    <row r="15" customHeight="1" spans="1:8">
      <c r="A15" s="177"/>
      <c r="B15" s="177"/>
      <c r="C15" s="177"/>
      <c r="D15" s="177"/>
      <c r="E15" s="177"/>
      <c r="F15" s="177"/>
      <c r="G15" s="177" t="s">
        <v>13</v>
      </c>
      <c r="H15" s="177" t="s">
        <v>14</v>
      </c>
    </row>
    <row r="16" customHeight="1" spans="1:8">
      <c r="A16" s="7">
        <v>10320417</v>
      </c>
      <c r="B16" s="8" t="s">
        <v>67</v>
      </c>
      <c r="C16" s="7" t="s">
        <v>20</v>
      </c>
      <c r="D16" s="7" t="s">
        <v>21</v>
      </c>
      <c r="E16" s="8" t="s">
        <v>22</v>
      </c>
      <c r="F16" s="9">
        <v>3</v>
      </c>
      <c r="G16" s="8">
        <v>0.375</v>
      </c>
      <c r="H16" s="8">
        <v>0.791666666666667</v>
      </c>
    </row>
    <row r="17" customHeight="1" spans="1:8">
      <c r="A17" s="7">
        <v>10317154</v>
      </c>
      <c r="B17" s="8" t="s">
        <v>70</v>
      </c>
      <c r="C17" s="7" t="s">
        <v>20</v>
      </c>
      <c r="D17" s="7" t="s">
        <v>21</v>
      </c>
      <c r="E17" s="8" t="s">
        <v>22</v>
      </c>
      <c r="F17" s="9">
        <v>3</v>
      </c>
      <c r="G17" s="8">
        <v>0.333333333333333</v>
      </c>
      <c r="H17" s="8">
        <v>0.75</v>
      </c>
    </row>
    <row r="20" customHeight="1" spans="1:8">
      <c r="A20" s="173" t="s">
        <v>0</v>
      </c>
      <c r="B20" s="173" t="s">
        <v>1</v>
      </c>
      <c r="C20" s="173" t="s">
        <v>2</v>
      </c>
      <c r="D20" s="173" t="s">
        <v>3</v>
      </c>
      <c r="E20" s="173" t="s">
        <v>4</v>
      </c>
      <c r="F20" s="174" t="s">
        <v>5</v>
      </c>
      <c r="G20" s="175">
        <v>45663</v>
      </c>
      <c r="H20" s="14"/>
    </row>
    <row r="21" customHeight="1" spans="1:8">
      <c r="A21" s="5"/>
      <c r="B21" s="5"/>
      <c r="C21" s="5"/>
      <c r="D21" s="5"/>
      <c r="E21" s="5"/>
      <c r="F21" s="5"/>
      <c r="G21" s="176" t="s">
        <v>6</v>
      </c>
      <c r="H21" s="14"/>
    </row>
    <row r="22" customHeight="1" spans="1:8">
      <c r="A22" s="177"/>
      <c r="B22" s="177"/>
      <c r="C22" s="177"/>
      <c r="D22" s="177"/>
      <c r="E22" s="177"/>
      <c r="F22" s="177"/>
      <c r="G22" s="177" t="s">
        <v>13</v>
      </c>
      <c r="H22" s="177" t="s">
        <v>14</v>
      </c>
    </row>
    <row r="23" customHeight="1" spans="1:8">
      <c r="A23" s="7">
        <v>10320417</v>
      </c>
      <c r="B23" s="8" t="s">
        <v>67</v>
      </c>
      <c r="C23" s="7" t="s">
        <v>20</v>
      </c>
      <c r="D23" s="7" t="s">
        <v>21</v>
      </c>
      <c r="E23" s="8" t="s">
        <v>22</v>
      </c>
      <c r="F23" s="9">
        <v>3</v>
      </c>
      <c r="G23" s="8">
        <v>0.333333333333333</v>
      </c>
      <c r="H23" s="8">
        <v>0.75</v>
      </c>
    </row>
    <row r="24" customHeight="1" spans="1:8">
      <c r="A24" s="7">
        <v>10317154</v>
      </c>
      <c r="B24" s="8" t="s">
        <v>70</v>
      </c>
      <c r="C24" s="7" t="s">
        <v>20</v>
      </c>
      <c r="D24" s="7" t="s">
        <v>21</v>
      </c>
      <c r="E24" s="8" t="s">
        <v>22</v>
      </c>
      <c r="F24" s="9">
        <v>3</v>
      </c>
      <c r="G24" s="8">
        <v>0.375</v>
      </c>
      <c r="H24" s="8">
        <v>0.791666666666667</v>
      </c>
    </row>
    <row r="29" customHeight="1" spans="1:8">
      <c r="A29" s="173" t="s">
        <v>0</v>
      </c>
      <c r="B29" s="173" t="s">
        <v>1</v>
      </c>
      <c r="C29" s="173" t="s">
        <v>2</v>
      </c>
      <c r="D29" s="173" t="s">
        <v>3</v>
      </c>
      <c r="E29" s="173" t="s">
        <v>4</v>
      </c>
      <c r="F29" s="174" t="s">
        <v>5</v>
      </c>
      <c r="G29" s="175">
        <v>45664</v>
      </c>
      <c r="H29" s="178"/>
    </row>
    <row r="30" customHeight="1" spans="1:8">
      <c r="A30" s="5"/>
      <c r="B30" s="5"/>
      <c r="C30" s="5"/>
      <c r="D30" s="5"/>
      <c r="E30" s="5"/>
      <c r="F30" s="5"/>
      <c r="G30" s="176" t="s">
        <v>7</v>
      </c>
      <c r="H30" s="179"/>
    </row>
    <row r="31" customHeight="1" spans="1:7">
      <c r="A31" s="114">
        <v>10320407</v>
      </c>
      <c r="B31" s="115" t="s">
        <v>55</v>
      </c>
      <c r="C31" s="114" t="s">
        <v>20</v>
      </c>
      <c r="D31" s="114" t="s">
        <v>21</v>
      </c>
      <c r="E31" s="115" t="s">
        <v>22</v>
      </c>
      <c r="F31" s="161">
        <v>3</v>
      </c>
      <c r="G31" s="180" t="s">
        <v>91</v>
      </c>
    </row>
    <row r="32" customHeight="1" spans="1:7">
      <c r="A32" s="114">
        <v>10320417</v>
      </c>
      <c r="B32" s="115" t="s">
        <v>67</v>
      </c>
      <c r="C32" s="114" t="s">
        <v>20</v>
      </c>
      <c r="D32" s="114" t="s">
        <v>21</v>
      </c>
      <c r="E32" s="115" t="s">
        <v>22</v>
      </c>
      <c r="F32" s="161">
        <v>3</v>
      </c>
      <c r="G32" s="180" t="s">
        <v>91</v>
      </c>
    </row>
  </sheetData>
  <mergeCells count="22">
    <mergeCell ref="G13:H13"/>
    <mergeCell ref="G14:H14"/>
    <mergeCell ref="G20:H20"/>
    <mergeCell ref="G21:H21"/>
    <mergeCell ref="A13:A14"/>
    <mergeCell ref="A20:A21"/>
    <mergeCell ref="A29:A30"/>
    <mergeCell ref="B13:B14"/>
    <mergeCell ref="B20:B21"/>
    <mergeCell ref="B29:B30"/>
    <mergeCell ref="C13:C14"/>
    <mergeCell ref="C20:C21"/>
    <mergeCell ref="C29:C30"/>
    <mergeCell ref="D13:D14"/>
    <mergeCell ref="D20:D21"/>
    <mergeCell ref="D29:D30"/>
    <mergeCell ref="E13:E14"/>
    <mergeCell ref="E20:E21"/>
    <mergeCell ref="E29:E30"/>
    <mergeCell ref="F13:F14"/>
    <mergeCell ref="F20:F21"/>
    <mergeCell ref="F29:F30"/>
  </mergeCells>
  <conditionalFormatting sqref="G16:H17 G23:H24">
    <cfRule type="containsText" dxfId="3" priority="1" operator="between" text="OFF">
      <formula>NOT(ISERROR(SEARCH("OFF",G16)))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NOT(ISERROR(SEARCH("AN",G16)))</formula>
    </cfRule>
    <cfRule type="containsText" dxfId="5" priority="4" operator="between" text="DT">
      <formula>NOT(ISERROR(SEARCH("DT",G16)))</formula>
    </cfRule>
    <cfRule type="containsText" dxfId="6" priority="5" operator="between" text="RS">
      <formula>NOT(ISERROR(SEARCH("RS",G16)))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1"/>
  <sheetViews>
    <sheetView workbookViewId="0">
      <selection activeCell="A1" sqref="A1"/>
    </sheetView>
  </sheetViews>
  <sheetFormatPr defaultColWidth="12.6272727272727" defaultRowHeight="15.75" customHeight="1"/>
  <cols>
    <col min="1" max="1" width="9.88181818181818" customWidth="1"/>
    <col min="2" max="2" width="18.7545454545455" customWidth="1"/>
    <col min="3" max="3" width="7.12727272727273" customWidth="1"/>
    <col min="4" max="4" width="9" customWidth="1"/>
    <col min="5" max="5" width="4.75454545454545" customWidth="1"/>
    <col min="6" max="17" width="9.75454545454545" customWidth="1"/>
    <col min="18" max="19" width="9.5" customWidth="1"/>
    <col min="20" max="20" width="5.12727272727273" customWidth="1"/>
    <col min="21" max="26" width="9.75454545454545" customWidth="1"/>
  </cols>
  <sheetData>
    <row r="1" customHeight="1" spans="7:20">
      <c r="G1" s="3">
        <v>45656</v>
      </c>
      <c r="H1" s="14"/>
      <c r="I1" s="3">
        <v>45657</v>
      </c>
      <c r="J1" s="14"/>
      <c r="K1" s="3">
        <v>45658</v>
      </c>
      <c r="L1" s="14"/>
      <c r="M1" s="3">
        <v>45659</v>
      </c>
      <c r="N1" s="14"/>
      <c r="O1" s="3">
        <v>45660</v>
      </c>
      <c r="P1" s="14"/>
      <c r="Q1" s="3">
        <v>45661</v>
      </c>
      <c r="R1" s="14"/>
      <c r="S1" s="3">
        <v>45662</v>
      </c>
      <c r="T1" s="14"/>
    </row>
    <row r="2" customHeight="1" spans="1:20">
      <c r="A2" s="47"/>
      <c r="B2" s="47"/>
      <c r="C2" s="47"/>
      <c r="D2" s="47"/>
      <c r="E2" s="47"/>
      <c r="F2" s="120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</row>
    <row r="3" customHeight="1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6" t="s">
        <v>6</v>
      </c>
      <c r="H3" s="14"/>
      <c r="I3" s="6" t="s">
        <v>7</v>
      </c>
      <c r="J3" s="14"/>
      <c r="K3" s="6" t="s">
        <v>8</v>
      </c>
      <c r="L3" s="14"/>
      <c r="M3" s="6" t="s">
        <v>9</v>
      </c>
      <c r="N3" s="14"/>
      <c r="O3" s="6" t="s">
        <v>10</v>
      </c>
      <c r="P3" s="14"/>
      <c r="Q3" s="6" t="s">
        <v>11</v>
      </c>
      <c r="R3" s="14"/>
      <c r="S3" s="6" t="s">
        <v>12</v>
      </c>
      <c r="T3" s="14"/>
    </row>
    <row r="4" customHeight="1" spans="1:21">
      <c r="A4" s="7">
        <v>10320410</v>
      </c>
      <c r="B4" s="7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154" t="s">
        <v>23</v>
      </c>
      <c r="R4" s="154" t="s">
        <v>23</v>
      </c>
      <c r="S4" s="154" t="s">
        <v>23</v>
      </c>
      <c r="T4" s="154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0.791666666667879</v>
      </c>
      <c r="I5" s="8">
        <v>0.375</v>
      </c>
      <c r="J5" s="8">
        <v>0.791666666667879</v>
      </c>
      <c r="K5" s="8">
        <v>0.375</v>
      </c>
      <c r="L5" s="8">
        <v>0.791666666666667</v>
      </c>
      <c r="M5" s="8">
        <v>0.375</v>
      </c>
      <c r="N5" s="8">
        <v>0.791666666666667</v>
      </c>
      <c r="O5" s="154" t="s">
        <v>23</v>
      </c>
      <c r="P5" s="154" t="s">
        <v>23</v>
      </c>
      <c r="Q5" s="154" t="s">
        <v>23</v>
      </c>
      <c r="R5" s="154" t="s">
        <v>23</v>
      </c>
      <c r="S5" s="8">
        <v>0.458333333333333</v>
      </c>
      <c r="T5" s="8">
        <v>0.666666666666667</v>
      </c>
      <c r="U5" s="21">
        <f>IFERROR(__xludf.DUMMYFUNCTION("TO_PURE_NUMBER(SUM(FILTER(G5:T5, ISEVEN(COLUMN(G5:T5))))-SUM(FILTER(G5:T5, ISODD(COLUMN(G5:T5)))))*24"),45.0000000000582)</f>
        <v>45.0000000000582</v>
      </c>
    </row>
    <row r="6" customHeight="1" spans="1:21">
      <c r="A6" s="7">
        <v>10317522</v>
      </c>
      <c r="B6" s="7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0.75</v>
      </c>
      <c r="I6" s="8">
        <v>0.375</v>
      </c>
      <c r="J6" s="8">
        <v>0.75</v>
      </c>
      <c r="K6" s="8">
        <v>0.375</v>
      </c>
      <c r="L6" s="8">
        <v>0.75</v>
      </c>
      <c r="M6" s="8">
        <v>0.375</v>
      </c>
      <c r="N6" s="8">
        <v>0.75</v>
      </c>
      <c r="O6" s="8">
        <v>0.375</v>
      </c>
      <c r="P6" s="8">
        <v>0.75</v>
      </c>
      <c r="Q6" s="154" t="s">
        <v>23</v>
      </c>
      <c r="R6" s="154" t="s">
        <v>23</v>
      </c>
      <c r="S6" s="154" t="s">
        <v>23</v>
      </c>
      <c r="T6" s="154" t="s">
        <v>23</v>
      </c>
      <c r="U6" s="21">
        <f>IFERROR(__xludf.DUMMYFUNCTION("TO_PURE_NUMBER(SUM(FILTER(G6:T6, ISEVEN(COLUMN(G6:T6))))-SUM(FILTER(G6:T6, ISODD(COLUMN(G6:T6)))))*24"),45)</f>
        <v>45</v>
      </c>
    </row>
    <row r="7" customHeight="1" spans="1:21">
      <c r="A7" s="7">
        <v>10316549</v>
      </c>
      <c r="B7" s="7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154" t="s">
        <v>23</v>
      </c>
      <c r="R7" s="154" t="s">
        <v>23</v>
      </c>
      <c r="S7" s="154" t="s">
        <v>23</v>
      </c>
      <c r="T7" s="154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0.75</v>
      </c>
      <c r="I8" s="8">
        <v>0.375</v>
      </c>
      <c r="J8" s="8">
        <v>0.75</v>
      </c>
      <c r="K8" s="8">
        <v>0.375</v>
      </c>
      <c r="L8" s="8">
        <v>0.75</v>
      </c>
      <c r="M8" s="8">
        <v>0.375</v>
      </c>
      <c r="N8" s="8">
        <v>0.75</v>
      </c>
      <c r="O8" s="8">
        <v>0.375</v>
      </c>
      <c r="P8" s="8">
        <v>0.75</v>
      </c>
      <c r="Q8" s="154" t="s">
        <v>23</v>
      </c>
      <c r="R8" s="154" t="s">
        <v>23</v>
      </c>
      <c r="S8" s="154" t="s">
        <v>23</v>
      </c>
      <c r="T8" s="154" t="s">
        <v>23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7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113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154" t="s">
        <v>23</v>
      </c>
      <c r="T10" s="154" t="s">
        <v>23</v>
      </c>
      <c r="U10" s="21">
        <f>IFERROR(__xludf.DUMMYFUNCTION("TO_PURE_NUMBER(SUM(FILTER(G10:T10, ISEVEN(COLUMN(G10:T10))))-SUM(FILTER(G10:T10, ISODD(COLUMN(G10:T10)))))*24"),45.000000000029)</f>
        <v>45.000000000029</v>
      </c>
    </row>
    <row r="11" customHeight="1" spans="1:21">
      <c r="A11" s="7">
        <v>10272259</v>
      </c>
      <c r="B11" s="7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0.375</v>
      </c>
      <c r="H11" s="8">
        <v>0.75</v>
      </c>
      <c r="I11" s="7" t="s">
        <v>23</v>
      </c>
      <c r="J11" s="7" t="s">
        <v>23</v>
      </c>
      <c r="K11" s="154" t="s">
        <v>23</v>
      </c>
      <c r="L11" s="154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  <c r="U11" s="21">
        <f>IFERROR(__xludf.DUMMYFUNCTION("TO_PURE_NUMBER(SUM(FILTER(G11:T11, ISEVEN(COLUMN(G11:T11))))-SUM(FILTER(G11:T11, ISODD(COLUMN(G11:T11)))))*24"),37)</f>
        <v>37</v>
      </c>
    </row>
    <row r="12" customHeight="1" spans="1:21">
      <c r="A12" s="7">
        <v>10320412</v>
      </c>
      <c r="B12" s="7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154" t="s">
        <v>23</v>
      </c>
      <c r="R12" s="154" t="s">
        <v>23</v>
      </c>
      <c r="S12" s="154" t="s">
        <v>23</v>
      </c>
      <c r="T12" s="154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154" t="s">
        <v>23</v>
      </c>
      <c r="P13" s="154" t="s">
        <v>23</v>
      </c>
      <c r="Q13" s="154" t="s">
        <v>23</v>
      </c>
      <c r="R13" s="154" t="s">
        <v>23</v>
      </c>
      <c r="S13" s="8">
        <v>0.458333333333333</v>
      </c>
      <c r="T13" s="8">
        <v>0.666666666666667</v>
      </c>
      <c r="U13" s="21">
        <f>IFERROR(__xludf.DUMMYFUNCTION("TO_PURE_NUMBER(SUM(FILTER(G13:T13, ISEVEN(COLUMN(G13:T13))))-SUM(FILTER(G13:T13, ISODD(COLUMN(G13:T13)))))*24"),41)</f>
        <v>41</v>
      </c>
    </row>
    <row r="14" customHeight="1" spans="1:21">
      <c r="A14" s="7">
        <v>10316618</v>
      </c>
      <c r="B14" s="7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7" t="s">
        <v>36</v>
      </c>
      <c r="J14" s="7" t="s">
        <v>36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154" t="s">
        <v>23</v>
      </c>
      <c r="R14" s="154" t="s">
        <v>23</v>
      </c>
      <c r="S14" s="154" t="s">
        <v>23</v>
      </c>
      <c r="T14" s="154" t="s">
        <v>23</v>
      </c>
      <c r="U14" s="21">
        <f>IFERROR(__xludf.DUMMYFUNCTION("TO_PURE_NUMBER(SUM(FILTER(G14:T14, ISEVEN(COLUMN(G14:T14))))-SUM(FILTER(G14:T14, ISODD(COLUMN(G14:T14)))))*24"),36)</f>
        <v>36</v>
      </c>
    </row>
    <row r="15" customHeight="1" spans="1:21">
      <c r="A15" s="7">
        <v>10250963</v>
      </c>
      <c r="B15" s="7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7" t="s">
        <v>23</v>
      </c>
      <c r="H15" s="7" t="s">
        <v>23</v>
      </c>
      <c r="I15" s="8">
        <v>0.416666666667879</v>
      </c>
      <c r="J15" s="8">
        <v>0.833333333332121</v>
      </c>
      <c r="K15" s="8">
        <v>0.416666666666667</v>
      </c>
      <c r="L15" s="8">
        <v>0.833333333333333</v>
      </c>
      <c r="M15" s="8">
        <v>0.416666666666667</v>
      </c>
      <c r="N15" s="8">
        <v>0.833333333333333</v>
      </c>
      <c r="O15" s="8">
        <v>0.416666666666667</v>
      </c>
      <c r="P15" s="8">
        <v>0.833333333333333</v>
      </c>
      <c r="Q15" s="8">
        <v>0.458333333333333</v>
      </c>
      <c r="R15" s="8">
        <v>0.666666666666667</v>
      </c>
      <c r="S15" s="154" t="s">
        <v>23</v>
      </c>
      <c r="T15" s="154" t="s">
        <v>23</v>
      </c>
      <c r="U15" s="21">
        <f>IFERROR(__xludf.DUMMYFUNCTION("TO_PURE_NUMBER(SUM(FILTER(G15:T15, ISEVEN(COLUMN(G15:T15))))-SUM(FILTER(G15:T15, ISODD(COLUMN(G15:T15)))))*24"),44.9999999999417)</f>
        <v>44.9999999999417</v>
      </c>
    </row>
    <row r="16" customHeight="1" spans="1:21">
      <c r="A16" s="7">
        <v>10295555</v>
      </c>
      <c r="B16" s="7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7" t="s">
        <v>36</v>
      </c>
      <c r="H16" s="7" t="s">
        <v>36</v>
      </c>
      <c r="I16" s="7" t="s">
        <v>23</v>
      </c>
      <c r="J16" s="7" t="s">
        <v>23</v>
      </c>
      <c r="K16" s="154" t="s">
        <v>23</v>
      </c>
      <c r="L16" s="154" t="s">
        <v>23</v>
      </c>
      <c r="M16" s="8">
        <v>0.666666666666667</v>
      </c>
      <c r="N16" s="8">
        <v>0.875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  <c r="U16" s="21">
        <f>IFERROR(__xludf.DUMMYFUNCTION("TO_PURE_NUMBER(SUM(FILTER(G16:T16, ISEVEN(COLUMN(G16:T16))))-SUM(FILTER(G16:T16, ISODD(COLUMN(G16:T16)))))*24"),19.9999999999999)</f>
        <v>19.9999999999999</v>
      </c>
    </row>
    <row r="17" customHeight="1" spans="1:21">
      <c r="A17" s="7">
        <v>10317520</v>
      </c>
      <c r="B17" s="7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0.375</v>
      </c>
      <c r="J17" s="8">
        <v>0.791666666667879</v>
      </c>
      <c r="K17" s="8">
        <v>0.375</v>
      </c>
      <c r="L17" s="8">
        <v>0.791666666666667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154" t="s">
        <v>23</v>
      </c>
      <c r="T17" s="154" t="s">
        <v>23</v>
      </c>
      <c r="U17" s="21">
        <f>IFERROR(__xludf.DUMMYFUNCTION("TO_PURE_NUMBER(SUM(FILTER(G17:T17, ISEVEN(COLUMN(G17:T17))))-SUM(FILTER(G17:T17, ISODD(COLUMN(G17:T17)))))*24"),45.0000000000291)</f>
        <v>45.0000000000291</v>
      </c>
    </row>
    <row r="18" customHeight="1" spans="1:21">
      <c r="A18" s="7">
        <v>10320414</v>
      </c>
      <c r="B18" s="7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154" t="s">
        <v>23</v>
      </c>
      <c r="T18" s="154" t="s">
        <v>23</v>
      </c>
      <c r="U18" s="21">
        <f>IFERROR(__xludf.DUMMYFUNCTION("TO_PURE_NUMBER(SUM(FILTER(G18:T18, ISEVEN(COLUMN(G18:T18))))-SUM(FILTER(G18:T18, ISODD(COLUMN(G18:T18)))))*24"),45.0000000000291)</f>
        <v>45.0000000000291</v>
      </c>
    </row>
    <row r="19" customHeight="1" spans="1:21">
      <c r="A19" s="7">
        <v>10316681</v>
      </c>
      <c r="B19" s="7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154" t="s">
        <v>23</v>
      </c>
      <c r="R19" s="154" t="s">
        <v>23</v>
      </c>
      <c r="S19" s="154" t="s">
        <v>23</v>
      </c>
      <c r="T19" s="154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7" t="s">
        <v>36</v>
      </c>
      <c r="H20" s="7" t="s">
        <v>36</v>
      </c>
      <c r="I20" s="7" t="s">
        <v>36</v>
      </c>
      <c r="J20" s="7" t="s">
        <v>36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154" t="s">
        <v>23</v>
      </c>
      <c r="R20" s="154" t="s">
        <v>23</v>
      </c>
      <c r="S20" s="154" t="s">
        <v>23</v>
      </c>
      <c r="T20" s="154" t="s">
        <v>23</v>
      </c>
      <c r="U20" s="21">
        <f>IFERROR(__xludf.DUMMYFUNCTION("TO_PURE_NUMBER(SUM(FILTER(G20:T20, ISEVEN(COLUMN(G20:T20))))-SUM(FILTER(G20:T20, ISODD(COLUMN(G20:T20)))))*24"),27)</f>
        <v>27</v>
      </c>
    </row>
    <row r="21" customHeight="1" spans="1:21">
      <c r="A21" s="7">
        <v>10320416</v>
      </c>
      <c r="B21" s="7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154" t="s">
        <v>23</v>
      </c>
      <c r="R21" s="154" t="s">
        <v>23</v>
      </c>
      <c r="S21" s="154" t="s">
        <v>23</v>
      </c>
      <c r="T21" s="154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0.791666666666667</v>
      </c>
      <c r="M22" s="8">
        <v>0.375</v>
      </c>
      <c r="N22" s="8">
        <v>0.791666666666667</v>
      </c>
      <c r="O22" s="8">
        <v>0.375</v>
      </c>
      <c r="P22" s="8">
        <v>0.791666666666667</v>
      </c>
      <c r="Q22" s="8">
        <v>0.458333333333333</v>
      </c>
      <c r="R22" s="8">
        <v>0.666666666666667</v>
      </c>
      <c r="S22" s="154" t="s">
        <v>23</v>
      </c>
      <c r="T22" s="154" t="s">
        <v>23</v>
      </c>
      <c r="U22" s="21">
        <f>IFERROR(__xludf.DUMMYFUNCTION("TO_PURE_NUMBER(SUM(FILTER(G22:T22, ISEVEN(COLUMN(G22:T22))))-SUM(FILTER(G22:T22, ISODD(COLUMN(G22:T22)))))*24"),45.000000000029)</f>
        <v>45.000000000029</v>
      </c>
    </row>
    <row r="23" customHeight="1" spans="1:21">
      <c r="A23" s="7">
        <v>10316680</v>
      </c>
      <c r="B23" s="7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154" t="s">
        <v>23</v>
      </c>
      <c r="R23" s="154" t="s">
        <v>23</v>
      </c>
      <c r="S23" s="154" t="s">
        <v>23</v>
      </c>
      <c r="T23" s="154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7" t="s">
        <v>36</v>
      </c>
      <c r="H24" s="7" t="s">
        <v>36</v>
      </c>
      <c r="I24" s="7" t="s">
        <v>36</v>
      </c>
      <c r="J24" s="7" t="s">
        <v>36</v>
      </c>
      <c r="K24" s="7" t="s">
        <v>36</v>
      </c>
      <c r="L24" s="7" t="s">
        <v>36</v>
      </c>
      <c r="M24" s="8">
        <v>0.416666666666667</v>
      </c>
      <c r="N24" s="8">
        <v>0.833333333333333</v>
      </c>
      <c r="O24" s="154" t="s">
        <v>23</v>
      </c>
      <c r="P24" s="154" t="s">
        <v>23</v>
      </c>
      <c r="Q24" s="154" t="s">
        <v>23</v>
      </c>
      <c r="R24" s="154" t="s">
        <v>23</v>
      </c>
      <c r="S24" s="8">
        <v>0.458333333333333</v>
      </c>
      <c r="T24" s="8">
        <v>0.666666666666667</v>
      </c>
      <c r="U24" s="21">
        <f>IFERROR(__xludf.DUMMYFUNCTION("TO_PURE_NUMBER(SUM(FILTER(G24:T24, ISEVEN(COLUMN(G24:T24))))-SUM(FILTER(G24:T24, ISODD(COLUMN(G24:T24)))))*24"),15)</f>
        <v>15</v>
      </c>
    </row>
    <row r="25" customHeight="1" spans="1:21">
      <c r="A25" s="7">
        <v>10250966</v>
      </c>
      <c r="B25" s="7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7" t="s">
        <v>36</v>
      </c>
      <c r="L25" s="7" t="s">
        <v>36</v>
      </c>
      <c r="M25" s="8">
        <v>0.375</v>
      </c>
      <c r="N25" s="8">
        <v>0.791666666666667</v>
      </c>
      <c r="O25" s="154" t="s">
        <v>23</v>
      </c>
      <c r="P25" s="154" t="s">
        <v>23</v>
      </c>
      <c r="Q25" s="154" t="s">
        <v>23</v>
      </c>
      <c r="R25" s="154" t="s">
        <v>23</v>
      </c>
      <c r="S25" s="8">
        <v>0.458333333333333</v>
      </c>
      <c r="T25" s="8">
        <v>0.666666666666667</v>
      </c>
      <c r="U25" s="21">
        <f>IFERROR(__xludf.DUMMYFUNCTION("TO_PURE_NUMBER(SUM(FILTER(G25:T25, ISEVEN(COLUMN(G25:T25))))-SUM(FILTER(G25:T25, ISODD(COLUMN(G25:T25)))))*24"),35.0000000000582)</f>
        <v>35.0000000000582</v>
      </c>
    </row>
    <row r="26" customHeight="1" spans="1:21">
      <c r="A26" s="7">
        <v>10316543</v>
      </c>
      <c r="B26" s="7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0.791666666667879</v>
      </c>
      <c r="I26" s="8">
        <v>0.375</v>
      </c>
      <c r="J26" s="8">
        <v>0.791666666667879</v>
      </c>
      <c r="K26" s="8">
        <v>0.375</v>
      </c>
      <c r="L26" s="8">
        <v>0.791666666667879</v>
      </c>
      <c r="M26" s="8">
        <v>0.375</v>
      </c>
      <c r="N26" s="8">
        <v>0.791666666667879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113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0.458333333333333</v>
      </c>
      <c r="L27" s="8">
        <v>0.875</v>
      </c>
      <c r="M27" s="8">
        <v>0.458333333333333</v>
      </c>
      <c r="N27" s="8">
        <v>0.875</v>
      </c>
      <c r="O27" s="8">
        <v>0.458333333333333</v>
      </c>
      <c r="P27" s="8">
        <v>0.875</v>
      </c>
      <c r="Q27" s="8">
        <v>0.458333333333333</v>
      </c>
      <c r="R27" s="8">
        <v>0.666666666666667</v>
      </c>
      <c r="S27" s="154" t="s">
        <v>23</v>
      </c>
      <c r="T27" s="154" t="s">
        <v>23</v>
      </c>
      <c r="U27" s="21">
        <f>IFERROR(__xludf.DUMMYFUNCTION("TO_PURE_NUMBER(SUM(FILTER(G27:T27, ISEVEN(COLUMN(G27:T27))))-SUM(FILTER(G27:T27, ISODD(COLUMN(G27:T27)))))*24"),45.0000000000291)</f>
        <v>45.0000000000291</v>
      </c>
    </row>
    <row r="28" customHeight="1" spans="1:21">
      <c r="A28" s="7">
        <v>10317521</v>
      </c>
      <c r="B28" s="7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0.375</v>
      </c>
      <c r="J28" s="8">
        <v>0.791666666667879</v>
      </c>
      <c r="K28" s="8">
        <v>0.375</v>
      </c>
      <c r="L28" s="8">
        <v>0.791666666666667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154" t="s">
        <v>23</v>
      </c>
      <c r="T28" s="154" t="s">
        <v>23</v>
      </c>
      <c r="U28" s="21">
        <f>IFERROR(__xludf.DUMMYFUNCTION("TO_PURE_NUMBER(SUM(FILTER(G28:T28, ISEVEN(COLUMN(G28:T28))))-SUM(FILTER(G28:T28, ISODD(COLUMN(G28:T28)))))*24"),45.0000000000291)</f>
        <v>45.0000000000291</v>
      </c>
    </row>
    <row r="29" customHeight="1" spans="1:21">
      <c r="A29" s="7">
        <v>10317517</v>
      </c>
      <c r="B29" s="7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7" t="s">
        <v>23</v>
      </c>
      <c r="H29" s="7" t="s">
        <v>23</v>
      </c>
      <c r="I29" s="7" t="s">
        <v>36</v>
      </c>
      <c r="J29" s="7" t="s">
        <v>36</v>
      </c>
      <c r="K29" s="8">
        <v>0.458333333333333</v>
      </c>
      <c r="L29" s="8">
        <v>0.875</v>
      </c>
      <c r="M29" s="8">
        <v>0.458333333333333</v>
      </c>
      <c r="N29" s="8">
        <v>0.875</v>
      </c>
      <c r="O29" s="8">
        <v>0.458333333333333</v>
      </c>
      <c r="P29" s="8">
        <v>0.875</v>
      </c>
      <c r="Q29" s="8">
        <v>0.458333333333333</v>
      </c>
      <c r="R29" s="8">
        <v>0.666666666666667</v>
      </c>
      <c r="S29" s="154" t="s">
        <v>23</v>
      </c>
      <c r="T29" s="154" t="s">
        <v>23</v>
      </c>
      <c r="U29" s="21">
        <f>IFERROR(__xludf.DUMMYFUNCTION("TO_PURE_NUMBER(SUM(FILTER(G29:T29, ISEVEN(COLUMN(G29:T29))))-SUM(FILTER(G29:T29, ISODD(COLUMN(G29:T29)))))*24"),35)</f>
        <v>35</v>
      </c>
    </row>
    <row r="30" customHeight="1" spans="1:21">
      <c r="A30" s="7">
        <v>10252106</v>
      </c>
      <c r="B30" s="7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7" t="s">
        <v>36</v>
      </c>
      <c r="H30" s="7" t="s">
        <v>36</v>
      </c>
      <c r="I30" s="7" t="s">
        <v>23</v>
      </c>
      <c r="J30" s="7" t="s">
        <v>23</v>
      </c>
      <c r="K30" s="154" t="s">
        <v>23</v>
      </c>
      <c r="L30" s="154" t="s">
        <v>23</v>
      </c>
      <c r="M30" s="8">
        <v>0.5</v>
      </c>
      <c r="N30" s="8">
        <v>0.875</v>
      </c>
      <c r="O30" s="7" t="s">
        <v>36</v>
      </c>
      <c r="P30" s="7" t="s">
        <v>36</v>
      </c>
      <c r="Q30" s="7" t="s">
        <v>36</v>
      </c>
      <c r="R30" s="7" t="s">
        <v>36</v>
      </c>
      <c r="S30" s="8">
        <v>0.458333333333333</v>
      </c>
      <c r="T30" s="8">
        <v>0.666666666666667</v>
      </c>
      <c r="U30" s="21">
        <f>IFERROR(__xludf.DUMMYFUNCTION("TO_PURE_NUMBER(SUM(FILTER(G30:T30, ISEVEN(COLUMN(G30:T30))))-SUM(FILTER(G30:T30, ISODD(COLUMN(G30:T30)))))*24"),13.9999999999999)</f>
        <v>13.9999999999999</v>
      </c>
    </row>
    <row r="31" customHeight="1" spans="1:21">
      <c r="A31" s="7">
        <v>10320407</v>
      </c>
      <c r="B31" s="7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154" t="s">
        <v>23</v>
      </c>
      <c r="T31" s="154" t="s">
        <v>23</v>
      </c>
      <c r="U31" s="21">
        <f>IFERROR(__xludf.DUMMYFUNCTION("TO_PURE_NUMBER(SUM(FILTER(G31:T31, ISEVEN(COLUMN(G31:T31))))-SUM(FILTER(G31:T31, ISODD(COLUMN(G31:T31)))))*24"),45.0000000000291)</f>
        <v>45.0000000000291</v>
      </c>
    </row>
    <row r="32" customHeight="1" spans="1:21">
      <c r="A32" s="7">
        <v>10320417</v>
      </c>
      <c r="B32" s="7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154" t="s">
        <v>23</v>
      </c>
      <c r="P32" s="154" t="s">
        <v>23</v>
      </c>
      <c r="Q32" s="154" t="s">
        <v>23</v>
      </c>
      <c r="R32" s="154" t="s">
        <v>23</v>
      </c>
      <c r="S32" s="8">
        <v>0.458333333333333</v>
      </c>
      <c r="T32" s="8">
        <v>0.666666666666667</v>
      </c>
      <c r="U32" s="21">
        <f>IFERROR(__xludf.DUMMYFUNCTION("TO_PURE_NUMBER(SUM(FILTER(G32:T32, ISEVEN(COLUMN(G32:T32))))-SUM(FILTER(G32:T32, ISODD(COLUMN(G32:T32)))))*24"),45.0000000000582)</f>
        <v>45.0000000000582</v>
      </c>
    </row>
    <row r="33" customHeight="1" spans="1:21">
      <c r="A33" s="7">
        <v>10317154</v>
      </c>
      <c r="B33" s="7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0.416666666667879</v>
      </c>
      <c r="H33" s="8">
        <v>0.833333333332121</v>
      </c>
      <c r="I33" s="8">
        <v>0.416666666667879</v>
      </c>
      <c r="J33" s="8">
        <v>0.833333333332121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154" t="s">
        <v>23</v>
      </c>
      <c r="P33" s="154" t="s">
        <v>23</v>
      </c>
      <c r="Q33" s="154" t="s">
        <v>23</v>
      </c>
      <c r="R33" s="154" t="s">
        <v>23</v>
      </c>
      <c r="S33" s="8">
        <v>0.416666666666667</v>
      </c>
      <c r="T33" s="8">
        <v>0.625</v>
      </c>
      <c r="U33" s="21">
        <f>IFERROR(__xludf.DUMMYFUNCTION("TO_PURE_NUMBER(SUM(FILTER(G33:T33, ISEVEN(COLUMN(G33:T33))))-SUM(FILTER(G33:T33, ISODD(COLUMN(G33:T33)))))*24"),44.9999999998835)</f>
        <v>44.9999999998835</v>
      </c>
    </row>
    <row r="34" customHeight="1" spans="1:21">
      <c r="A34" s="7">
        <v>10320436</v>
      </c>
      <c r="B34" s="7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154" t="s">
        <v>23</v>
      </c>
      <c r="P34" s="154" t="s">
        <v>23</v>
      </c>
      <c r="Q34" s="154" t="s">
        <v>23</v>
      </c>
      <c r="R34" s="154" t="s">
        <v>23</v>
      </c>
      <c r="S34" s="8">
        <v>0.458333333333333</v>
      </c>
      <c r="T34" s="8">
        <v>0.666666666666667</v>
      </c>
      <c r="U34" s="21">
        <f>IFERROR(__xludf.DUMMYFUNCTION("TO_PURE_NUMBER(SUM(FILTER(G34:T34, ISEVEN(COLUMN(G34:T34))))-SUM(FILTER(G34:T34, ISODD(COLUMN(G34:T34)))))*24"),45.0000000000582)</f>
        <v>45.0000000000582</v>
      </c>
    </row>
    <row r="35" customHeight="1" spans="1:21">
      <c r="A35" s="7">
        <v>10316538</v>
      </c>
      <c r="B35" s="7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7" t="s">
        <v>23</v>
      </c>
      <c r="J35" s="7" t="s">
        <v>23</v>
      </c>
      <c r="K35" s="154" t="s">
        <v>23</v>
      </c>
      <c r="L35" s="154" t="s">
        <v>23</v>
      </c>
      <c r="M35" s="8">
        <v>0.375</v>
      </c>
      <c r="N35" s="8">
        <v>0.75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  <c r="U35" s="21">
        <f>IFERROR(__xludf.DUMMYFUNCTION("TO_PURE_NUMBER(SUM(FILTER(G35:T35, ISEVEN(COLUMN(G35:T35))))-SUM(FILTER(G35:T35, ISODD(COLUMN(G35:T35)))))*24"),37)</f>
        <v>37</v>
      </c>
    </row>
    <row r="36" customHeight="1" spans="1:21">
      <c r="A36" s="7">
        <v>10293607</v>
      </c>
      <c r="B36" s="7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7" t="s">
        <v>36</v>
      </c>
      <c r="H36" s="7" t="s">
        <v>36</v>
      </c>
      <c r="I36" s="8">
        <v>0.375</v>
      </c>
      <c r="J36" s="8">
        <v>0.791666666667879</v>
      </c>
      <c r="K36" s="7" t="s">
        <v>36</v>
      </c>
      <c r="L36" s="7" t="s">
        <v>36</v>
      </c>
      <c r="M36" s="8">
        <v>0.375</v>
      </c>
      <c r="N36" s="8">
        <v>0.791666666666667</v>
      </c>
      <c r="O36" s="154" t="s">
        <v>23</v>
      </c>
      <c r="P36" s="154" t="s">
        <v>23</v>
      </c>
      <c r="Q36" s="154" t="s">
        <v>23</v>
      </c>
      <c r="R36" s="154" t="s">
        <v>23</v>
      </c>
      <c r="S36" s="8">
        <v>0.458333333333333</v>
      </c>
      <c r="T36" s="8">
        <v>0.666666666666667</v>
      </c>
      <c r="U36" s="21">
        <f>IFERROR(__xludf.DUMMYFUNCTION("TO_PURE_NUMBER(SUM(FILTER(G36:T36, ISEVEN(COLUMN(G36:T36))))-SUM(FILTER(G36:T36, ISODD(COLUMN(G36:T36)))))*24"),25.000000000029)</f>
        <v>25.000000000029</v>
      </c>
    </row>
    <row r="37" customHeight="1" spans="1:21">
      <c r="A37" s="7">
        <v>10316545</v>
      </c>
      <c r="B37" s="7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154" t="s">
        <v>23</v>
      </c>
      <c r="R37" s="154" t="s">
        <v>23</v>
      </c>
      <c r="S37" s="154" t="s">
        <v>23</v>
      </c>
      <c r="T37" s="154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154" t="s">
        <v>23</v>
      </c>
      <c r="P38" s="154" t="s">
        <v>23</v>
      </c>
      <c r="Q38" s="154" t="s">
        <v>23</v>
      </c>
      <c r="R38" s="154" t="s">
        <v>23</v>
      </c>
      <c r="S38" s="8">
        <v>0.416666666666667</v>
      </c>
      <c r="T38" s="8">
        <v>0.625</v>
      </c>
      <c r="U38" s="21">
        <f>IFERROR(__xludf.DUMMYFUNCTION("TO_PURE_NUMBER(SUM(FILTER(G38:T38, ISEVEN(COLUMN(G38:T38))))-SUM(FILTER(G38:T38, ISODD(COLUMN(G38:T38)))))*24"),45.0000000000582)</f>
        <v>45.0000000000582</v>
      </c>
    </row>
    <row r="39" customHeight="1" spans="1:21">
      <c r="A39" s="7">
        <v>10316685</v>
      </c>
      <c r="B39" s="7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154" t="s">
        <v>23</v>
      </c>
      <c r="R39" s="154" t="s">
        <v>23</v>
      </c>
      <c r="S39" s="154" t="s">
        <v>23</v>
      </c>
      <c r="T39" s="154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7" t="s">
        <v>23</v>
      </c>
      <c r="J40" s="7" t="s">
        <v>23</v>
      </c>
      <c r="K40" s="154" t="s">
        <v>23</v>
      </c>
      <c r="L40" s="154" t="s">
        <v>23</v>
      </c>
      <c r="M40" s="8">
        <v>0.5</v>
      </c>
      <c r="N40" s="8">
        <v>0.875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  <c r="U40" s="21">
        <f>IFERROR(__xludf.DUMMYFUNCTION("TO_PURE_NUMBER(SUM(FILTER(G40:T40, ISEVEN(COLUMN(G40:T40))))-SUM(FILTER(G40:T40, ISODD(COLUMN(G40:T40)))))*24"),37)</f>
        <v>37</v>
      </c>
    </row>
    <row r="41" customHeight="1" spans="1:21">
      <c r="A41" s="7">
        <v>10276839</v>
      </c>
      <c r="B41" s="7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0.458333333333333</v>
      </c>
      <c r="L41" s="8">
        <v>0.875</v>
      </c>
      <c r="M41" s="8">
        <v>0.458333333333333</v>
      </c>
      <c r="N41" s="8">
        <v>0.875</v>
      </c>
      <c r="O41" s="154" t="s">
        <v>23</v>
      </c>
      <c r="P41" s="154" t="s">
        <v>23</v>
      </c>
      <c r="Q41" s="154" t="s">
        <v>23</v>
      </c>
      <c r="R41" s="154" t="s">
        <v>23</v>
      </c>
      <c r="S41" s="8">
        <v>0.458333333333333</v>
      </c>
      <c r="T41" s="8">
        <v>0.666666666666667</v>
      </c>
      <c r="U41" s="21">
        <f>IFERROR(__xludf.DUMMYFUNCTION("TO_PURE_NUMBER(SUM(FILTER(G41:T41, ISEVEN(COLUMN(G41:T41))))-SUM(FILTER(G41:T41, ISODD(COLUMN(G41:T41)))))*24"),45.0000000000582)</f>
        <v>45.0000000000582</v>
      </c>
    </row>
    <row r="42" customHeight="1" spans="1:21">
      <c r="A42" s="7">
        <v>10320419</v>
      </c>
      <c r="B42" s="7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154" t="s">
        <v>23</v>
      </c>
      <c r="T42" s="154" t="s">
        <v>23</v>
      </c>
      <c r="U42" s="21">
        <f>IFERROR(__xludf.DUMMYFUNCTION("TO_PURE_NUMBER(SUM(FILTER(G42:T42, ISEVEN(COLUMN(G42:T42))))-SUM(FILTER(G42:T42, ISODD(COLUMN(G42:T42)))))*24"),45.0000000000291)</f>
        <v>45.0000000000291</v>
      </c>
    </row>
    <row r="43" customHeight="1" spans="1:21">
      <c r="A43" s="7">
        <v>10316546</v>
      </c>
      <c r="B43" s="7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>
        <v>0.375</v>
      </c>
      <c r="H43" s="8">
        <v>0.75</v>
      </c>
      <c r="I43" s="7" t="s">
        <v>23</v>
      </c>
      <c r="J43" s="7" t="s">
        <v>23</v>
      </c>
      <c r="K43" s="154" t="s">
        <v>23</v>
      </c>
      <c r="L43" s="154" t="s">
        <v>23</v>
      </c>
      <c r="M43" s="8">
        <v>0.375</v>
      </c>
      <c r="N43" s="8">
        <v>0.75</v>
      </c>
      <c r="O43" s="8">
        <v>0.375</v>
      </c>
      <c r="P43" s="8">
        <v>0.75</v>
      </c>
      <c r="Q43" s="8">
        <v>0.458333333333333</v>
      </c>
      <c r="R43" s="8">
        <v>0.666666666666667</v>
      </c>
      <c r="S43" s="8">
        <v>0.458333333333333</v>
      </c>
      <c r="T43" s="8">
        <v>0.666666666666667</v>
      </c>
      <c r="U43" s="21">
        <f>IFERROR(__xludf.DUMMYFUNCTION("TO_PURE_NUMBER(SUM(FILTER(G43:T43, ISEVEN(COLUMN(G43:T43))))-SUM(FILTER(G43:T43, ISODD(COLUMN(G43:T43)))))*24"),37)</f>
        <v>37</v>
      </c>
    </row>
    <row r="44" customHeight="1" spans="1:21">
      <c r="A44" s="7">
        <v>10316551</v>
      </c>
      <c r="B44" s="7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154" t="s">
        <v>23</v>
      </c>
      <c r="P44" s="154" t="s">
        <v>23</v>
      </c>
      <c r="Q44" s="154" t="s">
        <v>23</v>
      </c>
      <c r="R44" s="154" t="s">
        <v>23</v>
      </c>
      <c r="S44" s="8">
        <v>0.458333333333333</v>
      </c>
      <c r="T44" s="8">
        <v>0.666666666666667</v>
      </c>
      <c r="U44" s="21">
        <f>IFERROR(__xludf.DUMMYFUNCTION("TO_PURE_NUMBER(SUM(FILTER(G44:T44, ISEVEN(COLUMN(G44:T44))))-SUM(FILTER(G44:T44, ISODD(COLUMN(G44:T44)))))*24"),45.0000000000582)</f>
        <v>45.0000000000582</v>
      </c>
    </row>
    <row r="45" customHeight="1" spans="1:21">
      <c r="A45" s="7">
        <v>10320435</v>
      </c>
      <c r="B45" s="7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154" t="s">
        <v>23</v>
      </c>
      <c r="R45" s="154" t="s">
        <v>23</v>
      </c>
      <c r="S45" s="154" t="s">
        <v>23</v>
      </c>
      <c r="T45" s="154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154" t="s">
        <v>23</v>
      </c>
      <c r="R46" s="154" t="s">
        <v>23</v>
      </c>
      <c r="S46" s="154" t="s">
        <v>23</v>
      </c>
      <c r="T46" s="154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154" t="s">
        <v>23</v>
      </c>
      <c r="R47" s="154" t="s">
        <v>23</v>
      </c>
      <c r="S47" s="154" t="s">
        <v>23</v>
      </c>
      <c r="T47" s="154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154" t="s">
        <v>23</v>
      </c>
      <c r="P48" s="154" t="s">
        <v>23</v>
      </c>
      <c r="Q48" s="154" t="s">
        <v>23</v>
      </c>
      <c r="R48" s="154" t="s">
        <v>23</v>
      </c>
      <c r="S48" s="8">
        <v>0.458333333333333</v>
      </c>
      <c r="T48" s="8">
        <v>0.666666666666667</v>
      </c>
      <c r="U48" s="21">
        <f>IFERROR(__xludf.DUMMYFUNCTION("TO_PURE_NUMBER(SUM(FILTER(G48:T48, ISEVEN(COLUMN(G48:T48))))-SUM(FILTER(G48:T48, ISODD(COLUMN(G48:T48)))))*24"),45.0000000000582)</f>
        <v>45.0000000000582</v>
      </c>
    </row>
    <row r="49" customHeight="1" spans="1:21">
      <c r="A49" s="7">
        <v>10320409</v>
      </c>
      <c r="B49" s="7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0.5</v>
      </c>
      <c r="H49" s="8">
        <v>0.875</v>
      </c>
      <c r="I49" s="7" t="s">
        <v>23</v>
      </c>
      <c r="J49" s="7" t="s">
        <v>23</v>
      </c>
      <c r="K49" s="154" t="s">
        <v>23</v>
      </c>
      <c r="L49" s="154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  <c r="U49" s="21">
        <f>IFERROR(__xludf.DUMMYFUNCTION("TO_PURE_NUMBER(SUM(FILTER(G49:T49, ISEVEN(COLUMN(G49:T49))))-SUM(FILTER(G49:T49, ISODD(COLUMN(G49:T49)))))*24"),37)</f>
        <v>37</v>
      </c>
    </row>
    <row r="50" customHeight="1" spans="1:21">
      <c r="A50" s="7">
        <v>10317151</v>
      </c>
      <c r="B50" s="7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154" t="s">
        <v>23</v>
      </c>
      <c r="R50" s="154" t="s">
        <v>23</v>
      </c>
      <c r="S50" s="154" t="s">
        <v>23</v>
      </c>
      <c r="T50" s="154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154" t="s">
        <v>23</v>
      </c>
      <c r="T51" s="154" t="s">
        <v>23</v>
      </c>
      <c r="U51" s="21">
        <f>IFERROR(__xludf.DUMMYFUNCTION("TO_PURE_NUMBER(SUM(FILTER(G51:T51, ISEVEN(COLUMN(G51:T51))))-SUM(FILTER(G51:T51, ISODD(COLUMN(G51:T51)))))*24"),45.000000000029)</f>
        <v>45.000000000029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3:H3"/>
    <mergeCell ref="I3:J3"/>
    <mergeCell ref="K3:L3"/>
    <mergeCell ref="M3:N3"/>
    <mergeCell ref="O3:P3"/>
    <mergeCell ref="Q3:R3"/>
    <mergeCell ref="S3:T3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  <cfRule type="containsText" dxfId="7" priority="3" operator="between" text="AN">
      <formula>NOT(ISERROR(SEARCH("AN",G4)))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1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20">
      <c r="A1" s="173" t="s">
        <v>0</v>
      </c>
      <c r="B1" s="173" t="s">
        <v>1</v>
      </c>
      <c r="C1" s="173" t="s">
        <v>2</v>
      </c>
      <c r="D1" s="173" t="s">
        <v>3</v>
      </c>
      <c r="E1" s="173" t="s">
        <v>4</v>
      </c>
      <c r="F1" s="174" t="s">
        <v>5</v>
      </c>
      <c r="G1" s="175">
        <v>45663</v>
      </c>
      <c r="H1" s="14"/>
      <c r="I1" s="175">
        <v>45664</v>
      </c>
      <c r="J1" s="14"/>
      <c r="K1" s="175">
        <v>45665</v>
      </c>
      <c r="L1" s="14"/>
      <c r="M1" s="175">
        <v>45666</v>
      </c>
      <c r="N1" s="14"/>
      <c r="O1" s="175">
        <v>45667</v>
      </c>
      <c r="P1" s="14"/>
      <c r="Q1" s="175">
        <v>45668</v>
      </c>
      <c r="R1" s="14"/>
      <c r="S1" s="175">
        <v>45669</v>
      </c>
      <c r="T1" s="14"/>
    </row>
    <row r="2" customHeight="1" spans="1:20">
      <c r="A2" s="5"/>
      <c r="B2" s="5"/>
      <c r="C2" s="5"/>
      <c r="D2" s="5"/>
      <c r="E2" s="5"/>
      <c r="F2" s="5"/>
      <c r="G2" s="176" t="s">
        <v>6</v>
      </c>
      <c r="H2" s="14"/>
      <c r="I2" s="176" t="s">
        <v>7</v>
      </c>
      <c r="J2" s="14"/>
      <c r="K2" s="176" t="s">
        <v>8</v>
      </c>
      <c r="L2" s="14"/>
      <c r="M2" s="176" t="s">
        <v>9</v>
      </c>
      <c r="N2" s="14"/>
      <c r="O2" s="176" t="s">
        <v>10</v>
      </c>
      <c r="P2" s="14"/>
      <c r="Q2" s="176" t="s">
        <v>11</v>
      </c>
      <c r="R2" s="14"/>
      <c r="S2" s="176" t="s">
        <v>12</v>
      </c>
      <c r="T2" s="14"/>
    </row>
    <row r="3" customHeight="1" spans="1:20">
      <c r="A3" s="177"/>
      <c r="B3" s="177"/>
      <c r="C3" s="177"/>
      <c r="D3" s="177"/>
      <c r="E3" s="177"/>
      <c r="F3" s="177"/>
      <c r="G3" s="177" t="s">
        <v>13</v>
      </c>
      <c r="H3" s="177" t="s">
        <v>14</v>
      </c>
      <c r="I3" s="177" t="s">
        <v>13</v>
      </c>
      <c r="J3" s="177" t="s">
        <v>14</v>
      </c>
      <c r="K3" s="177" t="s">
        <v>13</v>
      </c>
      <c r="L3" s="177" t="s">
        <v>14</v>
      </c>
      <c r="M3" s="177" t="s">
        <v>13</v>
      </c>
      <c r="N3" s="177" t="s">
        <v>14</v>
      </c>
      <c r="O3" s="177" t="s">
        <v>13</v>
      </c>
      <c r="P3" s="177" t="s">
        <v>14</v>
      </c>
      <c r="Q3" s="177" t="s">
        <v>13</v>
      </c>
      <c r="R3" s="177" t="s">
        <v>14</v>
      </c>
      <c r="S3" s="177" t="s">
        <v>13</v>
      </c>
      <c r="T3" s="177" t="s">
        <v>14</v>
      </c>
    </row>
    <row r="4" customHeight="1" spans="1:21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0.458333333333333</v>
      </c>
      <c r="H5" s="8">
        <v>0.875</v>
      </c>
      <c r="I5" s="8">
        <v>0.458333333333333</v>
      </c>
      <c r="J5" s="8">
        <v>0.875</v>
      </c>
      <c r="K5" s="8">
        <v>0.458333333333333</v>
      </c>
      <c r="L5" s="8">
        <v>0.875</v>
      </c>
      <c r="M5" s="8">
        <v>0.458333333333333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  <c r="U5" s="21">
        <f>IFERROR(__xludf.DUMMYFUNCTION("TO_PURE_NUMBER(SUM(FILTER(G5:T5, ISEVEN(COLUMN(G5:T5))))-SUM(FILTER(G5:T5, ISODD(COLUMN(G5:T5)))))*24"),45)</f>
        <v>45</v>
      </c>
    </row>
    <row r="6" customHeight="1" spans="1:21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7" t="s">
        <v>36</v>
      </c>
      <c r="H6" s="7" t="s">
        <v>36</v>
      </c>
      <c r="I6" s="7" t="s">
        <v>36</v>
      </c>
      <c r="J6" s="7" t="s">
        <v>36</v>
      </c>
      <c r="K6" s="8">
        <v>0.458333333333333</v>
      </c>
      <c r="L6" s="8">
        <v>0.875</v>
      </c>
      <c r="M6" s="8">
        <v>0.458333333333333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  <c r="U6" s="21">
        <f>IFERROR(__xludf.DUMMYFUNCTION("TO_PURE_NUMBER(SUM(FILTER(G6:T6, ISEVEN(COLUMN(G6:T6))))-SUM(FILTER(G6:T6, ISODD(COLUMN(G6:T6)))))*24"),24.9999999999999)</f>
        <v>24.9999999999999</v>
      </c>
    </row>
    <row r="7" customHeight="1" spans="1:21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7" t="s">
        <v>36</v>
      </c>
      <c r="H7" s="7" t="s">
        <v>36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ISODD(COLUMN(G7:T7)))))*24"),36)</f>
        <v>36</v>
      </c>
    </row>
    <row r="8" customHeight="1" spans="1:21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0.458333333333333</v>
      </c>
      <c r="H8" s="8">
        <v>0.875</v>
      </c>
      <c r="I8" s="8">
        <v>0.458333333333333</v>
      </c>
      <c r="J8" s="8">
        <v>0.875</v>
      </c>
      <c r="K8" s="8">
        <v>0.458333333333333</v>
      </c>
      <c r="L8" s="8">
        <v>0.875</v>
      </c>
      <c r="M8" s="8">
        <v>0.458333333333333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  <c r="U9" s="21">
        <f>IFERROR(__xludf.DUMMYFUNCTION("TO_PURE_NUMBER(SUM(FILTER(G9:T9, ISEVEN(COLUMN(G9:T9))))-SUM(FILTER(G9:T9, ISODD(COLUMN(G9:T9)))))*24"),41)</f>
        <v>41</v>
      </c>
    </row>
    <row r="10" customHeight="1" spans="1:21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0.458333333333333</v>
      </c>
      <c r="J10" s="8">
        <v>0.875</v>
      </c>
      <c r="K10" s="8">
        <v>0.458333333333333</v>
      </c>
      <c r="L10" s="8">
        <v>0.875</v>
      </c>
      <c r="M10" s="8">
        <v>0.458333333333333</v>
      </c>
      <c r="N10" s="8">
        <v>0.875</v>
      </c>
      <c r="O10" s="8">
        <v>0.458333333333333</v>
      </c>
      <c r="P10" s="8">
        <v>0.875</v>
      </c>
      <c r="Q10" s="8">
        <v>0.458333333333333</v>
      </c>
      <c r="R10" s="8">
        <v>0.666666666666667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ISODD(COLUMN(G10:T10)))))*24"),45)</f>
        <v>45</v>
      </c>
    </row>
    <row r="11" customHeight="1" spans="1:21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8">
        <v>0.416666666666667</v>
      </c>
      <c r="T11" s="8">
        <v>0.625</v>
      </c>
      <c r="U11" s="21">
        <f>IFERROR(__xludf.DUMMYFUNCTION("TO_PURE_NUMBER(SUM(FILTER(G11:T11, ISEVEN(COLUMN(G11:T11))))-SUM(FILTER(G11:T11, ISODD(COLUMN(G11:T11)))))*24"),14)</f>
        <v>14</v>
      </c>
    </row>
    <row r="12" customHeight="1" spans="1:21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  <c r="U13" s="21">
        <f>IFERROR(__xludf.DUMMYFUNCTION("TO_PURE_NUMBER(SUM(FILTER(G13:T13, ISEVEN(COLUMN(G13:T13))))-SUM(FILTER(G13:T13, ISODD(COLUMN(G13:T13)))))*24"),41)</f>
        <v>41</v>
      </c>
    </row>
    <row r="14" customHeight="1" spans="1:21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7" t="s">
        <v>36</v>
      </c>
      <c r="H14" s="7" t="s">
        <v>36</v>
      </c>
      <c r="I14" s="7" t="s">
        <v>36</v>
      </c>
      <c r="J14" s="7" t="s">
        <v>36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ISODD(COLUMN(G14:T14)))))*24"),27)</f>
        <v>27</v>
      </c>
    </row>
    <row r="15" customHeight="1" spans="1:21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0.5</v>
      </c>
      <c r="H15" s="8">
        <v>0.875</v>
      </c>
      <c r="I15" s="8">
        <v>0.5</v>
      </c>
      <c r="J15" s="8">
        <v>0.875</v>
      </c>
      <c r="K15" s="8">
        <v>0.5</v>
      </c>
      <c r="L15" s="8">
        <v>0.875</v>
      </c>
      <c r="M15" s="8">
        <v>0.5</v>
      </c>
      <c r="N15" s="8">
        <v>0.875</v>
      </c>
      <c r="O15" s="8">
        <v>0.5</v>
      </c>
      <c r="P15" s="8">
        <v>0.875</v>
      </c>
      <c r="Q15" s="7" t="s">
        <v>23</v>
      </c>
      <c r="R15" s="7" t="s">
        <v>23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ISODD(COLUMN(G15:T15)))))*24"),45)</f>
        <v>45</v>
      </c>
    </row>
    <row r="16" customHeight="1" spans="1:21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0.666666666666667</v>
      </c>
      <c r="H16" s="8">
        <v>0.875</v>
      </c>
      <c r="I16" s="8">
        <v>0.666666666666667</v>
      </c>
      <c r="J16" s="8">
        <v>0.875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  <c r="U16" s="21">
        <f>IFERROR(__xludf.DUMMYFUNCTION("TO_PURE_NUMBER(SUM(FILTER(G16:T16, ISEVEN(COLUMN(G16:T16))))-SUM(FILTER(G16:T16, ISODD(COLUMN(G16:T16)))))*24"),24.9999999999999)</f>
        <v>24.9999999999999</v>
      </c>
    </row>
    <row r="17" customHeight="1" spans="1:21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ISODD(COLUMN(G17:T17)))))*24"),45)</f>
        <v>45</v>
      </c>
    </row>
    <row r="18" customHeight="1" spans="1:21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0.791666666666667</v>
      </c>
      <c r="K18" s="8">
        <v>0.375</v>
      </c>
      <c r="L18" s="8">
        <v>0.791666666666667</v>
      </c>
      <c r="M18" s="8">
        <v>0.375</v>
      </c>
      <c r="N18" s="8">
        <v>0.791666666666667</v>
      </c>
      <c r="O18" s="8">
        <v>0.375</v>
      </c>
      <c r="P18" s="8">
        <v>0.791666666666667</v>
      </c>
      <c r="Q18" s="8">
        <v>0.458333333333333</v>
      </c>
      <c r="R18" s="8">
        <v>0.666666666666667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ISODD(COLUMN(G18:T18)))))*24"),44.9999999999999)</f>
        <v>44.9999999999999</v>
      </c>
    </row>
    <row r="19" customHeight="1" spans="1:21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0.791666666666667</v>
      </c>
      <c r="I20" s="8">
        <v>0.375</v>
      </c>
      <c r="J20" s="8">
        <v>0.791666666666667</v>
      </c>
      <c r="K20" s="8">
        <v>0.375</v>
      </c>
      <c r="L20" s="8">
        <v>0.791666666666667</v>
      </c>
      <c r="M20" s="8">
        <v>0.375</v>
      </c>
      <c r="N20" s="8">
        <v>0.791666666666667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</row>
    <row r="21" customHeight="1" spans="1:21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36</v>
      </c>
      <c r="H22" s="7" t="s">
        <v>36</v>
      </c>
      <c r="I22" s="7" t="s">
        <v>36</v>
      </c>
      <c r="J22" s="7" t="s">
        <v>36</v>
      </c>
      <c r="K22" s="7" t="s">
        <v>36</v>
      </c>
      <c r="L22" s="7" t="s">
        <v>36</v>
      </c>
      <c r="M22" s="8">
        <v>0.5</v>
      </c>
      <c r="N22" s="8">
        <v>0.875</v>
      </c>
      <c r="O22" s="8">
        <v>0.5</v>
      </c>
      <c r="P22" s="8">
        <v>0.875</v>
      </c>
      <c r="Q22" s="7" t="s">
        <v>23</v>
      </c>
      <c r="R22" s="7" t="s">
        <v>23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ISODD(COLUMN(G22:T22)))))*24"),18)</f>
        <v>18</v>
      </c>
    </row>
    <row r="23" customHeight="1" spans="1:21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  <c r="U24" s="21">
        <f>IFERROR(__xludf.DUMMYFUNCTION("TO_PURE_NUMBER(SUM(FILTER(G24:T24, ISEVEN(COLUMN(G24:T24))))-SUM(FILTER(G24:T24, ISODD(COLUMN(G24:T24)))))*24"),45)</f>
        <v>45</v>
      </c>
    </row>
    <row r="25" customHeight="1" spans="1:21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  <c r="U25" s="21">
        <f>IFERROR(__xludf.DUMMYFUNCTION("TO_PURE_NUMBER(SUM(FILTER(G25:T25, ISEVEN(COLUMN(G25:T25))))-SUM(FILTER(G25:T25, ISODD(COLUMN(G25:T25)))))*24"),45)</f>
        <v>45</v>
      </c>
    </row>
    <row r="26" customHeight="1" spans="1:21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0.458333333333333</v>
      </c>
      <c r="H26" s="8">
        <v>0.875</v>
      </c>
      <c r="I26" s="8">
        <v>0.458333333333333</v>
      </c>
      <c r="J26" s="8">
        <v>0.875</v>
      </c>
      <c r="K26" s="8">
        <v>0.458333333333333</v>
      </c>
      <c r="L26" s="8">
        <v>0.875</v>
      </c>
      <c r="M26" s="8">
        <v>0.458333333333333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  <c r="U26" s="21">
        <f>IFERROR(__xludf.DUMMYFUNCTION("TO_PURE_NUMBER(SUM(FILTER(G26:T26, ISEVEN(COLUMN(G26:T26))))-SUM(FILTER(G26:T26, ISODD(COLUMN(G26:T26)))))*24"),45)</f>
        <v>45</v>
      </c>
    </row>
    <row r="27" customHeight="1" spans="1:21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93</v>
      </c>
      <c r="H27" s="7" t="s">
        <v>93</v>
      </c>
      <c r="I27" s="7" t="s">
        <v>93</v>
      </c>
      <c r="J27" s="7" t="s">
        <v>93</v>
      </c>
      <c r="K27" s="7" t="s">
        <v>93</v>
      </c>
      <c r="L27" s="7" t="s">
        <v>93</v>
      </c>
      <c r="M27" s="7" t="s">
        <v>93</v>
      </c>
      <c r="N27" s="7" t="s">
        <v>93</v>
      </c>
      <c r="O27" s="7" t="s">
        <v>93</v>
      </c>
      <c r="P27" s="7" t="s">
        <v>93</v>
      </c>
      <c r="Q27" s="7" t="s">
        <v>93</v>
      </c>
      <c r="R27" s="7" t="s">
        <v>93</v>
      </c>
      <c r="S27" s="7" t="s">
        <v>93</v>
      </c>
      <c r="T27" s="7" t="s">
        <v>93</v>
      </c>
      <c r="U27" s="21">
        <f>IFERROR(__xludf.DUMMYFUNCTION("TO_PURE_NUMBER(SUM(FILTER(G27:T27, ISEVEN(COLUMN(G27:T27))))-SUM(FILTER(G27:T27, ISODD(COLUMN(G27:T27)))))*24"),0)</f>
        <v>0</v>
      </c>
    </row>
    <row r="28" customHeight="1" spans="1:21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ISODD(COLUMN(G28:T28)))))*24"),45)</f>
        <v>45</v>
      </c>
    </row>
    <row r="29" customHeight="1" spans="1:21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0.375</v>
      </c>
      <c r="H29" s="8">
        <v>0.75</v>
      </c>
      <c r="I29" s="7" t="s">
        <v>36</v>
      </c>
      <c r="J29" s="7" t="s">
        <v>36</v>
      </c>
      <c r="K29" s="7" t="s">
        <v>36</v>
      </c>
      <c r="L29" s="7" t="s">
        <v>36</v>
      </c>
      <c r="M29" s="8">
        <v>0.375</v>
      </c>
      <c r="N29" s="8">
        <v>0.75</v>
      </c>
      <c r="O29" s="8">
        <v>0.375</v>
      </c>
      <c r="P29" s="8">
        <v>0.75</v>
      </c>
      <c r="Q29" s="7" t="s">
        <v>23</v>
      </c>
      <c r="R29" s="7" t="s">
        <v>23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ISODD(COLUMN(G29:T29)))))*24"),27)</f>
        <v>27</v>
      </c>
    </row>
    <row r="30" customHeight="1" spans="1:21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0.375</v>
      </c>
      <c r="H30" s="8">
        <v>0.75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7" t="s">
        <v>36</v>
      </c>
      <c r="P30" s="7" t="s">
        <v>36</v>
      </c>
      <c r="Q30" s="7" t="s">
        <v>36</v>
      </c>
      <c r="R30" s="7" t="s">
        <v>36</v>
      </c>
      <c r="S30" s="8">
        <v>0.458333333333333</v>
      </c>
      <c r="T30" s="8">
        <v>0.666666666666667</v>
      </c>
      <c r="U30" s="21">
        <f>IFERROR(__xludf.DUMMYFUNCTION("TO_PURE_NUMBER(SUM(FILTER(G30:T30, ISEVEN(COLUMN(G30:T30))))-SUM(FILTER(G30:T30, ISODD(COLUMN(G30:T30)))))*24"),23)</f>
        <v>23</v>
      </c>
    </row>
    <row r="31" customHeight="1" spans="1:21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7" t="s">
        <v>36</v>
      </c>
      <c r="J31" s="7" t="s">
        <v>36</v>
      </c>
      <c r="K31" s="8">
        <v>0.375</v>
      </c>
      <c r="L31" s="8">
        <v>0.791666666666667</v>
      </c>
      <c r="M31" s="8">
        <v>0.375</v>
      </c>
      <c r="N31" s="8">
        <v>0.791666666666667</v>
      </c>
      <c r="O31" s="8">
        <v>0.375</v>
      </c>
      <c r="P31" s="8">
        <v>0.791666666666667</v>
      </c>
      <c r="Q31" s="8">
        <v>0.458333333333333</v>
      </c>
      <c r="R31" s="8">
        <v>0.666666666666667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ISODD(COLUMN(G31:T31)))))*24"),35)</f>
        <v>35</v>
      </c>
    </row>
    <row r="32" customHeight="1" spans="1:21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0.375</v>
      </c>
      <c r="H32" s="8">
        <v>0.791666666666667</v>
      </c>
      <c r="I32" s="8">
        <v>0.375</v>
      </c>
      <c r="J32" s="8">
        <v>0.791666666666667</v>
      </c>
      <c r="K32" s="8">
        <v>0.375</v>
      </c>
      <c r="L32" s="8">
        <v>0.791666666666667</v>
      </c>
      <c r="M32" s="8">
        <v>0.375</v>
      </c>
      <c r="N32" s="8">
        <v>0.791666666666667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  <c r="U32" s="21">
        <f>IFERROR(__xludf.DUMMYFUNCTION("TO_PURE_NUMBER(SUM(FILTER(G32:T32, ISEVEN(COLUMN(G32:T32))))-SUM(FILTER(G32:T32, ISODD(COLUMN(G32:T32)))))*24"),44.9999999999999)</f>
        <v>44.9999999999999</v>
      </c>
    </row>
    <row r="33" customHeight="1" spans="1:21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0.333333333333333</v>
      </c>
      <c r="H33" s="8">
        <v>0.75</v>
      </c>
      <c r="I33" s="8">
        <v>0.333333333333333</v>
      </c>
      <c r="J33" s="8">
        <v>0.75</v>
      </c>
      <c r="K33" s="8">
        <v>0.333333333333333</v>
      </c>
      <c r="L33" s="8">
        <v>0.75</v>
      </c>
      <c r="M33" s="8">
        <v>0.333333333333333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0.791666666666667</v>
      </c>
      <c r="I34" s="8">
        <v>0.375</v>
      </c>
      <c r="J34" s="8">
        <v>0.791666666666667</v>
      </c>
      <c r="K34" s="8">
        <v>0.375</v>
      </c>
      <c r="L34" s="8">
        <v>0.791666666666667</v>
      </c>
      <c r="M34" s="8">
        <v>0.375</v>
      </c>
      <c r="N34" s="8">
        <v>0.791666666666667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  <c r="U34" s="21">
        <f>IFERROR(__xludf.DUMMYFUNCTION("TO_PURE_NUMBER(SUM(FILTER(G34:T34, ISEVEN(COLUMN(G34:T34))))-SUM(FILTER(G34:T34, ISODD(COLUMN(G34:T34)))))*24"),44.9999999999999)</f>
        <v>44.9999999999999</v>
      </c>
    </row>
    <row r="35" customHeight="1" spans="1:21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0.5</v>
      </c>
      <c r="P35" s="8">
        <v>0.875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  <c r="U35" s="21">
        <f>IFERROR(__xludf.DUMMYFUNCTION("TO_PURE_NUMBER(SUM(FILTER(G35:T35, ISEVEN(COLUMN(G35:T35))))-SUM(FILTER(G35:T35, ISODD(COLUMN(G35:T35)))))*24"),37)</f>
        <v>37</v>
      </c>
    </row>
    <row r="36" customHeight="1" spans="1:21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0.458333333333333</v>
      </c>
      <c r="H36" s="8">
        <v>0.875</v>
      </c>
      <c r="I36" s="8">
        <v>0.458333333333333</v>
      </c>
      <c r="J36" s="8">
        <v>0.875</v>
      </c>
      <c r="K36" s="8">
        <v>0.458333333333333</v>
      </c>
      <c r="L36" s="8">
        <v>0.875</v>
      </c>
      <c r="M36" s="8">
        <v>0.458333333333333</v>
      </c>
      <c r="N36" s="8">
        <v>0.875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  <c r="U38" s="21">
        <f>IFERROR(__xludf.DUMMYFUNCTION("TO_PURE_NUMBER(SUM(FILTER(G38:T38, ISEVEN(COLUMN(G38:T38))))-SUM(FILTER(G38:T38, ISODD(COLUMN(G38:T38)))))*24"),44.9999999999999)</f>
        <v>44.9999999999999</v>
      </c>
    </row>
    <row r="39" customHeight="1" spans="1:21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0.5</v>
      </c>
      <c r="H39" s="8">
        <v>0.875</v>
      </c>
      <c r="I39" s="8">
        <v>0.5</v>
      </c>
      <c r="J39" s="8">
        <v>0.875</v>
      </c>
      <c r="K39" s="8">
        <v>0.5</v>
      </c>
      <c r="L39" s="8">
        <v>0.875</v>
      </c>
      <c r="M39" s="8">
        <v>0.5</v>
      </c>
      <c r="N39" s="8">
        <v>0.875</v>
      </c>
      <c r="O39" s="8">
        <v>0.5</v>
      </c>
      <c r="P39" s="8">
        <v>0.875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0.375</v>
      </c>
      <c r="H40" s="8">
        <v>0.75</v>
      </c>
      <c r="I40" s="8">
        <v>0.375</v>
      </c>
      <c r="J40" s="8">
        <v>0.75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0.375</v>
      </c>
      <c r="P40" s="8">
        <v>0.75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  <c r="U40" s="21">
        <f>IFERROR(__xludf.DUMMYFUNCTION("TO_PURE_NUMBER(SUM(FILTER(G40:T40, ISEVEN(COLUMN(G40:T40))))-SUM(FILTER(G40:T40, ISODD(COLUMN(G40:T40)))))*24"),37)</f>
        <v>37</v>
      </c>
    </row>
    <row r="41" customHeight="1" spans="1:21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0.458333333333333</v>
      </c>
      <c r="H41" s="8">
        <v>0.875</v>
      </c>
      <c r="I41" s="8">
        <v>0.458333333333333</v>
      </c>
      <c r="J41" s="8">
        <v>0.875</v>
      </c>
      <c r="K41" s="8">
        <v>0.458333333333333</v>
      </c>
      <c r="L41" s="8">
        <v>0.875</v>
      </c>
      <c r="M41" s="8">
        <v>0.458333333333333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  <c r="U41" s="21">
        <f>IFERROR(__xludf.DUMMYFUNCTION("TO_PURE_NUMBER(SUM(FILTER(G41:T41, ISEVEN(COLUMN(G41:T41))))-SUM(FILTER(G41:T41, ISODD(COLUMN(G41:T41)))))*24"),45)</f>
        <v>45</v>
      </c>
    </row>
    <row r="42" customHeight="1" spans="1:21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0.375</v>
      </c>
      <c r="J42" s="8">
        <v>0.791666666666667</v>
      </c>
      <c r="K42" s="8">
        <v>0.375</v>
      </c>
      <c r="L42" s="8">
        <v>0.791666666666667</v>
      </c>
      <c r="M42" s="8">
        <v>0.375</v>
      </c>
      <c r="N42" s="8">
        <v>0.791666666666667</v>
      </c>
      <c r="O42" s="8">
        <v>0.375</v>
      </c>
      <c r="P42" s="8">
        <v>0.791666666666667</v>
      </c>
      <c r="Q42" s="8">
        <v>0.458333333333333</v>
      </c>
      <c r="R42" s="8">
        <v>0.666666666666667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ISODD(COLUMN(G42:T42)))))*24"),44.9999999999999)</f>
        <v>44.9999999999999</v>
      </c>
    </row>
    <row r="43" customHeight="1" spans="1:21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7" t="s">
        <v>94</v>
      </c>
      <c r="H43" s="7" t="s">
        <v>94</v>
      </c>
      <c r="I43" s="7" t="s">
        <v>94</v>
      </c>
      <c r="J43" s="7" t="s">
        <v>94</v>
      </c>
      <c r="K43" s="7" t="s">
        <v>94</v>
      </c>
      <c r="L43" s="7" t="s">
        <v>94</v>
      </c>
      <c r="M43" s="7" t="s">
        <v>94</v>
      </c>
      <c r="N43" s="7" t="s">
        <v>94</v>
      </c>
      <c r="O43" s="7" t="s">
        <v>94</v>
      </c>
      <c r="P43" s="7" t="s">
        <v>94</v>
      </c>
      <c r="Q43" s="7" t="s">
        <v>94</v>
      </c>
      <c r="R43" s="7" t="s">
        <v>94</v>
      </c>
      <c r="S43" s="7" t="s">
        <v>94</v>
      </c>
      <c r="T43" s="7" t="s">
        <v>94</v>
      </c>
      <c r="U43" s="21">
        <f>IFERROR(__xludf.DUMMYFUNCTION("TO_PURE_NUMBER(SUM(FILTER(G43:T43, ISEVEN(COLUMN(G43:T43))))-SUM(FILTER(G43:T43, ISODD(COLUMN(G43:T43)))))*24"),0)</f>
        <v>0</v>
      </c>
    </row>
    <row r="44" customHeight="1" spans="1:21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0.458333333333333</v>
      </c>
      <c r="H44" s="8">
        <v>0.875</v>
      </c>
      <c r="I44" s="8">
        <v>0.458333333333333</v>
      </c>
      <c r="J44" s="8">
        <v>0.875</v>
      </c>
      <c r="K44" s="8">
        <v>0.458333333333333</v>
      </c>
      <c r="L44" s="8">
        <v>0.875</v>
      </c>
      <c r="M44" s="8">
        <v>0.458333333333333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7" t="s">
        <v>36</v>
      </c>
      <c r="H47" s="7" t="s">
        <v>36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ISODD(COLUMN(G47:T47)))))*24"),36)</f>
        <v>36</v>
      </c>
    </row>
    <row r="48" customHeight="1" spans="1:21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0.375</v>
      </c>
      <c r="H48" s="8">
        <v>0.791666666666667</v>
      </c>
      <c r="I48" s="8">
        <v>0.375</v>
      </c>
      <c r="J48" s="8">
        <v>0.791666666666667</v>
      </c>
      <c r="K48" s="8">
        <v>0.375</v>
      </c>
      <c r="L48" s="8">
        <v>0.791666666666667</v>
      </c>
      <c r="M48" s="8">
        <v>0.375</v>
      </c>
      <c r="N48" s="8">
        <v>0.791666666666667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  <c r="U48" s="21">
        <f>IFERROR(__xludf.DUMMYFUNCTION("TO_PURE_NUMBER(SUM(FILTER(G48:T48, ISEVEN(COLUMN(G48:T48))))-SUM(FILTER(G48:T48, ISODD(COLUMN(G48:T48)))))*24"),44.9999999999999)</f>
        <v>44.9999999999999</v>
      </c>
    </row>
    <row r="49" customHeight="1" spans="1:21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0.5</v>
      </c>
      <c r="H49" s="8">
        <v>0.875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0.5</v>
      </c>
      <c r="N49" s="8">
        <v>0.875</v>
      </c>
      <c r="O49" s="8">
        <v>0.5</v>
      </c>
      <c r="P49" s="8">
        <v>0.875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  <c r="U49" s="21">
        <f>IFERROR(__xludf.DUMMYFUNCTION("TO_PURE_NUMBER(SUM(FILTER(G49:T49, ISEVEN(COLUMN(G49:T49))))-SUM(FILTER(G49:T49, ISODD(COLUMN(G49:T49)))))*24"),37)</f>
        <v>37</v>
      </c>
    </row>
    <row r="50" customHeight="1" spans="1:21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7" t="s">
        <v>36</v>
      </c>
      <c r="H50" s="7" t="s">
        <v>36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ISODD(COLUMN(G50:T50)))))*24"),36)</f>
        <v>36</v>
      </c>
    </row>
    <row r="51" customHeight="1" spans="1:21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0.458333333333333</v>
      </c>
      <c r="J51" s="8">
        <v>0.875</v>
      </c>
      <c r="K51" s="8">
        <v>0.458333333333333</v>
      </c>
      <c r="L51" s="8">
        <v>0.875</v>
      </c>
      <c r="M51" s="8">
        <v>0.458333333333333</v>
      </c>
      <c r="N51" s="8">
        <v>0.875</v>
      </c>
      <c r="O51" s="8">
        <v>0.458333333333333</v>
      </c>
      <c r="P51" s="8">
        <v>0.875</v>
      </c>
      <c r="Q51" s="8">
        <v>0.458333333333333</v>
      </c>
      <c r="R51" s="8">
        <v>0.666666666666667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ISODD(COLUMN(G51:T51)))))*24"),45)</f>
        <v>45</v>
      </c>
    </row>
  </sheetData>
  <autoFilter xmlns:etc="http://www.wps.cn/officeDocument/2017/etCustomData" ref="D3:D51" etc:filterBottomFollowUsedRange="0">
    <extLst/>
  </autoFilter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51">
    <cfRule type="containsText" dxfId="3" priority="1" operator="between" text="OFF">
      <formula>NOT(ISERROR(SEARCH("OFF",G4)))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NOT(ISERROR(SEARCH("AN",G4)))</formula>
    </cfRule>
    <cfRule type="containsText" dxfId="5" priority="4" operator="between" text="DT">
      <formula>NOT(ISERROR(SEARCH("DT",G4)))</formula>
    </cfRule>
    <cfRule type="containsText" dxfId="6" priority="5" operator="between" text="RS">
      <formula>NOT(ISERROR(SEARCH("RS",G4)))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4"/>
  <sheetViews>
    <sheetView workbookViewId="0">
      <selection activeCell="A1" sqref="A1:A3"/>
    </sheetView>
  </sheetViews>
  <sheetFormatPr defaultColWidth="12.6272727272727" defaultRowHeight="15.75" customHeight="1"/>
  <cols>
    <col min="1" max="1" width="11.6272727272727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20" width="10.3818181818182" customWidth="1"/>
  </cols>
  <sheetData>
    <row r="1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45649</v>
      </c>
      <c r="H1" s="14"/>
      <c r="I1" s="3">
        <v>45650</v>
      </c>
      <c r="J1" s="14"/>
      <c r="K1" s="3">
        <v>45651</v>
      </c>
      <c r="L1" s="14"/>
      <c r="M1" s="3">
        <v>45652</v>
      </c>
      <c r="N1" s="14"/>
      <c r="O1" s="3">
        <v>45653</v>
      </c>
      <c r="P1" s="14"/>
      <c r="Q1" s="3">
        <v>45654</v>
      </c>
      <c r="R1" s="14"/>
      <c r="S1" s="3">
        <v>45655</v>
      </c>
      <c r="T1" s="14"/>
      <c r="U1" s="90"/>
    </row>
    <row r="2" customHeight="1" spans="1:21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  <c r="U2" s="90"/>
    </row>
    <row r="3" customHeight="1" spans="1:21">
      <c r="A3" s="5"/>
      <c r="B3" s="5"/>
      <c r="C3" s="5"/>
      <c r="D3" s="5"/>
      <c r="E3" s="5"/>
      <c r="F3" s="5"/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90"/>
    </row>
    <row r="4" customHeight="1" spans="1:21">
      <c r="A4" s="7">
        <v>10320410</v>
      </c>
      <c r="B4" s="7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90"/>
    </row>
    <row r="5" customHeight="1" spans="1:21">
      <c r="A5" s="7">
        <v>10320415</v>
      </c>
      <c r="B5" s="7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0.5</v>
      </c>
      <c r="H5" s="8">
        <v>0.875</v>
      </c>
      <c r="I5" s="8">
        <v>0.5</v>
      </c>
      <c r="J5" s="8">
        <v>0.875</v>
      </c>
      <c r="K5" s="8">
        <v>0.5</v>
      </c>
      <c r="L5" s="8">
        <v>0.875</v>
      </c>
      <c r="M5" s="8">
        <v>0.5</v>
      </c>
      <c r="N5" s="8">
        <v>0.875</v>
      </c>
      <c r="O5" s="8">
        <v>0.5</v>
      </c>
      <c r="P5" s="8">
        <v>0.875</v>
      </c>
      <c r="Q5" s="7" t="s">
        <v>23</v>
      </c>
      <c r="R5" s="7" t="s">
        <v>23</v>
      </c>
      <c r="S5" s="7" t="s">
        <v>23</v>
      </c>
      <c r="T5" s="7" t="s">
        <v>23</v>
      </c>
      <c r="U5" s="90"/>
    </row>
    <row r="6" customHeight="1" spans="1:21">
      <c r="A6" s="7">
        <v>10317522</v>
      </c>
      <c r="B6" s="7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0.5</v>
      </c>
      <c r="H6" s="8">
        <v>0.875</v>
      </c>
      <c r="I6" s="8">
        <v>0.5</v>
      </c>
      <c r="J6" s="8">
        <v>0.875</v>
      </c>
      <c r="K6" s="8">
        <v>0.5</v>
      </c>
      <c r="L6" s="8">
        <v>0.875</v>
      </c>
      <c r="M6" s="8">
        <v>0.5</v>
      </c>
      <c r="N6" s="8">
        <v>0.875</v>
      </c>
      <c r="O6" s="8">
        <v>0.5</v>
      </c>
      <c r="P6" s="8">
        <v>0.875</v>
      </c>
      <c r="Q6" s="7" t="s">
        <v>23</v>
      </c>
      <c r="R6" s="7" t="s">
        <v>23</v>
      </c>
      <c r="S6" s="7" t="s">
        <v>23</v>
      </c>
      <c r="T6" s="7" t="s">
        <v>23</v>
      </c>
      <c r="U6" s="90"/>
    </row>
    <row r="7" customHeight="1" spans="1:21">
      <c r="A7" s="7">
        <v>10316549</v>
      </c>
      <c r="B7" s="7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90"/>
    </row>
    <row r="8" customHeight="1" spans="1:21">
      <c r="A8" s="7">
        <v>10320413</v>
      </c>
      <c r="B8" s="7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0.458333333332121</v>
      </c>
      <c r="H8" s="8">
        <v>0.875</v>
      </c>
      <c r="I8" s="8">
        <v>0.458333333332121</v>
      </c>
      <c r="J8" s="8">
        <v>0.875</v>
      </c>
      <c r="K8" s="8">
        <v>0.458333333332121</v>
      </c>
      <c r="L8" s="8">
        <v>0.875</v>
      </c>
      <c r="M8" s="8">
        <v>0.458333333332121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90"/>
    </row>
    <row r="9" customHeight="1" spans="1:21">
      <c r="A9" s="7">
        <v>10320408</v>
      </c>
      <c r="B9" s="7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90"/>
    </row>
    <row r="10" customHeight="1" spans="1:21">
      <c r="A10" s="7">
        <v>10317147</v>
      </c>
      <c r="B10" s="7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0.458333333332121</v>
      </c>
      <c r="J10" s="8">
        <v>0.875</v>
      </c>
      <c r="K10" s="8">
        <v>0.458333333332121</v>
      </c>
      <c r="L10" s="8">
        <v>0.875</v>
      </c>
      <c r="M10" s="8">
        <v>0.458333333332121</v>
      </c>
      <c r="N10" s="8">
        <v>0.875</v>
      </c>
      <c r="O10" s="8">
        <v>0.458333333332121</v>
      </c>
      <c r="P10" s="8">
        <v>0.875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90"/>
    </row>
    <row r="11" customHeight="1" spans="1:21">
      <c r="A11" s="7">
        <v>10272259</v>
      </c>
      <c r="B11" s="7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0.5</v>
      </c>
      <c r="H11" s="8">
        <v>0.875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0.5</v>
      </c>
      <c r="N11" s="8">
        <v>0.875</v>
      </c>
      <c r="O11" s="8">
        <v>0.5</v>
      </c>
      <c r="P11" s="8">
        <v>0.875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90"/>
    </row>
    <row r="12" customHeight="1" spans="1:21">
      <c r="A12" s="7">
        <v>10320412</v>
      </c>
      <c r="B12" s="7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90"/>
    </row>
    <row r="13" customHeight="1" spans="1:21">
      <c r="A13" s="7">
        <v>10320418</v>
      </c>
      <c r="B13" s="7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90"/>
    </row>
    <row r="14" customHeight="1" spans="1:21">
      <c r="A14" s="7">
        <v>10316618</v>
      </c>
      <c r="B14" s="7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90"/>
    </row>
    <row r="15" customHeight="1" spans="1:21">
      <c r="A15" s="7">
        <v>10250963</v>
      </c>
      <c r="B15" s="7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7" t="s">
        <v>23</v>
      </c>
      <c r="H15" s="7" t="s">
        <v>23</v>
      </c>
      <c r="I15" s="8">
        <v>0.458333333332121</v>
      </c>
      <c r="J15" s="8">
        <v>0.875</v>
      </c>
      <c r="K15" s="8">
        <v>0.458333333332121</v>
      </c>
      <c r="L15" s="8">
        <v>0.875</v>
      </c>
      <c r="M15" s="8">
        <v>0.458333333332121</v>
      </c>
      <c r="N15" s="8">
        <v>0.875</v>
      </c>
      <c r="O15" s="8">
        <v>0.458333333332121</v>
      </c>
      <c r="P15" s="8">
        <v>0.875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90"/>
    </row>
    <row r="16" customHeight="1" spans="1:21">
      <c r="A16" s="7">
        <v>10295555</v>
      </c>
      <c r="B16" s="7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0.583333333332121</v>
      </c>
      <c r="I16" s="8">
        <v>0.375</v>
      </c>
      <c r="J16" s="8">
        <v>0.583333333332121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0.583333333332121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90"/>
    </row>
    <row r="17" customHeight="1" spans="1:21">
      <c r="A17" s="7">
        <v>10317520</v>
      </c>
      <c r="B17" s="7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171" t="s">
        <v>36</v>
      </c>
      <c r="J17" s="171" t="s">
        <v>36</v>
      </c>
      <c r="K17" s="171" t="s">
        <v>36</v>
      </c>
      <c r="L17" s="171" t="s">
        <v>36</v>
      </c>
      <c r="M17" s="171" t="s">
        <v>36</v>
      </c>
      <c r="N17" s="171" t="s">
        <v>36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90"/>
    </row>
    <row r="18" customHeight="1" spans="1:21">
      <c r="A18" s="7">
        <v>10320414</v>
      </c>
      <c r="B18" s="7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0.791666666667879</v>
      </c>
      <c r="K18" s="8">
        <v>0.375</v>
      </c>
      <c r="L18" s="8">
        <v>0.791666666667879</v>
      </c>
      <c r="M18" s="8">
        <v>0.375</v>
      </c>
      <c r="N18" s="8">
        <v>0.791666666667879</v>
      </c>
      <c r="O18" s="8">
        <v>0.375</v>
      </c>
      <c r="P18" s="8">
        <v>0.791666666667879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90"/>
    </row>
    <row r="19" customHeight="1" spans="1:21">
      <c r="A19" s="7">
        <v>10316681</v>
      </c>
      <c r="B19" s="7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90"/>
    </row>
    <row r="20" customHeight="1" spans="1:21">
      <c r="A20" s="7">
        <v>10316650</v>
      </c>
      <c r="B20" s="7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0.791666666667879</v>
      </c>
      <c r="I20" s="8">
        <v>0.375</v>
      </c>
      <c r="J20" s="8">
        <v>0.791666666667879</v>
      </c>
      <c r="K20" s="8">
        <v>0.375</v>
      </c>
      <c r="L20" s="8">
        <v>0.791666666667879</v>
      </c>
      <c r="M20" s="8">
        <v>0.375</v>
      </c>
      <c r="N20" s="8">
        <v>0.791666666667879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0.458333333332121</v>
      </c>
      <c r="T20" s="8">
        <v>0.666666666667879</v>
      </c>
      <c r="U20" s="90"/>
    </row>
    <row r="21" customHeight="1" spans="1:21">
      <c r="A21" s="7">
        <v>10320416</v>
      </c>
      <c r="B21" s="7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90"/>
    </row>
    <row r="22" customHeight="1" spans="1:21">
      <c r="A22" s="7">
        <v>10316530</v>
      </c>
      <c r="B22" s="7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23</v>
      </c>
      <c r="H22" s="7" t="s">
        <v>23</v>
      </c>
      <c r="I22" s="8">
        <v>0.458333333332121</v>
      </c>
      <c r="J22" s="8">
        <v>0.875</v>
      </c>
      <c r="K22" s="8">
        <v>0.458333333332121</v>
      </c>
      <c r="L22" s="8">
        <v>0.875</v>
      </c>
      <c r="M22" s="8">
        <v>0.458333333332121</v>
      </c>
      <c r="N22" s="8">
        <v>0.875</v>
      </c>
      <c r="O22" s="8">
        <v>0.458333333332121</v>
      </c>
      <c r="P22" s="8">
        <v>0.875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90"/>
    </row>
    <row r="23" customHeight="1" spans="1:21">
      <c r="A23" s="7">
        <v>10316680</v>
      </c>
      <c r="B23" s="7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90"/>
    </row>
    <row r="24" customHeight="1" spans="1:21">
      <c r="A24" s="7">
        <v>10317943</v>
      </c>
      <c r="B24" s="7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0.5</v>
      </c>
      <c r="H24" s="8">
        <v>0.875</v>
      </c>
      <c r="I24" s="8">
        <v>0.5</v>
      </c>
      <c r="J24" s="8">
        <v>0.875</v>
      </c>
      <c r="K24" s="8">
        <v>0.5</v>
      </c>
      <c r="L24" s="8">
        <v>0.875</v>
      </c>
      <c r="M24" s="8">
        <v>0.5</v>
      </c>
      <c r="N24" s="8">
        <v>0.875</v>
      </c>
      <c r="O24" s="8">
        <v>0.5</v>
      </c>
      <c r="P24" s="8">
        <v>0.875</v>
      </c>
      <c r="Q24" s="7" t="s">
        <v>23</v>
      </c>
      <c r="R24" s="7" t="s">
        <v>23</v>
      </c>
      <c r="S24" s="7" t="s">
        <v>23</v>
      </c>
      <c r="T24" s="7" t="s">
        <v>23</v>
      </c>
      <c r="U24" s="90"/>
    </row>
    <row r="25" customHeight="1" spans="1:21">
      <c r="A25" s="7">
        <v>10250966</v>
      </c>
      <c r="B25" s="7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0.5</v>
      </c>
      <c r="H25" s="8">
        <v>0.875</v>
      </c>
      <c r="I25" s="8">
        <v>0.5</v>
      </c>
      <c r="J25" s="8">
        <v>0.875</v>
      </c>
      <c r="K25" s="8">
        <v>0.5</v>
      </c>
      <c r="L25" s="8">
        <v>0.875</v>
      </c>
      <c r="M25" s="8">
        <v>0.5</v>
      </c>
      <c r="N25" s="8">
        <v>0.875</v>
      </c>
      <c r="O25" s="8">
        <v>0.5</v>
      </c>
      <c r="P25" s="8">
        <v>0.875</v>
      </c>
      <c r="Q25" s="7" t="s">
        <v>23</v>
      </c>
      <c r="R25" s="7" t="s">
        <v>23</v>
      </c>
      <c r="S25" s="7" t="s">
        <v>23</v>
      </c>
      <c r="T25" s="7" t="s">
        <v>23</v>
      </c>
      <c r="U25" s="90"/>
    </row>
    <row r="26" customHeight="1" spans="1:21">
      <c r="A26" s="7">
        <v>10316543</v>
      </c>
      <c r="B26" s="7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0.458333333332121</v>
      </c>
      <c r="H26" s="8">
        <v>0.875</v>
      </c>
      <c r="I26" s="8">
        <v>0.458333333332121</v>
      </c>
      <c r="J26" s="8">
        <v>0.875</v>
      </c>
      <c r="K26" s="8">
        <v>0.458333333332121</v>
      </c>
      <c r="L26" s="8">
        <v>0.875</v>
      </c>
      <c r="M26" s="8">
        <v>0.458333333332121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23</v>
      </c>
      <c r="H27" s="7" t="s">
        <v>23</v>
      </c>
      <c r="I27" s="8">
        <v>0.375</v>
      </c>
      <c r="J27" s="8">
        <v>0.791666666667879</v>
      </c>
      <c r="K27" s="8">
        <v>0.375</v>
      </c>
      <c r="L27" s="8">
        <v>0.791666666667879</v>
      </c>
      <c r="M27" s="8">
        <v>0.375</v>
      </c>
      <c r="N27" s="8">
        <v>0.791666666667879</v>
      </c>
      <c r="O27" s="8">
        <v>0.375</v>
      </c>
      <c r="P27" s="8">
        <v>0.791666666667879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90"/>
    </row>
    <row r="28" customHeight="1" spans="1:21">
      <c r="A28" s="7">
        <v>10317521</v>
      </c>
      <c r="B28" s="7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171" t="s">
        <v>36</v>
      </c>
      <c r="J28" s="171" t="s">
        <v>36</v>
      </c>
      <c r="K28" s="171" t="s">
        <v>36</v>
      </c>
      <c r="L28" s="171" t="s">
        <v>36</v>
      </c>
      <c r="M28" s="171" t="s">
        <v>36</v>
      </c>
      <c r="N28" s="171" t="s">
        <v>36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90"/>
    </row>
    <row r="29" customHeight="1" spans="1:21">
      <c r="A29" s="7">
        <v>10317517</v>
      </c>
      <c r="B29" s="7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7" t="s">
        <v>23</v>
      </c>
      <c r="H29" s="7" t="s">
        <v>23</v>
      </c>
      <c r="I29" s="8">
        <v>0.375</v>
      </c>
      <c r="J29" s="8">
        <v>0.791666666667879</v>
      </c>
      <c r="K29" s="8">
        <v>0.375</v>
      </c>
      <c r="L29" s="8">
        <v>0.791666666667879</v>
      </c>
      <c r="M29" s="8">
        <v>0.375</v>
      </c>
      <c r="N29" s="8">
        <v>0.791666666667879</v>
      </c>
      <c r="O29" s="8">
        <v>0.375</v>
      </c>
      <c r="P29" s="8">
        <v>0.791666666667879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90"/>
    </row>
    <row r="30" customHeight="1" spans="1:21">
      <c r="A30" s="7">
        <v>10252106</v>
      </c>
      <c r="B30" s="7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171" t="s">
        <v>36</v>
      </c>
      <c r="H30" s="171" t="s">
        <v>36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171" t="s">
        <v>36</v>
      </c>
      <c r="P30" s="171" t="s">
        <v>36</v>
      </c>
      <c r="Q30" s="171" t="s">
        <v>36</v>
      </c>
      <c r="R30" s="171" t="s">
        <v>36</v>
      </c>
      <c r="S30" s="8">
        <v>0.458333333332121</v>
      </c>
      <c r="T30" s="8">
        <v>0.666666666667879</v>
      </c>
      <c r="U30" s="90"/>
    </row>
    <row r="31" customHeight="1" spans="1:21">
      <c r="A31" s="7">
        <v>10320407</v>
      </c>
      <c r="B31" s="7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0.375</v>
      </c>
      <c r="J31" s="8">
        <v>0.791666666667879</v>
      </c>
      <c r="K31" s="8">
        <v>0.375</v>
      </c>
      <c r="L31" s="8">
        <v>0.791666666667879</v>
      </c>
      <c r="M31" s="8">
        <v>0.375</v>
      </c>
      <c r="N31" s="8">
        <v>0.791666666667879</v>
      </c>
      <c r="O31" s="8">
        <v>0.375</v>
      </c>
      <c r="P31" s="8">
        <v>0.791666666667879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90"/>
    </row>
    <row r="32" customHeight="1" spans="1:21">
      <c r="A32" s="7">
        <v>10320417</v>
      </c>
      <c r="B32" s="7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0.375</v>
      </c>
      <c r="H32" s="8">
        <v>0.791666666667879</v>
      </c>
      <c r="I32" s="8">
        <v>0.375</v>
      </c>
      <c r="J32" s="8">
        <v>0.791666666667879</v>
      </c>
      <c r="K32" s="8">
        <v>0.375</v>
      </c>
      <c r="L32" s="8">
        <v>0.791666666667879</v>
      </c>
      <c r="M32" s="8">
        <v>0.375</v>
      </c>
      <c r="N32" s="8">
        <v>0.791666666667879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90"/>
    </row>
    <row r="33" customHeight="1" spans="1:21">
      <c r="A33" s="7">
        <v>10317154</v>
      </c>
      <c r="B33" s="7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0.333333333332121</v>
      </c>
      <c r="H33" s="8">
        <v>0.75</v>
      </c>
      <c r="I33" s="8">
        <v>0.333333333332121</v>
      </c>
      <c r="J33" s="8">
        <v>0.75</v>
      </c>
      <c r="K33" s="8">
        <v>0.333333333332121</v>
      </c>
      <c r="L33" s="8">
        <v>0.75</v>
      </c>
      <c r="M33" s="8">
        <v>0.333333333332121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0.416666666667879</v>
      </c>
      <c r="T33" s="8">
        <v>0.625</v>
      </c>
      <c r="U33" s="90"/>
    </row>
    <row r="34" customHeight="1" spans="1:21">
      <c r="A34" s="7">
        <v>10320436</v>
      </c>
      <c r="B34" s="7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0.75</v>
      </c>
      <c r="I34" s="8">
        <v>0.375</v>
      </c>
      <c r="J34" s="8">
        <v>0.75</v>
      </c>
      <c r="K34" s="8">
        <v>0.375</v>
      </c>
      <c r="L34" s="8">
        <v>0.75</v>
      </c>
      <c r="M34" s="8">
        <v>0.375</v>
      </c>
      <c r="N34" s="8">
        <v>0.75</v>
      </c>
      <c r="O34" s="8">
        <v>0.375</v>
      </c>
      <c r="P34" s="8">
        <v>0.75</v>
      </c>
      <c r="Q34" s="7" t="s">
        <v>23</v>
      </c>
      <c r="R34" s="7" t="s">
        <v>23</v>
      </c>
      <c r="S34" s="7" t="s">
        <v>23</v>
      </c>
      <c r="T34" s="7" t="s">
        <v>23</v>
      </c>
      <c r="U34" s="90"/>
    </row>
    <row r="35" customHeight="1" spans="1:21">
      <c r="A35" s="7">
        <v>10316538</v>
      </c>
      <c r="B35" s="7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0.5</v>
      </c>
      <c r="P35" s="8">
        <v>0.875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90"/>
    </row>
    <row r="36" customHeight="1" spans="1:21">
      <c r="A36" s="7">
        <v>10293607</v>
      </c>
      <c r="B36" s="7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0.458333333332121</v>
      </c>
      <c r="H36" s="8">
        <v>0.875</v>
      </c>
      <c r="I36" s="8">
        <v>0.458333333332121</v>
      </c>
      <c r="J36" s="8">
        <v>0.875</v>
      </c>
      <c r="K36" s="8">
        <v>0.458333333332121</v>
      </c>
      <c r="L36" s="8">
        <v>0.875</v>
      </c>
      <c r="M36" s="8">
        <v>0.458333333332121</v>
      </c>
      <c r="N36" s="8">
        <v>0.875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90"/>
    </row>
    <row r="37" customHeight="1" spans="1:21">
      <c r="A37" s="7">
        <v>10316545</v>
      </c>
      <c r="B37" s="7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90"/>
    </row>
    <row r="38" customHeight="1" spans="1:21">
      <c r="A38" s="7">
        <v>10316572</v>
      </c>
      <c r="B38" s="7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90"/>
    </row>
    <row r="39" customHeight="1" spans="1:21">
      <c r="A39" s="7">
        <v>10316685</v>
      </c>
      <c r="B39" s="7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90"/>
    </row>
    <row r="40" customHeight="1" spans="1:21">
      <c r="A40" s="7">
        <v>10274446</v>
      </c>
      <c r="B40" s="7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171" t="s">
        <v>36</v>
      </c>
      <c r="H40" s="171" t="s">
        <v>36</v>
      </c>
      <c r="I40" s="171" t="s">
        <v>36</v>
      </c>
      <c r="J40" s="171" t="s">
        <v>36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0.375</v>
      </c>
      <c r="P40" s="8">
        <v>0.75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90"/>
    </row>
    <row r="41" customHeight="1" spans="1:21">
      <c r="A41" s="7">
        <v>10276839</v>
      </c>
      <c r="B41" s="7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0.791666666667879</v>
      </c>
      <c r="I41" s="8">
        <v>0.375</v>
      </c>
      <c r="J41" s="8">
        <v>0.791666666667879</v>
      </c>
      <c r="K41" s="8">
        <v>0.375</v>
      </c>
      <c r="L41" s="8">
        <v>0.791666666667879</v>
      </c>
      <c r="M41" s="8">
        <v>0.375</v>
      </c>
      <c r="N41" s="8">
        <v>0.791666666667879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90"/>
    </row>
    <row r="42" customHeight="1" spans="1:21">
      <c r="A42" s="7">
        <v>10320419</v>
      </c>
      <c r="B42" s="7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0.375</v>
      </c>
      <c r="J42" s="8">
        <v>0.791666666667879</v>
      </c>
      <c r="K42" s="8">
        <v>0.375</v>
      </c>
      <c r="L42" s="8">
        <v>0.791666666667879</v>
      </c>
      <c r="M42" s="8">
        <v>0.375</v>
      </c>
      <c r="N42" s="8">
        <v>0.791666666667879</v>
      </c>
      <c r="O42" s="8">
        <v>0.375</v>
      </c>
      <c r="P42" s="8">
        <v>0.791666666667879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90"/>
    </row>
    <row r="43" customHeight="1" spans="1:21">
      <c r="A43" s="7">
        <v>10316546</v>
      </c>
      <c r="B43" s="7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>
        <v>0.5</v>
      </c>
      <c r="H43" s="8">
        <v>0.875</v>
      </c>
      <c r="I43" s="8">
        <v>0.5</v>
      </c>
      <c r="J43" s="8">
        <v>0.875</v>
      </c>
      <c r="K43" s="7" t="s">
        <v>23</v>
      </c>
      <c r="L43" s="7" t="s">
        <v>23</v>
      </c>
      <c r="M43" s="7" t="s">
        <v>23</v>
      </c>
      <c r="N43" s="7" t="s">
        <v>23</v>
      </c>
      <c r="O43" s="8">
        <v>0.5</v>
      </c>
      <c r="P43" s="8">
        <v>0.875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90"/>
    </row>
    <row r="44" customHeight="1" spans="1:21">
      <c r="A44" s="7">
        <v>10316551</v>
      </c>
      <c r="B44" s="7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0.458333333332121</v>
      </c>
      <c r="H44" s="8">
        <v>0.875</v>
      </c>
      <c r="I44" s="8">
        <v>0.458333333332121</v>
      </c>
      <c r="J44" s="8">
        <v>0.875</v>
      </c>
      <c r="K44" s="8">
        <v>0.458333333332121</v>
      </c>
      <c r="L44" s="8">
        <v>0.875</v>
      </c>
      <c r="M44" s="8">
        <v>0.458333333332121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90"/>
    </row>
    <row r="45" customHeight="1" spans="1:21">
      <c r="A45" s="7">
        <v>10320435</v>
      </c>
      <c r="B45" s="7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90"/>
    </row>
    <row r="46" customHeight="1" spans="1:21">
      <c r="A46" s="7">
        <v>10316683</v>
      </c>
      <c r="B46" s="7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90"/>
    </row>
    <row r="47" customHeight="1" spans="1:21">
      <c r="A47" s="7">
        <v>10316540</v>
      </c>
      <c r="B47" s="7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90"/>
    </row>
    <row r="48" customHeight="1" spans="1:21">
      <c r="A48" s="7">
        <v>10293627</v>
      </c>
      <c r="B48" s="7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0.375</v>
      </c>
      <c r="H48" s="8">
        <v>0.791666666667879</v>
      </c>
      <c r="I48" s="8">
        <v>0.375</v>
      </c>
      <c r="J48" s="8">
        <v>0.791666666667879</v>
      </c>
      <c r="K48" s="8">
        <v>0.375</v>
      </c>
      <c r="L48" s="8">
        <v>0.791666666667879</v>
      </c>
      <c r="M48" s="8">
        <v>0.375</v>
      </c>
      <c r="N48" s="8">
        <v>0.791666666667879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90"/>
    </row>
    <row r="49" customHeight="1" spans="1:21">
      <c r="A49" s="7">
        <v>10320409</v>
      </c>
      <c r="B49" s="7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8">
        <v>0.375</v>
      </c>
      <c r="J49" s="8">
        <v>0.75</v>
      </c>
      <c r="K49" s="7" t="s">
        <v>23</v>
      </c>
      <c r="L49" s="7" t="s">
        <v>23</v>
      </c>
      <c r="M49" s="7" t="s">
        <v>23</v>
      </c>
      <c r="N49" s="7" t="s">
        <v>23</v>
      </c>
      <c r="O49" s="8">
        <v>0.375</v>
      </c>
      <c r="P49" s="8">
        <v>0.75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90"/>
    </row>
    <row r="50" customHeight="1" spans="1:21">
      <c r="A50" s="7">
        <v>10317151</v>
      </c>
      <c r="B50" s="7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90"/>
    </row>
    <row r="51" customHeight="1" spans="1:21">
      <c r="A51" s="7">
        <v>10317524</v>
      </c>
      <c r="B51" s="7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0.458333333332121</v>
      </c>
      <c r="J51" s="8">
        <v>0.875</v>
      </c>
      <c r="K51" s="8">
        <v>0.458333333332121</v>
      </c>
      <c r="L51" s="8">
        <v>0.875</v>
      </c>
      <c r="M51" s="8">
        <v>0.458333333332121</v>
      </c>
      <c r="N51" s="8">
        <v>0.875</v>
      </c>
      <c r="O51" s="8">
        <v>0.458333333332121</v>
      </c>
      <c r="P51" s="8">
        <v>0.875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90"/>
    </row>
    <row r="61" customHeight="1" spans="1:20">
      <c r="A61" s="22" t="s">
        <v>0</v>
      </c>
      <c r="B61" s="22" t="s">
        <v>1</v>
      </c>
      <c r="C61" s="22" t="s">
        <v>2</v>
      </c>
      <c r="D61" s="22" t="s">
        <v>3</v>
      </c>
      <c r="E61" s="22" t="s">
        <v>4</v>
      </c>
      <c r="F61" s="157" t="s">
        <v>5</v>
      </c>
      <c r="G61" s="158">
        <v>45649</v>
      </c>
      <c r="H61" s="14"/>
      <c r="I61" s="158">
        <v>45650</v>
      </c>
      <c r="J61" s="14"/>
      <c r="K61" s="158">
        <v>45651</v>
      </c>
      <c r="L61" s="14"/>
      <c r="M61" s="158">
        <v>45652</v>
      </c>
      <c r="N61" s="14"/>
      <c r="O61" s="158">
        <v>45653</v>
      </c>
      <c r="P61" s="14"/>
      <c r="Q61" s="158">
        <v>45654</v>
      </c>
      <c r="R61" s="14"/>
      <c r="S61" s="158">
        <v>45655</v>
      </c>
      <c r="T61" s="14"/>
    </row>
    <row r="62" customHeight="1" spans="1:20">
      <c r="A62" s="15"/>
      <c r="B62" s="15"/>
      <c r="C62" s="15"/>
      <c r="D62" s="15"/>
      <c r="E62" s="15"/>
      <c r="F62" s="15"/>
      <c r="G62" s="24" t="s">
        <v>6</v>
      </c>
      <c r="H62" s="14"/>
      <c r="I62" s="24" t="s">
        <v>7</v>
      </c>
      <c r="J62" s="14"/>
      <c r="K62" s="24" t="s">
        <v>8</v>
      </c>
      <c r="L62" s="14"/>
      <c r="M62" s="24" t="s">
        <v>9</v>
      </c>
      <c r="N62" s="14"/>
      <c r="O62" s="24" t="s">
        <v>10</v>
      </c>
      <c r="P62" s="14"/>
      <c r="Q62" s="24" t="s">
        <v>11</v>
      </c>
      <c r="R62" s="14"/>
      <c r="S62" s="24" t="s">
        <v>12</v>
      </c>
      <c r="T62" s="14"/>
    </row>
    <row r="63" customHeight="1" spans="1:20">
      <c r="A63" s="5"/>
      <c r="B63" s="5"/>
      <c r="C63" s="5"/>
      <c r="D63" s="5"/>
      <c r="E63" s="5"/>
      <c r="F63" s="5"/>
      <c r="G63" s="159" t="s">
        <v>80</v>
      </c>
      <c r="H63" s="159" t="s">
        <v>81</v>
      </c>
      <c r="I63" s="159" t="s">
        <v>80</v>
      </c>
      <c r="J63" s="159" t="s">
        <v>81</v>
      </c>
      <c r="K63" s="159" t="s">
        <v>80</v>
      </c>
      <c r="L63" s="159" t="s">
        <v>81</v>
      </c>
      <c r="M63" s="159" t="s">
        <v>80</v>
      </c>
      <c r="N63" s="159" t="s">
        <v>81</v>
      </c>
      <c r="O63" s="159" t="s">
        <v>80</v>
      </c>
      <c r="P63" s="159" t="s">
        <v>81</v>
      </c>
      <c r="Q63" s="159" t="s">
        <v>80</v>
      </c>
      <c r="R63" s="159" t="s">
        <v>81</v>
      </c>
      <c r="S63" s="159" t="s">
        <v>80</v>
      </c>
      <c r="T63" s="159" t="s">
        <v>81</v>
      </c>
    </row>
    <row r="64" customHeight="1" spans="1:20">
      <c r="A64" s="114">
        <v>10317943</v>
      </c>
      <c r="B64" s="114" t="s">
        <v>27</v>
      </c>
      <c r="C64" s="114" t="s">
        <v>20</v>
      </c>
      <c r="D64" s="114" t="s">
        <v>21</v>
      </c>
      <c r="E64" s="115" t="s">
        <v>22</v>
      </c>
      <c r="F64" s="161">
        <v>2</v>
      </c>
      <c r="G64" s="172">
        <v>0.5</v>
      </c>
      <c r="H64" s="163">
        <v>0.875</v>
      </c>
      <c r="I64" s="172">
        <v>0.5</v>
      </c>
      <c r="J64" s="163">
        <v>0.875</v>
      </c>
      <c r="K64" s="172">
        <v>0.5</v>
      </c>
      <c r="L64" s="163">
        <v>0.875</v>
      </c>
      <c r="M64" s="172">
        <v>0.5</v>
      </c>
      <c r="N64" s="163">
        <v>0.875</v>
      </c>
      <c r="O64" s="172">
        <v>0.5</v>
      </c>
      <c r="P64" s="163">
        <v>0.875</v>
      </c>
      <c r="Q64" s="114" t="s">
        <v>23</v>
      </c>
      <c r="R64" s="114" t="s">
        <v>23</v>
      </c>
      <c r="S64" s="114" t="s">
        <v>23</v>
      </c>
      <c r="T64" s="114" t="s">
        <v>23</v>
      </c>
    </row>
    <row r="71" customHeight="1" spans="1:20">
      <c r="A71" s="22" t="s">
        <v>0</v>
      </c>
      <c r="B71" s="22" t="s">
        <v>1</v>
      </c>
      <c r="C71" s="22" t="s">
        <v>2</v>
      </c>
      <c r="D71" s="22" t="s">
        <v>3</v>
      </c>
      <c r="E71" s="22" t="s">
        <v>4</v>
      </c>
      <c r="F71" s="157" t="s">
        <v>5</v>
      </c>
      <c r="G71" s="158">
        <v>45649</v>
      </c>
      <c r="H71" s="14"/>
      <c r="I71" s="158">
        <v>45650</v>
      </c>
      <c r="J71" s="14"/>
      <c r="K71" s="158">
        <v>45651</v>
      </c>
      <c r="L71" s="14"/>
      <c r="M71" s="158">
        <v>45652</v>
      </c>
      <c r="N71" s="14"/>
      <c r="O71" s="158">
        <v>45653</v>
      </c>
      <c r="P71" s="14"/>
      <c r="Q71" s="158">
        <v>45654</v>
      </c>
      <c r="R71" s="14"/>
      <c r="S71" s="158">
        <v>45655</v>
      </c>
      <c r="T71" s="14"/>
    </row>
    <row r="72" customHeight="1" spans="1:20">
      <c r="A72" s="15"/>
      <c r="B72" s="15"/>
      <c r="C72" s="15"/>
      <c r="D72" s="15"/>
      <c r="E72" s="15"/>
      <c r="F72" s="15"/>
      <c r="G72" s="24" t="s">
        <v>6</v>
      </c>
      <c r="H72" s="14"/>
      <c r="I72" s="24" t="s">
        <v>7</v>
      </c>
      <c r="J72" s="14"/>
      <c r="K72" s="24" t="s">
        <v>8</v>
      </c>
      <c r="L72" s="14"/>
      <c r="M72" s="24" t="s">
        <v>9</v>
      </c>
      <c r="N72" s="14"/>
      <c r="O72" s="24" t="s">
        <v>10</v>
      </c>
      <c r="P72" s="14"/>
      <c r="Q72" s="24" t="s">
        <v>11</v>
      </c>
      <c r="R72" s="14"/>
      <c r="S72" s="24" t="s">
        <v>12</v>
      </c>
      <c r="T72" s="14"/>
    </row>
    <row r="73" customHeight="1" spans="1:20">
      <c r="A73" s="5"/>
      <c r="B73" s="5"/>
      <c r="C73" s="5"/>
      <c r="D73" s="5"/>
      <c r="E73" s="5"/>
      <c r="F73" s="5"/>
      <c r="G73" s="159" t="s">
        <v>80</v>
      </c>
      <c r="H73" s="159" t="s">
        <v>81</v>
      </c>
      <c r="I73" s="159" t="s">
        <v>80</v>
      </c>
      <c r="J73" s="159" t="s">
        <v>81</v>
      </c>
      <c r="K73" s="159" t="s">
        <v>80</v>
      </c>
      <c r="L73" s="159" t="s">
        <v>81</v>
      </c>
      <c r="M73" s="159" t="s">
        <v>80</v>
      </c>
      <c r="N73" s="159" t="s">
        <v>81</v>
      </c>
      <c r="O73" s="159" t="s">
        <v>80</v>
      </c>
      <c r="P73" s="159" t="s">
        <v>81</v>
      </c>
      <c r="Q73" s="159" t="s">
        <v>80</v>
      </c>
      <c r="R73" s="159" t="s">
        <v>81</v>
      </c>
      <c r="S73" s="159" t="s">
        <v>80</v>
      </c>
      <c r="T73" s="159" t="s">
        <v>81</v>
      </c>
    </row>
    <row r="74" customHeight="1" spans="1:20">
      <c r="A74" s="114">
        <v>10317943</v>
      </c>
      <c r="B74" s="114" t="s">
        <v>27</v>
      </c>
      <c r="C74" s="114" t="s">
        <v>20</v>
      </c>
      <c r="D74" s="114" t="s">
        <v>21</v>
      </c>
      <c r="E74" s="115" t="s">
        <v>22</v>
      </c>
      <c r="F74" s="161">
        <v>2</v>
      </c>
      <c r="G74" s="8">
        <v>0.375</v>
      </c>
      <c r="H74" s="8">
        <v>0.75</v>
      </c>
      <c r="I74" s="8">
        <v>0.375</v>
      </c>
      <c r="J74" s="8">
        <v>0.75</v>
      </c>
      <c r="K74" s="8">
        <v>0.375</v>
      </c>
      <c r="L74" s="8">
        <v>0.75</v>
      </c>
      <c r="M74" s="8">
        <v>0.375</v>
      </c>
      <c r="N74" s="8">
        <v>0.75</v>
      </c>
      <c r="O74" s="8">
        <v>0.375</v>
      </c>
      <c r="P74" s="8">
        <v>0.75</v>
      </c>
      <c r="Q74" s="114" t="s">
        <v>23</v>
      </c>
      <c r="R74" s="114" t="s">
        <v>23</v>
      </c>
      <c r="S74" s="114" t="s">
        <v>23</v>
      </c>
      <c r="T74" s="114" t="s">
        <v>23</v>
      </c>
    </row>
  </sheetData>
  <mergeCells count="6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61:H61"/>
    <mergeCell ref="I61:J61"/>
    <mergeCell ref="K61:L61"/>
    <mergeCell ref="M61:N61"/>
    <mergeCell ref="O61:P61"/>
    <mergeCell ref="Q61:R61"/>
    <mergeCell ref="S61:T61"/>
    <mergeCell ref="G62:H62"/>
    <mergeCell ref="I62:J62"/>
    <mergeCell ref="K62:L62"/>
    <mergeCell ref="M62:N62"/>
    <mergeCell ref="O62:P62"/>
    <mergeCell ref="Q62:R62"/>
    <mergeCell ref="S62:T62"/>
    <mergeCell ref="G71:H71"/>
    <mergeCell ref="I71:J71"/>
    <mergeCell ref="K71:L71"/>
    <mergeCell ref="M71:N71"/>
    <mergeCell ref="O71:P71"/>
    <mergeCell ref="Q71:R71"/>
    <mergeCell ref="S71:T71"/>
    <mergeCell ref="G72:H72"/>
    <mergeCell ref="I72:J72"/>
    <mergeCell ref="K72:L72"/>
    <mergeCell ref="M72:N72"/>
    <mergeCell ref="O72:P72"/>
    <mergeCell ref="Q72:R72"/>
    <mergeCell ref="S72:T72"/>
    <mergeCell ref="A1:A3"/>
    <mergeCell ref="A61:A63"/>
    <mergeCell ref="A71:A73"/>
    <mergeCell ref="B1:B3"/>
    <mergeCell ref="B61:B63"/>
    <mergeCell ref="B71:B73"/>
    <mergeCell ref="C1:C3"/>
    <mergeCell ref="C61:C63"/>
    <mergeCell ref="C71:C73"/>
    <mergeCell ref="D1:D3"/>
    <mergeCell ref="D61:D63"/>
    <mergeCell ref="D71:D73"/>
    <mergeCell ref="E1:E3"/>
    <mergeCell ref="E61:E63"/>
    <mergeCell ref="E71:E73"/>
    <mergeCell ref="F1:F3"/>
    <mergeCell ref="F61:F63"/>
    <mergeCell ref="F71:F73"/>
  </mergeCells>
  <conditionalFormatting sqref="G4:T51 G74:P7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U67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5.12727272727273" customWidth="1"/>
    <col min="9" max="9" width="9.5" customWidth="1"/>
    <col min="10" max="10" width="5.12727272727273" customWidth="1"/>
    <col min="11" max="11" width="9.5" customWidth="1"/>
    <col min="12" max="12" width="5.12727272727273" customWidth="1"/>
    <col min="13" max="13" width="9.5" customWidth="1"/>
    <col min="14" max="14" width="5.12727272727273" customWidth="1"/>
    <col min="15" max="15" width="9.5" customWidth="1"/>
    <col min="16" max="16" width="5.12727272727273" customWidth="1"/>
    <col min="17" max="17" width="9.5" customWidth="1"/>
    <col min="18" max="18" width="5.12727272727273" customWidth="1"/>
    <col min="19" max="19" width="9.5" customWidth="1"/>
    <col min="20" max="20" width="5.12727272727273" customWidth="1"/>
  </cols>
  <sheetData>
    <row r="1" customHeight="1" spans="7:20">
      <c r="G1" s="3">
        <v>45642</v>
      </c>
      <c r="H1" s="14"/>
      <c r="I1" s="3">
        <v>45643</v>
      </c>
      <c r="J1" s="14"/>
      <c r="K1" s="3">
        <v>45644</v>
      </c>
      <c r="L1" s="14"/>
      <c r="M1" s="3">
        <v>45645</v>
      </c>
      <c r="N1" s="14"/>
      <c r="O1" s="3">
        <v>45646</v>
      </c>
      <c r="P1" s="14"/>
      <c r="Q1" s="3">
        <v>45647</v>
      </c>
      <c r="R1" s="14"/>
      <c r="S1" s="3">
        <v>45648</v>
      </c>
      <c r="T1" s="14"/>
    </row>
    <row r="2" customHeight="1" spans="1:20">
      <c r="A2" s="47"/>
      <c r="B2" s="47"/>
      <c r="C2" s="47"/>
      <c r="D2" s="47"/>
      <c r="E2" s="47"/>
      <c r="F2" s="120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0.791666666667879</v>
      </c>
      <c r="I5" s="8">
        <v>0.375</v>
      </c>
      <c r="J5" s="8">
        <v>0.791666666667879</v>
      </c>
      <c r="K5" s="8">
        <v>0.375</v>
      </c>
      <c r="L5" s="8">
        <v>0.791666666667879</v>
      </c>
      <c r="M5" s="8">
        <v>0.375</v>
      </c>
      <c r="N5" s="8">
        <v>0.791666666667879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0.458333333332121</v>
      </c>
      <c r="T5" s="8">
        <v>0.666666666667879</v>
      </c>
      <c r="U5" s="21">
        <f>IFERROR(__xludf.DUMMYFUNCTION("TO_PURE_NUMBER(SUM(FILTER(G5:T5, ISEVEN(COLUMN(G5:T5))))-SUM(FILTER(G5:T5, ISODD(COLUMN(G5:T5)))))*24"),45.0000000001746)</f>
        <v>45.0000000001746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0.416666666667879</v>
      </c>
      <c r="H6" s="8">
        <v>0.833333333332121</v>
      </c>
      <c r="I6" s="8">
        <v>0.416666666667879</v>
      </c>
      <c r="J6" s="8">
        <v>0.833333333332121</v>
      </c>
      <c r="K6" s="8">
        <v>0.416666666667879</v>
      </c>
      <c r="L6" s="8">
        <v>0.833333333332121</v>
      </c>
      <c r="M6" s="8">
        <v>0.416666666667879</v>
      </c>
      <c r="N6" s="8">
        <v>0.833333333332121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ISODD(COLUMN(G6:T6)))))*24"),44.9999999998253)</f>
        <v>44.9999999998253</v>
      </c>
    </row>
    <row r="7" hidden="1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1">
        <f>IFERROR(__xludf.DUMMYFUNCTION("TO_PURE_NUMBER(SUM(FILTER(G8:T8, ISEVEN(COLUMN(G8:T8))))-SUM(FILTER(G8:T8, ISODD(COLUMN(G8:T8)))))*24"),45.0000000001746)</f>
        <v>45.0000000001746</v>
      </c>
    </row>
    <row r="9" customHeight="1" spans="1:21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hidden="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ISODD(COLUMN(G11:T11)))))*24"),37.0000000001164)</f>
        <v>37.0000000001164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ISODD(COLUMN(G13:T13)))))*24"),41.0000000000582)</f>
        <v>41.0000000000582</v>
      </c>
    </row>
    <row r="14" hidden="1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0.666666666667879</v>
      </c>
      <c r="H16" s="8">
        <v>0.875</v>
      </c>
      <c r="I16" s="8">
        <v>0.666666666667879</v>
      </c>
      <c r="J16" s="8">
        <v>0.875</v>
      </c>
      <c r="K16" s="8">
        <v>0.666666666667879</v>
      </c>
      <c r="L16" s="8">
        <v>0.875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ISODD(COLUMN(G16:T16)))))*24"),25.0000000000291)</f>
        <v>25.0000000000291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hidden="1" customHeight="1" spans="1:21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1">
        <f>IFERROR(__xludf.DUMMYFUNCTION("TO_PURE_NUMBER(SUM(FILTER(G20:T20, ISEVEN(COLUMN(G20:T20))))-SUM(FILTER(G20:T20, ISODD(COLUMN(G20:T20)))))*24"),45)</f>
        <v>45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0.791666666667879</v>
      </c>
      <c r="I24" s="8">
        <v>0.375</v>
      </c>
      <c r="J24" s="8">
        <v>0.791666666667879</v>
      </c>
      <c r="K24" s="8">
        <v>0.375</v>
      </c>
      <c r="L24" s="8">
        <v>0.791666666667879</v>
      </c>
      <c r="M24" s="8">
        <v>0.375</v>
      </c>
      <c r="N24" s="8">
        <v>0.791666666667879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0.458333333332121</v>
      </c>
      <c r="T24" s="8">
        <v>0.666666666667879</v>
      </c>
      <c r="U24" s="21">
        <f>IFERROR(__xludf.DUMMYFUNCTION("TO_PURE_NUMBER(SUM(FILTER(G24:T24, ISEVEN(COLUMN(G24:T24))))-SUM(FILTER(G24:T24, ISODD(COLUMN(G24:T24)))))*24"),45.0000000001746)</f>
        <v>45.0000000001746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1">
        <f>IFERROR(__xludf.DUMMYFUNCTION("TO_PURE_NUMBER(SUM(FILTER(G25:T25, ISEVEN(COLUMN(G25:T25))))-SUM(FILTER(G25:T25, ISODD(COLUMN(G25:T25)))))*24"),45.0000000001746)</f>
        <v>45.0000000001746</v>
      </c>
    </row>
    <row r="26" customHeight="1" spans="1:21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0.791666666667879</v>
      </c>
      <c r="I26" s="8">
        <v>0.375</v>
      </c>
      <c r="J26" s="8">
        <v>0.791666666667879</v>
      </c>
      <c r="K26" s="8">
        <v>0.375</v>
      </c>
      <c r="L26" s="8">
        <v>0.791666666667879</v>
      </c>
      <c r="M26" s="8">
        <v>0.375</v>
      </c>
      <c r="N26" s="8">
        <v>0.791666666667879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hidden="1" customHeight="1" spans="1:21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ISODD(COLUMN(G30:T30)))))*24"),37.0000000001164)</f>
        <v>37.0000000001164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0.5</v>
      </c>
      <c r="H32" s="8">
        <v>0.875</v>
      </c>
      <c r="I32" s="8">
        <v>0.5</v>
      </c>
      <c r="J32" s="8">
        <v>0.875</v>
      </c>
      <c r="K32" s="8">
        <v>0.5</v>
      </c>
      <c r="L32" s="8">
        <v>0.875</v>
      </c>
      <c r="M32" s="8">
        <v>0.5</v>
      </c>
      <c r="N32" s="8">
        <v>0.875</v>
      </c>
      <c r="O32" s="8">
        <v>0.5</v>
      </c>
      <c r="P32" s="8">
        <v>0.875</v>
      </c>
      <c r="Q32" s="7" t="s">
        <v>23</v>
      </c>
      <c r="R32" s="7" t="s">
        <v>23</v>
      </c>
      <c r="S32" s="7" t="s">
        <v>23</v>
      </c>
      <c r="T32" s="7" t="s">
        <v>23</v>
      </c>
      <c r="U32" s="21">
        <f>IFERROR(__xludf.DUMMYFUNCTION("TO_PURE_NUMBER(SUM(FILTER(G32:T32, ISEVEN(COLUMN(G32:T32))))-SUM(FILTER(G32:T32, ISODD(COLUMN(G32:T32)))))*24"),45)</f>
        <v>45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hidden="1" customHeight="1" spans="1:21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7" t="s">
        <v>23</v>
      </c>
      <c r="J35" s="7" t="s">
        <v>23</v>
      </c>
      <c r="K35" s="7" t="s">
        <v>23</v>
      </c>
      <c r="L35" s="7" t="s">
        <v>23</v>
      </c>
      <c r="M35" s="8">
        <v>0.375</v>
      </c>
      <c r="N35" s="8">
        <v>0.75</v>
      </c>
      <c r="O35" s="8">
        <v>0.375</v>
      </c>
      <c r="P35" s="8">
        <v>0.75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0.75</v>
      </c>
      <c r="I36" s="8">
        <v>0.375</v>
      </c>
      <c r="J36" s="8">
        <v>0.75</v>
      </c>
      <c r="K36" s="8">
        <v>0.375</v>
      </c>
      <c r="L36" s="8">
        <v>0.75</v>
      </c>
      <c r="M36" s="8">
        <v>0.375</v>
      </c>
      <c r="N36" s="8">
        <v>0.75</v>
      </c>
      <c r="O36" s="8">
        <v>0.375</v>
      </c>
      <c r="P36" s="8">
        <v>0.75</v>
      </c>
      <c r="Q36" s="7" t="s">
        <v>23</v>
      </c>
      <c r="R36" s="7" t="s">
        <v>23</v>
      </c>
      <c r="S36" s="7" t="s">
        <v>23</v>
      </c>
      <c r="T36" s="7" t="s">
        <v>23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hidden="1" customHeight="1" spans="1:21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0.5</v>
      </c>
      <c r="H40" s="8">
        <v>0.875</v>
      </c>
      <c r="I40" s="8">
        <v>0.5</v>
      </c>
      <c r="J40" s="8">
        <v>0.875</v>
      </c>
      <c r="K40" s="169" t="s">
        <v>36</v>
      </c>
      <c r="L40" s="169" t="s">
        <v>36</v>
      </c>
      <c r="M40" s="7" t="s">
        <v>23</v>
      </c>
      <c r="N40" s="7" t="s">
        <v>23</v>
      </c>
      <c r="O40" s="7" t="s">
        <v>23</v>
      </c>
      <c r="P40" s="7" t="s">
        <v>23</v>
      </c>
      <c r="Q40" s="169" t="s">
        <v>36</v>
      </c>
      <c r="R40" s="169" t="s">
        <v>36</v>
      </c>
      <c r="S40" s="169" t="s">
        <v>36</v>
      </c>
      <c r="T40" s="169" t="s">
        <v>36</v>
      </c>
      <c r="U40" s="21">
        <f>IFERROR(__xludf.DUMMYFUNCTION("TO_PURE_NUMBER(SUM(FILTER(G40:T40, ISEVEN(COLUMN(G40:T40))))-SUM(FILTER(G40:T40, ISODD(COLUMN(G40:T40)))))*24"),18)</f>
        <v>18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0.5</v>
      </c>
      <c r="H41" s="8">
        <v>0.875</v>
      </c>
      <c r="I41" s="8">
        <v>0.5</v>
      </c>
      <c r="J41" s="8">
        <v>0.875</v>
      </c>
      <c r="K41" s="8">
        <v>0.5</v>
      </c>
      <c r="L41" s="8">
        <v>0.875</v>
      </c>
      <c r="M41" s="8">
        <v>0.5</v>
      </c>
      <c r="N41" s="8">
        <v>0.875</v>
      </c>
      <c r="O41" s="8">
        <v>0.5</v>
      </c>
      <c r="P41" s="8">
        <v>0.875</v>
      </c>
      <c r="Q41" s="7" t="s">
        <v>23</v>
      </c>
      <c r="R41" s="7" t="s">
        <v>23</v>
      </c>
      <c r="S41" s="7" t="s">
        <v>23</v>
      </c>
      <c r="T41" s="7" t="s">
        <v>23</v>
      </c>
      <c r="U41" s="21">
        <f>IFERROR(__xludf.DUMMYFUNCTION("TO_PURE_NUMBER(SUM(FILTER(G41:T41, ISEVEN(COLUMN(G41:T41))))-SUM(FILTER(G41:T41, ISODD(COLUMN(G41:T41)))))*24"),45)</f>
        <v>45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ISODD(COLUMN(G43:T43)))))*24"),37.0000000001164)</f>
        <v>37.0000000001164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0.75</v>
      </c>
      <c r="I44" s="8">
        <v>0.375</v>
      </c>
      <c r="J44" s="8">
        <v>0.75</v>
      </c>
      <c r="K44" s="8">
        <v>0.375</v>
      </c>
      <c r="L44" s="8">
        <v>0.75</v>
      </c>
      <c r="M44" s="8">
        <v>0.375</v>
      </c>
      <c r="N44" s="8">
        <v>0.75</v>
      </c>
      <c r="O44" s="8">
        <v>0.375</v>
      </c>
      <c r="P44" s="8">
        <v>0.75</v>
      </c>
      <c r="Q44" s="7" t="s">
        <v>23</v>
      </c>
      <c r="R44" s="7" t="s">
        <v>23</v>
      </c>
      <c r="S44" s="7" t="s">
        <v>23</v>
      </c>
      <c r="T44" s="7" t="s">
        <v>23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hidden="1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0.5</v>
      </c>
      <c r="H48" s="8">
        <v>0.875</v>
      </c>
      <c r="I48" s="8">
        <v>0.5</v>
      </c>
      <c r="J48" s="8">
        <v>0.875</v>
      </c>
      <c r="K48" s="8">
        <v>0.5</v>
      </c>
      <c r="L48" s="8">
        <v>0.875</v>
      </c>
      <c r="M48" s="8">
        <v>0.5</v>
      </c>
      <c r="N48" s="8">
        <v>0.875</v>
      </c>
      <c r="O48" s="8">
        <v>0.5</v>
      </c>
      <c r="P48" s="8">
        <v>0.875</v>
      </c>
      <c r="Q48" s="7" t="s">
        <v>23</v>
      </c>
      <c r="R48" s="7" t="s">
        <v>23</v>
      </c>
      <c r="S48" s="7" t="s">
        <v>23</v>
      </c>
      <c r="T48" s="7" t="s">
        <v>23</v>
      </c>
      <c r="U48" s="21">
        <f>IFERROR(__xludf.DUMMYFUNCTION("TO_PURE_NUMBER(SUM(FILTER(G48:T48, ISEVEN(COLUMN(G48:T48))))-SUM(FILTER(G48:T48, ISODD(COLUMN(G48:T48)))))*24"),45)</f>
        <v>45</v>
      </c>
    </row>
    <row r="49" customHeight="1" spans="1:21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0.5</v>
      </c>
      <c r="H49" s="8">
        <v>0.875</v>
      </c>
      <c r="I49" s="8">
        <v>0.5</v>
      </c>
      <c r="J49" s="8">
        <v>0.875</v>
      </c>
      <c r="K49" s="8">
        <v>0.5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ISODD(COLUMN(G49:T49)))))*24"),37.0000000001164)</f>
        <v>37.0000000001164</v>
      </c>
    </row>
    <row r="50" hidden="1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67" customHeight="1" spans="2:2">
      <c r="B67" s="170"/>
    </row>
  </sheetData>
  <autoFilter xmlns:etc="http://www.wps.cn/officeDocument/2017/etCustomData" ref="A3:U51" etc:filterBottomFollowUsedRange="0">
    <filterColumn colId="2">
      <customFilters>
        <customFilter operator="equal" val="CSR"/>
      </customFilters>
    </filterColumn>
    <filterColumn colId="3">
      <customFilters>
        <customFilter operator="equal" val="Production"/>
      </customFilters>
    </filterColumn>
    <filterColumn colId="8">
      <filters>
        <filter val="8:00"/>
        <filter val="9:00"/>
        <filter val="10:00"/>
        <filter val="11:00"/>
        <filter val="12:00"/>
        <filter val="16:00"/>
      </filters>
    </filterColumn>
    <extLst/>
  </autoFilter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A1:A1000">
    <cfRule type="expression" dxfId="1" priority="2">
      <formula>COUNTIF(A1:A51,A1:A51)&gt;1</formula>
    </cfRule>
  </conditionalFormatting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1"/>
  <sheetViews>
    <sheetView workbookViewId="0">
      <selection activeCell="A1" sqref="A1"/>
    </sheetView>
  </sheetViews>
  <sheetFormatPr defaultColWidth="12.6272727272727" defaultRowHeight="15.75" customHeight="1"/>
  <cols>
    <col min="1" max="1" width="9.75454545454545" customWidth="1"/>
    <col min="2" max="2" width="24.7545454545455" customWidth="1"/>
    <col min="3" max="3" width="7.12727272727273" customWidth="1"/>
    <col min="4" max="4" width="9.5" customWidth="1"/>
    <col min="5" max="5" width="6.62727272727273" customWidth="1"/>
    <col min="6" max="6" width="13.3818181818182" customWidth="1"/>
    <col min="7" max="7" width="9.5" customWidth="1"/>
    <col min="8" max="8" width="9.38181818181818" customWidth="1"/>
    <col min="9" max="10" width="9.5" customWidth="1"/>
    <col min="11" max="11" width="9.38181818181818" customWidth="1"/>
    <col min="12" max="17" width="9.5" customWidth="1"/>
    <col min="18" max="18" width="8.38181818181818" customWidth="1"/>
    <col min="19" max="19" width="9.5" customWidth="1"/>
    <col min="20" max="20" width="7.62727272727273" customWidth="1"/>
    <col min="21" max="21" width="2.88181818181818" customWidth="1"/>
  </cols>
  <sheetData>
    <row r="1" customHeight="1" spans="1:21">
      <c r="A1" s="120"/>
      <c r="B1" s="120"/>
      <c r="C1" s="120"/>
      <c r="D1" s="120"/>
      <c r="E1" s="120"/>
      <c r="F1" s="120"/>
      <c r="G1" s="3">
        <v>45635</v>
      </c>
      <c r="H1" s="14"/>
      <c r="I1" s="3">
        <v>45636</v>
      </c>
      <c r="J1" s="14"/>
      <c r="K1" s="3">
        <v>45637</v>
      </c>
      <c r="L1" s="14"/>
      <c r="M1" s="3">
        <v>45638</v>
      </c>
      <c r="N1" s="14"/>
      <c r="O1" s="3">
        <v>45639</v>
      </c>
      <c r="P1" s="14"/>
      <c r="Q1" s="3">
        <v>45640</v>
      </c>
      <c r="R1" s="14"/>
      <c r="S1" s="3">
        <v>45641</v>
      </c>
      <c r="T1" s="14"/>
      <c r="U1" s="167"/>
    </row>
    <row r="2" customHeight="1" spans="1:21">
      <c r="A2" s="47"/>
      <c r="B2" s="47"/>
      <c r="C2" s="47"/>
      <c r="D2" s="47"/>
      <c r="E2" s="47"/>
      <c r="F2" s="120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  <c r="U2" s="167"/>
    </row>
    <row r="3" customHeight="1" spans="1:2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168"/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0.458333333332121</v>
      </c>
      <c r="H5" s="8">
        <v>0.875</v>
      </c>
      <c r="I5" s="8">
        <v>0.458333333332121</v>
      </c>
      <c r="J5" s="8">
        <v>0.875</v>
      </c>
      <c r="K5" s="8">
        <v>0.458333333332121</v>
      </c>
      <c r="L5" s="8">
        <v>0.875</v>
      </c>
      <c r="M5" s="8">
        <v>0.458333333332121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0.458333333332121</v>
      </c>
      <c r="T5" s="8">
        <v>0.666666666667879</v>
      </c>
      <c r="U5" s="21">
        <f>IFERROR(__xludf.DUMMYFUNCTION("TO_PURE_NUMBER(SUM(FILTER(G5:T5, ISEVEN(COLUMN(G5:T5))))-SUM(FILTER(G5:T5, ISODD(COLUMN(G5:T5)))))*24"),45.0000000001746)</f>
        <v>45.0000000001746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0.458333333332121</v>
      </c>
      <c r="H6" s="8">
        <v>0.875</v>
      </c>
      <c r="I6" s="8">
        <v>0.458333333332121</v>
      </c>
      <c r="J6" s="8">
        <v>0.875</v>
      </c>
      <c r="K6" s="8">
        <v>0.458333333332121</v>
      </c>
      <c r="L6" s="8">
        <v>0.875</v>
      </c>
      <c r="M6" s="8">
        <v>0.458333333332121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ISODD(COLUMN(G6:T6)))))*24"),45.0000000001746)</f>
        <v>45.0000000001746</v>
      </c>
    </row>
    <row r="7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0.5</v>
      </c>
      <c r="H8" s="8">
        <v>0.875</v>
      </c>
      <c r="I8" s="8">
        <v>0.5</v>
      </c>
      <c r="J8" s="8">
        <v>0.875</v>
      </c>
      <c r="K8" s="8">
        <v>0.5</v>
      </c>
      <c r="L8" s="8">
        <v>0.875</v>
      </c>
      <c r="M8" s="8">
        <v>0.5</v>
      </c>
      <c r="N8" s="8">
        <v>0.875</v>
      </c>
      <c r="O8" s="8">
        <v>0.5</v>
      </c>
      <c r="P8" s="8">
        <v>0.875</v>
      </c>
      <c r="Q8" s="7" t="s">
        <v>23</v>
      </c>
      <c r="R8" s="7" t="s">
        <v>23</v>
      </c>
      <c r="S8" s="7" t="s">
        <v>23</v>
      </c>
      <c r="T8" s="7" t="s">
        <v>23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0.458333333332121</v>
      </c>
      <c r="J10" s="8">
        <v>0.875</v>
      </c>
      <c r="K10" s="8">
        <v>0.458333333332121</v>
      </c>
      <c r="L10" s="8">
        <v>0.875</v>
      </c>
      <c r="M10" s="8">
        <v>0.458333333332121</v>
      </c>
      <c r="N10" s="8">
        <v>0.875</v>
      </c>
      <c r="O10" s="8">
        <v>0.458333333332121</v>
      </c>
      <c r="P10" s="8">
        <v>0.875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165" t="s">
        <v>36</v>
      </c>
      <c r="H11" s="165" t="s">
        <v>36</v>
      </c>
      <c r="I11" s="7" t="s">
        <v>23</v>
      </c>
      <c r="J11" s="7" t="s">
        <v>23</v>
      </c>
      <c r="K11" s="7" t="s">
        <v>23</v>
      </c>
      <c r="L11" s="7" t="s">
        <v>23</v>
      </c>
      <c r="M11" s="165" t="s">
        <v>36</v>
      </c>
      <c r="N11" s="165" t="s">
        <v>36</v>
      </c>
      <c r="O11" s="165" t="s">
        <v>36</v>
      </c>
      <c r="P11" s="165" t="s">
        <v>36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ISODD(COLUMN(G11:T11)))))*24"),10.0000000001164)</f>
        <v>10.0000000001164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ISODD(COLUMN(G13:T13)))))*24"),41.0000000000582)</f>
        <v>41.0000000000582</v>
      </c>
    </row>
    <row r="14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0.458333333332121</v>
      </c>
      <c r="J15" s="8">
        <v>0.875</v>
      </c>
      <c r="K15" s="8">
        <v>0.458333333332121</v>
      </c>
      <c r="L15" s="8">
        <v>0.875</v>
      </c>
      <c r="M15" s="8">
        <v>0.458333333332121</v>
      </c>
      <c r="N15" s="8">
        <v>0.875</v>
      </c>
      <c r="O15" s="8">
        <v>0.458333333332121</v>
      </c>
      <c r="P15" s="8">
        <v>0.875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0.375</v>
      </c>
      <c r="H16" s="8">
        <v>0.583333333332121</v>
      </c>
      <c r="I16" s="8">
        <v>0.375</v>
      </c>
      <c r="J16" s="8">
        <v>0.583333333332121</v>
      </c>
      <c r="K16" s="8">
        <v>0.375</v>
      </c>
      <c r="L16" s="8">
        <v>0.583333333332121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ISODD(COLUMN(G16:T16)))))*24"),25.0000000000291)</f>
        <v>25.0000000000291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0.375</v>
      </c>
      <c r="J18" s="8">
        <v>0.791666666667879</v>
      </c>
      <c r="K18" s="8">
        <v>0.375</v>
      </c>
      <c r="L18" s="8">
        <v>0.791666666667879</v>
      </c>
      <c r="M18" s="8">
        <v>0.375</v>
      </c>
      <c r="N18" s="8">
        <v>0.791666666667879</v>
      </c>
      <c r="O18" s="8">
        <v>0.375</v>
      </c>
      <c r="P18" s="8">
        <v>0.791666666667879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customHeight="1" spans="1:21">
      <c r="A19" s="7">
        <v>10316681</v>
      </c>
      <c r="B19" s="7" t="s">
        <v>38</v>
      </c>
      <c r="C19" s="7" t="s">
        <v>95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0.375</v>
      </c>
      <c r="H20" s="8">
        <v>0.791666666667879</v>
      </c>
      <c r="I20" s="8">
        <v>0.375</v>
      </c>
      <c r="J20" s="8">
        <v>0.791666666667879</v>
      </c>
      <c r="K20" s="8">
        <v>0.375</v>
      </c>
      <c r="L20" s="8">
        <v>0.791666666667879</v>
      </c>
      <c r="M20" s="8">
        <v>0.375</v>
      </c>
      <c r="N20" s="8">
        <v>0.791666666667879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0.458333333332121</v>
      </c>
      <c r="T20" s="8">
        <v>0.666666666667879</v>
      </c>
      <c r="U20" s="21">
        <f>IFERROR(__xludf.DUMMYFUNCTION("TO_PURE_NUMBER(SUM(FILTER(G20:T20, ISEVEN(COLUMN(G20:T20))))-SUM(FILTER(G20:T20, ISODD(COLUMN(G20:T20)))))*24"),45.0000000001746)</f>
        <v>45.0000000001746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0.458333333332121</v>
      </c>
      <c r="J22" s="8">
        <v>0.875</v>
      </c>
      <c r="K22" s="8">
        <v>0.458333333332121</v>
      </c>
      <c r="L22" s="8">
        <v>0.875</v>
      </c>
      <c r="M22" s="8">
        <v>0.458333333332121</v>
      </c>
      <c r="N22" s="8">
        <v>0.875</v>
      </c>
      <c r="O22" s="8">
        <v>0.458333333332121</v>
      </c>
      <c r="P22" s="8">
        <v>0.875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0.791666666667879</v>
      </c>
      <c r="I24" s="8">
        <v>0.375</v>
      </c>
      <c r="J24" s="8">
        <v>0.791666666667879</v>
      </c>
      <c r="K24" s="8">
        <v>0.375</v>
      </c>
      <c r="L24" s="8">
        <v>0.791666666667879</v>
      </c>
      <c r="M24" s="8">
        <v>0.375</v>
      </c>
      <c r="N24" s="8">
        <v>0.791666666667879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0.458333333332121</v>
      </c>
      <c r="T24" s="8">
        <v>0.666666666667879</v>
      </c>
      <c r="U24" s="21">
        <f>IFERROR(__xludf.DUMMYFUNCTION("TO_PURE_NUMBER(SUM(FILTER(G24:T24, ISEVEN(COLUMN(G24:T24))))-SUM(FILTER(G24:T24, ISODD(COLUMN(G24:T24)))))*24"),45.0000000001746)</f>
        <v>45.0000000001746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0.5</v>
      </c>
      <c r="H25" s="8">
        <v>0.875</v>
      </c>
      <c r="I25" s="8">
        <v>0.5</v>
      </c>
      <c r="J25" s="8">
        <v>0.875</v>
      </c>
      <c r="K25" s="8">
        <v>0.5</v>
      </c>
      <c r="L25" s="8">
        <v>0.875</v>
      </c>
      <c r="M25" s="8">
        <v>0.5</v>
      </c>
      <c r="N25" s="8">
        <v>0.875</v>
      </c>
      <c r="O25" s="8">
        <v>0.5</v>
      </c>
      <c r="P25" s="8">
        <v>0.875</v>
      </c>
      <c r="Q25" s="7" t="s">
        <v>23</v>
      </c>
      <c r="R25" s="7" t="s">
        <v>23</v>
      </c>
      <c r="S25" s="7" t="s">
        <v>23</v>
      </c>
      <c r="T25" s="7" t="s">
        <v>23</v>
      </c>
      <c r="U25" s="21">
        <f>IFERROR(__xludf.DUMMYFUNCTION("TO_PURE_NUMBER(SUM(FILTER(G25:T25, ISEVEN(COLUMN(G25:T25))))-SUM(FILTER(G25:T25, ISODD(COLUMN(G25:T25)))))*24"),45)</f>
        <v>45</v>
      </c>
    </row>
    <row r="26" customHeight="1" spans="1:21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0.458333333332121</v>
      </c>
      <c r="H26" s="8">
        <v>0.875</v>
      </c>
      <c r="I26" s="8">
        <v>0.458333333332121</v>
      </c>
      <c r="J26" s="8">
        <v>0.875</v>
      </c>
      <c r="K26" s="8">
        <v>0.458333333332121</v>
      </c>
      <c r="L26" s="8">
        <v>0.875</v>
      </c>
      <c r="M26" s="8">
        <v>0.458333333332121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0.375</v>
      </c>
      <c r="J27" s="8">
        <v>0.791666666667879</v>
      </c>
      <c r="K27" s="8">
        <v>0.375</v>
      </c>
      <c r="L27" s="8">
        <v>0.791666666667879</v>
      </c>
      <c r="M27" s="8">
        <v>0.375</v>
      </c>
      <c r="N27" s="8">
        <v>0.791666666667879</v>
      </c>
      <c r="O27" s="8">
        <v>0.375</v>
      </c>
      <c r="P27" s="8">
        <v>0.791666666667879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0.375</v>
      </c>
      <c r="J29" s="8">
        <v>0.791666666667879</v>
      </c>
      <c r="K29" s="8">
        <v>0.375</v>
      </c>
      <c r="L29" s="8">
        <v>0.791666666667879</v>
      </c>
      <c r="M29" s="8">
        <v>0.375</v>
      </c>
      <c r="N29" s="8">
        <v>0.791666666667879</v>
      </c>
      <c r="O29" s="8">
        <v>0.375</v>
      </c>
      <c r="P29" s="8">
        <v>0.791666666667879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customHeight="1" spans="1:21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166" t="s">
        <v>96</v>
      </c>
      <c r="H30" s="166" t="s">
        <v>96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8">
        <v>0.375</v>
      </c>
      <c r="P30" s="8">
        <v>0.75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ISODD(COLUMN(G30:T30)))))*24"),28.0000000001164)</f>
        <v>28.0000000001164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0.375</v>
      </c>
      <c r="J31" s="8">
        <v>0.791666666667879</v>
      </c>
      <c r="K31" s="8">
        <v>0.375</v>
      </c>
      <c r="L31" s="8">
        <v>0.791666666667879</v>
      </c>
      <c r="M31" s="8">
        <v>0.375</v>
      </c>
      <c r="N31" s="8">
        <v>0.791666666667879</v>
      </c>
      <c r="O31" s="8">
        <v>0.375</v>
      </c>
      <c r="P31" s="8">
        <v>0.791666666667879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0.375</v>
      </c>
      <c r="H32" s="8">
        <v>0.791666666667879</v>
      </c>
      <c r="I32" s="8">
        <v>0.375</v>
      </c>
      <c r="J32" s="8">
        <v>0.791666666667879</v>
      </c>
      <c r="K32" s="8">
        <v>0.375</v>
      </c>
      <c r="L32" s="8">
        <v>0.791666666667879</v>
      </c>
      <c r="M32" s="8">
        <v>0.375</v>
      </c>
      <c r="N32" s="8">
        <v>0.791666666667879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1">
        <f>IFERROR(__xludf.DUMMYFUNCTION("TO_PURE_NUMBER(SUM(FILTER(G32:T32, ISEVEN(COLUMN(G32:T32))))-SUM(FILTER(G32:T32, ISODD(COLUMN(G32:T32)))))*24"),45.0000000001746)</f>
        <v>45.0000000001746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0.333333333332121</v>
      </c>
      <c r="H33" s="8">
        <v>0.75</v>
      </c>
      <c r="I33" s="8">
        <v>0.333333333332121</v>
      </c>
      <c r="J33" s="8">
        <v>0.75</v>
      </c>
      <c r="K33" s="8">
        <v>0.333333333332121</v>
      </c>
      <c r="L33" s="8">
        <v>0.75</v>
      </c>
      <c r="M33" s="8">
        <v>0.333333333332121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0.416666666667879</v>
      </c>
      <c r="T33" s="8">
        <v>0.625</v>
      </c>
      <c r="U33" s="21">
        <f>IFERROR(__xludf.DUMMYFUNCTION("TO_PURE_NUMBER(SUM(FILTER(G33:T33, ISEVEN(COLUMN(G33:T33))))-SUM(FILTER(G33:T33, ISODD(COLUMN(G33:T33)))))*24"),45.0000000000873)</f>
        <v>45.0000000000873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0.375</v>
      </c>
      <c r="H34" s="8">
        <v>0.791666666667879</v>
      </c>
      <c r="I34" s="8">
        <v>0.375</v>
      </c>
      <c r="J34" s="8">
        <v>0.791666666667879</v>
      </c>
      <c r="K34" s="8">
        <v>0.375</v>
      </c>
      <c r="L34" s="8">
        <v>0.791666666667879</v>
      </c>
      <c r="M34" s="8">
        <v>0.375</v>
      </c>
      <c r="N34" s="8">
        <v>0.791666666667879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customHeight="1" spans="1:21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0.5</v>
      </c>
      <c r="H35" s="8">
        <v>0.875</v>
      </c>
      <c r="I35" s="8">
        <v>0.5</v>
      </c>
      <c r="J35" s="8">
        <v>0.875</v>
      </c>
      <c r="K35" s="8">
        <v>0.5</v>
      </c>
      <c r="L35" s="8">
        <v>0.875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0.5</v>
      </c>
      <c r="H36" s="8">
        <v>0.875</v>
      </c>
      <c r="I36" s="8">
        <v>0.5</v>
      </c>
      <c r="J36" s="8">
        <v>0.875</v>
      </c>
      <c r="K36" s="8">
        <v>0.5</v>
      </c>
      <c r="L36" s="8">
        <v>0.875</v>
      </c>
      <c r="M36" s="8">
        <v>0.5</v>
      </c>
      <c r="N36" s="8">
        <v>0.875</v>
      </c>
      <c r="O36" s="8">
        <v>0.5</v>
      </c>
      <c r="P36" s="8">
        <v>0.875</v>
      </c>
      <c r="Q36" s="7" t="s">
        <v>23</v>
      </c>
      <c r="R36" s="7" t="s">
        <v>23</v>
      </c>
      <c r="S36" s="7" t="s">
        <v>23</v>
      </c>
      <c r="T36" s="7" t="s">
        <v>23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customHeight="1" spans="1:21">
      <c r="A39" s="7">
        <v>10316685</v>
      </c>
      <c r="B39" s="7" t="s">
        <v>47</v>
      </c>
      <c r="C39" s="7" t="s">
        <v>95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0.375</v>
      </c>
      <c r="H40" s="8">
        <v>0.75</v>
      </c>
      <c r="I40" s="8">
        <v>0.375</v>
      </c>
      <c r="J40" s="8">
        <v>0.75</v>
      </c>
      <c r="K40" s="8">
        <v>0.375</v>
      </c>
      <c r="L40" s="8">
        <v>0.75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1">
        <f>IFERROR(__xludf.DUMMYFUNCTION("TO_PURE_NUMBER(SUM(FILTER(G40:T40, ISEVEN(COLUMN(G40:T40))))-SUM(FILTER(G40:T40, ISODD(COLUMN(G40:T40)))))*24"),37.0000000001164)</f>
        <v>37.0000000001164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0.416666666667879</v>
      </c>
      <c r="H41" s="8">
        <v>0.833333333332121</v>
      </c>
      <c r="I41" s="8">
        <v>0.416666666667879</v>
      </c>
      <c r="J41" s="8">
        <v>0.833333333332121</v>
      </c>
      <c r="K41" s="8">
        <v>0.416666666667879</v>
      </c>
      <c r="L41" s="8">
        <v>0.833333333332121</v>
      </c>
      <c r="M41" s="8">
        <v>0.416666666667879</v>
      </c>
      <c r="N41" s="8">
        <v>0.833333333332121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1">
        <f>IFERROR(__xludf.DUMMYFUNCTION("TO_PURE_NUMBER(SUM(FILTER(G41:T41, ISEVEN(COLUMN(G41:T41))))-SUM(FILTER(G41:T41, ISODD(COLUMN(G41:T41)))))*24"),44.9999999998253)</f>
        <v>44.9999999998253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0.375</v>
      </c>
      <c r="J42" s="8">
        <v>0.791666666667879</v>
      </c>
      <c r="K42" s="8">
        <v>0.375</v>
      </c>
      <c r="L42" s="8">
        <v>0.791666666667879</v>
      </c>
      <c r="M42" s="8">
        <v>0.375</v>
      </c>
      <c r="N42" s="8">
        <v>0.791666666667879</v>
      </c>
      <c r="O42" s="8">
        <v>0.375</v>
      </c>
      <c r="P42" s="8">
        <v>0.791666666667879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0.5</v>
      </c>
      <c r="H43" s="8">
        <v>0.875</v>
      </c>
      <c r="I43" s="8">
        <v>0.5</v>
      </c>
      <c r="J43" s="8">
        <v>0.875</v>
      </c>
      <c r="K43" s="8">
        <v>0.5</v>
      </c>
      <c r="L43" s="8">
        <v>0.875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ISODD(COLUMN(G43:T43)))))*24"),37.0000000001164)</f>
        <v>37.0000000001164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0.5</v>
      </c>
      <c r="H44" s="8">
        <v>0.875</v>
      </c>
      <c r="I44" s="8">
        <v>0.5</v>
      </c>
      <c r="J44" s="8">
        <v>0.875</v>
      </c>
      <c r="K44" s="8">
        <v>0.5</v>
      </c>
      <c r="L44" s="8">
        <v>0.875</v>
      </c>
      <c r="M44" s="8">
        <v>0.5</v>
      </c>
      <c r="N44" s="8">
        <v>0.875</v>
      </c>
      <c r="O44" s="8">
        <v>0.5</v>
      </c>
      <c r="P44" s="8">
        <v>0.875</v>
      </c>
      <c r="Q44" s="7" t="s">
        <v>23</v>
      </c>
      <c r="R44" s="7" t="s">
        <v>23</v>
      </c>
      <c r="S44" s="7" t="s">
        <v>23</v>
      </c>
      <c r="T44" s="7" t="s">
        <v>23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0.375</v>
      </c>
      <c r="H48" s="8">
        <v>0.75</v>
      </c>
      <c r="I48" s="8">
        <v>0.375</v>
      </c>
      <c r="J48" s="8">
        <v>0.75</v>
      </c>
      <c r="K48" s="8">
        <v>0.375</v>
      </c>
      <c r="L48" s="8">
        <v>0.75</v>
      </c>
      <c r="M48" s="8">
        <v>0.375</v>
      </c>
      <c r="N48" s="8">
        <v>0.75</v>
      </c>
      <c r="O48" s="8">
        <v>0.375</v>
      </c>
      <c r="P48" s="8">
        <v>0.75</v>
      </c>
      <c r="Q48" s="7" t="s">
        <v>23</v>
      </c>
      <c r="R48" s="7" t="s">
        <v>23</v>
      </c>
      <c r="S48" s="7" t="s">
        <v>23</v>
      </c>
      <c r="T48" s="7" t="s">
        <v>23</v>
      </c>
      <c r="U48" s="21">
        <f>IFERROR(__xludf.DUMMYFUNCTION("TO_PURE_NUMBER(SUM(FILTER(G48:T48, ISEVEN(COLUMN(G48:T48))))-SUM(FILTER(G48:T48, ISODD(COLUMN(G48:T48)))))*24"),45)</f>
        <v>45</v>
      </c>
    </row>
    <row r="49" customHeight="1" spans="1:21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0.375</v>
      </c>
      <c r="H49" s="8">
        <v>0.75</v>
      </c>
      <c r="I49" s="8">
        <v>0.375</v>
      </c>
      <c r="J49" s="8">
        <v>0.75</v>
      </c>
      <c r="K49" s="8">
        <v>0.375</v>
      </c>
      <c r="L49" s="8">
        <v>0.75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ISODD(COLUMN(G49:T49)))))*24"),37.0000000001164)</f>
        <v>37.0000000001164</v>
      </c>
    </row>
    <row r="50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0.458333333332121</v>
      </c>
      <c r="J51" s="8">
        <v>0.875</v>
      </c>
      <c r="K51" s="8">
        <v>0.458333333332121</v>
      </c>
      <c r="L51" s="8">
        <v>0.875</v>
      </c>
      <c r="M51" s="8">
        <v>0.458333333332121</v>
      </c>
      <c r="N51" s="8">
        <v>0.875</v>
      </c>
      <c r="O51" s="8">
        <v>0.458333333332121</v>
      </c>
      <c r="P51" s="8">
        <v>0.875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54" hidden="1" customHeight="1" spans="6:13">
      <c r="F54" s="7"/>
      <c r="G54" s="50" t="s">
        <v>6</v>
      </c>
      <c r="H54" s="50" t="s">
        <v>7</v>
      </c>
      <c r="I54" s="50" t="s">
        <v>8</v>
      </c>
      <c r="J54" s="50" t="s">
        <v>9</v>
      </c>
      <c r="K54" s="50" t="s">
        <v>10</v>
      </c>
      <c r="L54" s="50" t="s">
        <v>11</v>
      </c>
      <c r="M54" s="50" t="s">
        <v>12</v>
      </c>
    </row>
    <row r="55" hidden="1" customHeight="1" spans="6:13">
      <c r="F55" s="7" t="s">
        <v>73</v>
      </c>
      <c r="G55" s="88">
        <v>251.4</v>
      </c>
      <c r="H55" s="88">
        <v>212.1</v>
      </c>
      <c r="I55" s="88">
        <v>205.7</v>
      </c>
      <c r="J55" s="88">
        <v>187.9</v>
      </c>
      <c r="K55" s="88">
        <v>203.7</v>
      </c>
      <c r="L55" s="88">
        <v>115.9</v>
      </c>
      <c r="M55" s="88">
        <v>84.7</v>
      </c>
    </row>
    <row r="56" hidden="1" customHeight="1" spans="6:13">
      <c r="F56" s="7" t="s">
        <v>74</v>
      </c>
      <c r="G56" s="7">
        <f t="shared" ref="G56:J56" si="0">G58*8</f>
        <v>264</v>
      </c>
      <c r="H56" s="7">
        <f t="shared" si="0"/>
        <v>352</v>
      </c>
      <c r="I56" s="7">
        <f t="shared" si="0"/>
        <v>352</v>
      </c>
      <c r="J56" s="7">
        <f t="shared" si="0"/>
        <v>320</v>
      </c>
      <c r="K56" s="7">
        <f>K58*7.5</f>
        <v>210</v>
      </c>
      <c r="L56" s="7">
        <f t="shared" ref="L56:M56" si="1">L58*4.5</f>
        <v>81</v>
      </c>
      <c r="M56" s="7">
        <f t="shared" si="1"/>
        <v>85.5</v>
      </c>
    </row>
    <row r="57" hidden="1" customHeight="1" spans="6:13">
      <c r="F57" s="7" t="s">
        <v>75</v>
      </c>
      <c r="G57" s="57">
        <f t="shared" ref="G57:M57" si="2">G56-G55</f>
        <v>12.6</v>
      </c>
      <c r="H57" s="57">
        <f t="shared" si="2"/>
        <v>139.9</v>
      </c>
      <c r="I57" s="57">
        <f t="shared" si="2"/>
        <v>146.3</v>
      </c>
      <c r="J57" s="57">
        <f t="shared" si="2"/>
        <v>132.1</v>
      </c>
      <c r="K57" s="57">
        <f t="shared" si="2"/>
        <v>6.30000000000001</v>
      </c>
      <c r="L57" s="57">
        <f t="shared" si="2"/>
        <v>-34.9</v>
      </c>
      <c r="M57" s="57">
        <f t="shared" si="2"/>
        <v>0.799999999999997</v>
      </c>
    </row>
    <row r="58" hidden="1" customHeight="1" spans="6:13">
      <c r="F58" s="7" t="s">
        <v>76</v>
      </c>
      <c r="G58" s="7">
        <f>IFERROR(__xludf.DUMMYFUNCTION("COUNTA(FILTER($C$4:$C$51, $C$4:$C$51=""CSR"", G4:G51&lt;&gt;"""", NOT(ISTEXT(G4:G51))))"),33)</f>
        <v>33</v>
      </c>
      <c r="H58" s="7">
        <f>IFERROR(__xludf.DUMMYFUNCTION("COUNTA(FILTER($C$4:$C$51, $C$4:$C$51=""CSR"", I4:I51&lt;&gt;"""", NOT(ISTEXT(I4:I51))))"),44)</f>
        <v>44</v>
      </c>
      <c r="I58" s="7">
        <f>IFERROR(__xludf.DUMMYFUNCTION("COUNTA(FILTER($C$4:$C$51, $C$4:$C$51=""CSR"", K4:K51&lt;&gt;"""", NOT(ISTEXT(K4:K51))))"),44)</f>
        <v>44</v>
      </c>
      <c r="J58" s="7">
        <f>IFERROR(__xludf.DUMMYFUNCTION("COUNTA(FILTER($C$4:$C$51, $C$4:$C$51=""CSR"", M4:M51&lt;&gt;"""", NOT(ISTEXT(M4:M51))))"),40)</f>
        <v>40</v>
      </c>
      <c r="K58" s="7">
        <f>IFERROR(__xludf.DUMMYFUNCTION("COUNTA(FILTER($C$4:$C$51, $C$4:$C$51=""CSR"", O4:O51&lt;&gt;"""", NOT(ISTEXT(O4:O51))))"),28)</f>
        <v>28</v>
      </c>
      <c r="L58" s="7">
        <f>IFERROR(__xludf.DUMMYFUNCTION("COUNTA(FILTER($C$4:$C$51, $C$4:$C$51=""CSR"", Q4:Q51&lt;&gt;"""", NOT(ISTEXT(Q4:Q51))))"),18)</f>
        <v>18</v>
      </c>
      <c r="M58" s="7">
        <f>IFERROR(__xludf.DUMMYFUNCTION("COUNTA(FILTER($C$4:$C$51, $C$4:$C$51=""CSR"", S4:S51&lt;&gt;"""", NOT(ISTEXT(S4:S51))))"),19)</f>
        <v>19</v>
      </c>
    </row>
    <row r="59" hidden="1" customHeight="1" spans="6:13">
      <c r="F59" s="7" t="s">
        <v>77</v>
      </c>
      <c r="G59" s="56">
        <f t="shared" ref="G59:K59" si="3">G55/8</f>
        <v>31.425</v>
      </c>
      <c r="H59" s="56">
        <f t="shared" si="3"/>
        <v>26.5125</v>
      </c>
      <c r="I59" s="56">
        <f t="shared" si="3"/>
        <v>25.7125</v>
      </c>
      <c r="J59" s="56">
        <f t="shared" si="3"/>
        <v>23.4875</v>
      </c>
      <c r="K59" s="56">
        <f t="shared" si="3"/>
        <v>25.4625</v>
      </c>
      <c r="L59" s="56">
        <f t="shared" ref="L59:M59" si="4">L55/4.5</f>
        <v>25.7555555555556</v>
      </c>
      <c r="M59" s="56">
        <f t="shared" si="4"/>
        <v>18.8222222222222</v>
      </c>
    </row>
    <row r="60" hidden="1" customHeight="1" spans="6:13">
      <c r="F60" s="7" t="s">
        <v>78</v>
      </c>
      <c r="G60" s="57">
        <f t="shared" ref="G60:M60" si="5">G58-G59</f>
        <v>1.575</v>
      </c>
      <c r="H60" s="57">
        <f t="shared" si="5"/>
        <v>17.4875</v>
      </c>
      <c r="I60" s="57">
        <f t="shared" si="5"/>
        <v>18.2875</v>
      </c>
      <c r="J60" s="57">
        <f t="shared" si="5"/>
        <v>16.5125</v>
      </c>
      <c r="K60" s="57">
        <f t="shared" si="5"/>
        <v>2.5375</v>
      </c>
      <c r="L60" s="57">
        <f t="shared" si="5"/>
        <v>-7.75555555555556</v>
      </c>
      <c r="M60" s="57">
        <f t="shared" si="5"/>
        <v>0.177777777777777</v>
      </c>
    </row>
    <row r="61" hidden="1" customHeight="1" spans="6:13">
      <c r="F61" s="7" t="s">
        <v>79</v>
      </c>
      <c r="G61" s="107">
        <f t="shared" ref="G61:M61" si="6">G60/G59</f>
        <v>0.0501193317422434</v>
      </c>
      <c r="H61" s="108">
        <f t="shared" si="6"/>
        <v>0.65959453088166</v>
      </c>
      <c r="I61" s="108">
        <f t="shared" si="6"/>
        <v>0.711229946524064</v>
      </c>
      <c r="J61" s="108">
        <f t="shared" si="6"/>
        <v>0.703033528472592</v>
      </c>
      <c r="K61" s="108">
        <f t="shared" si="6"/>
        <v>0.0996563573883162</v>
      </c>
      <c r="L61" s="107">
        <f t="shared" si="6"/>
        <v>-0.301121656600518</v>
      </c>
      <c r="M61" s="107">
        <f t="shared" si="6"/>
        <v>0.00944510035419123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57:M57">
    <cfRule type="cellIs" dxfId="0" priority="1" operator="lessThan">
      <formula>0</formula>
    </cfRule>
  </conditionalFormatting>
  <conditionalFormatting sqref="G4:T5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0"/>
  <sheetViews>
    <sheetView workbookViewId="0">
      <selection activeCell="A1" sqref="A1"/>
    </sheetView>
  </sheetViews>
  <sheetFormatPr defaultColWidth="12.6272727272727" defaultRowHeight="15.75" customHeight="1"/>
  <cols>
    <col min="1" max="1" width="10.6272727272727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7.75454545454545" customWidth="1"/>
    <col min="9" max="9" width="9.5" customWidth="1"/>
    <col min="10" max="10" width="7.75454545454545" customWidth="1"/>
    <col min="11" max="11" width="9.5" customWidth="1"/>
    <col min="12" max="12" width="7.75454545454545" customWidth="1"/>
    <col min="13" max="13" width="9.5" customWidth="1"/>
    <col min="14" max="14" width="7.75454545454545" customWidth="1"/>
    <col min="15" max="15" width="9.5" customWidth="1"/>
    <col min="16" max="16" width="7.75454545454545" customWidth="1"/>
    <col min="17" max="17" width="9.5" customWidth="1"/>
    <col min="18" max="18" width="7.75454545454545" customWidth="1"/>
    <col min="19" max="19" width="9.5" customWidth="1"/>
    <col min="20" max="20" width="7.75454545454545" customWidth="1"/>
    <col min="21" max="21" width="12.6272727272727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8" t="s">
        <v>6</v>
      </c>
      <c r="H1" s="14"/>
      <c r="I1" s="48" t="s">
        <v>7</v>
      </c>
      <c r="J1" s="14"/>
      <c r="K1" s="48" t="s">
        <v>8</v>
      </c>
      <c r="L1" s="14"/>
      <c r="M1" s="48" t="s">
        <v>9</v>
      </c>
      <c r="N1" s="14"/>
      <c r="O1" s="48" t="s">
        <v>10</v>
      </c>
      <c r="P1" s="14"/>
      <c r="Q1" s="48" t="s">
        <v>11</v>
      </c>
      <c r="R1" s="14"/>
      <c r="S1" s="48" t="s">
        <v>12</v>
      </c>
      <c r="T1" s="14"/>
    </row>
    <row r="2" customHeight="1" spans="1:20">
      <c r="A2" s="47"/>
      <c r="B2" s="47"/>
      <c r="C2" s="47"/>
      <c r="D2" s="47"/>
      <c r="E2" s="47"/>
      <c r="F2" s="120"/>
      <c r="G2" s="3">
        <v>45628</v>
      </c>
      <c r="H2" s="14"/>
      <c r="I2" s="3">
        <v>45629</v>
      </c>
      <c r="J2" s="14"/>
      <c r="K2" s="3">
        <v>45630</v>
      </c>
      <c r="L2" s="14"/>
      <c r="M2" s="3">
        <v>45631</v>
      </c>
      <c r="N2" s="14"/>
      <c r="O2" s="3">
        <v>45632</v>
      </c>
      <c r="P2" s="14"/>
      <c r="Q2" s="3">
        <v>45633</v>
      </c>
      <c r="R2" s="14"/>
      <c r="S2" s="3">
        <v>45634</v>
      </c>
      <c r="T2" s="14"/>
    </row>
    <row r="3" customHeight="1" spans="1:21">
      <c r="A3" s="47"/>
      <c r="B3" s="47"/>
      <c r="C3" s="47"/>
      <c r="D3" s="47"/>
      <c r="E3" s="47"/>
      <c r="F3" s="120"/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11" t="s">
        <v>82</v>
      </c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0.75</v>
      </c>
      <c r="I5" s="8">
        <v>0.375</v>
      </c>
      <c r="J5" s="8">
        <v>0.75</v>
      </c>
      <c r="K5" s="8">
        <v>0.375</v>
      </c>
      <c r="L5" s="8">
        <v>0.75</v>
      </c>
      <c r="M5" s="8">
        <v>0.375</v>
      </c>
      <c r="N5" s="8">
        <v>0.75</v>
      </c>
      <c r="O5" s="8">
        <v>0.375</v>
      </c>
      <c r="P5" s="8">
        <v>0.75</v>
      </c>
      <c r="Q5" s="7" t="s">
        <v>23</v>
      </c>
      <c r="R5" s="7" t="s">
        <v>23</v>
      </c>
      <c r="S5" s="7" t="s">
        <v>23</v>
      </c>
      <c r="T5" s="7" t="s">
        <v>23</v>
      </c>
      <c r="U5" s="21">
        <f>IFERROR(__xludf.DUMMYFUNCTION("TO_PURE_NUMBER(SUM(FILTER(G5:T5, ISEVEN(COLUMN(G5:T5))))-SUM(FILTER(G5:T5, ISODD(COLUMN(G5:T5)))))*24"),45)</f>
        <v>45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0.375</v>
      </c>
      <c r="H6" s="8">
        <v>0.791666666667879</v>
      </c>
      <c r="I6" s="8">
        <v>0.375</v>
      </c>
      <c r="J6" s="8">
        <v>0.791666666667879</v>
      </c>
      <c r="K6" s="8">
        <v>0.375</v>
      </c>
      <c r="L6" s="8">
        <v>0.791666666667879</v>
      </c>
      <c r="M6" s="8">
        <v>0.375</v>
      </c>
      <c r="N6" s="8">
        <v>0.791666666667879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ISODD(COLUMN(G6:T6)))))*24"),45.0000000001746)</f>
        <v>45.0000000001746</v>
      </c>
    </row>
    <row r="7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1">
        <f>IFERROR(__xludf.DUMMYFUNCTION("TO_PURE_NUMBER(SUM(FILTER(G8:T8, ISEVEN(COLUMN(G8:T8))))-SUM(FILTER(G8:T8, ISODD(COLUMN(G8:T8)))))*24"),45.0000000001746)</f>
        <v>45.0000000001746</v>
      </c>
    </row>
    <row r="9" customHeight="1" spans="1:21">
      <c r="A9" s="7">
        <v>10320418</v>
      </c>
      <c r="B9" s="7" t="s">
        <v>68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ISODD(COLUMN(G11:T11)))))*24"),37.0000000001164)</f>
        <v>37.0000000001164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10316543</v>
      </c>
      <c r="B13" s="55" t="s">
        <v>41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1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7" t="s">
        <v>23</v>
      </c>
      <c r="N13" s="7" t="s">
        <v>23</v>
      </c>
      <c r="O13" s="7" t="s">
        <v>23</v>
      </c>
      <c r="P13" s="7" t="s">
        <v>23</v>
      </c>
      <c r="Q13" s="8">
        <v>0.458333333332121</v>
      </c>
      <c r="R13" s="8">
        <v>0.666666666667879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ISODD(COLUMN(G13:T13)))))*24"),37.0000000001164)</f>
        <v>37.0000000001164</v>
      </c>
    </row>
    <row r="14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10252106</v>
      </c>
      <c r="B16" s="7" t="s">
        <v>43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FT</v>
      </c>
      <c r="F16" s="9">
        <f t="array" ref="F16">_xlfn.XLOOKUP($A16,'WK 48'!$A:$A,'WK 48'!F:F,"")</f>
        <v>2</v>
      </c>
      <c r="G16" s="8">
        <v>0.5</v>
      </c>
      <c r="H16" s="8">
        <v>0.875</v>
      </c>
      <c r="I16" s="7" t="s">
        <v>23</v>
      </c>
      <c r="J16" s="7" t="s">
        <v>23</v>
      </c>
      <c r="K16" s="7" t="s">
        <v>23</v>
      </c>
      <c r="L16" s="7" t="s">
        <v>23</v>
      </c>
      <c r="M16" s="8">
        <v>0.5</v>
      </c>
      <c r="N16" s="8">
        <v>0.875</v>
      </c>
      <c r="O16" s="8">
        <v>0.5</v>
      </c>
      <c r="P16" s="8">
        <v>0.875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ISODD(COLUMN(G16:T16)))))*24"),37.0000000001164)</f>
        <v>37.0000000001164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0.375</v>
      </c>
      <c r="P17" s="8">
        <v>0.791666666667879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customHeight="1" spans="1:21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8">
        <v>0.5</v>
      </c>
      <c r="N19" s="8">
        <v>0.875</v>
      </c>
      <c r="O19" s="8">
        <v>0.5</v>
      </c>
      <c r="P19" s="8">
        <v>0.875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1">
        <f>IFERROR(__xludf.DUMMYFUNCTION("TO_PURE_NUMBER(SUM(FILTER(G20:T20, ISEVEN(COLUMN(G20:T20))))-SUM(FILTER(G20:T20, ISODD(COLUMN(G20:T20)))))*24"),45)</f>
        <v>45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0.75</v>
      </c>
      <c r="I24" s="8">
        <v>0.375</v>
      </c>
      <c r="J24" s="8">
        <v>0.75</v>
      </c>
      <c r="K24" s="8">
        <v>0.375</v>
      </c>
      <c r="L24" s="8">
        <v>0.75</v>
      </c>
      <c r="M24" s="8">
        <v>0.375</v>
      </c>
      <c r="N24" s="8">
        <v>0.75</v>
      </c>
      <c r="O24" s="8">
        <v>0.375</v>
      </c>
      <c r="P24" s="8">
        <v>0.75</v>
      </c>
      <c r="Q24" s="7" t="s">
        <v>23</v>
      </c>
      <c r="R24" s="7" t="s">
        <v>23</v>
      </c>
      <c r="S24" s="7" t="s">
        <v>23</v>
      </c>
      <c r="T24" s="7" t="s">
        <v>23</v>
      </c>
      <c r="U24" s="21">
        <f>IFERROR(__xludf.DUMMYFUNCTION("TO_PURE_NUMBER(SUM(FILTER(G24:T24, ISEVEN(COLUMN(G24:T24))))-SUM(FILTER(G24:T24, ISODD(COLUMN(G24:T24)))))*24"),45)</f>
        <v>45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1">
        <f>IFERROR(__xludf.DUMMYFUNCTION("TO_PURE_NUMBER(SUM(FILTER(G25:T25, ISEVEN(COLUMN(G25:T25))))-SUM(FILTER(G25:T25, ISODD(COLUMN(G25:T25)))))*24"),45.0000000001746)</f>
        <v>45.0000000001746</v>
      </c>
    </row>
    <row r="26" customHeight="1" spans="1:21">
      <c r="A26" s="7">
        <v>10316538</v>
      </c>
      <c r="B26" s="7" t="s">
        <v>44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0.75</v>
      </c>
      <c r="I26" s="8">
        <v>0.375</v>
      </c>
      <c r="J26" s="8">
        <v>0.75</v>
      </c>
      <c r="K26" s="8">
        <v>0.375</v>
      </c>
      <c r="L26" s="8">
        <v>0.75</v>
      </c>
      <c r="M26" s="7" t="s">
        <v>23</v>
      </c>
      <c r="N26" s="7" t="s">
        <v>23</v>
      </c>
      <c r="O26" s="7" t="s">
        <v>23</v>
      </c>
      <c r="P26" s="7" t="s">
        <v>23</v>
      </c>
      <c r="Q26" s="8">
        <v>0.458333333332121</v>
      </c>
      <c r="R26" s="8">
        <v>0.666666666667879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ISODD(COLUMN(G26:T26)))))*24"),37.0000000001164)</f>
        <v>37.0000000001164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0.375</v>
      </c>
      <c r="P28" s="8">
        <v>0.791666666667879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customHeight="1" spans="1:21">
      <c r="A30" s="7">
        <v>10274446</v>
      </c>
      <c r="B30" s="7" t="s">
        <v>88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8">
        <v>0.5</v>
      </c>
      <c r="J30" s="8">
        <v>0.875</v>
      </c>
      <c r="K30" s="8">
        <v>0.5</v>
      </c>
      <c r="L30" s="8">
        <v>0.875</v>
      </c>
      <c r="M30" s="7" t="s">
        <v>23</v>
      </c>
      <c r="N30" s="7" t="s">
        <v>23</v>
      </c>
      <c r="O30" s="7" t="s">
        <v>23</v>
      </c>
      <c r="P30" s="7" t="s">
        <v>23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ISODD(COLUMN(G30:T30)))))*24"),37.0000000001164)</f>
        <v>37.0000000001164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0.458333333332121</v>
      </c>
      <c r="L32" s="8">
        <v>0.875</v>
      </c>
      <c r="M32" s="8">
        <v>0.458333333332121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1">
        <f>IFERROR(__xludf.DUMMYFUNCTION("TO_PURE_NUMBER(SUM(FILTER(G32:T32, ISEVEN(COLUMN(G32:T32))))-SUM(FILTER(G32:T32, ISODD(COLUMN(G32:T32)))))*24"),45.0000000001746)</f>
        <v>45.0000000001746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customHeight="1" spans="1:21">
      <c r="A35" s="7">
        <v>10316546</v>
      </c>
      <c r="B35" s="7" t="s">
        <v>49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8">
        <v>0.375</v>
      </c>
      <c r="J35" s="8">
        <v>0.75</v>
      </c>
      <c r="K35" s="8">
        <v>0.375</v>
      </c>
      <c r="L35" s="8">
        <v>0.75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0.791666666667879</v>
      </c>
      <c r="I36" s="8">
        <v>0.375</v>
      </c>
      <c r="J36" s="8">
        <v>0.791666666667879</v>
      </c>
      <c r="K36" s="8">
        <v>0.375</v>
      </c>
      <c r="L36" s="8">
        <v>0.791666666667879</v>
      </c>
      <c r="M36" s="8">
        <v>0.375</v>
      </c>
      <c r="N36" s="8">
        <v>0.791666666667879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21">
        <f>IFERROR(__xludf.DUMMYFUNCTION("TO_PURE_NUMBER(SUM(FILTER(G36:T36, ISEVEN(COLUMN(G36:T36))))-SUM(FILTER(G36:T36, ISODD(COLUMN(G36:T36)))))*24"),45.0000000001746)</f>
        <v>45.0000000001746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customHeight="1" spans="1:21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10320409</v>
      </c>
      <c r="B40" s="7" t="s">
        <v>57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3</v>
      </c>
      <c r="G40" s="8">
        <v>0.5</v>
      </c>
      <c r="H40" s="8">
        <v>0.875</v>
      </c>
      <c r="I40" s="8">
        <v>0.5</v>
      </c>
      <c r="J40" s="8">
        <v>0.875</v>
      </c>
      <c r="K40" s="8">
        <v>0.5</v>
      </c>
      <c r="L40" s="8">
        <v>0.875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1">
        <f>IFERROR(__xludf.DUMMYFUNCTION("TO_PURE_NUMBER(SUM(FILTER(G40:T40, ISEVEN(COLUMN(G40:T40))))-SUM(FILTER(G40:T40, ISODD(COLUMN(G40:T40)))))*24"),37.0000000001164)</f>
        <v>37.0000000001164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0.458333333332121</v>
      </c>
      <c r="L41" s="8">
        <v>0.875</v>
      </c>
      <c r="M41" s="8">
        <v>0.458333333332121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1">
        <f>IFERROR(__xludf.DUMMYFUNCTION("TO_PURE_NUMBER(SUM(FILTER(G41:T41, ISEVEN(COLUMN(G41:T41))))-SUM(FILTER(G41:T41, ISODD(COLUMN(G41:T41)))))*24"),45.0000000001746)</f>
        <v>45.0000000001746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10320408</v>
      </c>
      <c r="B43" s="55" t="s">
        <v>56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3</v>
      </c>
      <c r="G43" s="8">
        <v>0.666666666667879</v>
      </c>
      <c r="H43" s="8">
        <v>0.875</v>
      </c>
      <c r="I43" s="7" t="s">
        <v>23</v>
      </c>
      <c r="J43" s="7" t="s">
        <v>23</v>
      </c>
      <c r="K43" s="7" t="s">
        <v>23</v>
      </c>
      <c r="L43" s="7" t="s">
        <v>23</v>
      </c>
      <c r="M43" s="8">
        <v>0.666666666667879</v>
      </c>
      <c r="N43" s="8">
        <v>0.875</v>
      </c>
      <c r="O43" s="8">
        <v>0.666666666667879</v>
      </c>
      <c r="P43" s="8">
        <v>0.875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ISODD(COLUMN(G43:T43)))))*24"),25.0000000000291)</f>
        <v>25.0000000000291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0.791666666667879</v>
      </c>
      <c r="M44" s="8">
        <v>0.375</v>
      </c>
      <c r="N44" s="8">
        <v>0.791666666667879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21">
        <f>IFERROR(__xludf.DUMMYFUNCTION("TO_PURE_NUMBER(SUM(FILTER(G44:T44, ISEVEN(COLUMN(G44:T44))))-SUM(FILTER(G44:T44, ISODD(COLUMN(G44:T44)))))*24"),45.0000000001746)</f>
        <v>45.0000000001746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0.458333333332121</v>
      </c>
      <c r="L48" s="8">
        <v>0.875</v>
      </c>
      <c r="M48" s="8">
        <v>0.458333333332121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21">
        <f>IFERROR(__xludf.DUMMYFUNCTION("TO_PURE_NUMBER(SUM(FILTER(G48:T48, ISEVEN(COLUMN(G48:T48))))-SUM(FILTER(G48:T48, ISODD(COLUMN(G48:T48)))))*24"),45.0000000001746)</f>
        <v>45.0000000001746</v>
      </c>
    </row>
    <row r="49" customHeight="1" spans="1:21">
      <c r="A49" s="7">
        <v>10295555</v>
      </c>
      <c r="B49" s="7" t="s">
        <v>34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PT</v>
      </c>
      <c r="F49" s="9">
        <f t="array" ref="F49">_xlfn.XLOOKUP($A49,'WK 48'!$A:$A,'WK 48'!F:F,"")</f>
        <v>2</v>
      </c>
      <c r="G49" s="8">
        <v>0.666666666667879</v>
      </c>
      <c r="H49" s="8">
        <v>0.875</v>
      </c>
      <c r="I49" s="8">
        <v>0.666666666667879</v>
      </c>
      <c r="J49" s="8">
        <v>0.875</v>
      </c>
      <c r="K49" s="8">
        <v>0.666666666667879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ISODD(COLUMN(G49:T49)))))*24"),25.0000000000291)</f>
        <v>25.0000000000291</v>
      </c>
    </row>
    <row r="50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58" customHeight="1" spans="1:20">
      <c r="A58" s="22" t="s">
        <v>0</v>
      </c>
      <c r="B58" s="22" t="s">
        <v>1</v>
      </c>
      <c r="C58" s="22" t="s">
        <v>2</v>
      </c>
      <c r="D58" s="22" t="s">
        <v>3</v>
      </c>
      <c r="E58" s="22" t="s">
        <v>4</v>
      </c>
      <c r="F58" s="157" t="s">
        <v>5</v>
      </c>
      <c r="G58" s="24" t="s">
        <v>6</v>
      </c>
      <c r="H58" s="14"/>
      <c r="I58" s="24" t="s">
        <v>7</v>
      </c>
      <c r="J58" s="14"/>
      <c r="K58" s="24" t="s">
        <v>8</v>
      </c>
      <c r="L58" s="14"/>
      <c r="M58" s="24" t="s">
        <v>9</v>
      </c>
      <c r="N58" s="14"/>
      <c r="O58" s="24" t="s">
        <v>10</v>
      </c>
      <c r="P58" s="14"/>
      <c r="Q58" s="24" t="s">
        <v>11</v>
      </c>
      <c r="R58" s="14"/>
      <c r="S58" s="24" t="s">
        <v>12</v>
      </c>
      <c r="T58" s="14"/>
    </row>
    <row r="59" customHeight="1" spans="1:20">
      <c r="A59" s="15"/>
      <c r="B59" s="15"/>
      <c r="C59" s="15"/>
      <c r="D59" s="15"/>
      <c r="E59" s="15"/>
      <c r="F59" s="15"/>
      <c r="G59" s="158">
        <v>45628</v>
      </c>
      <c r="H59" s="14"/>
      <c r="I59" s="158">
        <v>45629</v>
      </c>
      <c r="J59" s="14"/>
      <c r="K59" s="158">
        <v>45630</v>
      </c>
      <c r="L59" s="14"/>
      <c r="M59" s="158">
        <v>45631</v>
      </c>
      <c r="N59" s="14"/>
      <c r="O59" s="158">
        <v>45632</v>
      </c>
      <c r="P59" s="14"/>
      <c r="Q59" s="158">
        <v>45633</v>
      </c>
      <c r="R59" s="14"/>
      <c r="S59" s="158">
        <v>45634</v>
      </c>
      <c r="T59" s="14"/>
    </row>
    <row r="60" customHeight="1" spans="1:21">
      <c r="A60" s="15"/>
      <c r="B60" s="15"/>
      <c r="C60" s="15"/>
      <c r="D60" s="15"/>
      <c r="E60" s="15"/>
      <c r="F60" s="15"/>
      <c r="G60" s="159" t="s">
        <v>80</v>
      </c>
      <c r="H60" s="159" t="s">
        <v>81</v>
      </c>
      <c r="I60" s="159" t="s">
        <v>80</v>
      </c>
      <c r="J60" s="159" t="s">
        <v>81</v>
      </c>
      <c r="K60" s="159" t="s">
        <v>80</v>
      </c>
      <c r="L60" s="159" t="s">
        <v>81</v>
      </c>
      <c r="M60" s="159" t="s">
        <v>80</v>
      </c>
      <c r="N60" s="159" t="s">
        <v>81</v>
      </c>
      <c r="O60" s="159" t="s">
        <v>80</v>
      </c>
      <c r="P60" s="159" t="s">
        <v>81</v>
      </c>
      <c r="Q60" s="159" t="s">
        <v>80</v>
      </c>
      <c r="R60" s="159" t="s">
        <v>81</v>
      </c>
      <c r="S60" s="159" t="s">
        <v>80</v>
      </c>
      <c r="T60" s="159" t="s">
        <v>81</v>
      </c>
      <c r="U60" s="159" t="s">
        <v>97</v>
      </c>
    </row>
    <row r="61" customHeight="1" spans="1:21">
      <c r="A61" s="114">
        <v>10320408</v>
      </c>
      <c r="B61" s="160" t="s">
        <v>56</v>
      </c>
      <c r="C61" s="114" t="str">
        <f t="array" ref="C61">_xlfn.XLOOKUP($A61,'WK 48'!A:A,'WK 48'!C:C,"")</f>
        <v>CSR</v>
      </c>
      <c r="D61" s="114" t="str">
        <f t="array" ref="D61">_xlfn.XLOOKUP($A61,'WK 48'!$A:$A,'WK 48'!D:D,"")</f>
        <v>Production</v>
      </c>
      <c r="E61" s="115" t="str">
        <f t="array" ref="E61">_xlfn.XLOOKUP($A61,'WK 48'!$A:$A,'WK 48'!E:E,"")</f>
        <v>FT</v>
      </c>
      <c r="F61" s="161">
        <f t="array" ref="F61">_xlfn.XLOOKUP($A61,'WK 48'!$A:$A,'WK 48'!F:F,"")</f>
        <v>3</v>
      </c>
      <c r="G61" s="162">
        <v>0.666666666667879</v>
      </c>
      <c r="H61" s="163">
        <v>0.875</v>
      </c>
      <c r="I61" s="114" t="s">
        <v>23</v>
      </c>
      <c r="J61" s="114" t="s">
        <v>23</v>
      </c>
      <c r="K61" s="114" t="s">
        <v>23</v>
      </c>
      <c r="L61" s="114" t="s">
        <v>23</v>
      </c>
      <c r="M61" s="162">
        <v>0.666666666667879</v>
      </c>
      <c r="N61" s="163">
        <v>0.875</v>
      </c>
      <c r="O61" s="162">
        <v>0.666666666667879</v>
      </c>
      <c r="P61" s="163">
        <v>0.875</v>
      </c>
      <c r="Q61" s="164">
        <v>0.458333333332121</v>
      </c>
      <c r="R61" s="162">
        <v>0.666666666667879</v>
      </c>
      <c r="S61" s="164">
        <v>0.458333333332121</v>
      </c>
      <c r="T61" s="162">
        <v>0.666666666667879</v>
      </c>
      <c r="U61" s="21">
        <f>IFERROR(__xludf.DUMMYFUNCTION("TO_PURE_NUMBER(SUM(FILTER(G61:T61, ISEVEN(COLUMN(G61:T61))))-SUM(FILTER(G61:T61, ISODD(COLUMN(G61:T61)))))*24"),25.0000000000291)</f>
        <v>25.0000000000291</v>
      </c>
    </row>
    <row r="62" customHeight="1" spans="1:21">
      <c r="A62" s="7">
        <v>10316543</v>
      </c>
      <c r="B62" s="55" t="s">
        <v>41</v>
      </c>
      <c r="C62" s="7" t="str">
        <f t="array" ref="C62">_xlfn.XLOOKUP($A62,'WK 48'!A:A,'WK 48'!C:C,"")</f>
        <v>CSR</v>
      </c>
      <c r="D62" s="7" t="str">
        <f t="array" ref="D62">_xlfn.XLOOKUP($A62,'WK 48'!$A:$A,'WK 48'!D:D,"")</f>
        <v>Production</v>
      </c>
      <c r="E62" s="8" t="str">
        <f t="array" ref="E62">_xlfn.XLOOKUP($A62,'WK 48'!$A:$A,'WK 48'!E:E,"")</f>
        <v>FT</v>
      </c>
      <c r="F62" s="9">
        <f t="array" ref="F62">_xlfn.XLOOKUP($A62,'WK 48'!$A:$A,'WK 48'!F:F,"")</f>
        <v>1</v>
      </c>
      <c r="G62" s="8">
        <v>0.375</v>
      </c>
      <c r="H62" s="8">
        <v>0.75</v>
      </c>
      <c r="I62" s="8">
        <v>0.375</v>
      </c>
      <c r="J62" s="8">
        <v>0.75</v>
      </c>
      <c r="K62" s="8">
        <v>0.375</v>
      </c>
      <c r="L62" s="8">
        <v>0.75</v>
      </c>
      <c r="M62" s="7" t="s">
        <v>23</v>
      </c>
      <c r="N62" s="7" t="s">
        <v>23</v>
      </c>
      <c r="O62" s="7" t="s">
        <v>23</v>
      </c>
      <c r="P62" s="7" t="s">
        <v>23</v>
      </c>
      <c r="Q62" s="8">
        <v>0.458333333332121</v>
      </c>
      <c r="R62" s="8">
        <v>0.666666666667879</v>
      </c>
      <c r="S62" s="8">
        <v>0.458333333332121</v>
      </c>
      <c r="T62" s="8">
        <v>0.666666666667879</v>
      </c>
      <c r="U62" s="21">
        <f>IFERROR(__xludf.DUMMYFUNCTION("TO_PURE_NUMBER(SUM(FILTER(G62:T62, ISEVEN(COLUMN(G62:T62))))-SUM(FILTER(G62:T62, ISODD(COLUMN(G62:T62)))))*24"),37.0000000001164)</f>
        <v>37.0000000001164</v>
      </c>
    </row>
    <row r="66" customHeight="1" spans="1:20">
      <c r="A66" s="22" t="s">
        <v>0</v>
      </c>
      <c r="B66" s="22" t="s">
        <v>1</v>
      </c>
      <c r="C66" s="22" t="s">
        <v>2</v>
      </c>
      <c r="D66" s="22" t="s">
        <v>3</v>
      </c>
      <c r="E66" s="22" t="s">
        <v>4</v>
      </c>
      <c r="F66" s="157" t="s">
        <v>5</v>
      </c>
      <c r="G66" s="24" t="s">
        <v>6</v>
      </c>
      <c r="H66" s="14"/>
      <c r="I66" s="24" t="s">
        <v>7</v>
      </c>
      <c r="J66" s="14"/>
      <c r="K66" s="24" t="s">
        <v>8</v>
      </c>
      <c r="L66" s="14"/>
      <c r="M66" s="24" t="s">
        <v>9</v>
      </c>
      <c r="N66" s="14"/>
      <c r="O66" s="24" t="s">
        <v>10</v>
      </c>
      <c r="P66" s="14"/>
      <c r="Q66" s="24" t="s">
        <v>11</v>
      </c>
      <c r="R66" s="14"/>
      <c r="S66" s="24" t="s">
        <v>12</v>
      </c>
      <c r="T66" s="14"/>
    </row>
    <row r="67" customHeight="1" spans="1:20">
      <c r="A67" s="15"/>
      <c r="B67" s="15"/>
      <c r="C67" s="15"/>
      <c r="D67" s="15"/>
      <c r="E67" s="15"/>
      <c r="F67" s="15"/>
      <c r="G67" s="158">
        <v>45628</v>
      </c>
      <c r="H67" s="14"/>
      <c r="I67" s="158">
        <v>45629</v>
      </c>
      <c r="J67" s="14"/>
      <c r="K67" s="158">
        <v>45630</v>
      </c>
      <c r="L67" s="14"/>
      <c r="M67" s="158">
        <v>45631</v>
      </c>
      <c r="N67" s="14"/>
      <c r="O67" s="158">
        <v>45632</v>
      </c>
      <c r="P67" s="14"/>
      <c r="Q67" s="158">
        <v>45633</v>
      </c>
      <c r="R67" s="14"/>
      <c r="S67" s="158">
        <v>45634</v>
      </c>
      <c r="T67" s="14"/>
    </row>
    <row r="68" customHeight="1" spans="1:21">
      <c r="A68" s="15"/>
      <c r="B68" s="15"/>
      <c r="C68" s="15"/>
      <c r="D68" s="15"/>
      <c r="E68" s="15"/>
      <c r="F68" s="15"/>
      <c r="G68" s="159" t="s">
        <v>80</v>
      </c>
      <c r="H68" s="159" t="s">
        <v>81</v>
      </c>
      <c r="I68" s="159" t="s">
        <v>80</v>
      </c>
      <c r="J68" s="159" t="s">
        <v>81</v>
      </c>
      <c r="K68" s="159" t="s">
        <v>80</v>
      </c>
      <c r="L68" s="159" t="s">
        <v>81</v>
      </c>
      <c r="M68" s="159" t="s">
        <v>80</v>
      </c>
      <c r="N68" s="159" t="s">
        <v>81</v>
      </c>
      <c r="O68" s="159" t="s">
        <v>80</v>
      </c>
      <c r="P68" s="159" t="s">
        <v>81</v>
      </c>
      <c r="Q68" s="159" t="s">
        <v>80</v>
      </c>
      <c r="R68" s="159" t="s">
        <v>81</v>
      </c>
      <c r="S68" s="159" t="s">
        <v>80</v>
      </c>
      <c r="T68" s="159" t="s">
        <v>81</v>
      </c>
      <c r="U68" s="159" t="s">
        <v>97</v>
      </c>
    </row>
    <row r="69" customHeight="1" spans="1:21">
      <c r="A69" s="114">
        <v>10320408</v>
      </c>
      <c r="B69" s="160" t="s">
        <v>56</v>
      </c>
      <c r="C69" s="114" t="str">
        <f t="array" ref="C69">_xlfn.XLOOKUP($A69,'WK 48'!A:A,'WK 48'!C:C,"")</f>
        <v>CSR</v>
      </c>
      <c r="D69" s="114" t="str">
        <f t="array" ref="D69">_xlfn.XLOOKUP($A69,'WK 48'!$A:$A,'WK 48'!D:D,"")</f>
        <v>Production</v>
      </c>
      <c r="E69" s="115" t="str">
        <f t="array" ref="E69">_xlfn.XLOOKUP($A69,'WK 48'!$A:$A,'WK 48'!E:E,"")</f>
        <v>FT</v>
      </c>
      <c r="F69" s="161">
        <f t="array" ref="F69">_xlfn.XLOOKUP($A69,'WK 48'!$A:$A,'WK 48'!F:F,"")</f>
        <v>3</v>
      </c>
      <c r="G69" s="54">
        <v>0.458333333333333</v>
      </c>
      <c r="H69" s="163">
        <v>0.833333333333333</v>
      </c>
      <c r="I69" s="54">
        <v>0.375</v>
      </c>
      <c r="J69" s="54">
        <v>0.75</v>
      </c>
      <c r="K69" s="54">
        <v>0.375</v>
      </c>
      <c r="L69" s="54">
        <v>0.75</v>
      </c>
      <c r="M69" s="54">
        <v>0.375</v>
      </c>
      <c r="N69" s="54">
        <v>0.75</v>
      </c>
      <c r="O69" s="21" t="s">
        <v>23</v>
      </c>
      <c r="P69" s="21" t="s">
        <v>23</v>
      </c>
      <c r="Q69" s="21" t="s">
        <v>23</v>
      </c>
      <c r="R69" s="21" t="s">
        <v>23</v>
      </c>
      <c r="S69" s="54">
        <v>0.458333333333333</v>
      </c>
      <c r="T69" s="54">
        <v>0.666666666666667</v>
      </c>
      <c r="U69" s="21">
        <f>IFERROR(__xludf.DUMMYFUNCTION("TO_PURE_NUMBER(SUM(FILTER(G69:T69, ISEVEN(COLUMN(G69:T69))))-SUM(FILTER(G69:T69, ISODD(COLUMN(G69:T69)))))*24"),41)</f>
        <v>41</v>
      </c>
    </row>
    <row r="70" customHeight="1" spans="1:21">
      <c r="A70" s="7">
        <v>10316543</v>
      </c>
      <c r="B70" s="55" t="s">
        <v>41</v>
      </c>
      <c r="C70" s="7" t="str">
        <f t="array" ref="C70">_xlfn.XLOOKUP($A70,'WK 48'!A:A,'WK 48'!C:C,"")</f>
        <v>CSR</v>
      </c>
      <c r="D70" s="7" t="str">
        <f t="array" ref="D70">_xlfn.XLOOKUP($A70,'WK 48'!$A:$A,'WK 48'!D:D,"")</f>
        <v>Production</v>
      </c>
      <c r="E70" s="8" t="str">
        <f t="array" ref="E70">_xlfn.XLOOKUP($A70,'WK 48'!$A:$A,'WK 48'!E:E,"")</f>
        <v>FT</v>
      </c>
      <c r="F70" s="9">
        <f t="array" ref="F70">_xlfn.XLOOKUP($A70,'WK 48'!$A:$A,'WK 48'!F:F,"")</f>
        <v>1</v>
      </c>
      <c r="G70" s="8">
        <v>0.375</v>
      </c>
      <c r="H70" s="8">
        <v>0.791666666667879</v>
      </c>
      <c r="I70" s="8">
        <v>0.458333333332121</v>
      </c>
      <c r="J70" s="8">
        <v>0.875</v>
      </c>
      <c r="K70" s="8">
        <v>0.458333333332121</v>
      </c>
      <c r="L70" s="8">
        <v>0.875</v>
      </c>
      <c r="M70" s="8">
        <v>0.458333333332121</v>
      </c>
      <c r="N70" s="8">
        <v>0.875</v>
      </c>
      <c r="O70" s="7" t="s">
        <v>23</v>
      </c>
      <c r="P70" s="7" t="s">
        <v>23</v>
      </c>
      <c r="Q70" s="7" t="s">
        <v>23</v>
      </c>
      <c r="R70" s="7" t="s">
        <v>23</v>
      </c>
      <c r="S70" s="8">
        <v>0.458333333332121</v>
      </c>
      <c r="T70" s="8">
        <v>0.666666666667879</v>
      </c>
      <c r="U70" s="21">
        <f>IFERROR(__xludf.DUMMYFUNCTION("TO_PURE_NUMBER(SUM(FILTER(G70:T70, ISEVEN(COLUMN(G70:T70))))-SUM(FILTER(G70:T70, ISODD(COLUMN(G70:T70)))))*24"),45.0000000001746)</f>
        <v>45.0000000001746</v>
      </c>
    </row>
  </sheetData>
  <mergeCells count="5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58:A60"/>
    <mergeCell ref="A66:A68"/>
    <mergeCell ref="B58:B60"/>
    <mergeCell ref="B66:B68"/>
    <mergeCell ref="C58:C60"/>
    <mergeCell ref="C66:C68"/>
    <mergeCell ref="D58:D60"/>
    <mergeCell ref="D66:D68"/>
    <mergeCell ref="E58:E60"/>
    <mergeCell ref="E66:E68"/>
    <mergeCell ref="F58:F60"/>
    <mergeCell ref="F66:F68"/>
  </mergeCells>
  <conditionalFormatting sqref="G4:T51 G62:T62 G69:G70 I69:T70 H7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</sheetPr>
  <dimension ref="A1:BQ1088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8.5" customWidth="1"/>
    <col min="9" max="9" width="9.5" customWidth="1"/>
    <col min="10" max="10" width="8.5" customWidth="1"/>
    <col min="11" max="11" width="9.5" customWidth="1"/>
    <col min="12" max="12" width="8.5" customWidth="1"/>
    <col min="13" max="13" width="9.5" customWidth="1"/>
    <col min="14" max="14" width="8.5" customWidth="1"/>
    <col min="15" max="15" width="9.5" customWidth="1"/>
    <col min="16" max="16" width="8.5" customWidth="1"/>
    <col min="17" max="17" width="9.5" customWidth="1"/>
    <col min="18" max="18" width="8.5" customWidth="1"/>
    <col min="19" max="19" width="9.5" customWidth="1"/>
    <col min="20" max="20" width="8.5" customWidth="1"/>
    <col min="21" max="21" width="9.5" customWidth="1"/>
    <col min="22" max="22" width="8.5" customWidth="1"/>
    <col min="23" max="23" width="9.5" customWidth="1"/>
    <col min="24" max="24" width="8.5" customWidth="1"/>
    <col min="25" max="25" width="9.5" customWidth="1"/>
    <col min="26" max="26" width="8.5" customWidth="1"/>
    <col min="27" max="27" width="9.38181818181818" customWidth="1"/>
    <col min="28" max="28" width="8.5" customWidth="1"/>
    <col min="29" max="29" width="9.5" customWidth="1"/>
    <col min="30" max="30" width="8.5" customWidth="1"/>
    <col min="31" max="31" width="9.5" customWidth="1"/>
    <col min="32" max="32" width="8.5" customWidth="1"/>
    <col min="33" max="33" width="9.5" customWidth="1"/>
    <col min="34" max="34" width="8.5" customWidth="1"/>
    <col min="35" max="35" width="9.5" customWidth="1"/>
    <col min="36" max="36" width="8.5" customWidth="1"/>
    <col min="37" max="37" width="9.5" customWidth="1"/>
    <col min="38" max="38" width="8.5" customWidth="1"/>
    <col min="39" max="39" width="9.5" customWidth="1"/>
    <col min="40" max="40" width="8.5" customWidth="1"/>
    <col min="41" max="41" width="9.5" customWidth="1"/>
    <col min="42" max="42" width="8.5" customWidth="1"/>
    <col min="43" max="43" width="9.5" customWidth="1"/>
    <col min="44" max="44" width="8.5" customWidth="1"/>
    <col min="45" max="45" width="9.5" customWidth="1"/>
    <col min="46" max="46" width="8.5" customWidth="1"/>
    <col min="47" max="47" width="9.5" customWidth="1"/>
    <col min="48" max="48" width="8.5" customWidth="1"/>
    <col min="49" max="49" width="9.5" customWidth="1"/>
    <col min="50" max="50" width="8.5" customWidth="1"/>
    <col min="51" max="51" width="9.5" customWidth="1"/>
    <col min="52" max="52" width="8.5" customWidth="1"/>
    <col min="53" max="53" width="9.5" customWidth="1"/>
    <col min="54" max="54" width="8.5" customWidth="1"/>
    <col min="55" max="55" width="9.5" customWidth="1"/>
    <col min="56" max="56" width="8.5" customWidth="1"/>
    <col min="57" max="57" width="9.5" customWidth="1"/>
    <col min="58" max="58" width="8.5" customWidth="1"/>
    <col min="59" max="59" width="9.5" customWidth="1"/>
    <col min="60" max="60" width="8.5" customWidth="1"/>
    <col min="61" max="61" width="9.5" customWidth="1"/>
    <col min="62" max="62" width="8.5" customWidth="1"/>
    <col min="63" max="63" width="9.5" customWidth="1"/>
    <col min="64" max="64" width="8.5" customWidth="1"/>
    <col min="65" max="65" width="9.5" customWidth="1"/>
    <col min="66" max="66" width="8.5" customWidth="1"/>
    <col min="67" max="67" width="9.5" customWidth="1"/>
    <col min="68" max="68" width="8.5" customWidth="1"/>
  </cols>
  <sheetData>
    <row r="1" customHeigh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45658</v>
      </c>
      <c r="H1" s="14"/>
      <c r="I1" s="3">
        <v>45659</v>
      </c>
      <c r="J1" s="14"/>
      <c r="K1" s="3">
        <v>45660</v>
      </c>
      <c r="L1" s="14"/>
      <c r="M1" s="3">
        <v>45661</v>
      </c>
      <c r="N1" s="14"/>
      <c r="O1" s="3">
        <v>45662</v>
      </c>
      <c r="P1" s="14"/>
      <c r="Q1" s="3">
        <v>45663</v>
      </c>
      <c r="R1" s="14"/>
      <c r="S1" s="3">
        <v>45664</v>
      </c>
      <c r="T1" s="14"/>
      <c r="U1" s="3">
        <v>45665</v>
      </c>
      <c r="V1" s="14"/>
      <c r="W1" s="3">
        <v>45666</v>
      </c>
      <c r="X1" s="14"/>
      <c r="Y1" s="3">
        <v>45667</v>
      </c>
      <c r="Z1" s="14"/>
      <c r="AA1" s="3">
        <v>45668</v>
      </c>
      <c r="AB1" s="14"/>
      <c r="AC1" s="3">
        <v>45669</v>
      </c>
      <c r="AD1" s="14"/>
      <c r="AE1" s="3">
        <v>45670</v>
      </c>
      <c r="AF1" s="14"/>
      <c r="AG1" s="3">
        <v>45671</v>
      </c>
      <c r="AH1" s="14"/>
      <c r="AI1" s="3">
        <v>45672</v>
      </c>
      <c r="AJ1" s="14"/>
      <c r="AK1" s="3">
        <v>45673</v>
      </c>
      <c r="AL1" s="14"/>
      <c r="AM1" s="3">
        <v>45674</v>
      </c>
      <c r="AN1" s="14"/>
      <c r="AO1" s="3">
        <v>45675</v>
      </c>
      <c r="AP1" s="14"/>
      <c r="AQ1" s="3">
        <v>45676</v>
      </c>
      <c r="AR1" s="14"/>
      <c r="AS1" s="3">
        <v>45677</v>
      </c>
      <c r="AT1" s="14"/>
      <c r="AU1" s="3">
        <v>45678</v>
      </c>
      <c r="AV1" s="14"/>
      <c r="AW1" s="3">
        <v>45679</v>
      </c>
      <c r="AX1" s="14"/>
      <c r="AY1" s="3">
        <v>45680</v>
      </c>
      <c r="AZ1" s="14"/>
      <c r="BA1" s="3">
        <v>45681</v>
      </c>
      <c r="BB1" s="14"/>
      <c r="BC1" s="3">
        <v>45682</v>
      </c>
      <c r="BD1" s="14"/>
      <c r="BE1" s="3">
        <v>45683</v>
      </c>
      <c r="BF1" s="14"/>
      <c r="BG1" s="3">
        <v>45684</v>
      </c>
      <c r="BH1" s="14"/>
      <c r="BI1" s="3">
        <v>45685</v>
      </c>
      <c r="BJ1" s="14"/>
      <c r="BK1" s="3">
        <v>45686</v>
      </c>
      <c r="BL1" s="14"/>
      <c r="BM1" s="3">
        <v>45687</v>
      </c>
      <c r="BN1" s="14"/>
      <c r="BO1" s="3">
        <v>45688</v>
      </c>
      <c r="BP1" s="14"/>
    </row>
    <row r="2" customHeight="1" spans="1:68">
      <c r="A2" s="15"/>
      <c r="B2" s="15"/>
      <c r="C2" s="15"/>
      <c r="D2" s="15"/>
      <c r="E2" s="15"/>
      <c r="F2" s="15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  <c r="U2" s="16" t="s">
        <v>80</v>
      </c>
      <c r="V2" s="16" t="s">
        <v>81</v>
      </c>
      <c r="W2" s="16" t="s">
        <v>80</v>
      </c>
      <c r="X2" s="16" t="s">
        <v>81</v>
      </c>
      <c r="Y2" s="16" t="s">
        <v>80</v>
      </c>
      <c r="Z2" s="16" t="s">
        <v>81</v>
      </c>
      <c r="AA2" s="16" t="s">
        <v>80</v>
      </c>
      <c r="AB2" s="16" t="s">
        <v>81</v>
      </c>
      <c r="AC2" s="16" t="s">
        <v>80</v>
      </c>
      <c r="AD2" s="16" t="s">
        <v>81</v>
      </c>
      <c r="AE2" s="16" t="s">
        <v>80</v>
      </c>
      <c r="AF2" s="16" t="s">
        <v>81</v>
      </c>
      <c r="AG2" s="16" t="s">
        <v>80</v>
      </c>
      <c r="AH2" s="16" t="s">
        <v>81</v>
      </c>
      <c r="AI2" s="16" t="s">
        <v>80</v>
      </c>
      <c r="AJ2" s="16" t="s">
        <v>81</v>
      </c>
      <c r="AK2" s="16" t="s">
        <v>80</v>
      </c>
      <c r="AL2" s="16" t="s">
        <v>81</v>
      </c>
      <c r="AM2" s="16" t="s">
        <v>80</v>
      </c>
      <c r="AN2" s="16" t="s">
        <v>81</v>
      </c>
      <c r="AO2" s="16" t="s">
        <v>80</v>
      </c>
      <c r="AP2" s="16" t="s">
        <v>81</v>
      </c>
      <c r="AQ2" s="16" t="s">
        <v>80</v>
      </c>
      <c r="AR2" s="16" t="s">
        <v>81</v>
      </c>
      <c r="AS2" s="16" t="s">
        <v>80</v>
      </c>
      <c r="AT2" s="16" t="s">
        <v>81</v>
      </c>
      <c r="AU2" s="16" t="s">
        <v>80</v>
      </c>
      <c r="AV2" s="16" t="s">
        <v>81</v>
      </c>
      <c r="AW2" s="16" t="s">
        <v>80</v>
      </c>
      <c r="AX2" s="16" t="s">
        <v>81</v>
      </c>
      <c r="AY2" s="16" t="s">
        <v>80</v>
      </c>
      <c r="AZ2" s="16" t="s">
        <v>81</v>
      </c>
      <c r="BA2" s="16" t="s">
        <v>80</v>
      </c>
      <c r="BB2" s="16" t="s">
        <v>81</v>
      </c>
      <c r="BC2" s="16" t="s">
        <v>80</v>
      </c>
      <c r="BD2" s="16" t="s">
        <v>81</v>
      </c>
      <c r="BE2" s="16" t="s">
        <v>80</v>
      </c>
      <c r="BF2" s="16" t="s">
        <v>81</v>
      </c>
      <c r="BG2" s="16" t="s">
        <v>80</v>
      </c>
      <c r="BH2" s="16" t="s">
        <v>81</v>
      </c>
      <c r="BI2" s="16" t="s">
        <v>80</v>
      </c>
      <c r="BJ2" s="16" t="s">
        <v>81</v>
      </c>
      <c r="BK2" s="16" t="s">
        <v>80</v>
      </c>
      <c r="BL2" s="16" t="s">
        <v>81</v>
      </c>
      <c r="BM2" s="16" t="s">
        <v>80</v>
      </c>
      <c r="BN2" s="16" t="s">
        <v>81</v>
      </c>
      <c r="BO2" s="16" t="s">
        <v>80</v>
      </c>
      <c r="BP2" s="16" t="s">
        <v>81</v>
      </c>
    </row>
    <row r="3" customHeight="1" spans="1:68">
      <c r="A3" s="5"/>
      <c r="B3" s="5"/>
      <c r="C3" s="5"/>
      <c r="D3" s="5"/>
      <c r="E3" s="5"/>
      <c r="F3" s="5"/>
      <c r="G3" s="6" t="s">
        <v>8</v>
      </c>
      <c r="H3" s="14"/>
      <c r="I3" s="6" t="s">
        <v>9</v>
      </c>
      <c r="J3" s="14"/>
      <c r="K3" s="6" t="s">
        <v>10</v>
      </c>
      <c r="L3" s="14"/>
      <c r="M3" s="6" t="s">
        <v>11</v>
      </c>
      <c r="N3" s="14"/>
      <c r="O3" s="6" t="s">
        <v>12</v>
      </c>
      <c r="P3" s="14"/>
      <c r="Q3" s="6" t="s">
        <v>6</v>
      </c>
      <c r="R3" s="14"/>
      <c r="S3" s="6" t="s">
        <v>7</v>
      </c>
      <c r="T3" s="14"/>
      <c r="U3" s="6" t="s">
        <v>8</v>
      </c>
      <c r="V3" s="14"/>
      <c r="W3" s="6" t="s">
        <v>9</v>
      </c>
      <c r="X3" s="14"/>
      <c r="Y3" s="6" t="s">
        <v>10</v>
      </c>
      <c r="Z3" s="14"/>
      <c r="AA3" s="6" t="s">
        <v>11</v>
      </c>
      <c r="AB3" s="14"/>
      <c r="AC3" s="6" t="s">
        <v>12</v>
      </c>
      <c r="AD3" s="14"/>
      <c r="AE3" s="6" t="s">
        <v>6</v>
      </c>
      <c r="AF3" s="14"/>
      <c r="AG3" s="6" t="s">
        <v>7</v>
      </c>
      <c r="AH3" s="14"/>
      <c r="AI3" s="6" t="s">
        <v>8</v>
      </c>
      <c r="AJ3" s="14"/>
      <c r="AK3" s="6" t="s">
        <v>9</v>
      </c>
      <c r="AL3" s="14"/>
      <c r="AM3" s="6" t="s">
        <v>10</v>
      </c>
      <c r="AN3" s="14"/>
      <c r="AO3" s="6" t="s">
        <v>11</v>
      </c>
      <c r="AP3" s="14"/>
      <c r="AQ3" s="6" t="s">
        <v>12</v>
      </c>
      <c r="AR3" s="14"/>
      <c r="AS3" s="6" t="s">
        <v>6</v>
      </c>
      <c r="AT3" s="14"/>
      <c r="AU3" s="6" t="s">
        <v>7</v>
      </c>
      <c r="AV3" s="14"/>
      <c r="AW3" s="6" t="s">
        <v>8</v>
      </c>
      <c r="AX3" s="14"/>
      <c r="AY3" s="6" t="s">
        <v>9</v>
      </c>
      <c r="AZ3" s="14"/>
      <c r="BA3" s="6" t="s">
        <v>10</v>
      </c>
      <c r="BB3" s="14"/>
      <c r="BC3" s="6" t="s">
        <v>11</v>
      </c>
      <c r="BD3" s="14"/>
      <c r="BE3" s="6" t="s">
        <v>12</v>
      </c>
      <c r="BF3" s="14"/>
      <c r="BG3" s="6" t="s">
        <v>6</v>
      </c>
      <c r="BH3" s="14"/>
      <c r="BI3" s="6" t="s">
        <v>7</v>
      </c>
      <c r="BJ3" s="14"/>
      <c r="BK3" s="6" t="s">
        <v>8</v>
      </c>
      <c r="BL3" s="14"/>
      <c r="BM3" s="6" t="s">
        <v>9</v>
      </c>
      <c r="BN3" s="14"/>
      <c r="BO3" s="6" t="s">
        <v>10</v>
      </c>
      <c r="BP3" s="14"/>
    </row>
    <row r="4" customHeight="1" spans="1:69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154" t="s">
        <v>23</v>
      </c>
      <c r="N4" s="154" t="s">
        <v>23</v>
      </c>
      <c r="O4" s="154" t="s">
        <v>23</v>
      </c>
      <c r="P4" s="154" t="s">
        <v>23</v>
      </c>
      <c r="Q4" s="8">
        <v>0.375</v>
      </c>
      <c r="R4" s="8">
        <v>0.75</v>
      </c>
      <c r="S4" s="8">
        <v>0.375</v>
      </c>
      <c r="T4" s="8">
        <v>0.75</v>
      </c>
      <c r="U4" s="8">
        <v>0.375</v>
      </c>
      <c r="V4" s="8">
        <v>0.75</v>
      </c>
      <c r="W4" s="8">
        <v>0.375</v>
      </c>
      <c r="X4" s="8">
        <v>0.75</v>
      </c>
      <c r="Y4" s="8">
        <v>0.375</v>
      </c>
      <c r="Z4" s="8">
        <v>0.75</v>
      </c>
      <c r="AA4" s="154" t="s">
        <v>23</v>
      </c>
      <c r="AB4" s="154" t="s">
        <v>23</v>
      </c>
      <c r="AC4" s="154" t="s">
        <v>23</v>
      </c>
      <c r="AD4" s="154" t="s">
        <v>23</v>
      </c>
      <c r="AE4" s="8">
        <v>0.5</v>
      </c>
      <c r="AF4" s="8">
        <v>0.875</v>
      </c>
      <c r="AG4" s="8">
        <v>0.5</v>
      </c>
      <c r="AH4" s="8">
        <v>0.875</v>
      </c>
      <c r="AI4" s="8">
        <v>0.5</v>
      </c>
      <c r="AJ4" s="8">
        <v>0.875</v>
      </c>
      <c r="AK4" s="8">
        <v>0.5</v>
      </c>
      <c r="AL4" s="8">
        <v>0.875</v>
      </c>
      <c r="AM4" s="8">
        <v>0.5</v>
      </c>
      <c r="AN4" s="8">
        <v>0.875</v>
      </c>
      <c r="AO4" s="154" t="s">
        <v>23</v>
      </c>
      <c r="AP4" s="154" t="s">
        <v>23</v>
      </c>
      <c r="AQ4" s="154" t="s">
        <v>23</v>
      </c>
      <c r="AR4" s="154" t="s">
        <v>23</v>
      </c>
      <c r="AS4" s="8">
        <v>0.375</v>
      </c>
      <c r="AT4" s="8">
        <v>0.75</v>
      </c>
      <c r="AU4" s="8">
        <v>0.375</v>
      </c>
      <c r="AV4" s="8">
        <v>0.75</v>
      </c>
      <c r="AW4" s="8">
        <v>0.375</v>
      </c>
      <c r="AX4" s="8">
        <v>0.75</v>
      </c>
      <c r="AY4" s="8">
        <v>0.375</v>
      </c>
      <c r="AZ4" s="8">
        <v>0.75</v>
      </c>
      <c r="BA4" s="8">
        <v>0.375</v>
      </c>
      <c r="BB4" s="8">
        <v>0.75</v>
      </c>
      <c r="BC4" s="154" t="s">
        <v>23</v>
      </c>
      <c r="BD4" s="154" t="s">
        <v>23</v>
      </c>
      <c r="BE4" s="154" t="s">
        <v>23</v>
      </c>
      <c r="BF4" s="154" t="s">
        <v>23</v>
      </c>
      <c r="BG4" s="8">
        <v>0.5</v>
      </c>
      <c r="BH4" s="8">
        <v>0.875</v>
      </c>
      <c r="BI4" s="8">
        <v>0.5</v>
      </c>
      <c r="BJ4" s="8">
        <v>0.875</v>
      </c>
      <c r="BK4" s="8">
        <v>0.5</v>
      </c>
      <c r="BL4" s="8">
        <v>0.875</v>
      </c>
      <c r="BM4" s="8">
        <v>0.5</v>
      </c>
      <c r="BN4" s="8">
        <v>0.875</v>
      </c>
      <c r="BO4" s="8">
        <v>0.5</v>
      </c>
      <c r="BP4" s="8">
        <v>0.875</v>
      </c>
      <c r="BQ4" s="21">
        <f>IFERROR(__xludf.DUMMYFUNCTION("TO_PURE_NUMBER(SUM(FILTER(I4:BP4, ISEVEN(COLUMN(I4:BP4))))-SUM(FILTER(I4:BP4, ISODD(COLUMN(I4:BP4)))))*24"),198)</f>
        <v>198</v>
      </c>
    </row>
    <row r="5" customHeight="1" spans="1:69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154" t="s">
        <v>23</v>
      </c>
      <c r="L5" s="154" t="s">
        <v>23</v>
      </c>
      <c r="M5" s="154" t="s">
        <v>23</v>
      </c>
      <c r="N5" s="154" t="s">
        <v>23</v>
      </c>
      <c r="O5" s="8">
        <v>0.458333333333333</v>
      </c>
      <c r="P5" s="8">
        <v>0.666666666666667</v>
      </c>
      <c r="Q5" s="8">
        <v>0.458333333333333</v>
      </c>
      <c r="R5" s="8">
        <v>0.875</v>
      </c>
      <c r="S5" s="8">
        <v>0.458333333333333</v>
      </c>
      <c r="T5" s="8">
        <v>0.875</v>
      </c>
      <c r="U5" s="8">
        <v>0.458333333333333</v>
      </c>
      <c r="V5" s="8">
        <v>0.875</v>
      </c>
      <c r="W5" s="8">
        <v>0.458333333333333</v>
      </c>
      <c r="X5" s="8">
        <v>0.875</v>
      </c>
      <c r="Y5" s="154" t="s">
        <v>23</v>
      </c>
      <c r="Z5" s="154" t="s">
        <v>23</v>
      </c>
      <c r="AA5" s="154" t="s">
        <v>23</v>
      </c>
      <c r="AB5" s="154" t="s">
        <v>23</v>
      </c>
      <c r="AC5" s="8">
        <v>0.458333333333333</v>
      </c>
      <c r="AD5" s="8">
        <v>0.666666666666667</v>
      </c>
      <c r="AE5" s="8">
        <v>0.375</v>
      </c>
      <c r="AF5" s="8">
        <v>0.791666666666667</v>
      </c>
      <c r="AG5" s="8">
        <v>0.375</v>
      </c>
      <c r="AH5" s="8">
        <v>0.791666666666667</v>
      </c>
      <c r="AI5" s="8">
        <v>0.375</v>
      </c>
      <c r="AJ5" s="8">
        <v>0.791666666666667</v>
      </c>
      <c r="AK5" s="8">
        <v>0.375</v>
      </c>
      <c r="AL5" s="8">
        <v>0.791666666666667</v>
      </c>
      <c r="AM5" s="154" t="s">
        <v>23</v>
      </c>
      <c r="AN5" s="154" t="s">
        <v>23</v>
      </c>
      <c r="AO5" s="154" t="s">
        <v>23</v>
      </c>
      <c r="AP5" s="154" t="s">
        <v>23</v>
      </c>
      <c r="AQ5" s="8">
        <v>0.458333333333333</v>
      </c>
      <c r="AR5" s="8">
        <v>0.666666666666667</v>
      </c>
      <c r="AS5" s="8">
        <v>0.458333333333333</v>
      </c>
      <c r="AT5" s="8">
        <v>0.875</v>
      </c>
      <c r="AU5" s="8">
        <v>0.458333333333333</v>
      </c>
      <c r="AV5" s="8">
        <v>0.875</v>
      </c>
      <c r="AW5" s="8">
        <v>0.458333333333333</v>
      </c>
      <c r="AX5" s="8">
        <v>0.875</v>
      </c>
      <c r="AY5" s="8">
        <v>0.458333333333333</v>
      </c>
      <c r="AZ5" s="8">
        <v>0.875</v>
      </c>
      <c r="BA5" s="154" t="s">
        <v>23</v>
      </c>
      <c r="BB5" s="154" t="s">
        <v>23</v>
      </c>
      <c r="BC5" s="154" t="s">
        <v>23</v>
      </c>
      <c r="BD5" s="154" t="s">
        <v>23</v>
      </c>
      <c r="BE5" s="8">
        <v>0.458333333333333</v>
      </c>
      <c r="BF5" s="8">
        <v>0.666666666666667</v>
      </c>
      <c r="BG5" s="8">
        <v>0.375</v>
      </c>
      <c r="BH5" s="8">
        <v>0.791666666666667</v>
      </c>
      <c r="BI5" s="8">
        <v>0.375</v>
      </c>
      <c r="BJ5" s="8">
        <v>0.791666666666667</v>
      </c>
      <c r="BK5" s="8">
        <v>0.375</v>
      </c>
      <c r="BL5" s="8">
        <v>0.791666666666667</v>
      </c>
      <c r="BM5" s="8">
        <v>0.375</v>
      </c>
      <c r="BN5" s="8">
        <v>0.791666666666667</v>
      </c>
      <c r="BO5" s="154" t="s">
        <v>23</v>
      </c>
      <c r="BP5" s="154" t="s">
        <v>23</v>
      </c>
      <c r="BQ5" s="21">
        <f>IFERROR(__xludf.DUMMYFUNCTION("TO_PURE_NUMBER(SUM(FILTER(I5:BP5, ISEVEN(COLUMN(I5:BP5))))-SUM(FILTER(I5:BP5, ISODD(COLUMN(I5:BP5)))))*24"),190)</f>
        <v>190</v>
      </c>
    </row>
    <row r="6" customHeight="1" spans="1:69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0.75</v>
      </c>
      <c r="I6" s="8">
        <v>0.375</v>
      </c>
      <c r="J6" s="8">
        <v>0.75</v>
      </c>
      <c r="K6" s="8">
        <v>0.375</v>
      </c>
      <c r="L6" s="8">
        <v>0.75</v>
      </c>
      <c r="M6" s="154" t="s">
        <v>23</v>
      </c>
      <c r="N6" s="154" t="s">
        <v>23</v>
      </c>
      <c r="O6" s="154" t="s">
        <v>23</v>
      </c>
      <c r="P6" s="154" t="s">
        <v>23</v>
      </c>
      <c r="Q6" s="8">
        <v>0.458333333333333</v>
      </c>
      <c r="R6" s="8">
        <v>0.875</v>
      </c>
      <c r="S6" s="8">
        <v>0.458333333333333</v>
      </c>
      <c r="T6" s="8">
        <v>0.875</v>
      </c>
      <c r="U6" s="8">
        <v>0.458333333333333</v>
      </c>
      <c r="V6" s="8">
        <v>0.875</v>
      </c>
      <c r="W6" s="8">
        <v>0.458333333333333</v>
      </c>
      <c r="X6" s="8">
        <v>0.875</v>
      </c>
      <c r="Y6" s="154" t="s">
        <v>23</v>
      </c>
      <c r="Z6" s="154" t="s">
        <v>23</v>
      </c>
      <c r="AA6" s="154" t="s">
        <v>23</v>
      </c>
      <c r="AB6" s="154" t="s">
        <v>23</v>
      </c>
      <c r="AC6" s="8">
        <v>0.458333333333333</v>
      </c>
      <c r="AD6" s="8">
        <v>0.666666666666667</v>
      </c>
      <c r="AE6" s="8">
        <v>0.375</v>
      </c>
      <c r="AF6" s="8">
        <v>0.791666666666667</v>
      </c>
      <c r="AG6" s="8">
        <v>0.375</v>
      </c>
      <c r="AH6" s="8">
        <v>0.791666666666667</v>
      </c>
      <c r="AI6" s="8">
        <v>0.375</v>
      </c>
      <c r="AJ6" s="8">
        <v>0.791666666666667</v>
      </c>
      <c r="AK6" s="8">
        <v>0.375</v>
      </c>
      <c r="AL6" s="8">
        <v>0.791666666666667</v>
      </c>
      <c r="AM6" s="154" t="s">
        <v>23</v>
      </c>
      <c r="AN6" s="154" t="s">
        <v>23</v>
      </c>
      <c r="AO6" s="154" t="s">
        <v>23</v>
      </c>
      <c r="AP6" s="154" t="s">
        <v>23</v>
      </c>
      <c r="AQ6" s="8">
        <v>0.458333333333333</v>
      </c>
      <c r="AR6" s="8">
        <v>0.666666666666667</v>
      </c>
      <c r="AS6" s="8">
        <v>0.458333333333333</v>
      </c>
      <c r="AT6" s="8">
        <v>0.875</v>
      </c>
      <c r="AU6" s="8">
        <v>0.458333333333333</v>
      </c>
      <c r="AV6" s="8">
        <v>0.875</v>
      </c>
      <c r="AW6" s="8">
        <v>0.458333333333333</v>
      </c>
      <c r="AX6" s="8">
        <v>0.875</v>
      </c>
      <c r="AY6" s="8">
        <v>0.458333333333333</v>
      </c>
      <c r="AZ6" s="8">
        <v>0.875</v>
      </c>
      <c r="BA6" s="154" t="s">
        <v>23</v>
      </c>
      <c r="BB6" s="154" t="s">
        <v>23</v>
      </c>
      <c r="BC6" s="154" t="s">
        <v>23</v>
      </c>
      <c r="BD6" s="154" t="s">
        <v>23</v>
      </c>
      <c r="BE6" s="8">
        <v>0.458333333333333</v>
      </c>
      <c r="BF6" s="8">
        <v>0.666666666666667</v>
      </c>
      <c r="BG6" s="8">
        <v>0.375</v>
      </c>
      <c r="BH6" s="8">
        <v>0.791666666666667</v>
      </c>
      <c r="BI6" s="8">
        <v>0.375</v>
      </c>
      <c r="BJ6" s="8">
        <v>0.791666666666667</v>
      </c>
      <c r="BK6" s="8">
        <v>0.375</v>
      </c>
      <c r="BL6" s="8">
        <v>0.791666666666667</v>
      </c>
      <c r="BM6" s="8">
        <v>0.375</v>
      </c>
      <c r="BN6" s="8">
        <v>0.791666666666667</v>
      </c>
      <c r="BO6" s="154" t="s">
        <v>23</v>
      </c>
      <c r="BP6" s="154" t="s">
        <v>23</v>
      </c>
      <c r="BQ6" s="21">
        <f>IFERROR(__xludf.DUMMYFUNCTION("TO_PURE_NUMBER(SUM(FILTER(I6:BP6, ISEVEN(COLUMN(I6:BP6))))-SUM(FILTER(I6:BP6, ISODD(COLUMN(I6:BP6)))))*24"),193)</f>
        <v>193</v>
      </c>
    </row>
    <row r="7" customHeight="1" spans="1:69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154" t="s">
        <v>23</v>
      </c>
      <c r="N7" s="154" t="s">
        <v>23</v>
      </c>
      <c r="O7" s="154" t="s">
        <v>23</v>
      </c>
      <c r="P7" s="154" t="s">
        <v>23</v>
      </c>
      <c r="Q7" s="8">
        <v>0.375</v>
      </c>
      <c r="R7" s="8">
        <v>0.75</v>
      </c>
      <c r="S7" s="8">
        <v>0.375</v>
      </c>
      <c r="T7" s="8">
        <v>0.75</v>
      </c>
      <c r="U7" s="8">
        <v>0.375</v>
      </c>
      <c r="V7" s="8">
        <v>0.75</v>
      </c>
      <c r="W7" s="8">
        <v>0.375</v>
      </c>
      <c r="X7" s="8">
        <v>0.75</v>
      </c>
      <c r="Y7" s="8">
        <v>0.375</v>
      </c>
      <c r="Z7" s="8">
        <v>0.75</v>
      </c>
      <c r="AA7" s="154" t="s">
        <v>23</v>
      </c>
      <c r="AB7" s="154" t="s">
        <v>23</v>
      </c>
      <c r="AC7" s="154" t="s">
        <v>23</v>
      </c>
      <c r="AD7" s="154" t="s">
        <v>23</v>
      </c>
      <c r="AE7" s="8">
        <v>0.5</v>
      </c>
      <c r="AF7" s="8">
        <v>0.875</v>
      </c>
      <c r="AG7" s="8">
        <v>0.5</v>
      </c>
      <c r="AH7" s="8">
        <v>0.875</v>
      </c>
      <c r="AI7" s="8">
        <v>0.5</v>
      </c>
      <c r="AJ7" s="8">
        <v>0.875</v>
      </c>
      <c r="AK7" s="8">
        <v>0.5</v>
      </c>
      <c r="AL7" s="8">
        <v>0.875</v>
      </c>
      <c r="AM7" s="8">
        <v>0.5</v>
      </c>
      <c r="AN7" s="8">
        <v>0.875</v>
      </c>
      <c r="AO7" s="154" t="s">
        <v>23</v>
      </c>
      <c r="AP7" s="154" t="s">
        <v>23</v>
      </c>
      <c r="AQ7" s="154" t="s">
        <v>23</v>
      </c>
      <c r="AR7" s="154" t="s">
        <v>23</v>
      </c>
      <c r="AS7" s="8">
        <v>0.375</v>
      </c>
      <c r="AT7" s="8">
        <v>0.75</v>
      </c>
      <c r="AU7" s="8">
        <v>0.375</v>
      </c>
      <c r="AV7" s="8">
        <v>0.75</v>
      </c>
      <c r="AW7" s="8">
        <v>0.375</v>
      </c>
      <c r="AX7" s="8">
        <v>0.75</v>
      </c>
      <c r="AY7" s="8">
        <v>0.375</v>
      </c>
      <c r="AZ7" s="8">
        <v>0.75</v>
      </c>
      <c r="BA7" s="8">
        <v>0.375</v>
      </c>
      <c r="BB7" s="8">
        <v>0.75</v>
      </c>
      <c r="BC7" s="154" t="s">
        <v>23</v>
      </c>
      <c r="BD7" s="154" t="s">
        <v>23</v>
      </c>
      <c r="BE7" s="154" t="s">
        <v>23</v>
      </c>
      <c r="BF7" s="154" t="s">
        <v>23</v>
      </c>
      <c r="BG7" s="8">
        <v>0.5</v>
      </c>
      <c r="BH7" s="8">
        <v>0.875</v>
      </c>
      <c r="BI7" s="8">
        <v>0.5</v>
      </c>
      <c r="BJ7" s="8">
        <v>0.875</v>
      </c>
      <c r="BK7" s="8">
        <v>0.5</v>
      </c>
      <c r="BL7" s="8">
        <v>0.875</v>
      </c>
      <c r="BM7" s="8">
        <v>0.5</v>
      </c>
      <c r="BN7" s="8">
        <v>0.875</v>
      </c>
      <c r="BO7" s="8">
        <v>0.5</v>
      </c>
      <c r="BP7" s="8">
        <v>0.875</v>
      </c>
      <c r="BQ7" s="21">
        <f>IFERROR(__xludf.DUMMYFUNCTION("TO_PURE_NUMBER(SUM(FILTER(I7:BP7, ISEVEN(COLUMN(I7:BP7))))-SUM(FILTER(I7:BP7, ISODD(COLUMN(I7:BP7)))))*24"),198)</f>
        <v>198</v>
      </c>
    </row>
    <row r="8" customHeight="1" spans="1:69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0.75</v>
      </c>
      <c r="I8" s="8">
        <v>0.375</v>
      </c>
      <c r="J8" s="8">
        <v>0.75</v>
      </c>
      <c r="K8" s="8">
        <v>0.375</v>
      </c>
      <c r="L8" s="8">
        <v>0.75</v>
      </c>
      <c r="M8" s="154" t="s">
        <v>23</v>
      </c>
      <c r="N8" s="154" t="s">
        <v>23</v>
      </c>
      <c r="O8" s="154" t="s">
        <v>23</v>
      </c>
      <c r="P8" s="154" t="s">
        <v>23</v>
      </c>
      <c r="Q8" s="8">
        <v>0.458333333333333</v>
      </c>
      <c r="R8" s="8">
        <v>0.875</v>
      </c>
      <c r="S8" s="8">
        <v>0.458333333333333</v>
      </c>
      <c r="T8" s="8">
        <v>0.875</v>
      </c>
      <c r="U8" s="8">
        <v>0.458333333333333</v>
      </c>
      <c r="V8" s="8">
        <v>0.875</v>
      </c>
      <c r="W8" s="8">
        <v>0.458333333333333</v>
      </c>
      <c r="X8" s="8">
        <v>0.875</v>
      </c>
      <c r="Y8" s="154" t="s">
        <v>23</v>
      </c>
      <c r="Z8" s="154" t="s">
        <v>23</v>
      </c>
      <c r="AA8" s="154" t="s">
        <v>23</v>
      </c>
      <c r="AB8" s="154" t="s">
        <v>23</v>
      </c>
      <c r="AC8" s="8">
        <v>0.458333333333333</v>
      </c>
      <c r="AD8" s="8">
        <v>0.666666666666667</v>
      </c>
      <c r="AE8" s="8">
        <v>0.375</v>
      </c>
      <c r="AF8" s="8">
        <v>0.791666666666667</v>
      </c>
      <c r="AG8" s="8">
        <v>0.375</v>
      </c>
      <c r="AH8" s="8">
        <v>0.791666666666667</v>
      </c>
      <c r="AI8" s="8">
        <v>0.375</v>
      </c>
      <c r="AJ8" s="8">
        <v>0.791666666666667</v>
      </c>
      <c r="AK8" s="8">
        <v>0.375</v>
      </c>
      <c r="AL8" s="8">
        <v>0.791666666666667</v>
      </c>
      <c r="AM8" s="154" t="s">
        <v>23</v>
      </c>
      <c r="AN8" s="154" t="s">
        <v>23</v>
      </c>
      <c r="AO8" s="154" t="s">
        <v>23</v>
      </c>
      <c r="AP8" s="154" t="s">
        <v>23</v>
      </c>
      <c r="AQ8" s="8">
        <v>0.458333333333333</v>
      </c>
      <c r="AR8" s="8">
        <v>0.666666666666667</v>
      </c>
      <c r="AS8" s="8">
        <v>0.458333333333333</v>
      </c>
      <c r="AT8" s="8">
        <v>0.875</v>
      </c>
      <c r="AU8" s="8">
        <v>0.458333333333333</v>
      </c>
      <c r="AV8" s="8">
        <v>0.875</v>
      </c>
      <c r="AW8" s="8">
        <v>0.458333333333333</v>
      </c>
      <c r="AX8" s="8">
        <v>0.875</v>
      </c>
      <c r="AY8" s="8">
        <v>0.458333333333333</v>
      </c>
      <c r="AZ8" s="8">
        <v>0.875</v>
      </c>
      <c r="BA8" s="154" t="s">
        <v>23</v>
      </c>
      <c r="BB8" s="154" t="s">
        <v>23</v>
      </c>
      <c r="BC8" s="154" t="s">
        <v>23</v>
      </c>
      <c r="BD8" s="154" t="s">
        <v>23</v>
      </c>
      <c r="BE8" s="8">
        <v>0.458333333333333</v>
      </c>
      <c r="BF8" s="8">
        <v>0.666666666666667</v>
      </c>
      <c r="BG8" s="8">
        <v>0.375</v>
      </c>
      <c r="BH8" s="8">
        <v>0.791666666666667</v>
      </c>
      <c r="BI8" s="8">
        <v>0.375</v>
      </c>
      <c r="BJ8" s="8">
        <v>0.791666666666667</v>
      </c>
      <c r="BK8" s="8">
        <v>0.375</v>
      </c>
      <c r="BL8" s="8">
        <v>0.791666666666667</v>
      </c>
      <c r="BM8" s="8">
        <v>0.375</v>
      </c>
      <c r="BN8" s="8">
        <v>0.791666666666667</v>
      </c>
      <c r="BO8" s="154" t="s">
        <v>23</v>
      </c>
      <c r="BP8" s="154" t="s">
        <v>23</v>
      </c>
      <c r="BQ8" s="21">
        <f>IFERROR(__xludf.DUMMYFUNCTION("TO_PURE_NUMBER(SUM(FILTER(I8:BP8, ISEVEN(COLUMN(I8:BP8))))-SUM(FILTER(I8:BP8, ISODD(COLUMN(I8:BP8)))))*24"),193)</f>
        <v>193</v>
      </c>
    </row>
    <row r="9" customHeight="1" spans="1:69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154" t="s">
        <v>23</v>
      </c>
      <c r="H9" s="154" t="s">
        <v>23</v>
      </c>
      <c r="I9" s="8">
        <v>0.666666666666667</v>
      </c>
      <c r="J9" s="8">
        <v>0.875</v>
      </c>
      <c r="K9" s="8">
        <v>0.666666666666667</v>
      </c>
      <c r="L9" s="8">
        <v>0.875</v>
      </c>
      <c r="M9" s="8">
        <v>0.458333333333333</v>
      </c>
      <c r="N9" s="8">
        <v>0.666666666666667</v>
      </c>
      <c r="O9" s="8">
        <v>0.458333333333333</v>
      </c>
      <c r="P9" s="8">
        <v>0.666666666666667</v>
      </c>
      <c r="Q9" s="8">
        <v>0.375</v>
      </c>
      <c r="R9" s="8">
        <v>0.75</v>
      </c>
      <c r="S9" s="8">
        <v>0.375</v>
      </c>
      <c r="T9" s="8">
        <v>0.75</v>
      </c>
      <c r="U9" s="8">
        <v>0.375</v>
      </c>
      <c r="V9" s="8">
        <v>0.75</v>
      </c>
      <c r="W9" s="8">
        <v>0.375</v>
      </c>
      <c r="X9" s="8">
        <v>0.75</v>
      </c>
      <c r="Y9" s="154" t="s">
        <v>23</v>
      </c>
      <c r="Z9" s="154" t="s">
        <v>23</v>
      </c>
      <c r="AA9" s="154" t="s">
        <v>23</v>
      </c>
      <c r="AB9" s="154" t="s">
        <v>23</v>
      </c>
      <c r="AC9" s="8">
        <v>0.458333333333333</v>
      </c>
      <c r="AD9" s="8">
        <v>0.666666666666667</v>
      </c>
      <c r="AE9" s="8">
        <v>0.5</v>
      </c>
      <c r="AF9" s="8">
        <v>0.875</v>
      </c>
      <c r="AG9" s="8">
        <v>0.5</v>
      </c>
      <c r="AH9" s="8">
        <v>0.875</v>
      </c>
      <c r="AI9" s="8">
        <v>0.5</v>
      </c>
      <c r="AJ9" s="8">
        <v>0.875</v>
      </c>
      <c r="AK9" s="8">
        <v>0.5</v>
      </c>
      <c r="AL9" s="8">
        <v>0.875</v>
      </c>
      <c r="AM9" s="154" t="s">
        <v>23</v>
      </c>
      <c r="AN9" s="154" t="s">
        <v>23</v>
      </c>
      <c r="AO9" s="154" t="s">
        <v>23</v>
      </c>
      <c r="AP9" s="154" t="s">
        <v>23</v>
      </c>
      <c r="AQ9" s="8">
        <v>0.458333333333333</v>
      </c>
      <c r="AR9" s="8">
        <v>0.666666666666667</v>
      </c>
      <c r="AS9" s="8">
        <v>0.375</v>
      </c>
      <c r="AT9" s="8">
        <v>0.75</v>
      </c>
      <c r="AU9" s="8">
        <v>0.375</v>
      </c>
      <c r="AV9" s="8">
        <v>0.75</v>
      </c>
      <c r="AW9" s="8">
        <v>0.375</v>
      </c>
      <c r="AX9" s="8">
        <v>0.75</v>
      </c>
      <c r="AY9" s="8">
        <v>0.375</v>
      </c>
      <c r="AZ9" s="8">
        <v>0.75</v>
      </c>
      <c r="BA9" s="154" t="s">
        <v>23</v>
      </c>
      <c r="BB9" s="154" t="s">
        <v>23</v>
      </c>
      <c r="BC9" s="154" t="s">
        <v>23</v>
      </c>
      <c r="BD9" s="154" t="s">
        <v>23</v>
      </c>
      <c r="BE9" s="8">
        <v>0.458333333333333</v>
      </c>
      <c r="BF9" s="8">
        <v>0.666666666666667</v>
      </c>
      <c r="BG9" s="8">
        <v>0.5</v>
      </c>
      <c r="BH9" s="8">
        <v>0.875</v>
      </c>
      <c r="BI9" s="8">
        <v>0.5</v>
      </c>
      <c r="BJ9" s="8">
        <v>0.875</v>
      </c>
      <c r="BK9" s="8">
        <v>0.5</v>
      </c>
      <c r="BL9" s="8">
        <v>0.875</v>
      </c>
      <c r="BM9" s="8">
        <v>0.5</v>
      </c>
      <c r="BN9" s="8">
        <v>0.875</v>
      </c>
      <c r="BO9" s="154" t="s">
        <v>23</v>
      </c>
      <c r="BP9" s="154" t="s">
        <v>23</v>
      </c>
      <c r="BQ9" s="21">
        <f>IFERROR(__xludf.DUMMYFUNCTION("TO_PURE_NUMBER(SUM(FILTER(I9:BP9, ISEVEN(COLUMN(I9:BP9))))-SUM(FILTER(I9:BP9, ISODD(COLUMN(I9:BP9)))))*24"),178.999999999999)</f>
        <v>178.999999999999</v>
      </c>
    </row>
    <row r="10" customHeight="1" spans="1:69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8">
        <v>0.375</v>
      </c>
      <c r="H10" s="8">
        <v>0.791666666666667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0.458333333333333</v>
      </c>
      <c r="N10" s="8">
        <v>0.666666666666667</v>
      </c>
      <c r="O10" s="154" t="s">
        <v>23</v>
      </c>
      <c r="P10" s="154" t="s">
        <v>23</v>
      </c>
      <c r="Q10" s="154" t="s">
        <v>23</v>
      </c>
      <c r="R10" s="154" t="s">
        <v>23</v>
      </c>
      <c r="S10" s="8">
        <v>0.458333333333333</v>
      </c>
      <c r="T10" s="8">
        <v>0.875</v>
      </c>
      <c r="U10" s="8">
        <v>0.458333333333333</v>
      </c>
      <c r="V10" s="8">
        <v>0.875</v>
      </c>
      <c r="W10" s="8">
        <v>0.458333333333333</v>
      </c>
      <c r="X10" s="8">
        <v>0.875</v>
      </c>
      <c r="Y10" s="8">
        <v>0.458333333333333</v>
      </c>
      <c r="Z10" s="8">
        <v>0.875</v>
      </c>
      <c r="AA10" s="8">
        <v>0.458333333333333</v>
      </c>
      <c r="AB10" s="8">
        <v>0.666666666666667</v>
      </c>
      <c r="AC10" s="154" t="s">
        <v>23</v>
      </c>
      <c r="AD10" s="154" t="s">
        <v>23</v>
      </c>
      <c r="AE10" s="154" t="s">
        <v>23</v>
      </c>
      <c r="AF10" s="154" t="s">
        <v>23</v>
      </c>
      <c r="AG10" s="8">
        <v>0.375</v>
      </c>
      <c r="AH10" s="8">
        <v>0.791666666666667</v>
      </c>
      <c r="AI10" s="8">
        <v>0.375</v>
      </c>
      <c r="AJ10" s="8">
        <v>0.791666666666667</v>
      </c>
      <c r="AK10" s="8">
        <v>0.375</v>
      </c>
      <c r="AL10" s="8">
        <v>0.791666666666667</v>
      </c>
      <c r="AM10" s="8">
        <v>0.375</v>
      </c>
      <c r="AN10" s="8">
        <v>0.791666666666667</v>
      </c>
      <c r="AO10" s="156" t="s">
        <v>36</v>
      </c>
      <c r="AP10" s="156" t="s">
        <v>36</v>
      </c>
      <c r="AQ10" s="154" t="s">
        <v>23</v>
      </c>
      <c r="AR10" s="154" t="s">
        <v>23</v>
      </c>
      <c r="AS10" s="154" t="s">
        <v>23</v>
      </c>
      <c r="AT10" s="154" t="s">
        <v>23</v>
      </c>
      <c r="AU10" s="8">
        <v>0.458333333333333</v>
      </c>
      <c r="AV10" s="8">
        <v>0.875</v>
      </c>
      <c r="AW10" s="8">
        <v>0.458333333333333</v>
      </c>
      <c r="AX10" s="8">
        <v>0.875</v>
      </c>
      <c r="AY10" s="8">
        <v>0.458333333333333</v>
      </c>
      <c r="AZ10" s="8">
        <v>0.875</v>
      </c>
      <c r="BA10" s="8">
        <v>0.458333333333333</v>
      </c>
      <c r="BB10" s="8">
        <v>0.875</v>
      </c>
      <c r="BC10" s="8">
        <v>0.458333333333333</v>
      </c>
      <c r="BD10" s="8">
        <v>0.666666666666667</v>
      </c>
      <c r="BE10" s="154" t="s">
        <v>23</v>
      </c>
      <c r="BF10" s="154" t="s">
        <v>23</v>
      </c>
      <c r="BG10" s="154" t="s">
        <v>23</v>
      </c>
      <c r="BH10" s="154" t="s">
        <v>23</v>
      </c>
      <c r="BI10" s="8">
        <v>0.375</v>
      </c>
      <c r="BJ10" s="8">
        <v>0.791666666666667</v>
      </c>
      <c r="BK10" s="8">
        <v>0.375</v>
      </c>
      <c r="BL10" s="8">
        <v>0.791666666666667</v>
      </c>
      <c r="BM10" s="8">
        <v>0.375</v>
      </c>
      <c r="BN10" s="8">
        <v>0.791666666666667</v>
      </c>
      <c r="BO10" s="8">
        <v>0.375</v>
      </c>
      <c r="BP10" s="8">
        <v>0.791666666666667</v>
      </c>
      <c r="BQ10" s="21">
        <f>IFERROR(__xludf.DUMMYFUNCTION("TO_PURE_NUMBER(SUM(FILTER(I10:BP10, ISEVEN(COLUMN(I10:BP10))))-SUM(FILTER(I10:BP10, ISODD(COLUMN(I10:BP10)))))*24"),195)</f>
        <v>195</v>
      </c>
    </row>
    <row r="11" customHeight="1" spans="1:69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154" t="s">
        <v>23</v>
      </c>
      <c r="H11" s="154" t="s">
        <v>23</v>
      </c>
      <c r="I11" s="8">
        <v>0.375</v>
      </c>
      <c r="J11" s="8">
        <v>0.75</v>
      </c>
      <c r="K11" s="8">
        <v>0.375</v>
      </c>
      <c r="L11" s="8">
        <v>0.75</v>
      </c>
      <c r="M11" s="8">
        <v>0.458333333333333</v>
      </c>
      <c r="N11" s="8">
        <v>0.666666666666667</v>
      </c>
      <c r="O11" s="8">
        <v>0.416666666666667</v>
      </c>
      <c r="P11" s="8">
        <v>0.625</v>
      </c>
      <c r="Q11" s="8">
        <v>0.333333333333333</v>
      </c>
      <c r="R11" s="8">
        <v>0.708333333333333</v>
      </c>
      <c r="S11" s="154" t="s">
        <v>23</v>
      </c>
      <c r="T11" s="154" t="s">
        <v>23</v>
      </c>
      <c r="U11" s="154" t="s">
        <v>23</v>
      </c>
      <c r="V11" s="154" t="s">
        <v>23</v>
      </c>
      <c r="W11" s="7" t="s">
        <v>36</v>
      </c>
      <c r="X11" s="7" t="s">
        <v>36</v>
      </c>
      <c r="Y11" s="7" t="s">
        <v>36</v>
      </c>
      <c r="Z11" s="7" t="s">
        <v>36</v>
      </c>
      <c r="AA11" s="7" t="s">
        <v>36</v>
      </c>
      <c r="AB11" s="7" t="s">
        <v>36</v>
      </c>
      <c r="AC11" s="8">
        <v>0.416666666666667</v>
      </c>
      <c r="AD11" s="8">
        <v>0.625</v>
      </c>
      <c r="AE11" s="8">
        <v>0.333333333333333</v>
      </c>
      <c r="AF11" s="8">
        <v>0.708333333333333</v>
      </c>
      <c r="AG11" s="154" t="s">
        <v>23</v>
      </c>
      <c r="AH11" s="154" t="s">
        <v>23</v>
      </c>
      <c r="AI11" s="154" t="s">
        <v>23</v>
      </c>
      <c r="AJ11" s="154" t="s">
        <v>23</v>
      </c>
      <c r="AK11" s="8">
        <v>0.375</v>
      </c>
      <c r="AL11" s="8">
        <v>0.75</v>
      </c>
      <c r="AM11" s="8">
        <v>0.375</v>
      </c>
      <c r="AN11" s="8">
        <v>0.75</v>
      </c>
      <c r="AO11" s="8">
        <v>0.458333333333333</v>
      </c>
      <c r="AP11" s="8">
        <v>0.666666666666667</v>
      </c>
      <c r="AQ11" s="8">
        <v>0.416666666666667</v>
      </c>
      <c r="AR11" s="8">
        <v>0.625</v>
      </c>
      <c r="AS11" s="8">
        <v>0.333333333333333</v>
      </c>
      <c r="AT11" s="8">
        <v>0.708333333333333</v>
      </c>
      <c r="AU11" s="154" t="s">
        <v>23</v>
      </c>
      <c r="AV11" s="154" t="s">
        <v>23</v>
      </c>
      <c r="AW11" s="154" t="s">
        <v>23</v>
      </c>
      <c r="AX11" s="154" t="s">
        <v>23</v>
      </c>
      <c r="AY11" s="8">
        <v>0.5</v>
      </c>
      <c r="AZ11" s="8">
        <v>0.875</v>
      </c>
      <c r="BA11" s="8">
        <v>0.5</v>
      </c>
      <c r="BB11" s="8">
        <v>0.875</v>
      </c>
      <c r="BC11" s="8">
        <v>0.458333333333333</v>
      </c>
      <c r="BD11" s="8">
        <v>0.666666666666667</v>
      </c>
      <c r="BE11" s="8">
        <v>0.416666666666667</v>
      </c>
      <c r="BF11" s="8">
        <v>0.625</v>
      </c>
      <c r="BG11" s="8">
        <v>0.333333333333333</v>
      </c>
      <c r="BH11" s="8">
        <v>0.708333333333333</v>
      </c>
      <c r="BI11" s="154" t="s">
        <v>23</v>
      </c>
      <c r="BJ11" s="154" t="s">
        <v>23</v>
      </c>
      <c r="BK11" s="154" t="s">
        <v>23</v>
      </c>
      <c r="BL11" s="154" t="s">
        <v>23</v>
      </c>
      <c r="BM11" s="8">
        <v>0.375</v>
      </c>
      <c r="BN11" s="8">
        <v>0.75</v>
      </c>
      <c r="BO11" s="8">
        <v>0.375</v>
      </c>
      <c r="BP11" s="8">
        <v>0.75</v>
      </c>
      <c r="BQ11" s="21">
        <f>IFERROR(__xludf.DUMMYFUNCTION("TO_PURE_NUMBER(SUM(FILTER(I11:BP11, ISEVEN(COLUMN(I11:BP11))))-SUM(FILTER(I11:BP11, ISODD(COLUMN(I11:BP11)))))*24"),143)</f>
        <v>143</v>
      </c>
    </row>
    <row r="12" customHeight="1" spans="1:69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154" t="s">
        <v>23</v>
      </c>
      <c r="N12" s="154" t="s">
        <v>23</v>
      </c>
      <c r="O12" s="154" t="s">
        <v>23</v>
      </c>
      <c r="P12" s="154" t="s">
        <v>23</v>
      </c>
      <c r="Q12" s="8">
        <v>0.5</v>
      </c>
      <c r="R12" s="8">
        <v>0.875</v>
      </c>
      <c r="S12" s="8">
        <v>0.5</v>
      </c>
      <c r="T12" s="8">
        <v>0.875</v>
      </c>
      <c r="U12" s="8">
        <v>0.5</v>
      </c>
      <c r="V12" s="8">
        <v>0.875</v>
      </c>
      <c r="W12" s="8">
        <v>0.5</v>
      </c>
      <c r="X12" s="8">
        <v>0.875</v>
      </c>
      <c r="Y12" s="8">
        <v>0.5</v>
      </c>
      <c r="Z12" s="8">
        <v>0.875</v>
      </c>
      <c r="AA12" s="154" t="s">
        <v>23</v>
      </c>
      <c r="AB12" s="154" t="s">
        <v>23</v>
      </c>
      <c r="AC12" s="154" t="s">
        <v>23</v>
      </c>
      <c r="AD12" s="154" t="s">
        <v>23</v>
      </c>
      <c r="AE12" s="8">
        <v>0.375</v>
      </c>
      <c r="AF12" s="8">
        <v>0.75</v>
      </c>
      <c r="AG12" s="8">
        <v>0.375</v>
      </c>
      <c r="AH12" s="8">
        <v>0.75</v>
      </c>
      <c r="AI12" s="8">
        <v>0.375</v>
      </c>
      <c r="AJ12" s="8">
        <v>0.75</v>
      </c>
      <c r="AK12" s="8">
        <v>0.375</v>
      </c>
      <c r="AL12" s="8">
        <v>0.75</v>
      </c>
      <c r="AM12" s="8">
        <v>0.375</v>
      </c>
      <c r="AN12" s="8">
        <v>0.75</v>
      </c>
      <c r="AO12" s="154" t="s">
        <v>23</v>
      </c>
      <c r="AP12" s="154" t="s">
        <v>23</v>
      </c>
      <c r="AQ12" s="154" t="s">
        <v>23</v>
      </c>
      <c r="AR12" s="154" t="s">
        <v>23</v>
      </c>
      <c r="AS12" s="8">
        <v>0.5</v>
      </c>
      <c r="AT12" s="8">
        <v>0.875</v>
      </c>
      <c r="AU12" s="8">
        <v>0.5</v>
      </c>
      <c r="AV12" s="8">
        <v>0.875</v>
      </c>
      <c r="AW12" s="8">
        <v>0.5</v>
      </c>
      <c r="AX12" s="8">
        <v>0.875</v>
      </c>
      <c r="AY12" s="8">
        <v>0.5</v>
      </c>
      <c r="AZ12" s="8">
        <v>0.875</v>
      </c>
      <c r="BA12" s="8">
        <v>0.5</v>
      </c>
      <c r="BB12" s="8">
        <v>0.875</v>
      </c>
      <c r="BC12" s="154" t="s">
        <v>23</v>
      </c>
      <c r="BD12" s="154" t="s">
        <v>23</v>
      </c>
      <c r="BE12" s="154" t="s">
        <v>23</v>
      </c>
      <c r="BF12" s="154" t="s">
        <v>23</v>
      </c>
      <c r="BG12" s="8">
        <v>0.375</v>
      </c>
      <c r="BH12" s="8">
        <v>0.75</v>
      </c>
      <c r="BI12" s="8">
        <v>0.375</v>
      </c>
      <c r="BJ12" s="8">
        <v>0.75</v>
      </c>
      <c r="BK12" s="8">
        <v>0.375</v>
      </c>
      <c r="BL12" s="8">
        <v>0.75</v>
      </c>
      <c r="BM12" s="8">
        <v>0.375</v>
      </c>
      <c r="BN12" s="8">
        <v>0.75</v>
      </c>
      <c r="BO12" s="8">
        <v>0.375</v>
      </c>
      <c r="BP12" s="8">
        <v>0.75</v>
      </c>
      <c r="BQ12" s="21">
        <f>IFERROR(__xludf.DUMMYFUNCTION("TO_PURE_NUMBER(SUM(FILTER(I12:BP12, ISEVEN(COLUMN(I12:BP12))))-SUM(FILTER(I12:BP12, ISODD(COLUMN(I12:BP12)))))*24"),198)</f>
        <v>198</v>
      </c>
    </row>
    <row r="13" customHeight="1" spans="1:69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154" t="s">
        <v>23</v>
      </c>
      <c r="L13" s="154" t="s">
        <v>23</v>
      </c>
      <c r="M13" s="154" t="s">
        <v>23</v>
      </c>
      <c r="N13" s="154" t="s">
        <v>23</v>
      </c>
      <c r="O13" s="8">
        <v>0.458333333333333</v>
      </c>
      <c r="P13" s="8">
        <v>0.666666666666667</v>
      </c>
      <c r="Q13" s="8">
        <v>0.375</v>
      </c>
      <c r="R13" s="8">
        <v>0.75</v>
      </c>
      <c r="S13" s="8">
        <v>0.375</v>
      </c>
      <c r="T13" s="8">
        <v>0.75</v>
      </c>
      <c r="U13" s="8">
        <v>0.375</v>
      </c>
      <c r="V13" s="8">
        <v>0.75</v>
      </c>
      <c r="W13" s="8">
        <v>0.375</v>
      </c>
      <c r="X13" s="8">
        <v>0.75</v>
      </c>
      <c r="Y13" s="154" t="s">
        <v>23</v>
      </c>
      <c r="Z13" s="154" t="s">
        <v>23</v>
      </c>
      <c r="AA13" s="154" t="s">
        <v>23</v>
      </c>
      <c r="AB13" s="154" t="s">
        <v>23</v>
      </c>
      <c r="AC13" s="8">
        <v>0.458333333333333</v>
      </c>
      <c r="AD13" s="8">
        <v>0.666666666666667</v>
      </c>
      <c r="AE13" s="8">
        <v>0.5</v>
      </c>
      <c r="AF13" s="8">
        <v>0.875</v>
      </c>
      <c r="AG13" s="8">
        <v>0.5</v>
      </c>
      <c r="AH13" s="8">
        <v>0.875</v>
      </c>
      <c r="AI13" s="8">
        <v>0.5</v>
      </c>
      <c r="AJ13" s="8">
        <v>0.875</v>
      </c>
      <c r="AK13" s="8">
        <v>0.5</v>
      </c>
      <c r="AL13" s="8">
        <v>0.875</v>
      </c>
      <c r="AM13" s="154" t="s">
        <v>23</v>
      </c>
      <c r="AN13" s="154" t="s">
        <v>23</v>
      </c>
      <c r="AO13" s="154" t="s">
        <v>23</v>
      </c>
      <c r="AP13" s="154" t="s">
        <v>23</v>
      </c>
      <c r="AQ13" s="8">
        <v>0.458333333333333</v>
      </c>
      <c r="AR13" s="8">
        <v>0.666666666666667</v>
      </c>
      <c r="AS13" s="8">
        <v>0.375</v>
      </c>
      <c r="AT13" s="8">
        <v>0.75</v>
      </c>
      <c r="AU13" s="8">
        <v>0.375</v>
      </c>
      <c r="AV13" s="8">
        <v>0.75</v>
      </c>
      <c r="AW13" s="8">
        <v>0.375</v>
      </c>
      <c r="AX13" s="8">
        <v>0.75</v>
      </c>
      <c r="AY13" s="8">
        <v>0.375</v>
      </c>
      <c r="AZ13" s="8">
        <v>0.75</v>
      </c>
      <c r="BA13" s="154" t="s">
        <v>23</v>
      </c>
      <c r="BB13" s="154" t="s">
        <v>23</v>
      </c>
      <c r="BC13" s="154" t="s">
        <v>23</v>
      </c>
      <c r="BD13" s="154" t="s">
        <v>23</v>
      </c>
      <c r="BE13" s="8">
        <v>0.458333333333333</v>
      </c>
      <c r="BF13" s="8">
        <v>0.666666666666667</v>
      </c>
      <c r="BG13" s="8">
        <v>0.5</v>
      </c>
      <c r="BH13" s="8">
        <v>0.875</v>
      </c>
      <c r="BI13" s="8">
        <v>0.5</v>
      </c>
      <c r="BJ13" s="8">
        <v>0.875</v>
      </c>
      <c r="BK13" s="8">
        <v>0.5</v>
      </c>
      <c r="BL13" s="8">
        <v>0.875</v>
      </c>
      <c r="BM13" s="8">
        <v>0.5</v>
      </c>
      <c r="BN13" s="8">
        <v>0.875</v>
      </c>
      <c r="BO13" s="154" t="s">
        <v>23</v>
      </c>
      <c r="BP13" s="154" t="s">
        <v>23</v>
      </c>
      <c r="BQ13" s="21">
        <f>IFERROR(__xludf.DUMMYFUNCTION("TO_PURE_NUMBER(SUM(FILTER(I13:BP13, ISEVEN(COLUMN(I13:BP13))))-SUM(FILTER(I13:BP13, ISODD(COLUMN(I13:BP13)))))*24"),172.999999999999)</f>
        <v>172.999999999999</v>
      </c>
    </row>
    <row r="14" customHeight="1" spans="1:69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154" t="s">
        <v>23</v>
      </c>
      <c r="N14" s="154" t="s">
        <v>23</v>
      </c>
      <c r="O14" s="154" t="s">
        <v>23</v>
      </c>
      <c r="P14" s="154" t="s">
        <v>23</v>
      </c>
      <c r="Q14" s="8">
        <v>0.5</v>
      </c>
      <c r="R14" s="8">
        <v>0.875</v>
      </c>
      <c r="S14" s="8">
        <v>0.5</v>
      </c>
      <c r="T14" s="8">
        <v>0.875</v>
      </c>
      <c r="U14" s="8">
        <v>0.5</v>
      </c>
      <c r="V14" s="8">
        <v>0.875</v>
      </c>
      <c r="W14" s="8">
        <v>0.5</v>
      </c>
      <c r="X14" s="8">
        <v>0.875</v>
      </c>
      <c r="Y14" s="8">
        <v>0.5</v>
      </c>
      <c r="Z14" s="8">
        <v>0.875</v>
      </c>
      <c r="AA14" s="154" t="s">
        <v>23</v>
      </c>
      <c r="AB14" s="154" t="s">
        <v>23</v>
      </c>
      <c r="AC14" s="154" t="s">
        <v>23</v>
      </c>
      <c r="AD14" s="154" t="s">
        <v>23</v>
      </c>
      <c r="AE14" s="8">
        <v>0.375</v>
      </c>
      <c r="AF14" s="8">
        <v>0.75</v>
      </c>
      <c r="AG14" s="8">
        <v>0.375</v>
      </c>
      <c r="AH14" s="8">
        <v>0.75</v>
      </c>
      <c r="AI14" s="8">
        <v>0.375</v>
      </c>
      <c r="AJ14" s="8">
        <v>0.75</v>
      </c>
      <c r="AK14" s="8">
        <v>0.375</v>
      </c>
      <c r="AL14" s="8">
        <v>0.75</v>
      </c>
      <c r="AM14" s="8">
        <v>0.375</v>
      </c>
      <c r="AN14" s="8">
        <v>0.75</v>
      </c>
      <c r="AO14" s="154" t="s">
        <v>23</v>
      </c>
      <c r="AP14" s="154" t="s">
        <v>23</v>
      </c>
      <c r="AQ14" s="154" t="s">
        <v>23</v>
      </c>
      <c r="AR14" s="154" t="s">
        <v>23</v>
      </c>
      <c r="AS14" s="8">
        <v>0.5</v>
      </c>
      <c r="AT14" s="8">
        <v>0.875</v>
      </c>
      <c r="AU14" s="8">
        <v>0.5</v>
      </c>
      <c r="AV14" s="8">
        <v>0.875</v>
      </c>
      <c r="AW14" s="8">
        <v>0.5</v>
      </c>
      <c r="AX14" s="8">
        <v>0.875</v>
      </c>
      <c r="AY14" s="8">
        <v>0.5</v>
      </c>
      <c r="AZ14" s="8">
        <v>0.875</v>
      </c>
      <c r="BA14" s="8">
        <v>0.5</v>
      </c>
      <c r="BB14" s="8">
        <v>0.875</v>
      </c>
      <c r="BC14" s="154" t="s">
        <v>23</v>
      </c>
      <c r="BD14" s="154" t="s">
        <v>23</v>
      </c>
      <c r="BE14" s="154" t="s">
        <v>23</v>
      </c>
      <c r="BF14" s="154" t="s">
        <v>23</v>
      </c>
      <c r="BG14" s="8">
        <v>0.375</v>
      </c>
      <c r="BH14" s="8">
        <v>0.75</v>
      </c>
      <c r="BI14" s="8">
        <v>0.375</v>
      </c>
      <c r="BJ14" s="8">
        <v>0.75</v>
      </c>
      <c r="BK14" s="8">
        <v>0.375</v>
      </c>
      <c r="BL14" s="8">
        <v>0.75</v>
      </c>
      <c r="BM14" s="8">
        <v>0.375</v>
      </c>
      <c r="BN14" s="8">
        <v>0.75</v>
      </c>
      <c r="BO14" s="8">
        <v>0.375</v>
      </c>
      <c r="BP14" s="8">
        <v>0.75</v>
      </c>
      <c r="BQ14" s="21">
        <f>IFERROR(__xludf.DUMMYFUNCTION("TO_PURE_NUMBER(SUM(FILTER(I14:BP14, ISEVEN(COLUMN(I14:BP14))))-SUM(FILTER(I14:BP14, ISODD(COLUMN(I14:BP14)))))*24"),198)</f>
        <v>198</v>
      </c>
    </row>
    <row r="15" customHeight="1" spans="1:69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0.416666666666667</v>
      </c>
      <c r="H15" s="8">
        <v>0.833333333333333</v>
      </c>
      <c r="I15" s="8">
        <v>0.416666666666667</v>
      </c>
      <c r="J15" s="8">
        <v>0.833333333333333</v>
      </c>
      <c r="K15" s="8">
        <v>0.416666666666667</v>
      </c>
      <c r="L15" s="8">
        <v>0.833333333333333</v>
      </c>
      <c r="M15" s="8">
        <v>0.458333333333333</v>
      </c>
      <c r="N15" s="8">
        <v>0.666666666666667</v>
      </c>
      <c r="O15" s="154" t="s">
        <v>23</v>
      </c>
      <c r="P15" s="154" t="s">
        <v>23</v>
      </c>
      <c r="Q15" s="8">
        <v>0.5</v>
      </c>
      <c r="R15" s="8">
        <v>0.875</v>
      </c>
      <c r="S15" s="8">
        <v>0.5</v>
      </c>
      <c r="T15" s="8">
        <v>0.875</v>
      </c>
      <c r="U15" s="8">
        <v>0.5</v>
      </c>
      <c r="V15" s="8">
        <v>0.875</v>
      </c>
      <c r="W15" s="8">
        <v>0.5</v>
      </c>
      <c r="X15" s="8">
        <v>0.875</v>
      </c>
      <c r="Y15" s="8">
        <v>0.5</v>
      </c>
      <c r="Z15" s="8">
        <v>0.875</v>
      </c>
      <c r="AA15" s="154" t="s">
        <v>23</v>
      </c>
      <c r="AB15" s="154" t="s">
        <v>23</v>
      </c>
      <c r="AC15" s="154" t="s">
        <v>23</v>
      </c>
      <c r="AD15" s="154" t="s">
        <v>23</v>
      </c>
      <c r="AE15" s="8">
        <v>0.375</v>
      </c>
      <c r="AF15" s="8">
        <v>0.75</v>
      </c>
      <c r="AG15" s="8">
        <v>0.375</v>
      </c>
      <c r="AH15" s="8">
        <v>0.75</v>
      </c>
      <c r="AI15" s="8">
        <v>0.375</v>
      </c>
      <c r="AJ15" s="8">
        <v>0.75</v>
      </c>
      <c r="AK15" s="8">
        <v>0.375</v>
      </c>
      <c r="AL15" s="8">
        <v>0.75</v>
      </c>
      <c r="AM15" s="8">
        <v>0.375</v>
      </c>
      <c r="AN15" s="8">
        <v>0.75</v>
      </c>
      <c r="AO15" s="154" t="s">
        <v>23</v>
      </c>
      <c r="AP15" s="154" t="s">
        <v>23</v>
      </c>
      <c r="AQ15" s="154" t="s">
        <v>23</v>
      </c>
      <c r="AR15" s="154" t="s">
        <v>23</v>
      </c>
      <c r="AS15" s="8">
        <v>0.5</v>
      </c>
      <c r="AT15" s="8">
        <v>0.875</v>
      </c>
      <c r="AU15" s="8">
        <v>0.5</v>
      </c>
      <c r="AV15" s="8">
        <v>0.875</v>
      </c>
      <c r="AW15" s="8">
        <v>0.5</v>
      </c>
      <c r="AX15" s="8">
        <v>0.875</v>
      </c>
      <c r="AY15" s="8">
        <v>0.5</v>
      </c>
      <c r="AZ15" s="8">
        <v>0.875</v>
      </c>
      <c r="BA15" s="8">
        <v>0.5</v>
      </c>
      <c r="BB15" s="8">
        <v>0.875</v>
      </c>
      <c r="BC15" s="154" t="s">
        <v>23</v>
      </c>
      <c r="BD15" s="154" t="s">
        <v>23</v>
      </c>
      <c r="BE15" s="154" t="s">
        <v>23</v>
      </c>
      <c r="BF15" s="154" t="s">
        <v>23</v>
      </c>
      <c r="BG15" s="8">
        <v>0.375</v>
      </c>
      <c r="BH15" s="8">
        <v>0.75</v>
      </c>
      <c r="BI15" s="8">
        <v>0.375</v>
      </c>
      <c r="BJ15" s="8">
        <v>0.75</v>
      </c>
      <c r="BK15" s="8">
        <v>0.375</v>
      </c>
      <c r="BL15" s="8">
        <v>0.75</v>
      </c>
      <c r="BM15" s="8">
        <v>0.375</v>
      </c>
      <c r="BN15" s="8">
        <v>0.75</v>
      </c>
      <c r="BO15" s="8">
        <v>0.375</v>
      </c>
      <c r="BP15" s="8">
        <v>0.75</v>
      </c>
      <c r="BQ15" s="21">
        <f>IFERROR(__xludf.DUMMYFUNCTION("TO_PURE_NUMBER(SUM(FILTER(I15:BP15, ISEVEN(COLUMN(I15:BP15))))-SUM(FILTER(I15:BP15, ISODD(COLUMN(I15:BP15)))))*24"),205)</f>
        <v>205</v>
      </c>
    </row>
    <row r="16" customHeight="1" spans="1:69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154" t="s">
        <v>23</v>
      </c>
      <c r="H16" s="154" t="s">
        <v>23</v>
      </c>
      <c r="I16" s="8">
        <v>0.666666666666667</v>
      </c>
      <c r="J16" s="8">
        <v>0.875</v>
      </c>
      <c r="K16" s="8">
        <v>0.666666666666667</v>
      </c>
      <c r="L16" s="8">
        <v>0.875</v>
      </c>
      <c r="M16" s="8">
        <v>0.458333333333333</v>
      </c>
      <c r="N16" s="8">
        <v>0.666666666666667</v>
      </c>
      <c r="O16" s="8">
        <v>0.458333333333333</v>
      </c>
      <c r="P16" s="8">
        <v>0.666666666666667</v>
      </c>
      <c r="Q16" s="8">
        <v>0.666666666666667</v>
      </c>
      <c r="R16" s="8">
        <v>0.875</v>
      </c>
      <c r="S16" s="8">
        <v>0.666666666666667</v>
      </c>
      <c r="T16" s="8">
        <v>0.875</v>
      </c>
      <c r="U16" s="154" t="s">
        <v>23</v>
      </c>
      <c r="V16" s="154" t="s">
        <v>23</v>
      </c>
      <c r="W16" s="154" t="s">
        <v>23</v>
      </c>
      <c r="X16" s="154" t="s">
        <v>23</v>
      </c>
      <c r="Y16" s="8">
        <v>0.666666666666667</v>
      </c>
      <c r="Z16" s="8">
        <v>0.875</v>
      </c>
      <c r="AA16" s="8">
        <v>0.458333333333333</v>
      </c>
      <c r="AB16" s="8">
        <v>0.666666666666667</v>
      </c>
      <c r="AC16" s="8">
        <v>0.458333333333333</v>
      </c>
      <c r="AD16" s="8">
        <v>0.666666666666667</v>
      </c>
      <c r="AE16" s="8">
        <v>0.375</v>
      </c>
      <c r="AF16" s="8">
        <v>0.583333333333333</v>
      </c>
      <c r="AG16" s="8">
        <v>0.375</v>
      </c>
      <c r="AH16" s="8">
        <v>0.583333333333333</v>
      </c>
      <c r="AI16" s="154" t="s">
        <v>23</v>
      </c>
      <c r="AJ16" s="154" t="s">
        <v>23</v>
      </c>
      <c r="AK16" s="154" t="s">
        <v>23</v>
      </c>
      <c r="AL16" s="154" t="s">
        <v>23</v>
      </c>
      <c r="AM16" s="8">
        <v>0.375</v>
      </c>
      <c r="AN16" s="8">
        <v>0.583333333333333</v>
      </c>
      <c r="AO16" s="8">
        <v>0.458333333333333</v>
      </c>
      <c r="AP16" s="8">
        <v>0.666666666666667</v>
      </c>
      <c r="AQ16" s="8">
        <v>0.458333333333333</v>
      </c>
      <c r="AR16" s="8">
        <v>0.666666666666667</v>
      </c>
      <c r="AS16" s="8">
        <v>0.666666666666667</v>
      </c>
      <c r="AT16" s="8">
        <v>0.875</v>
      </c>
      <c r="AU16" s="8">
        <v>0.666666666666667</v>
      </c>
      <c r="AV16" s="8">
        <v>0.875</v>
      </c>
      <c r="AW16" s="154" t="s">
        <v>23</v>
      </c>
      <c r="AX16" s="154" t="s">
        <v>23</v>
      </c>
      <c r="AY16" s="154" t="s">
        <v>23</v>
      </c>
      <c r="AZ16" s="154" t="s">
        <v>23</v>
      </c>
      <c r="BA16" s="8">
        <v>0.666666666666667</v>
      </c>
      <c r="BB16" s="8">
        <v>0.875</v>
      </c>
      <c r="BC16" s="8">
        <v>0.458333333333333</v>
      </c>
      <c r="BD16" s="8">
        <v>0.666666666666667</v>
      </c>
      <c r="BE16" s="8">
        <v>0.458333333333333</v>
      </c>
      <c r="BF16" s="8">
        <v>0.666666666666667</v>
      </c>
      <c r="BG16" s="8">
        <v>0.375</v>
      </c>
      <c r="BH16" s="8">
        <v>0.583333333333333</v>
      </c>
      <c r="BI16" s="8">
        <v>0.375</v>
      </c>
      <c r="BJ16" s="8">
        <v>0.583333333333333</v>
      </c>
      <c r="BK16" s="154" t="s">
        <v>23</v>
      </c>
      <c r="BL16" s="154" t="s">
        <v>23</v>
      </c>
      <c r="BM16" s="154" t="s">
        <v>23</v>
      </c>
      <c r="BN16" s="154" t="s">
        <v>23</v>
      </c>
      <c r="BO16" s="8">
        <v>0.375</v>
      </c>
      <c r="BP16" s="8">
        <v>0.583333333333333</v>
      </c>
      <c r="BQ16" s="21">
        <f>IFERROR(__xludf.DUMMYFUNCTION("TO_PURE_NUMBER(SUM(FILTER(I16:BP16, ISEVEN(COLUMN(I16:BP16))))-SUM(FILTER(I16:BP16, ISODD(COLUMN(I16:BP16)))))*24"),110)</f>
        <v>110</v>
      </c>
    </row>
    <row r="17" customHeight="1" spans="1:69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8">
        <v>0.375</v>
      </c>
      <c r="H17" s="8">
        <v>0.791666666666667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0.416666666666667</v>
      </c>
      <c r="N17" s="8">
        <v>0.625</v>
      </c>
      <c r="O17" s="154" t="s">
        <v>23</v>
      </c>
      <c r="P17" s="154" t="s">
        <v>23</v>
      </c>
      <c r="Q17" s="154" t="s">
        <v>23</v>
      </c>
      <c r="R17" s="154" t="s">
        <v>23</v>
      </c>
      <c r="S17" s="8">
        <v>0.333333333333333</v>
      </c>
      <c r="T17" s="8">
        <v>0.75</v>
      </c>
      <c r="U17" s="8">
        <v>0.333333333333333</v>
      </c>
      <c r="V17" s="8">
        <v>0.75</v>
      </c>
      <c r="W17" s="8">
        <v>0.333333333333333</v>
      </c>
      <c r="X17" s="8">
        <v>0.75</v>
      </c>
      <c r="Y17" s="8">
        <v>0.333333333333333</v>
      </c>
      <c r="Z17" s="8">
        <v>0.75</v>
      </c>
      <c r="AA17" s="8">
        <v>0.416666666666667</v>
      </c>
      <c r="AB17" s="8">
        <v>0.625</v>
      </c>
      <c r="AC17" s="154" t="s">
        <v>23</v>
      </c>
      <c r="AD17" s="154" t="s">
        <v>23</v>
      </c>
      <c r="AE17" s="154" t="s">
        <v>23</v>
      </c>
      <c r="AF17" s="154" t="s">
        <v>23</v>
      </c>
      <c r="AG17" s="8">
        <v>0.333333333333333</v>
      </c>
      <c r="AH17" s="8">
        <v>0.75</v>
      </c>
      <c r="AI17" s="8">
        <v>0.333333333333333</v>
      </c>
      <c r="AJ17" s="8">
        <v>0.75</v>
      </c>
      <c r="AK17" s="8">
        <v>0.333333333333333</v>
      </c>
      <c r="AL17" s="8">
        <v>0.75</v>
      </c>
      <c r="AM17" s="8">
        <v>0.333333333333333</v>
      </c>
      <c r="AN17" s="8">
        <v>0.75</v>
      </c>
      <c r="AO17" s="8">
        <v>0.416666666666667</v>
      </c>
      <c r="AP17" s="8">
        <v>0.625</v>
      </c>
      <c r="AQ17" s="154" t="s">
        <v>23</v>
      </c>
      <c r="AR17" s="154" t="s">
        <v>23</v>
      </c>
      <c r="AS17" s="154" t="s">
        <v>23</v>
      </c>
      <c r="AT17" s="154" t="s">
        <v>23</v>
      </c>
      <c r="AU17" s="8">
        <v>0.333333333333333</v>
      </c>
      <c r="AV17" s="8">
        <v>0.75</v>
      </c>
      <c r="AW17" s="8">
        <v>0.333333333333333</v>
      </c>
      <c r="AX17" s="8">
        <v>0.75</v>
      </c>
      <c r="AY17" s="8">
        <v>0.333333333333333</v>
      </c>
      <c r="AZ17" s="8">
        <v>0.75</v>
      </c>
      <c r="BA17" s="8">
        <v>0.333333333333333</v>
      </c>
      <c r="BB17" s="8">
        <v>0.75</v>
      </c>
      <c r="BC17" s="8">
        <v>0.416666666666667</v>
      </c>
      <c r="BD17" s="8">
        <v>0.625</v>
      </c>
      <c r="BE17" s="154" t="s">
        <v>23</v>
      </c>
      <c r="BF17" s="154" t="s">
        <v>23</v>
      </c>
      <c r="BG17" s="154" t="s">
        <v>23</v>
      </c>
      <c r="BH17" s="154" t="s">
        <v>23</v>
      </c>
      <c r="BI17" s="8">
        <v>0.333333333333333</v>
      </c>
      <c r="BJ17" s="8">
        <v>0.75</v>
      </c>
      <c r="BK17" s="8">
        <v>0.333333333333333</v>
      </c>
      <c r="BL17" s="8">
        <v>0.75</v>
      </c>
      <c r="BM17" s="8">
        <v>0.333333333333333</v>
      </c>
      <c r="BN17" s="8">
        <v>0.75</v>
      </c>
      <c r="BO17" s="8">
        <v>0.333333333333333</v>
      </c>
      <c r="BP17" s="8">
        <v>0.75</v>
      </c>
      <c r="BQ17" s="21">
        <f>IFERROR(__xludf.DUMMYFUNCTION("TO_PURE_NUMBER(SUM(FILTER(I17:BP17, ISEVEN(COLUMN(I17:BP17))))-SUM(FILTER(I17:BP17, ISODD(COLUMN(I17:BP17)))))*24"),200)</f>
        <v>200</v>
      </c>
    </row>
    <row r="18" customHeight="1" spans="1:69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8">
        <v>0.458333333333333</v>
      </c>
      <c r="H18" s="8">
        <v>0.875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0.666666666666667</v>
      </c>
      <c r="O18" s="154" t="s">
        <v>23</v>
      </c>
      <c r="P18" s="154" t="s">
        <v>23</v>
      </c>
      <c r="Q18" s="154" t="s">
        <v>23</v>
      </c>
      <c r="R18" s="154" t="s">
        <v>23</v>
      </c>
      <c r="S18" s="8">
        <v>0.375</v>
      </c>
      <c r="T18" s="8">
        <v>0.791666666666667</v>
      </c>
      <c r="U18" s="8">
        <v>0.375</v>
      </c>
      <c r="V18" s="8">
        <v>0.791666666666667</v>
      </c>
      <c r="W18" s="8">
        <v>0.375</v>
      </c>
      <c r="X18" s="8">
        <v>0.791666666666667</v>
      </c>
      <c r="Y18" s="8">
        <v>0.375</v>
      </c>
      <c r="Z18" s="8">
        <v>0.791666666666667</v>
      </c>
      <c r="AA18" s="8">
        <v>0.458333333333333</v>
      </c>
      <c r="AB18" s="8">
        <v>0.666666666666667</v>
      </c>
      <c r="AC18" s="154" t="s">
        <v>23</v>
      </c>
      <c r="AD18" s="154" t="s">
        <v>23</v>
      </c>
      <c r="AE18" s="154" t="s">
        <v>23</v>
      </c>
      <c r="AF18" s="154" t="s">
        <v>23</v>
      </c>
      <c r="AG18" s="8">
        <v>0.458333333333333</v>
      </c>
      <c r="AH18" s="8">
        <v>0.875</v>
      </c>
      <c r="AI18" s="8">
        <v>0.458333333333333</v>
      </c>
      <c r="AJ18" s="8">
        <v>0.875</v>
      </c>
      <c r="AK18" s="8">
        <v>0.458333333333333</v>
      </c>
      <c r="AL18" s="8">
        <v>0.875</v>
      </c>
      <c r="AM18" s="8">
        <v>0.458333333333333</v>
      </c>
      <c r="AN18" s="8">
        <v>0.875</v>
      </c>
      <c r="AO18" s="8">
        <v>0.458333333333333</v>
      </c>
      <c r="AP18" s="8">
        <v>0.666666666666667</v>
      </c>
      <c r="AQ18" s="154" t="s">
        <v>23</v>
      </c>
      <c r="AR18" s="154" t="s">
        <v>23</v>
      </c>
      <c r="AS18" s="154" t="s">
        <v>23</v>
      </c>
      <c r="AT18" s="154" t="s">
        <v>23</v>
      </c>
      <c r="AU18" s="8">
        <v>0.375</v>
      </c>
      <c r="AV18" s="8">
        <v>0.791666666666667</v>
      </c>
      <c r="AW18" s="8">
        <v>0.375</v>
      </c>
      <c r="AX18" s="8">
        <v>0.791666666666667</v>
      </c>
      <c r="AY18" s="8">
        <v>0.375</v>
      </c>
      <c r="AZ18" s="8">
        <v>0.791666666666667</v>
      </c>
      <c r="BA18" s="8">
        <v>0.375</v>
      </c>
      <c r="BB18" s="8">
        <v>0.791666666666667</v>
      </c>
      <c r="BC18" s="8">
        <v>0.458333333333333</v>
      </c>
      <c r="BD18" s="8">
        <v>0.666666666666667</v>
      </c>
      <c r="BE18" s="154" t="s">
        <v>23</v>
      </c>
      <c r="BF18" s="154" t="s">
        <v>23</v>
      </c>
      <c r="BG18" s="154" t="s">
        <v>23</v>
      </c>
      <c r="BH18" s="154" t="s">
        <v>23</v>
      </c>
      <c r="BI18" s="8">
        <v>0.458333333333333</v>
      </c>
      <c r="BJ18" s="8">
        <v>0.875</v>
      </c>
      <c r="BK18" s="8">
        <v>0.458333333333333</v>
      </c>
      <c r="BL18" s="8">
        <v>0.875</v>
      </c>
      <c r="BM18" s="8">
        <v>0.458333333333333</v>
      </c>
      <c r="BN18" s="8">
        <v>0.875</v>
      </c>
      <c r="BO18" s="8">
        <v>0.458333333333333</v>
      </c>
      <c r="BP18" s="8">
        <v>0.875</v>
      </c>
      <c r="BQ18" s="21">
        <f>IFERROR(__xludf.DUMMYFUNCTION("TO_PURE_NUMBER(SUM(FILTER(I18:BP18, ISEVEN(COLUMN(I18:BP18))))-SUM(FILTER(I18:BP18, ISODD(COLUMN(I18:BP18)))))*24"),199.999999999999)</f>
        <v>199.999999999999</v>
      </c>
    </row>
    <row r="19" customHeight="1" spans="1:69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154" t="s">
        <v>23</v>
      </c>
      <c r="N19" s="154" t="s">
        <v>23</v>
      </c>
      <c r="O19" s="154" t="s">
        <v>23</v>
      </c>
      <c r="P19" s="154" t="s">
        <v>23</v>
      </c>
      <c r="Q19" s="8">
        <v>0.375</v>
      </c>
      <c r="R19" s="8">
        <v>0.75</v>
      </c>
      <c r="S19" s="8">
        <v>0.375</v>
      </c>
      <c r="T19" s="8">
        <v>0.75</v>
      </c>
      <c r="U19" s="8">
        <v>0.375</v>
      </c>
      <c r="V19" s="8">
        <v>0.75</v>
      </c>
      <c r="W19" s="8">
        <v>0.375</v>
      </c>
      <c r="X19" s="8">
        <v>0.75</v>
      </c>
      <c r="Y19" s="8">
        <v>0.375</v>
      </c>
      <c r="Z19" s="8">
        <v>0.75</v>
      </c>
      <c r="AA19" s="154" t="s">
        <v>23</v>
      </c>
      <c r="AB19" s="154" t="s">
        <v>23</v>
      </c>
      <c r="AC19" s="154" t="s">
        <v>23</v>
      </c>
      <c r="AD19" s="154" t="s">
        <v>23</v>
      </c>
      <c r="AE19" s="8">
        <v>0.5</v>
      </c>
      <c r="AF19" s="8">
        <v>0.875</v>
      </c>
      <c r="AG19" s="8">
        <v>0.5</v>
      </c>
      <c r="AH19" s="8">
        <v>0.875</v>
      </c>
      <c r="AI19" s="8">
        <v>0.5</v>
      </c>
      <c r="AJ19" s="8">
        <v>0.875</v>
      </c>
      <c r="AK19" s="8">
        <v>0.5</v>
      </c>
      <c r="AL19" s="8">
        <v>0.875</v>
      </c>
      <c r="AM19" s="8">
        <v>0.5</v>
      </c>
      <c r="AN19" s="8">
        <v>0.875</v>
      </c>
      <c r="AO19" s="154" t="s">
        <v>23</v>
      </c>
      <c r="AP19" s="154" t="s">
        <v>23</v>
      </c>
      <c r="AQ19" s="154" t="s">
        <v>23</v>
      </c>
      <c r="AR19" s="154" t="s">
        <v>23</v>
      </c>
      <c r="AS19" s="8">
        <v>0.375</v>
      </c>
      <c r="AT19" s="8">
        <v>0.75</v>
      </c>
      <c r="AU19" s="8">
        <v>0.375</v>
      </c>
      <c r="AV19" s="8">
        <v>0.75</v>
      </c>
      <c r="AW19" s="8">
        <v>0.375</v>
      </c>
      <c r="AX19" s="8">
        <v>0.75</v>
      </c>
      <c r="AY19" s="8">
        <v>0.375</v>
      </c>
      <c r="AZ19" s="8">
        <v>0.75</v>
      </c>
      <c r="BA19" s="8">
        <v>0.375</v>
      </c>
      <c r="BB19" s="8">
        <v>0.75</v>
      </c>
      <c r="BC19" s="154" t="s">
        <v>23</v>
      </c>
      <c r="BD19" s="154" t="s">
        <v>23</v>
      </c>
      <c r="BE19" s="154" t="s">
        <v>23</v>
      </c>
      <c r="BF19" s="154" t="s">
        <v>23</v>
      </c>
      <c r="BG19" s="8">
        <v>0.5</v>
      </c>
      <c r="BH19" s="8">
        <v>0.875</v>
      </c>
      <c r="BI19" s="8">
        <v>0.5</v>
      </c>
      <c r="BJ19" s="8">
        <v>0.875</v>
      </c>
      <c r="BK19" s="8">
        <v>0.5</v>
      </c>
      <c r="BL19" s="8">
        <v>0.875</v>
      </c>
      <c r="BM19" s="8">
        <v>0.5</v>
      </c>
      <c r="BN19" s="8">
        <v>0.875</v>
      </c>
      <c r="BO19" s="8">
        <v>0.5</v>
      </c>
      <c r="BP19" s="8">
        <v>0.875</v>
      </c>
      <c r="BQ19" s="21">
        <f>IFERROR(__xludf.DUMMYFUNCTION("TO_PURE_NUMBER(SUM(FILTER(I19:BP19, ISEVEN(COLUMN(I19:BP19))))-SUM(FILTER(I19:BP19, ISODD(COLUMN(I19:BP19)))))*24"),198)</f>
        <v>198</v>
      </c>
    </row>
    <row r="20" customHeight="1" spans="1:69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154" t="s">
        <v>23</v>
      </c>
      <c r="N20" s="154" t="s">
        <v>23</v>
      </c>
      <c r="O20" s="154" t="s">
        <v>23</v>
      </c>
      <c r="P20" s="154" t="s">
        <v>23</v>
      </c>
      <c r="Q20" s="8">
        <v>0.375</v>
      </c>
      <c r="R20" s="8">
        <v>0.791666666666667</v>
      </c>
      <c r="S20" s="8">
        <v>0.375</v>
      </c>
      <c r="T20" s="8">
        <v>0.791666666666667</v>
      </c>
      <c r="U20" s="8">
        <v>0.375</v>
      </c>
      <c r="V20" s="8">
        <v>0.791666666666667</v>
      </c>
      <c r="W20" s="8">
        <v>0.375</v>
      </c>
      <c r="X20" s="8">
        <v>0.791666666666667</v>
      </c>
      <c r="Y20" s="154" t="s">
        <v>23</v>
      </c>
      <c r="Z20" s="154" t="s">
        <v>23</v>
      </c>
      <c r="AA20" s="154" t="s">
        <v>23</v>
      </c>
      <c r="AB20" s="154" t="s">
        <v>23</v>
      </c>
      <c r="AC20" s="8">
        <v>0.458333333333333</v>
      </c>
      <c r="AD20" s="8">
        <v>0.666666666666667</v>
      </c>
      <c r="AE20" s="8">
        <v>0.458333333333333</v>
      </c>
      <c r="AF20" s="8">
        <v>0.875</v>
      </c>
      <c r="AG20" s="8">
        <v>0.458333333333333</v>
      </c>
      <c r="AH20" s="8">
        <v>0.875</v>
      </c>
      <c r="AI20" s="8">
        <v>0.458333333333333</v>
      </c>
      <c r="AJ20" s="8">
        <v>0.875</v>
      </c>
      <c r="AK20" s="8">
        <v>0.458333333333333</v>
      </c>
      <c r="AL20" s="8">
        <v>0.875</v>
      </c>
      <c r="AM20" s="154" t="s">
        <v>23</v>
      </c>
      <c r="AN20" s="154" t="s">
        <v>23</v>
      </c>
      <c r="AO20" s="154" t="s">
        <v>23</v>
      </c>
      <c r="AP20" s="154" t="s">
        <v>23</v>
      </c>
      <c r="AQ20" s="8">
        <v>0.458333333333333</v>
      </c>
      <c r="AR20" s="8">
        <v>0.666666666666667</v>
      </c>
      <c r="AS20" s="8">
        <v>0.375</v>
      </c>
      <c r="AT20" s="8">
        <v>0.791666666666667</v>
      </c>
      <c r="AU20" s="8">
        <v>0.375</v>
      </c>
      <c r="AV20" s="8">
        <v>0.791666666666667</v>
      </c>
      <c r="AW20" s="8">
        <v>0.375</v>
      </c>
      <c r="AX20" s="8">
        <v>0.791666666666667</v>
      </c>
      <c r="AY20" s="8">
        <v>0.375</v>
      </c>
      <c r="AZ20" s="8">
        <v>0.791666666666667</v>
      </c>
      <c r="BA20" s="154" t="s">
        <v>23</v>
      </c>
      <c r="BB20" s="154" t="s">
        <v>23</v>
      </c>
      <c r="BC20" s="154" t="s">
        <v>23</v>
      </c>
      <c r="BD20" s="154" t="s">
        <v>23</v>
      </c>
      <c r="BE20" s="8">
        <v>0.458333333333333</v>
      </c>
      <c r="BF20" s="8">
        <v>0.666666666666667</v>
      </c>
      <c r="BG20" s="8">
        <v>0.458333333333333</v>
      </c>
      <c r="BH20" s="8">
        <v>0.875</v>
      </c>
      <c r="BI20" s="8">
        <v>0.458333333333333</v>
      </c>
      <c r="BJ20" s="8">
        <v>0.875</v>
      </c>
      <c r="BK20" s="8">
        <v>0.458333333333333</v>
      </c>
      <c r="BL20" s="8">
        <v>0.875</v>
      </c>
      <c r="BM20" s="8">
        <v>0.458333333333333</v>
      </c>
      <c r="BN20" s="8">
        <v>0.875</v>
      </c>
      <c r="BO20" s="154" t="s">
        <v>23</v>
      </c>
      <c r="BP20" s="154" t="s">
        <v>23</v>
      </c>
      <c r="BQ20" s="21">
        <f>IFERROR(__xludf.DUMMYFUNCTION("TO_PURE_NUMBER(SUM(FILTER(I20:BP20, ISEVEN(COLUMN(I20:BP20))))-SUM(FILTER(I20:BP20, ISODD(COLUMN(I20:BP20)))))*24"),192.999999999999)</f>
        <v>192.999999999999</v>
      </c>
    </row>
    <row r="21" customHeight="1" spans="1:69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154" t="s">
        <v>23</v>
      </c>
      <c r="N21" s="154" t="s">
        <v>23</v>
      </c>
      <c r="O21" s="154" t="s">
        <v>23</v>
      </c>
      <c r="P21" s="154" t="s">
        <v>23</v>
      </c>
      <c r="Q21" s="8">
        <v>0.5</v>
      </c>
      <c r="R21" s="8">
        <v>0.875</v>
      </c>
      <c r="S21" s="8">
        <v>0.5</v>
      </c>
      <c r="T21" s="8">
        <v>0.875</v>
      </c>
      <c r="U21" s="8">
        <v>0.5</v>
      </c>
      <c r="V21" s="8">
        <v>0.875</v>
      </c>
      <c r="W21" s="8">
        <v>0.5</v>
      </c>
      <c r="X21" s="8">
        <v>0.875</v>
      </c>
      <c r="Y21" s="8">
        <v>0.5</v>
      </c>
      <c r="Z21" s="8">
        <v>0.875</v>
      </c>
      <c r="AA21" s="154" t="s">
        <v>23</v>
      </c>
      <c r="AB21" s="154" t="s">
        <v>23</v>
      </c>
      <c r="AC21" s="154" t="s">
        <v>23</v>
      </c>
      <c r="AD21" s="154" t="s">
        <v>23</v>
      </c>
      <c r="AE21" s="8">
        <v>0.375</v>
      </c>
      <c r="AF21" s="8">
        <v>0.75</v>
      </c>
      <c r="AG21" s="8">
        <v>0.375</v>
      </c>
      <c r="AH21" s="8">
        <v>0.75</v>
      </c>
      <c r="AI21" s="8">
        <v>0.375</v>
      </c>
      <c r="AJ21" s="8">
        <v>0.75</v>
      </c>
      <c r="AK21" s="8">
        <v>0.375</v>
      </c>
      <c r="AL21" s="8">
        <v>0.75</v>
      </c>
      <c r="AM21" s="8">
        <v>0.375</v>
      </c>
      <c r="AN21" s="8">
        <v>0.75</v>
      </c>
      <c r="AO21" s="154" t="s">
        <v>23</v>
      </c>
      <c r="AP21" s="154" t="s">
        <v>23</v>
      </c>
      <c r="AQ21" s="154" t="s">
        <v>23</v>
      </c>
      <c r="AR21" s="154" t="s">
        <v>23</v>
      </c>
      <c r="AS21" s="8">
        <v>0.5</v>
      </c>
      <c r="AT21" s="8">
        <v>0.875</v>
      </c>
      <c r="AU21" s="8">
        <v>0.5</v>
      </c>
      <c r="AV21" s="8">
        <v>0.875</v>
      </c>
      <c r="AW21" s="8">
        <v>0.5</v>
      </c>
      <c r="AX21" s="8">
        <v>0.875</v>
      </c>
      <c r="AY21" s="8">
        <v>0.5</v>
      </c>
      <c r="AZ21" s="8">
        <v>0.875</v>
      </c>
      <c r="BA21" s="8">
        <v>0.5</v>
      </c>
      <c r="BB21" s="8">
        <v>0.875</v>
      </c>
      <c r="BC21" s="154" t="s">
        <v>23</v>
      </c>
      <c r="BD21" s="154" t="s">
        <v>23</v>
      </c>
      <c r="BE21" s="154" t="s">
        <v>23</v>
      </c>
      <c r="BF21" s="154" t="s">
        <v>23</v>
      </c>
      <c r="BG21" s="8">
        <v>0.375</v>
      </c>
      <c r="BH21" s="8">
        <v>0.75</v>
      </c>
      <c r="BI21" s="8">
        <v>0.375</v>
      </c>
      <c r="BJ21" s="8">
        <v>0.75</v>
      </c>
      <c r="BK21" s="8">
        <v>0.375</v>
      </c>
      <c r="BL21" s="8">
        <v>0.75</v>
      </c>
      <c r="BM21" s="8">
        <v>0.375</v>
      </c>
      <c r="BN21" s="8">
        <v>0.75</v>
      </c>
      <c r="BO21" s="8">
        <v>0.375</v>
      </c>
      <c r="BP21" s="8">
        <v>0.75</v>
      </c>
      <c r="BQ21" s="21">
        <f>IFERROR(__xludf.DUMMYFUNCTION("TO_PURE_NUMBER(SUM(FILTER(I21:BP21, ISEVEN(COLUMN(I21:BP21))))-SUM(FILTER(I21:BP21, ISODD(COLUMN(I21:BP21)))))*24"),198)</f>
        <v>198</v>
      </c>
    </row>
    <row r="22" customHeight="1" spans="1:69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0.791666666666667</v>
      </c>
      <c r="I22" s="8">
        <v>0.375</v>
      </c>
      <c r="J22" s="8">
        <v>0.791666666666667</v>
      </c>
      <c r="K22" s="8">
        <v>0.375</v>
      </c>
      <c r="L22" s="8">
        <v>0.791666666666667</v>
      </c>
      <c r="M22" s="8">
        <v>0.458333333333333</v>
      </c>
      <c r="N22" s="8">
        <v>0.666666666666667</v>
      </c>
      <c r="O22" s="154" t="s">
        <v>23</v>
      </c>
      <c r="P22" s="154" t="s">
        <v>23</v>
      </c>
      <c r="Q22" s="8">
        <v>0.5</v>
      </c>
      <c r="R22" s="8">
        <v>0.875</v>
      </c>
      <c r="S22" s="8">
        <v>0.5</v>
      </c>
      <c r="T22" s="8">
        <v>0.875</v>
      </c>
      <c r="U22" s="8">
        <v>0.5</v>
      </c>
      <c r="V22" s="8">
        <v>0.875</v>
      </c>
      <c r="W22" s="8">
        <v>0.5</v>
      </c>
      <c r="X22" s="8">
        <v>0.875</v>
      </c>
      <c r="Y22" s="8">
        <v>0.5</v>
      </c>
      <c r="Z22" s="8">
        <v>0.875</v>
      </c>
      <c r="AA22" s="154" t="s">
        <v>23</v>
      </c>
      <c r="AB22" s="154" t="s">
        <v>23</v>
      </c>
      <c r="AC22" s="154" t="s">
        <v>23</v>
      </c>
      <c r="AD22" s="154" t="s">
        <v>23</v>
      </c>
      <c r="AE22" s="8">
        <v>0.375</v>
      </c>
      <c r="AF22" s="8">
        <v>0.75</v>
      </c>
      <c r="AG22" s="8">
        <v>0.375</v>
      </c>
      <c r="AH22" s="8">
        <v>0.75</v>
      </c>
      <c r="AI22" s="8">
        <v>0.375</v>
      </c>
      <c r="AJ22" s="8">
        <v>0.75</v>
      </c>
      <c r="AK22" s="8">
        <v>0.375</v>
      </c>
      <c r="AL22" s="8">
        <v>0.75</v>
      </c>
      <c r="AM22" s="8">
        <v>0.375</v>
      </c>
      <c r="AN22" s="8">
        <v>0.75</v>
      </c>
      <c r="AO22" s="154" t="s">
        <v>23</v>
      </c>
      <c r="AP22" s="154" t="s">
        <v>23</v>
      </c>
      <c r="AQ22" s="154" t="s">
        <v>23</v>
      </c>
      <c r="AR22" s="154" t="s">
        <v>23</v>
      </c>
      <c r="AS22" s="8">
        <v>0.5</v>
      </c>
      <c r="AT22" s="8">
        <v>0.875</v>
      </c>
      <c r="AU22" s="8">
        <v>0.5</v>
      </c>
      <c r="AV22" s="8">
        <v>0.875</v>
      </c>
      <c r="AW22" s="8">
        <v>0.5</v>
      </c>
      <c r="AX22" s="8">
        <v>0.875</v>
      </c>
      <c r="AY22" s="8">
        <v>0.5</v>
      </c>
      <c r="AZ22" s="8">
        <v>0.875</v>
      </c>
      <c r="BA22" s="8">
        <v>0.5</v>
      </c>
      <c r="BB22" s="8">
        <v>0.875</v>
      </c>
      <c r="BC22" s="154" t="s">
        <v>23</v>
      </c>
      <c r="BD22" s="154" t="s">
        <v>23</v>
      </c>
      <c r="BE22" s="154" t="s">
        <v>23</v>
      </c>
      <c r="BF22" s="154" t="s">
        <v>23</v>
      </c>
      <c r="BG22" s="8">
        <v>0.375</v>
      </c>
      <c r="BH22" s="8">
        <v>0.75</v>
      </c>
      <c r="BI22" s="8">
        <v>0.375</v>
      </c>
      <c r="BJ22" s="8">
        <v>0.75</v>
      </c>
      <c r="BK22" s="8">
        <v>0.375</v>
      </c>
      <c r="BL22" s="8">
        <v>0.75</v>
      </c>
      <c r="BM22" s="8">
        <v>0.375</v>
      </c>
      <c r="BN22" s="8">
        <v>0.75</v>
      </c>
      <c r="BO22" s="8">
        <v>0.375</v>
      </c>
      <c r="BP22" s="8">
        <v>0.75</v>
      </c>
      <c r="BQ22" s="21">
        <f>IFERROR(__xludf.DUMMYFUNCTION("TO_PURE_NUMBER(SUM(FILTER(I22:BP22, ISEVEN(COLUMN(I22:BP22))))-SUM(FILTER(I22:BP22, ISODD(COLUMN(I22:BP22)))))*24"),205)</f>
        <v>205</v>
      </c>
    </row>
    <row r="23" customHeight="1" spans="1:69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154" t="s">
        <v>23</v>
      </c>
      <c r="N23" s="154" t="s">
        <v>23</v>
      </c>
      <c r="O23" s="154" t="s">
        <v>23</v>
      </c>
      <c r="P23" s="154" t="s">
        <v>23</v>
      </c>
      <c r="Q23" s="8">
        <v>0.5</v>
      </c>
      <c r="R23" s="8">
        <v>0.875</v>
      </c>
      <c r="S23" s="8">
        <v>0.5</v>
      </c>
      <c r="T23" s="8">
        <v>0.875</v>
      </c>
      <c r="U23" s="8">
        <v>0.5</v>
      </c>
      <c r="V23" s="8">
        <v>0.875</v>
      </c>
      <c r="W23" s="8">
        <v>0.5</v>
      </c>
      <c r="X23" s="8">
        <v>0.875</v>
      </c>
      <c r="Y23" s="8">
        <v>0.5</v>
      </c>
      <c r="Z23" s="8">
        <v>0.875</v>
      </c>
      <c r="AA23" s="154" t="s">
        <v>23</v>
      </c>
      <c r="AB23" s="154" t="s">
        <v>23</v>
      </c>
      <c r="AC23" s="154" t="s">
        <v>23</v>
      </c>
      <c r="AD23" s="154" t="s">
        <v>23</v>
      </c>
      <c r="AE23" s="8">
        <v>0.375</v>
      </c>
      <c r="AF23" s="8">
        <v>0.75</v>
      </c>
      <c r="AG23" s="8">
        <v>0.375</v>
      </c>
      <c r="AH23" s="8">
        <v>0.75</v>
      </c>
      <c r="AI23" s="8">
        <v>0.375</v>
      </c>
      <c r="AJ23" s="8">
        <v>0.75</v>
      </c>
      <c r="AK23" s="8">
        <v>0.375</v>
      </c>
      <c r="AL23" s="8">
        <v>0.75</v>
      </c>
      <c r="AM23" s="8">
        <v>0.375</v>
      </c>
      <c r="AN23" s="8">
        <v>0.75</v>
      </c>
      <c r="AO23" s="154" t="s">
        <v>23</v>
      </c>
      <c r="AP23" s="154" t="s">
        <v>23</v>
      </c>
      <c r="AQ23" s="154" t="s">
        <v>23</v>
      </c>
      <c r="AR23" s="154" t="s">
        <v>23</v>
      </c>
      <c r="AS23" s="8">
        <v>0.5</v>
      </c>
      <c r="AT23" s="8">
        <v>0.875</v>
      </c>
      <c r="AU23" s="8">
        <v>0.5</v>
      </c>
      <c r="AV23" s="8">
        <v>0.875</v>
      </c>
      <c r="AW23" s="8">
        <v>0.5</v>
      </c>
      <c r="AX23" s="8">
        <v>0.875</v>
      </c>
      <c r="AY23" s="8">
        <v>0.5</v>
      </c>
      <c r="AZ23" s="8">
        <v>0.875</v>
      </c>
      <c r="BA23" s="8">
        <v>0.5</v>
      </c>
      <c r="BB23" s="8">
        <v>0.875</v>
      </c>
      <c r="BC23" s="154" t="s">
        <v>23</v>
      </c>
      <c r="BD23" s="154" t="s">
        <v>23</v>
      </c>
      <c r="BE23" s="154" t="s">
        <v>23</v>
      </c>
      <c r="BF23" s="154" t="s">
        <v>23</v>
      </c>
      <c r="BG23" s="8">
        <v>0.375</v>
      </c>
      <c r="BH23" s="8">
        <v>0.75</v>
      </c>
      <c r="BI23" s="8">
        <v>0.375</v>
      </c>
      <c r="BJ23" s="8">
        <v>0.75</v>
      </c>
      <c r="BK23" s="8">
        <v>0.375</v>
      </c>
      <c r="BL23" s="8">
        <v>0.75</v>
      </c>
      <c r="BM23" s="8">
        <v>0.375</v>
      </c>
      <c r="BN23" s="8">
        <v>0.75</v>
      </c>
      <c r="BO23" s="8">
        <v>0.375</v>
      </c>
      <c r="BP23" s="8">
        <v>0.75</v>
      </c>
      <c r="BQ23" s="21">
        <f>IFERROR(__xludf.DUMMYFUNCTION("TO_PURE_NUMBER(SUM(FILTER(I23:BP23, ISEVEN(COLUMN(I23:BP23))))-SUM(FILTER(I23:BP23, ISODD(COLUMN(I23:BP23)))))*24"),198)</f>
        <v>198</v>
      </c>
    </row>
    <row r="24" customHeight="1" spans="1:69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7" t="s">
        <v>36</v>
      </c>
      <c r="H24" s="7" t="s">
        <v>36</v>
      </c>
      <c r="I24" s="8">
        <v>0.416666666666667</v>
      </c>
      <c r="J24" s="8">
        <v>0.833333333333333</v>
      </c>
      <c r="K24" s="154" t="s">
        <v>23</v>
      </c>
      <c r="L24" s="154" t="s">
        <v>23</v>
      </c>
      <c r="M24" s="154" t="s">
        <v>23</v>
      </c>
      <c r="N24" s="154" t="s">
        <v>23</v>
      </c>
      <c r="O24" s="8">
        <v>0.458333333333333</v>
      </c>
      <c r="P24" s="8">
        <v>0.666666666666667</v>
      </c>
      <c r="Q24" s="8">
        <v>0.458333333333333</v>
      </c>
      <c r="R24" s="8">
        <v>0.875</v>
      </c>
      <c r="S24" s="8">
        <v>0.458333333333333</v>
      </c>
      <c r="T24" s="8">
        <v>0.875</v>
      </c>
      <c r="U24" s="8">
        <v>0.458333333333333</v>
      </c>
      <c r="V24" s="8">
        <v>0.875</v>
      </c>
      <c r="W24" s="8">
        <v>0.458333333333333</v>
      </c>
      <c r="X24" s="8">
        <v>0.875</v>
      </c>
      <c r="Y24" s="154" t="s">
        <v>23</v>
      </c>
      <c r="Z24" s="154" t="s">
        <v>23</v>
      </c>
      <c r="AA24" s="154" t="s">
        <v>23</v>
      </c>
      <c r="AB24" s="154" t="s">
        <v>23</v>
      </c>
      <c r="AC24" s="8">
        <v>0.458333333333333</v>
      </c>
      <c r="AD24" s="8">
        <v>0.666666666666667</v>
      </c>
      <c r="AE24" s="8">
        <v>0.375</v>
      </c>
      <c r="AF24" s="8">
        <v>0.791666666666667</v>
      </c>
      <c r="AG24" s="8">
        <v>0.375</v>
      </c>
      <c r="AH24" s="8">
        <v>0.791666666666667</v>
      </c>
      <c r="AI24" s="8">
        <v>0.375</v>
      </c>
      <c r="AJ24" s="8">
        <v>0.791666666666667</v>
      </c>
      <c r="AK24" s="8">
        <v>0.375</v>
      </c>
      <c r="AL24" s="8">
        <v>0.791666666666667</v>
      </c>
      <c r="AM24" s="154" t="s">
        <v>23</v>
      </c>
      <c r="AN24" s="154" t="s">
        <v>23</v>
      </c>
      <c r="AO24" s="154" t="s">
        <v>23</v>
      </c>
      <c r="AP24" s="154" t="s">
        <v>23</v>
      </c>
      <c r="AQ24" s="8">
        <v>0.458333333333333</v>
      </c>
      <c r="AR24" s="8">
        <v>0.666666666666667</v>
      </c>
      <c r="AS24" s="8">
        <v>0.458333333333333</v>
      </c>
      <c r="AT24" s="8">
        <v>0.875</v>
      </c>
      <c r="AU24" s="8">
        <v>0.458333333333333</v>
      </c>
      <c r="AV24" s="8">
        <v>0.875</v>
      </c>
      <c r="AW24" s="8">
        <v>0.458333333333333</v>
      </c>
      <c r="AX24" s="8">
        <v>0.875</v>
      </c>
      <c r="AY24" s="8">
        <v>0.458333333333333</v>
      </c>
      <c r="AZ24" s="8">
        <v>0.875</v>
      </c>
      <c r="BA24" s="154" t="s">
        <v>23</v>
      </c>
      <c r="BB24" s="154" t="s">
        <v>23</v>
      </c>
      <c r="BC24" s="154" t="s">
        <v>23</v>
      </c>
      <c r="BD24" s="154" t="s">
        <v>23</v>
      </c>
      <c r="BE24" s="8">
        <v>0.458333333333333</v>
      </c>
      <c r="BF24" s="8">
        <v>0.666666666666667</v>
      </c>
      <c r="BG24" s="8">
        <v>0.375</v>
      </c>
      <c r="BH24" s="8">
        <v>0.791666666666667</v>
      </c>
      <c r="BI24" s="8">
        <v>0.375</v>
      </c>
      <c r="BJ24" s="8">
        <v>0.791666666666667</v>
      </c>
      <c r="BK24" s="8">
        <v>0.375</v>
      </c>
      <c r="BL24" s="8">
        <v>0.791666666666667</v>
      </c>
      <c r="BM24" s="8">
        <v>0.375</v>
      </c>
      <c r="BN24" s="8">
        <v>0.791666666666667</v>
      </c>
      <c r="BO24" s="154" t="s">
        <v>23</v>
      </c>
      <c r="BP24" s="154" t="s">
        <v>23</v>
      </c>
      <c r="BQ24" s="21">
        <f>IFERROR(__xludf.DUMMYFUNCTION("TO_PURE_NUMBER(SUM(FILTER(I24:BP24, ISEVEN(COLUMN(I24:BP24))))-SUM(FILTER(I24:BP24, ISODD(COLUMN(I24:BP24)))))*24"),190)</f>
        <v>190</v>
      </c>
    </row>
    <row r="25" customHeight="1" spans="1:69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0.375</v>
      </c>
      <c r="H25" s="8">
        <v>0.791666666666667</v>
      </c>
      <c r="I25" s="8">
        <v>0.375</v>
      </c>
      <c r="J25" s="8">
        <v>0.791666666666667</v>
      </c>
      <c r="K25" s="154" t="s">
        <v>23</v>
      </c>
      <c r="L25" s="154" t="s">
        <v>23</v>
      </c>
      <c r="M25" s="154" t="s">
        <v>23</v>
      </c>
      <c r="N25" s="154" t="s">
        <v>23</v>
      </c>
      <c r="O25" s="8">
        <v>0.458333333333333</v>
      </c>
      <c r="P25" s="8">
        <v>0.666666666666667</v>
      </c>
      <c r="Q25" s="8">
        <v>0.458333333333333</v>
      </c>
      <c r="R25" s="8">
        <v>0.875</v>
      </c>
      <c r="S25" s="8">
        <v>0.458333333333333</v>
      </c>
      <c r="T25" s="8">
        <v>0.875</v>
      </c>
      <c r="U25" s="8">
        <v>0.458333333333333</v>
      </c>
      <c r="V25" s="8">
        <v>0.875</v>
      </c>
      <c r="W25" s="8">
        <v>0.458333333333333</v>
      </c>
      <c r="X25" s="8">
        <v>0.875</v>
      </c>
      <c r="Y25" s="154" t="s">
        <v>23</v>
      </c>
      <c r="Z25" s="154" t="s">
        <v>23</v>
      </c>
      <c r="AA25" s="154" t="s">
        <v>23</v>
      </c>
      <c r="AB25" s="154" t="s">
        <v>23</v>
      </c>
      <c r="AC25" s="8">
        <v>0.458333333333333</v>
      </c>
      <c r="AD25" s="8">
        <v>0.666666666666667</v>
      </c>
      <c r="AE25" s="8">
        <v>0.458333333333333</v>
      </c>
      <c r="AF25" s="8">
        <v>0.875</v>
      </c>
      <c r="AG25" s="8">
        <v>0.458333333333333</v>
      </c>
      <c r="AH25" s="8">
        <v>0.875</v>
      </c>
      <c r="AI25" s="8">
        <v>0.458333333333333</v>
      </c>
      <c r="AJ25" s="8">
        <v>0.875</v>
      </c>
      <c r="AK25" s="8">
        <v>0.458333333333333</v>
      </c>
      <c r="AL25" s="8">
        <v>0.875</v>
      </c>
      <c r="AM25" s="154" t="s">
        <v>23</v>
      </c>
      <c r="AN25" s="154" t="s">
        <v>23</v>
      </c>
      <c r="AO25" s="154" t="s">
        <v>23</v>
      </c>
      <c r="AP25" s="154" t="s">
        <v>23</v>
      </c>
      <c r="AQ25" s="8">
        <v>0.458333333333333</v>
      </c>
      <c r="AR25" s="8">
        <v>0.666666666666667</v>
      </c>
      <c r="AS25" s="8">
        <v>0.458333333333333</v>
      </c>
      <c r="AT25" s="8">
        <v>0.875</v>
      </c>
      <c r="AU25" s="8">
        <v>0.458333333333333</v>
      </c>
      <c r="AV25" s="8">
        <v>0.875</v>
      </c>
      <c r="AW25" s="8">
        <v>0.458333333333333</v>
      </c>
      <c r="AX25" s="8">
        <v>0.875</v>
      </c>
      <c r="AY25" s="8">
        <v>0.458333333333333</v>
      </c>
      <c r="AZ25" s="8">
        <v>0.875</v>
      </c>
      <c r="BA25" s="154" t="s">
        <v>23</v>
      </c>
      <c r="BB25" s="154" t="s">
        <v>23</v>
      </c>
      <c r="BC25" s="154" t="s">
        <v>23</v>
      </c>
      <c r="BD25" s="154" t="s">
        <v>23</v>
      </c>
      <c r="BE25" s="8">
        <v>0.458333333333333</v>
      </c>
      <c r="BF25" s="8">
        <v>0.666666666666667</v>
      </c>
      <c r="BG25" s="8">
        <v>0.375</v>
      </c>
      <c r="BH25" s="8">
        <v>0.791666666666667</v>
      </c>
      <c r="BI25" s="8">
        <v>0.375</v>
      </c>
      <c r="BJ25" s="8">
        <v>0.791666666666667</v>
      </c>
      <c r="BK25" s="8">
        <v>0.375</v>
      </c>
      <c r="BL25" s="8">
        <v>0.791666666666667</v>
      </c>
      <c r="BM25" s="8">
        <v>0.375</v>
      </c>
      <c r="BN25" s="8">
        <v>0.791666666666667</v>
      </c>
      <c r="BO25" s="154" t="s">
        <v>23</v>
      </c>
      <c r="BP25" s="154" t="s">
        <v>23</v>
      </c>
      <c r="BQ25" s="21">
        <f>IFERROR(__xludf.DUMMYFUNCTION("TO_PURE_NUMBER(SUM(FILTER(I25:BP25, ISEVEN(COLUMN(I25:BP25))))-SUM(FILTER(I25:BP25, ISODD(COLUMN(I25:BP25)))))*24"),190)</f>
        <v>190</v>
      </c>
    </row>
    <row r="26" customHeight="1" spans="1:69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154" t="s">
        <v>23</v>
      </c>
      <c r="H26" s="154" t="s">
        <v>23</v>
      </c>
      <c r="I26" s="8">
        <v>0.375</v>
      </c>
      <c r="J26" s="8">
        <v>0.75</v>
      </c>
      <c r="K26" s="8">
        <v>0.375</v>
      </c>
      <c r="L26" s="8">
        <v>0.75</v>
      </c>
      <c r="M26" s="8">
        <v>0.458333333333333</v>
      </c>
      <c r="N26" s="8">
        <v>0.666666666666667</v>
      </c>
      <c r="O26" s="8">
        <v>0.458333333333333</v>
      </c>
      <c r="P26" s="8">
        <v>0.666666666666667</v>
      </c>
      <c r="Q26" s="8">
        <v>0.458333333333333</v>
      </c>
      <c r="R26" s="8">
        <v>0.875</v>
      </c>
      <c r="S26" s="8">
        <v>0.458333333333333</v>
      </c>
      <c r="T26" s="8">
        <v>0.875</v>
      </c>
      <c r="U26" s="8">
        <v>0.458333333333333</v>
      </c>
      <c r="V26" s="8">
        <v>0.875</v>
      </c>
      <c r="W26" s="8">
        <v>0.458333333333333</v>
      </c>
      <c r="X26" s="8">
        <v>0.875</v>
      </c>
      <c r="Y26" s="154" t="s">
        <v>23</v>
      </c>
      <c r="Z26" s="154" t="s">
        <v>23</v>
      </c>
      <c r="AA26" s="154" t="s">
        <v>23</v>
      </c>
      <c r="AB26" s="154" t="s">
        <v>23</v>
      </c>
      <c r="AC26" s="8">
        <v>0.458333333333333</v>
      </c>
      <c r="AD26" s="8">
        <v>0.666666666666667</v>
      </c>
      <c r="AE26" s="8">
        <v>0.375</v>
      </c>
      <c r="AF26" s="8">
        <v>0.791666666666667</v>
      </c>
      <c r="AG26" s="8">
        <v>0.375</v>
      </c>
      <c r="AH26" s="8">
        <v>0.791666666666667</v>
      </c>
      <c r="AI26" s="8">
        <v>0.375</v>
      </c>
      <c r="AJ26" s="8">
        <v>0.791666666666667</v>
      </c>
      <c r="AK26" s="8">
        <v>0.375</v>
      </c>
      <c r="AL26" s="8">
        <v>0.791666666666667</v>
      </c>
      <c r="AM26" s="154" t="s">
        <v>23</v>
      </c>
      <c r="AN26" s="154" t="s">
        <v>23</v>
      </c>
      <c r="AO26" s="154" t="s">
        <v>23</v>
      </c>
      <c r="AP26" s="154" t="s">
        <v>23</v>
      </c>
      <c r="AQ26" s="8">
        <v>0.458333333333333</v>
      </c>
      <c r="AR26" s="8">
        <v>0.666666666666667</v>
      </c>
      <c r="AS26" s="8">
        <v>0.458333333333333</v>
      </c>
      <c r="AT26" s="8">
        <v>0.875</v>
      </c>
      <c r="AU26" s="8">
        <v>0.458333333333333</v>
      </c>
      <c r="AV26" s="8">
        <v>0.875</v>
      </c>
      <c r="AW26" s="8">
        <v>0.458333333333333</v>
      </c>
      <c r="AX26" s="8">
        <v>0.875</v>
      </c>
      <c r="AY26" s="8">
        <v>0.458333333333333</v>
      </c>
      <c r="AZ26" s="8">
        <v>0.875</v>
      </c>
      <c r="BA26" s="154" t="s">
        <v>23</v>
      </c>
      <c r="BB26" s="154" t="s">
        <v>23</v>
      </c>
      <c r="BC26" s="154" t="s">
        <v>23</v>
      </c>
      <c r="BD26" s="154" t="s">
        <v>23</v>
      </c>
      <c r="BE26" s="8">
        <v>0.458333333333333</v>
      </c>
      <c r="BF26" s="8">
        <v>0.666666666666667</v>
      </c>
      <c r="BG26" s="8">
        <v>0.375</v>
      </c>
      <c r="BH26" s="8">
        <v>0.791666666666667</v>
      </c>
      <c r="BI26" s="8">
        <v>0.375</v>
      </c>
      <c r="BJ26" s="8">
        <v>0.791666666666667</v>
      </c>
      <c r="BK26" s="8">
        <v>0.375</v>
      </c>
      <c r="BL26" s="8">
        <v>0.791666666666667</v>
      </c>
      <c r="BM26" s="8">
        <v>0.375</v>
      </c>
      <c r="BN26" s="8">
        <v>0.791666666666667</v>
      </c>
      <c r="BO26" s="154" t="s">
        <v>23</v>
      </c>
      <c r="BP26" s="154" t="s">
        <v>23</v>
      </c>
      <c r="BQ26" s="21">
        <f>IFERROR(__xludf.DUMMYFUNCTION("TO_PURE_NUMBER(SUM(FILTER(I26:BP26, ISEVEN(COLUMN(I26:BP26))))-SUM(FILTER(I26:BP26, ISODD(COLUMN(I26:BP26)))))*24"),203)</f>
        <v>203</v>
      </c>
    </row>
    <row r="27" customHeight="1" spans="1:69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0.458333333333333</v>
      </c>
      <c r="H27" s="8">
        <v>0.875</v>
      </c>
      <c r="I27" s="8">
        <v>0.458333333333333</v>
      </c>
      <c r="J27" s="8">
        <v>0.875</v>
      </c>
      <c r="K27" s="8">
        <v>0.458333333333333</v>
      </c>
      <c r="L27" s="8">
        <v>0.875</v>
      </c>
      <c r="M27" s="8">
        <v>0.458333333333333</v>
      </c>
      <c r="N27" s="8">
        <v>0.666666666666667</v>
      </c>
      <c r="O27" s="154" t="s">
        <v>23</v>
      </c>
      <c r="P27" s="154" t="s">
        <v>23</v>
      </c>
      <c r="Q27" s="8">
        <v>0.375</v>
      </c>
      <c r="R27" s="8">
        <v>0.75</v>
      </c>
      <c r="S27" s="8">
        <v>0.375</v>
      </c>
      <c r="T27" s="8">
        <v>0.75</v>
      </c>
      <c r="U27" s="8">
        <v>0.375</v>
      </c>
      <c r="V27" s="8">
        <v>0.75</v>
      </c>
      <c r="W27" s="8">
        <v>0.375</v>
      </c>
      <c r="X27" s="8">
        <v>0.75</v>
      </c>
      <c r="Y27" s="8">
        <v>0.375</v>
      </c>
      <c r="Z27" s="8">
        <v>0.75</v>
      </c>
      <c r="AA27" s="154" t="s">
        <v>23</v>
      </c>
      <c r="AB27" s="154" t="s">
        <v>23</v>
      </c>
      <c r="AC27" s="154" t="s">
        <v>23</v>
      </c>
      <c r="AD27" s="154" t="s">
        <v>23</v>
      </c>
      <c r="AE27" s="8">
        <v>0.5</v>
      </c>
      <c r="AF27" s="8">
        <v>0.875</v>
      </c>
      <c r="AG27" s="8">
        <v>0.5</v>
      </c>
      <c r="AH27" s="8">
        <v>0.875</v>
      </c>
      <c r="AI27" s="8">
        <v>0.5</v>
      </c>
      <c r="AJ27" s="8">
        <v>0.875</v>
      </c>
      <c r="AK27" s="8">
        <v>0.5</v>
      </c>
      <c r="AL27" s="8">
        <v>0.875</v>
      </c>
      <c r="AM27" s="8">
        <v>0.5</v>
      </c>
      <c r="AN27" s="8">
        <v>0.875</v>
      </c>
      <c r="AO27" s="154" t="s">
        <v>23</v>
      </c>
      <c r="AP27" s="154" t="s">
        <v>23</v>
      </c>
      <c r="AQ27" s="154" t="s">
        <v>23</v>
      </c>
      <c r="AR27" s="154" t="s">
        <v>23</v>
      </c>
      <c r="AS27" s="8">
        <v>0.375</v>
      </c>
      <c r="AT27" s="8">
        <v>0.75</v>
      </c>
      <c r="AU27" s="8">
        <v>0.375</v>
      </c>
      <c r="AV27" s="8">
        <v>0.75</v>
      </c>
      <c r="AW27" s="8">
        <v>0.375</v>
      </c>
      <c r="AX27" s="8">
        <v>0.75</v>
      </c>
      <c r="AY27" s="8">
        <v>0.375</v>
      </c>
      <c r="AZ27" s="8">
        <v>0.75</v>
      </c>
      <c r="BA27" s="8">
        <v>0.375</v>
      </c>
      <c r="BB27" s="8">
        <v>0.75</v>
      </c>
      <c r="BC27" s="154" t="s">
        <v>23</v>
      </c>
      <c r="BD27" s="154" t="s">
        <v>23</v>
      </c>
      <c r="BE27" s="154" t="s">
        <v>23</v>
      </c>
      <c r="BF27" s="154" t="s">
        <v>23</v>
      </c>
      <c r="BG27" s="8">
        <v>0.5</v>
      </c>
      <c r="BH27" s="8">
        <v>0.875</v>
      </c>
      <c r="BI27" s="8">
        <v>0.5</v>
      </c>
      <c r="BJ27" s="8">
        <v>0.875</v>
      </c>
      <c r="BK27" s="8">
        <v>0.5</v>
      </c>
      <c r="BL27" s="8">
        <v>0.875</v>
      </c>
      <c r="BM27" s="8">
        <v>0.5</v>
      </c>
      <c r="BN27" s="8">
        <v>0.875</v>
      </c>
      <c r="BO27" s="8">
        <v>0.5</v>
      </c>
      <c r="BP27" s="8">
        <v>0.875</v>
      </c>
      <c r="BQ27" s="21">
        <f>IFERROR(__xludf.DUMMYFUNCTION("TO_PURE_NUMBER(SUM(FILTER(I27:BP27, ISEVEN(COLUMN(I27:BP27))))-SUM(FILTER(I27:BP27, ISODD(COLUMN(I27:BP27)))))*24"),204.999999999999)</f>
        <v>204.999999999999</v>
      </c>
    </row>
    <row r="28" customHeight="1" spans="1:69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0.375</v>
      </c>
      <c r="H28" s="8">
        <v>0.791666666666667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0.416666666666667</v>
      </c>
      <c r="N28" s="8">
        <v>0.625</v>
      </c>
      <c r="O28" s="154" t="s">
        <v>23</v>
      </c>
      <c r="P28" s="154" t="s">
        <v>23</v>
      </c>
      <c r="Q28" s="154" t="s">
        <v>23</v>
      </c>
      <c r="R28" s="154" t="s">
        <v>23</v>
      </c>
      <c r="S28" s="8">
        <v>0.333333333333333</v>
      </c>
      <c r="T28" s="8">
        <v>0.75</v>
      </c>
      <c r="U28" s="8">
        <v>0.333333333333333</v>
      </c>
      <c r="V28" s="8">
        <v>0.75</v>
      </c>
      <c r="W28" s="8">
        <v>0.333333333333333</v>
      </c>
      <c r="X28" s="8">
        <v>0.75</v>
      </c>
      <c r="Y28" s="8">
        <v>0.333333333333333</v>
      </c>
      <c r="Z28" s="8">
        <v>0.75</v>
      </c>
      <c r="AA28" s="8">
        <v>0.416666666666667</v>
      </c>
      <c r="AB28" s="8">
        <v>0.625</v>
      </c>
      <c r="AC28" s="154" t="s">
        <v>23</v>
      </c>
      <c r="AD28" s="154" t="s">
        <v>23</v>
      </c>
      <c r="AE28" s="154" t="s">
        <v>23</v>
      </c>
      <c r="AF28" s="154" t="s">
        <v>23</v>
      </c>
      <c r="AG28" s="8">
        <v>0.333333333333333</v>
      </c>
      <c r="AH28" s="8">
        <v>0.75</v>
      </c>
      <c r="AI28" s="8">
        <v>0.333333333333333</v>
      </c>
      <c r="AJ28" s="8">
        <v>0.75</v>
      </c>
      <c r="AK28" s="8">
        <v>0.333333333333333</v>
      </c>
      <c r="AL28" s="8">
        <v>0.75</v>
      </c>
      <c r="AM28" s="8">
        <v>0.333333333333333</v>
      </c>
      <c r="AN28" s="8">
        <v>0.75</v>
      </c>
      <c r="AO28" s="8">
        <v>0.416666666666667</v>
      </c>
      <c r="AP28" s="8">
        <v>0.625</v>
      </c>
      <c r="AQ28" s="154" t="s">
        <v>23</v>
      </c>
      <c r="AR28" s="154" t="s">
        <v>23</v>
      </c>
      <c r="AS28" s="154" t="s">
        <v>23</v>
      </c>
      <c r="AT28" s="154" t="s">
        <v>23</v>
      </c>
      <c r="AU28" s="8">
        <v>0.333333333333333</v>
      </c>
      <c r="AV28" s="8">
        <v>0.75</v>
      </c>
      <c r="AW28" s="8">
        <v>0.333333333333333</v>
      </c>
      <c r="AX28" s="8">
        <v>0.75</v>
      </c>
      <c r="AY28" s="8">
        <v>0.333333333333333</v>
      </c>
      <c r="AZ28" s="8">
        <v>0.75</v>
      </c>
      <c r="BA28" s="8">
        <v>0.333333333333333</v>
      </c>
      <c r="BB28" s="8">
        <v>0.75</v>
      </c>
      <c r="BC28" s="8">
        <v>0.416666666666667</v>
      </c>
      <c r="BD28" s="8">
        <v>0.625</v>
      </c>
      <c r="BE28" s="154" t="s">
        <v>23</v>
      </c>
      <c r="BF28" s="154" t="s">
        <v>23</v>
      </c>
      <c r="BG28" s="154" t="s">
        <v>23</v>
      </c>
      <c r="BH28" s="154" t="s">
        <v>23</v>
      </c>
      <c r="BI28" s="8">
        <v>0.333333333333333</v>
      </c>
      <c r="BJ28" s="8">
        <v>0.75</v>
      </c>
      <c r="BK28" s="8">
        <v>0.333333333333333</v>
      </c>
      <c r="BL28" s="8">
        <v>0.75</v>
      </c>
      <c r="BM28" s="8">
        <v>0.333333333333333</v>
      </c>
      <c r="BN28" s="8">
        <v>0.75</v>
      </c>
      <c r="BO28" s="8">
        <v>0.333333333333333</v>
      </c>
      <c r="BP28" s="8">
        <v>0.75</v>
      </c>
      <c r="BQ28" s="21">
        <f>IFERROR(__xludf.DUMMYFUNCTION("TO_PURE_NUMBER(SUM(FILTER(I28:BP28, ISEVEN(COLUMN(I28:BP28))))-SUM(FILTER(I28:BP28, ISODD(COLUMN(I28:BP28)))))*24"),200)</f>
        <v>200</v>
      </c>
    </row>
    <row r="29" customHeight="1" spans="1:69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0.458333333333333</v>
      </c>
      <c r="H29" s="8">
        <v>0.875</v>
      </c>
      <c r="I29" s="8">
        <v>0.458333333333333</v>
      </c>
      <c r="J29" s="8">
        <v>0.875</v>
      </c>
      <c r="K29" s="8">
        <v>0.458333333333333</v>
      </c>
      <c r="L29" s="8">
        <v>0.875</v>
      </c>
      <c r="M29" s="8">
        <v>0.458333333333333</v>
      </c>
      <c r="N29" s="8">
        <v>0.666666666666667</v>
      </c>
      <c r="O29" s="154" t="s">
        <v>23</v>
      </c>
      <c r="P29" s="154" t="s">
        <v>23</v>
      </c>
      <c r="Q29" s="8">
        <v>0.375</v>
      </c>
      <c r="R29" s="8">
        <v>0.75</v>
      </c>
      <c r="S29" s="8">
        <v>0.375</v>
      </c>
      <c r="T29" s="8">
        <v>0.75</v>
      </c>
      <c r="U29" s="8">
        <v>0.375</v>
      </c>
      <c r="V29" s="8">
        <v>0.75</v>
      </c>
      <c r="W29" s="8">
        <v>0.375</v>
      </c>
      <c r="X29" s="8">
        <v>0.75</v>
      </c>
      <c r="Y29" s="8">
        <v>0.375</v>
      </c>
      <c r="Z29" s="8">
        <v>0.75</v>
      </c>
      <c r="AA29" s="154" t="s">
        <v>23</v>
      </c>
      <c r="AB29" s="154" t="s">
        <v>23</v>
      </c>
      <c r="AC29" s="154" t="s">
        <v>23</v>
      </c>
      <c r="AD29" s="154" t="s">
        <v>23</v>
      </c>
      <c r="AE29" s="8">
        <v>0.5</v>
      </c>
      <c r="AF29" s="8">
        <v>0.875</v>
      </c>
      <c r="AG29" s="8">
        <v>0.5</v>
      </c>
      <c r="AH29" s="8">
        <v>0.875</v>
      </c>
      <c r="AI29" s="8">
        <v>0.5</v>
      </c>
      <c r="AJ29" s="8">
        <v>0.875</v>
      </c>
      <c r="AK29" s="8">
        <v>0.5</v>
      </c>
      <c r="AL29" s="8">
        <v>0.875</v>
      </c>
      <c r="AM29" s="8">
        <v>0.5</v>
      </c>
      <c r="AN29" s="8">
        <v>0.875</v>
      </c>
      <c r="AO29" s="154" t="s">
        <v>23</v>
      </c>
      <c r="AP29" s="154" t="s">
        <v>23</v>
      </c>
      <c r="AQ29" s="154" t="s">
        <v>23</v>
      </c>
      <c r="AR29" s="154" t="s">
        <v>23</v>
      </c>
      <c r="AS29" s="8">
        <v>0.375</v>
      </c>
      <c r="AT29" s="8">
        <v>0.75</v>
      </c>
      <c r="AU29" s="8">
        <v>0.375</v>
      </c>
      <c r="AV29" s="8">
        <v>0.75</v>
      </c>
      <c r="AW29" s="8">
        <v>0.375</v>
      </c>
      <c r="AX29" s="8">
        <v>0.75</v>
      </c>
      <c r="AY29" s="8">
        <v>0.375</v>
      </c>
      <c r="AZ29" s="8">
        <v>0.75</v>
      </c>
      <c r="BA29" s="8">
        <v>0.375</v>
      </c>
      <c r="BB29" s="8">
        <v>0.75</v>
      </c>
      <c r="BC29" s="154" t="s">
        <v>23</v>
      </c>
      <c r="BD29" s="154" t="s">
        <v>23</v>
      </c>
      <c r="BE29" s="154" t="s">
        <v>23</v>
      </c>
      <c r="BF29" s="154" t="s">
        <v>23</v>
      </c>
      <c r="BG29" s="8">
        <v>0.5</v>
      </c>
      <c r="BH29" s="8">
        <v>0.875</v>
      </c>
      <c r="BI29" s="8">
        <v>0.5</v>
      </c>
      <c r="BJ29" s="8">
        <v>0.875</v>
      </c>
      <c r="BK29" s="8">
        <v>0.5</v>
      </c>
      <c r="BL29" s="8">
        <v>0.875</v>
      </c>
      <c r="BM29" s="8">
        <v>0.5</v>
      </c>
      <c r="BN29" s="8">
        <v>0.875</v>
      </c>
      <c r="BO29" s="8">
        <v>0.5</v>
      </c>
      <c r="BP29" s="8">
        <v>0.875</v>
      </c>
      <c r="BQ29" s="21">
        <f>IFERROR(__xludf.DUMMYFUNCTION("TO_PURE_NUMBER(SUM(FILTER(I29:BP29, ISEVEN(COLUMN(I29:BP29))))-SUM(FILTER(I29:BP29, ISODD(COLUMN(I29:BP29)))))*24"),204.999999999999)</f>
        <v>204.999999999999</v>
      </c>
    </row>
    <row r="30" customHeight="1" spans="1:69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154" t="s">
        <v>23</v>
      </c>
      <c r="H30" s="154" t="s">
        <v>23</v>
      </c>
      <c r="I30" s="8">
        <v>0.5</v>
      </c>
      <c r="J30" s="8">
        <v>0.875</v>
      </c>
      <c r="K30" s="7" t="s">
        <v>36</v>
      </c>
      <c r="L30" s="7" t="s">
        <v>36</v>
      </c>
      <c r="M30" s="7" t="s">
        <v>36</v>
      </c>
      <c r="N30" s="7" t="s">
        <v>36</v>
      </c>
      <c r="O30" s="8">
        <v>0.458333333333333</v>
      </c>
      <c r="P30" s="8">
        <v>0.666666666666667</v>
      </c>
      <c r="Q30" s="8">
        <v>0.375</v>
      </c>
      <c r="R30" s="8">
        <v>0.75</v>
      </c>
      <c r="S30" s="154" t="s">
        <v>23</v>
      </c>
      <c r="T30" s="154" t="s">
        <v>23</v>
      </c>
      <c r="U30" s="154" t="s">
        <v>23</v>
      </c>
      <c r="V30" s="154" t="s">
        <v>23</v>
      </c>
      <c r="W30" s="8">
        <v>0.375</v>
      </c>
      <c r="X30" s="8">
        <v>0.75</v>
      </c>
      <c r="Y30" s="114" t="s">
        <v>36</v>
      </c>
      <c r="Z30" s="114" t="s">
        <v>36</v>
      </c>
      <c r="AA30" s="114" t="s">
        <v>36</v>
      </c>
      <c r="AB30" s="114" t="s">
        <v>36</v>
      </c>
      <c r="AC30" s="8">
        <v>0.458333333333333</v>
      </c>
      <c r="AD30" s="8">
        <v>0.666666666666667</v>
      </c>
      <c r="AE30" s="8">
        <v>0.5</v>
      </c>
      <c r="AF30" s="8">
        <v>0.875</v>
      </c>
      <c r="AG30" s="154" t="s">
        <v>23</v>
      </c>
      <c r="AH30" s="154" t="s">
        <v>23</v>
      </c>
      <c r="AI30" s="154" t="s">
        <v>23</v>
      </c>
      <c r="AJ30" s="154" t="s">
        <v>23</v>
      </c>
      <c r="AK30" s="8">
        <v>0.5</v>
      </c>
      <c r="AL30" s="8">
        <v>0.875</v>
      </c>
      <c r="AM30" s="8">
        <v>0.5</v>
      </c>
      <c r="AN30" s="8">
        <v>0.875</v>
      </c>
      <c r="AO30" s="8">
        <v>0.458333333333333</v>
      </c>
      <c r="AP30" s="8">
        <v>0.666666666666667</v>
      </c>
      <c r="AQ30" s="8">
        <v>0.458333333333333</v>
      </c>
      <c r="AR30" s="8">
        <v>0.666666666666667</v>
      </c>
      <c r="AS30" s="8">
        <v>0.375</v>
      </c>
      <c r="AT30" s="8">
        <v>0.75</v>
      </c>
      <c r="AU30" s="154" t="s">
        <v>23</v>
      </c>
      <c r="AV30" s="154" t="s">
        <v>23</v>
      </c>
      <c r="AW30" s="154" t="s">
        <v>23</v>
      </c>
      <c r="AX30" s="154" t="s">
        <v>23</v>
      </c>
      <c r="AY30" s="8">
        <v>0.375</v>
      </c>
      <c r="AZ30" s="8">
        <v>0.75</v>
      </c>
      <c r="BA30" s="8">
        <v>0.375</v>
      </c>
      <c r="BB30" s="8">
        <v>0.75</v>
      </c>
      <c r="BC30" s="8">
        <v>0.458333333333333</v>
      </c>
      <c r="BD30" s="8">
        <v>0.666666666666667</v>
      </c>
      <c r="BE30" s="8">
        <v>0.458333333333333</v>
      </c>
      <c r="BF30" s="8">
        <v>0.666666666666667</v>
      </c>
      <c r="BG30" s="8">
        <v>0.5</v>
      </c>
      <c r="BH30" s="8">
        <v>0.875</v>
      </c>
      <c r="BI30" s="154" t="s">
        <v>23</v>
      </c>
      <c r="BJ30" s="154" t="s">
        <v>23</v>
      </c>
      <c r="BK30" s="154" t="s">
        <v>23</v>
      </c>
      <c r="BL30" s="154" t="s">
        <v>23</v>
      </c>
      <c r="BM30" s="8">
        <v>0.5</v>
      </c>
      <c r="BN30" s="8">
        <v>0.875</v>
      </c>
      <c r="BO30" s="8">
        <v>0.5</v>
      </c>
      <c r="BP30" s="8">
        <v>0.875</v>
      </c>
      <c r="BQ30" s="21">
        <f>IFERROR(__xludf.DUMMYFUNCTION("TO_PURE_NUMBER(SUM(FILTER(I30:BP30, ISEVEN(COLUMN(I30:BP30))))-SUM(FILTER(I30:BP30, ISODD(COLUMN(I30:BP30)))))*24"),138)</f>
        <v>138</v>
      </c>
    </row>
    <row r="31" customHeight="1" spans="1:69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0.458333333333333</v>
      </c>
      <c r="H31" s="8">
        <v>0.875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0.666666666666667</v>
      </c>
      <c r="O31" s="154" t="s">
        <v>23</v>
      </c>
      <c r="P31" s="154" t="s">
        <v>23</v>
      </c>
      <c r="Q31" s="154" t="s">
        <v>23</v>
      </c>
      <c r="R31" s="154" t="s">
        <v>23</v>
      </c>
      <c r="S31" s="8">
        <v>0.375</v>
      </c>
      <c r="T31" s="8">
        <v>0.791666666666667</v>
      </c>
      <c r="U31" s="8">
        <v>0.375</v>
      </c>
      <c r="V31" s="8">
        <v>0.791666666666667</v>
      </c>
      <c r="W31" s="8">
        <v>0.375</v>
      </c>
      <c r="X31" s="8">
        <v>0.791666666666667</v>
      </c>
      <c r="Y31" s="8">
        <v>0.375</v>
      </c>
      <c r="Z31" s="8">
        <v>0.791666666666667</v>
      </c>
      <c r="AA31" s="8">
        <v>0.458333333333333</v>
      </c>
      <c r="AB31" s="8">
        <v>0.666666666666667</v>
      </c>
      <c r="AC31" s="154" t="s">
        <v>23</v>
      </c>
      <c r="AD31" s="154" t="s">
        <v>23</v>
      </c>
      <c r="AE31" s="154" t="s">
        <v>23</v>
      </c>
      <c r="AF31" s="154" t="s">
        <v>23</v>
      </c>
      <c r="AG31" s="8">
        <v>0.458333333333333</v>
      </c>
      <c r="AH31" s="8">
        <v>0.875</v>
      </c>
      <c r="AI31" s="8">
        <v>0.458333333333333</v>
      </c>
      <c r="AJ31" s="8">
        <v>0.875</v>
      </c>
      <c r="AK31" s="8">
        <v>0.458333333333333</v>
      </c>
      <c r="AL31" s="8">
        <v>0.875</v>
      </c>
      <c r="AM31" s="8">
        <v>0.458333333333333</v>
      </c>
      <c r="AN31" s="8">
        <v>0.875</v>
      </c>
      <c r="AO31" s="8">
        <v>0.458333333333333</v>
      </c>
      <c r="AP31" s="8">
        <v>0.666666666666667</v>
      </c>
      <c r="AQ31" s="154" t="s">
        <v>23</v>
      </c>
      <c r="AR31" s="154" t="s">
        <v>23</v>
      </c>
      <c r="AS31" s="154" t="s">
        <v>23</v>
      </c>
      <c r="AT31" s="154" t="s">
        <v>23</v>
      </c>
      <c r="AU31" s="8">
        <v>0.375</v>
      </c>
      <c r="AV31" s="8">
        <v>0.791666666666667</v>
      </c>
      <c r="AW31" s="8">
        <v>0.375</v>
      </c>
      <c r="AX31" s="8">
        <v>0.791666666666667</v>
      </c>
      <c r="AY31" s="8">
        <v>0.375</v>
      </c>
      <c r="AZ31" s="8">
        <v>0.791666666666667</v>
      </c>
      <c r="BA31" s="8">
        <v>0.375</v>
      </c>
      <c r="BB31" s="8">
        <v>0.791666666666667</v>
      </c>
      <c r="BC31" s="8">
        <v>0.458333333333333</v>
      </c>
      <c r="BD31" s="8">
        <v>0.666666666666667</v>
      </c>
      <c r="BE31" s="154" t="s">
        <v>23</v>
      </c>
      <c r="BF31" s="154" t="s">
        <v>23</v>
      </c>
      <c r="BG31" s="154" t="s">
        <v>23</v>
      </c>
      <c r="BH31" s="154" t="s">
        <v>23</v>
      </c>
      <c r="BI31" s="8">
        <v>0.458333333333333</v>
      </c>
      <c r="BJ31" s="8">
        <v>0.875</v>
      </c>
      <c r="BK31" s="8">
        <v>0.458333333333333</v>
      </c>
      <c r="BL31" s="8">
        <v>0.875</v>
      </c>
      <c r="BM31" s="8">
        <v>0.458333333333333</v>
      </c>
      <c r="BN31" s="8">
        <v>0.875</v>
      </c>
      <c r="BO31" s="8">
        <v>0.458333333333333</v>
      </c>
      <c r="BP31" s="8">
        <v>0.875</v>
      </c>
      <c r="BQ31" s="21">
        <f>IFERROR(__xludf.DUMMYFUNCTION("TO_PURE_NUMBER(SUM(FILTER(I31:BP31, ISEVEN(COLUMN(I31:BP31))))-SUM(FILTER(I31:BP31, ISODD(COLUMN(I31:BP31)))))*24"),199.999999999999)</f>
        <v>199.999999999999</v>
      </c>
    </row>
    <row r="32" customHeight="1" spans="1:69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154" t="s">
        <v>23</v>
      </c>
      <c r="L32" s="154" t="s">
        <v>23</v>
      </c>
      <c r="M32" s="154" t="s">
        <v>23</v>
      </c>
      <c r="N32" s="154" t="s">
        <v>23</v>
      </c>
      <c r="O32" s="8">
        <v>0.458333333333333</v>
      </c>
      <c r="P32" s="8">
        <v>0.666666666666667</v>
      </c>
      <c r="Q32" s="8">
        <v>0.375</v>
      </c>
      <c r="R32" s="8">
        <v>0.791666666666667</v>
      </c>
      <c r="S32" s="8">
        <v>0.375</v>
      </c>
      <c r="T32" s="8">
        <v>0.791666666666667</v>
      </c>
      <c r="U32" s="8">
        <v>0.375</v>
      </c>
      <c r="V32" s="8">
        <v>0.791666666666667</v>
      </c>
      <c r="W32" s="8">
        <v>0.375</v>
      </c>
      <c r="X32" s="8">
        <v>0.791666666666667</v>
      </c>
      <c r="Y32" s="154" t="s">
        <v>23</v>
      </c>
      <c r="Z32" s="154" t="s">
        <v>23</v>
      </c>
      <c r="AA32" s="154" t="s">
        <v>23</v>
      </c>
      <c r="AB32" s="154" t="s">
        <v>23</v>
      </c>
      <c r="AC32" s="8">
        <v>0.458333333333333</v>
      </c>
      <c r="AD32" s="8">
        <v>0.666666666666667</v>
      </c>
      <c r="AE32" s="8">
        <v>0.458333333333333</v>
      </c>
      <c r="AF32" s="8">
        <v>0.875</v>
      </c>
      <c r="AG32" s="8">
        <v>0.458333333333333</v>
      </c>
      <c r="AH32" s="8">
        <v>0.875</v>
      </c>
      <c r="AI32" s="8">
        <v>0.458333333333333</v>
      </c>
      <c r="AJ32" s="8">
        <v>0.875</v>
      </c>
      <c r="AK32" s="8">
        <v>0.458333333333333</v>
      </c>
      <c r="AL32" s="8">
        <v>0.875</v>
      </c>
      <c r="AM32" s="154" t="s">
        <v>23</v>
      </c>
      <c r="AN32" s="154" t="s">
        <v>23</v>
      </c>
      <c r="AO32" s="154" t="s">
        <v>23</v>
      </c>
      <c r="AP32" s="154" t="s">
        <v>23</v>
      </c>
      <c r="AQ32" s="8">
        <v>0.458333333333333</v>
      </c>
      <c r="AR32" s="8">
        <v>0.666666666666667</v>
      </c>
      <c r="AS32" s="8">
        <v>0.375</v>
      </c>
      <c r="AT32" s="8">
        <v>0.791666666666667</v>
      </c>
      <c r="AU32" s="8">
        <v>0.375</v>
      </c>
      <c r="AV32" s="8">
        <v>0.791666666666667</v>
      </c>
      <c r="AW32" s="8">
        <v>0.375</v>
      </c>
      <c r="AX32" s="8">
        <v>0.791666666666667</v>
      </c>
      <c r="AY32" s="8">
        <v>0.375</v>
      </c>
      <c r="AZ32" s="8">
        <v>0.791666666666667</v>
      </c>
      <c r="BA32" s="154" t="s">
        <v>23</v>
      </c>
      <c r="BB32" s="154" t="s">
        <v>23</v>
      </c>
      <c r="BC32" s="154" t="s">
        <v>23</v>
      </c>
      <c r="BD32" s="154" t="s">
        <v>23</v>
      </c>
      <c r="BE32" s="8">
        <v>0.458333333333333</v>
      </c>
      <c r="BF32" s="8">
        <v>0.666666666666667</v>
      </c>
      <c r="BG32" s="8">
        <v>0.458333333333333</v>
      </c>
      <c r="BH32" s="8">
        <v>0.875</v>
      </c>
      <c r="BI32" s="8">
        <v>0.458333333333333</v>
      </c>
      <c r="BJ32" s="8">
        <v>0.875</v>
      </c>
      <c r="BK32" s="8">
        <v>0.458333333333333</v>
      </c>
      <c r="BL32" s="8">
        <v>0.875</v>
      </c>
      <c r="BM32" s="8">
        <v>0.458333333333333</v>
      </c>
      <c r="BN32" s="8">
        <v>0.875</v>
      </c>
      <c r="BO32" s="154" t="s">
        <v>23</v>
      </c>
      <c r="BP32" s="154" t="s">
        <v>23</v>
      </c>
      <c r="BQ32" s="21">
        <f>IFERROR(__xludf.DUMMYFUNCTION("TO_PURE_NUMBER(SUM(FILTER(I32:BP32, ISEVEN(COLUMN(I32:BP32))))-SUM(FILTER(I32:BP32, ISODD(COLUMN(I32:BP32)))))*24"),189.999999999999)</f>
        <v>189.999999999999</v>
      </c>
    </row>
    <row r="33" customHeight="1" spans="1:69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154" t="s">
        <v>23</v>
      </c>
      <c r="L33" s="154" t="s">
        <v>23</v>
      </c>
      <c r="M33" s="154" t="s">
        <v>23</v>
      </c>
      <c r="N33" s="154" t="s">
        <v>23</v>
      </c>
      <c r="O33" s="8">
        <v>0.416666666666667</v>
      </c>
      <c r="P33" s="8">
        <v>0.625</v>
      </c>
      <c r="Q33" s="8">
        <v>0.333333333333333</v>
      </c>
      <c r="R33" s="8">
        <v>0.75</v>
      </c>
      <c r="S33" s="8">
        <v>0.333333333333333</v>
      </c>
      <c r="T33" s="8">
        <v>0.75</v>
      </c>
      <c r="U33" s="8">
        <v>0.333333333333333</v>
      </c>
      <c r="V33" s="8">
        <v>0.75</v>
      </c>
      <c r="W33" s="8">
        <v>0.333333333333333</v>
      </c>
      <c r="X33" s="8">
        <v>0.75</v>
      </c>
      <c r="Y33" s="154" t="s">
        <v>23</v>
      </c>
      <c r="Z33" s="154" t="s">
        <v>23</v>
      </c>
      <c r="AA33" s="154" t="s">
        <v>23</v>
      </c>
      <c r="AB33" s="154" t="s">
        <v>23</v>
      </c>
      <c r="AC33" s="8">
        <v>0.416666666666667</v>
      </c>
      <c r="AD33" s="8">
        <v>0.625</v>
      </c>
      <c r="AE33" s="8">
        <v>0.416666666666667</v>
      </c>
      <c r="AF33" s="8">
        <v>0.833333333333333</v>
      </c>
      <c r="AG33" s="8">
        <v>0.416666666666667</v>
      </c>
      <c r="AH33" s="8">
        <v>0.833333333333333</v>
      </c>
      <c r="AI33" s="8">
        <v>0.416666666666667</v>
      </c>
      <c r="AJ33" s="8">
        <v>0.833333333333333</v>
      </c>
      <c r="AK33" s="8">
        <v>0.416666666666667</v>
      </c>
      <c r="AL33" s="8">
        <v>0.833333333333333</v>
      </c>
      <c r="AM33" s="154" t="s">
        <v>23</v>
      </c>
      <c r="AN33" s="154" t="s">
        <v>23</v>
      </c>
      <c r="AO33" s="154" t="s">
        <v>23</v>
      </c>
      <c r="AP33" s="154" t="s">
        <v>23</v>
      </c>
      <c r="AQ33" s="8">
        <v>0.416666666666667</v>
      </c>
      <c r="AR33" s="8">
        <v>0.625</v>
      </c>
      <c r="AS33" s="8">
        <v>0.333333333333333</v>
      </c>
      <c r="AT33" s="8">
        <v>0.75</v>
      </c>
      <c r="AU33" s="8">
        <v>0.333333333333333</v>
      </c>
      <c r="AV33" s="8">
        <v>0.75</v>
      </c>
      <c r="AW33" s="8">
        <v>0.333333333333333</v>
      </c>
      <c r="AX33" s="8">
        <v>0.75</v>
      </c>
      <c r="AY33" s="8">
        <v>0.333333333333333</v>
      </c>
      <c r="AZ33" s="8">
        <v>0.75</v>
      </c>
      <c r="BA33" s="154" t="s">
        <v>23</v>
      </c>
      <c r="BB33" s="154" t="s">
        <v>23</v>
      </c>
      <c r="BC33" s="154" t="s">
        <v>23</v>
      </c>
      <c r="BD33" s="154" t="s">
        <v>23</v>
      </c>
      <c r="BE33" s="8">
        <v>0.416666666666667</v>
      </c>
      <c r="BF33" s="8">
        <v>0.625</v>
      </c>
      <c r="BG33" s="8">
        <v>0.416666666666667</v>
      </c>
      <c r="BH33" s="8">
        <v>0.833333333333333</v>
      </c>
      <c r="BI33" s="8">
        <v>0.416666666666667</v>
      </c>
      <c r="BJ33" s="8">
        <v>0.833333333333333</v>
      </c>
      <c r="BK33" s="8">
        <v>0.416666666666667</v>
      </c>
      <c r="BL33" s="8">
        <v>0.833333333333333</v>
      </c>
      <c r="BM33" s="8">
        <v>0.416666666666667</v>
      </c>
      <c r="BN33" s="8">
        <v>0.833333333333333</v>
      </c>
      <c r="BO33" s="154" t="s">
        <v>23</v>
      </c>
      <c r="BP33" s="154" t="s">
        <v>23</v>
      </c>
      <c r="BQ33" s="21">
        <f>IFERROR(__xludf.DUMMYFUNCTION("TO_PURE_NUMBER(SUM(FILTER(I33:BP33, ISEVEN(COLUMN(I33:BP33))))-SUM(FILTER(I33:BP33, ISODD(COLUMN(I33:BP33)))))*24"),190)</f>
        <v>190</v>
      </c>
    </row>
    <row r="34" customHeight="1" spans="1:69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154" t="s">
        <v>23</v>
      </c>
      <c r="L34" s="154" t="s">
        <v>23</v>
      </c>
      <c r="M34" s="154" t="s">
        <v>23</v>
      </c>
      <c r="N34" s="154" t="s">
        <v>23</v>
      </c>
      <c r="O34" s="8">
        <v>0.458333333333333</v>
      </c>
      <c r="P34" s="8">
        <v>0.666666666666667</v>
      </c>
      <c r="Q34" s="8">
        <v>0.375</v>
      </c>
      <c r="R34" s="8">
        <v>0.791666666666667</v>
      </c>
      <c r="S34" s="8">
        <v>0.375</v>
      </c>
      <c r="T34" s="8">
        <v>0.791666666666667</v>
      </c>
      <c r="U34" s="8">
        <v>0.375</v>
      </c>
      <c r="V34" s="8">
        <v>0.791666666666667</v>
      </c>
      <c r="W34" s="8">
        <v>0.375</v>
      </c>
      <c r="X34" s="8">
        <v>0.791666666666667</v>
      </c>
      <c r="Y34" s="154" t="s">
        <v>23</v>
      </c>
      <c r="Z34" s="154" t="s">
        <v>23</v>
      </c>
      <c r="AA34" s="154" t="s">
        <v>23</v>
      </c>
      <c r="AB34" s="154" t="s">
        <v>23</v>
      </c>
      <c r="AC34" s="8">
        <v>0.458333333333333</v>
      </c>
      <c r="AD34" s="8">
        <v>0.666666666666667</v>
      </c>
      <c r="AE34" s="8">
        <v>0.458333333333333</v>
      </c>
      <c r="AF34" s="8">
        <v>0.875</v>
      </c>
      <c r="AG34" s="8">
        <v>0.458333333333333</v>
      </c>
      <c r="AH34" s="8">
        <v>0.875</v>
      </c>
      <c r="AI34" s="8">
        <v>0.458333333333333</v>
      </c>
      <c r="AJ34" s="8">
        <v>0.875</v>
      </c>
      <c r="AK34" s="8">
        <v>0.458333333333333</v>
      </c>
      <c r="AL34" s="8">
        <v>0.875</v>
      </c>
      <c r="AM34" s="154" t="s">
        <v>23</v>
      </c>
      <c r="AN34" s="154" t="s">
        <v>23</v>
      </c>
      <c r="AO34" s="154" t="s">
        <v>23</v>
      </c>
      <c r="AP34" s="154" t="s">
        <v>23</v>
      </c>
      <c r="AQ34" s="8">
        <v>0.458333333333333</v>
      </c>
      <c r="AR34" s="8">
        <v>0.666666666666667</v>
      </c>
      <c r="AS34" s="8">
        <v>0.375</v>
      </c>
      <c r="AT34" s="8">
        <v>0.791666666666667</v>
      </c>
      <c r="AU34" s="8">
        <v>0.375</v>
      </c>
      <c r="AV34" s="8">
        <v>0.791666666666667</v>
      </c>
      <c r="AW34" s="8">
        <v>0.375</v>
      </c>
      <c r="AX34" s="8">
        <v>0.791666666666667</v>
      </c>
      <c r="AY34" s="8">
        <v>0.375</v>
      </c>
      <c r="AZ34" s="8">
        <v>0.791666666666667</v>
      </c>
      <c r="BA34" s="154" t="s">
        <v>23</v>
      </c>
      <c r="BB34" s="154" t="s">
        <v>23</v>
      </c>
      <c r="BC34" s="154" t="s">
        <v>23</v>
      </c>
      <c r="BD34" s="154" t="s">
        <v>23</v>
      </c>
      <c r="BE34" s="8">
        <v>0.458333333333333</v>
      </c>
      <c r="BF34" s="8">
        <v>0.666666666666667</v>
      </c>
      <c r="BG34" s="8">
        <v>0.458333333333333</v>
      </c>
      <c r="BH34" s="8">
        <v>0.875</v>
      </c>
      <c r="BI34" s="8">
        <v>0.458333333333333</v>
      </c>
      <c r="BJ34" s="8">
        <v>0.875</v>
      </c>
      <c r="BK34" s="8">
        <v>0.458333333333333</v>
      </c>
      <c r="BL34" s="8">
        <v>0.875</v>
      </c>
      <c r="BM34" s="8">
        <v>0.458333333333333</v>
      </c>
      <c r="BN34" s="8">
        <v>0.875</v>
      </c>
      <c r="BO34" s="154" t="s">
        <v>23</v>
      </c>
      <c r="BP34" s="154" t="s">
        <v>23</v>
      </c>
      <c r="BQ34" s="21">
        <f>IFERROR(__xludf.DUMMYFUNCTION("TO_PURE_NUMBER(SUM(FILTER(I34:BP34, ISEVEN(COLUMN(I34:BP34))))-SUM(FILTER(I34:BP34, ISODD(COLUMN(I34:BP34)))))*24"),189.999999999999)</f>
        <v>189.999999999999</v>
      </c>
    </row>
    <row r="35" customHeight="1" spans="1:69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154" t="s">
        <v>23</v>
      </c>
      <c r="H35" s="154" t="s">
        <v>23</v>
      </c>
      <c r="I35" s="8">
        <v>0.375</v>
      </c>
      <c r="J35" s="8">
        <v>0.75</v>
      </c>
      <c r="K35" s="8">
        <v>0.375</v>
      </c>
      <c r="L35" s="8">
        <v>0.75</v>
      </c>
      <c r="M35" s="8">
        <v>0.458333333333333</v>
      </c>
      <c r="N35" s="8">
        <v>0.666666666666667</v>
      </c>
      <c r="O35" s="8">
        <v>0.458333333333333</v>
      </c>
      <c r="P35" s="8">
        <v>0.666666666666667</v>
      </c>
      <c r="Q35" s="8">
        <v>0.5</v>
      </c>
      <c r="R35" s="8">
        <v>0.875</v>
      </c>
      <c r="S35" s="8">
        <v>0.5</v>
      </c>
      <c r="T35" s="8">
        <v>0.875</v>
      </c>
      <c r="U35" s="154" t="s">
        <v>23</v>
      </c>
      <c r="V35" s="154" t="s">
        <v>23</v>
      </c>
      <c r="W35" s="154" t="s">
        <v>23</v>
      </c>
      <c r="X35" s="154" t="s">
        <v>23</v>
      </c>
      <c r="Y35" s="8">
        <v>0.5</v>
      </c>
      <c r="Z35" s="8">
        <v>0.875</v>
      </c>
      <c r="AA35" s="8">
        <v>0.458333333333333</v>
      </c>
      <c r="AB35" s="8">
        <v>0.666666666666667</v>
      </c>
      <c r="AC35" s="8">
        <v>0.458333333333333</v>
      </c>
      <c r="AD35" s="8">
        <v>0.666666666666667</v>
      </c>
      <c r="AE35" s="8">
        <v>0.375</v>
      </c>
      <c r="AF35" s="8">
        <v>0.75</v>
      </c>
      <c r="AG35" s="8">
        <v>0.375</v>
      </c>
      <c r="AH35" s="8">
        <v>0.75</v>
      </c>
      <c r="AI35" s="154" t="s">
        <v>23</v>
      </c>
      <c r="AJ35" s="154" t="s">
        <v>23</v>
      </c>
      <c r="AK35" s="154" t="s">
        <v>23</v>
      </c>
      <c r="AL35" s="154" t="s">
        <v>23</v>
      </c>
      <c r="AM35" s="8">
        <v>0.375</v>
      </c>
      <c r="AN35" s="8">
        <v>0.75</v>
      </c>
      <c r="AO35" s="8">
        <v>0.458333333333333</v>
      </c>
      <c r="AP35" s="8">
        <v>0.666666666666667</v>
      </c>
      <c r="AQ35" s="8">
        <v>0.458333333333333</v>
      </c>
      <c r="AR35" s="8">
        <v>0.666666666666667</v>
      </c>
      <c r="AS35" s="8">
        <v>0.5</v>
      </c>
      <c r="AT35" s="8">
        <v>0.875</v>
      </c>
      <c r="AU35" s="8">
        <v>0.5</v>
      </c>
      <c r="AV35" s="8">
        <v>0.875</v>
      </c>
      <c r="AW35" s="154" t="s">
        <v>23</v>
      </c>
      <c r="AX35" s="154" t="s">
        <v>23</v>
      </c>
      <c r="AY35" s="154" t="s">
        <v>23</v>
      </c>
      <c r="AZ35" s="154" t="s">
        <v>23</v>
      </c>
      <c r="BA35" s="7" t="s">
        <v>36</v>
      </c>
      <c r="BB35" s="7" t="s">
        <v>36</v>
      </c>
      <c r="BC35" s="8">
        <v>0.458333333333333</v>
      </c>
      <c r="BD35" s="8">
        <v>0.666666666666667</v>
      </c>
      <c r="BE35" s="8">
        <v>0.458333333333333</v>
      </c>
      <c r="BF35" s="8">
        <v>0.666666666666667</v>
      </c>
      <c r="BG35" s="8">
        <v>0.375</v>
      </c>
      <c r="BH35" s="8">
        <v>0.75</v>
      </c>
      <c r="BI35" s="8">
        <v>0.375</v>
      </c>
      <c r="BJ35" s="8">
        <v>0.75</v>
      </c>
      <c r="BK35" s="154" t="s">
        <v>23</v>
      </c>
      <c r="BL35" s="154" t="s">
        <v>23</v>
      </c>
      <c r="BM35" s="154" t="s">
        <v>23</v>
      </c>
      <c r="BN35" s="154" t="s">
        <v>23</v>
      </c>
      <c r="BO35" s="8">
        <v>0.375</v>
      </c>
      <c r="BP35" s="8">
        <v>0.75</v>
      </c>
      <c r="BQ35" s="21">
        <f>IFERROR(__xludf.DUMMYFUNCTION("TO_PURE_NUMBER(SUM(FILTER(I35:BP35, ISEVEN(COLUMN(I35:BP35))))-SUM(FILTER(I35:BP35, ISODD(COLUMN(I35:BP35)))))*24"),157)</f>
        <v>157</v>
      </c>
    </row>
    <row r="36" customHeight="1" spans="1:69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7"/>
      <c r="H36" s="7"/>
      <c r="I36" s="8">
        <v>0.375</v>
      </c>
      <c r="J36" s="8">
        <v>0.791666666666667</v>
      </c>
      <c r="K36" s="154" t="s">
        <v>23</v>
      </c>
      <c r="L36" s="154" t="s">
        <v>23</v>
      </c>
      <c r="M36" s="154" t="s">
        <v>23</v>
      </c>
      <c r="N36" s="154" t="s">
        <v>23</v>
      </c>
      <c r="O36" s="8">
        <v>0.458333333333333</v>
      </c>
      <c r="P36" s="8">
        <v>0.666666666666667</v>
      </c>
      <c r="Q36" s="8">
        <v>0.458333333333333</v>
      </c>
      <c r="R36" s="8">
        <v>0.875</v>
      </c>
      <c r="S36" s="8">
        <v>0.458333333333333</v>
      </c>
      <c r="T36" s="8">
        <v>0.875</v>
      </c>
      <c r="U36" s="8">
        <v>0.458333333333333</v>
      </c>
      <c r="V36" s="8">
        <v>0.875</v>
      </c>
      <c r="W36" s="8">
        <v>0.458333333333333</v>
      </c>
      <c r="X36" s="8">
        <v>0.875</v>
      </c>
      <c r="Y36" s="154" t="s">
        <v>23</v>
      </c>
      <c r="Z36" s="154" t="s">
        <v>23</v>
      </c>
      <c r="AA36" s="154" t="s">
        <v>23</v>
      </c>
      <c r="AB36" s="154" t="s">
        <v>23</v>
      </c>
      <c r="AC36" s="8">
        <v>0.458333333333333</v>
      </c>
      <c r="AD36" s="8">
        <v>0.666666666666667</v>
      </c>
      <c r="AE36" s="8">
        <v>0.375</v>
      </c>
      <c r="AF36" s="8">
        <v>0.791666666666667</v>
      </c>
      <c r="AG36" s="8">
        <v>0.375</v>
      </c>
      <c r="AH36" s="8">
        <v>0.791666666666667</v>
      </c>
      <c r="AI36" s="8">
        <v>0.375</v>
      </c>
      <c r="AJ36" s="8">
        <v>0.791666666666667</v>
      </c>
      <c r="AK36" s="8">
        <v>0.375</v>
      </c>
      <c r="AL36" s="8">
        <v>0.791666666666667</v>
      </c>
      <c r="AM36" s="154" t="s">
        <v>23</v>
      </c>
      <c r="AN36" s="154" t="s">
        <v>23</v>
      </c>
      <c r="AO36" s="154" t="s">
        <v>23</v>
      </c>
      <c r="AP36" s="154" t="s">
        <v>23</v>
      </c>
      <c r="AQ36" s="8">
        <v>0.458333333333333</v>
      </c>
      <c r="AR36" s="8">
        <v>0.666666666666667</v>
      </c>
      <c r="AS36" s="8">
        <v>0.458333333333333</v>
      </c>
      <c r="AT36" s="8">
        <v>0.875</v>
      </c>
      <c r="AU36" s="8">
        <v>0.458333333333333</v>
      </c>
      <c r="AV36" s="8">
        <v>0.875</v>
      </c>
      <c r="AW36" s="8">
        <v>0.458333333333333</v>
      </c>
      <c r="AX36" s="8">
        <v>0.875</v>
      </c>
      <c r="AY36" s="8">
        <v>0.458333333333333</v>
      </c>
      <c r="AZ36" s="8">
        <v>0.875</v>
      </c>
      <c r="BA36" s="154" t="s">
        <v>23</v>
      </c>
      <c r="BB36" s="154" t="s">
        <v>23</v>
      </c>
      <c r="BC36" s="154" t="s">
        <v>23</v>
      </c>
      <c r="BD36" s="154" t="s">
        <v>23</v>
      </c>
      <c r="BE36" s="8">
        <v>0.458333333333333</v>
      </c>
      <c r="BF36" s="8">
        <v>0.666666666666667</v>
      </c>
      <c r="BG36" s="8">
        <v>0.458333333333333</v>
      </c>
      <c r="BH36" s="8">
        <v>0.875</v>
      </c>
      <c r="BI36" s="8">
        <v>0.458333333333333</v>
      </c>
      <c r="BJ36" s="8">
        <v>0.875</v>
      </c>
      <c r="BK36" s="8">
        <v>0.458333333333333</v>
      </c>
      <c r="BL36" s="8">
        <v>0.875</v>
      </c>
      <c r="BM36" s="8">
        <v>0.458333333333333</v>
      </c>
      <c r="BN36" s="8">
        <v>0.875</v>
      </c>
      <c r="BO36" s="154" t="s">
        <v>23</v>
      </c>
      <c r="BP36" s="154" t="s">
        <v>23</v>
      </c>
      <c r="BQ36" s="21">
        <f>IFERROR(__xludf.DUMMYFUNCTION("TO_PURE_NUMBER(SUM(FILTER(I36:BP36, ISEVEN(COLUMN(I36:BP36))))-SUM(FILTER(I36:BP36, ISODD(COLUMN(I36:BP36)))))*24"),190)</f>
        <v>190</v>
      </c>
    </row>
    <row r="37" customHeight="1" spans="1:69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154" t="s">
        <v>23</v>
      </c>
      <c r="N37" s="154" t="s">
        <v>23</v>
      </c>
      <c r="O37" s="154" t="s">
        <v>23</v>
      </c>
      <c r="P37" s="154" t="s">
        <v>23</v>
      </c>
      <c r="Q37" s="8">
        <v>0.375</v>
      </c>
      <c r="R37" s="8">
        <v>0.75</v>
      </c>
      <c r="S37" s="8">
        <v>0.375</v>
      </c>
      <c r="T37" s="8">
        <v>0.75</v>
      </c>
      <c r="U37" s="8">
        <v>0.375</v>
      </c>
      <c r="V37" s="8">
        <v>0.75</v>
      </c>
      <c r="W37" s="8">
        <v>0.375</v>
      </c>
      <c r="X37" s="8">
        <v>0.75</v>
      </c>
      <c r="Y37" s="8">
        <v>0.375</v>
      </c>
      <c r="Z37" s="8">
        <v>0.75</v>
      </c>
      <c r="AA37" s="154" t="s">
        <v>23</v>
      </c>
      <c r="AB37" s="154" t="s">
        <v>23</v>
      </c>
      <c r="AC37" s="154" t="s">
        <v>23</v>
      </c>
      <c r="AD37" s="154" t="s">
        <v>23</v>
      </c>
      <c r="AE37" s="8">
        <v>0.5</v>
      </c>
      <c r="AF37" s="8">
        <v>0.875</v>
      </c>
      <c r="AG37" s="8">
        <v>0.5</v>
      </c>
      <c r="AH37" s="8">
        <v>0.875</v>
      </c>
      <c r="AI37" s="8">
        <v>0.5</v>
      </c>
      <c r="AJ37" s="8">
        <v>0.875</v>
      </c>
      <c r="AK37" s="8">
        <v>0.5</v>
      </c>
      <c r="AL37" s="8">
        <v>0.875</v>
      </c>
      <c r="AM37" s="8">
        <v>0.5</v>
      </c>
      <c r="AN37" s="8">
        <v>0.875</v>
      </c>
      <c r="AO37" s="154" t="s">
        <v>23</v>
      </c>
      <c r="AP37" s="154" t="s">
        <v>23</v>
      </c>
      <c r="AQ37" s="154" t="s">
        <v>23</v>
      </c>
      <c r="AR37" s="154" t="s">
        <v>23</v>
      </c>
      <c r="AS37" s="8">
        <v>0.375</v>
      </c>
      <c r="AT37" s="8">
        <v>0.75</v>
      </c>
      <c r="AU37" s="8">
        <v>0.375</v>
      </c>
      <c r="AV37" s="8">
        <v>0.75</v>
      </c>
      <c r="AW37" s="8">
        <v>0.375</v>
      </c>
      <c r="AX37" s="8">
        <v>0.75</v>
      </c>
      <c r="AY37" s="8">
        <v>0.375</v>
      </c>
      <c r="AZ37" s="8">
        <v>0.75</v>
      </c>
      <c r="BA37" s="8">
        <v>0.375</v>
      </c>
      <c r="BB37" s="8">
        <v>0.75</v>
      </c>
      <c r="BC37" s="154" t="s">
        <v>23</v>
      </c>
      <c r="BD37" s="154" t="s">
        <v>23</v>
      </c>
      <c r="BE37" s="154" t="s">
        <v>23</v>
      </c>
      <c r="BF37" s="154" t="s">
        <v>23</v>
      </c>
      <c r="BG37" s="8">
        <v>0.5</v>
      </c>
      <c r="BH37" s="8">
        <v>0.875</v>
      </c>
      <c r="BI37" s="8">
        <v>0.5</v>
      </c>
      <c r="BJ37" s="8">
        <v>0.875</v>
      </c>
      <c r="BK37" s="8">
        <v>0.5</v>
      </c>
      <c r="BL37" s="8">
        <v>0.875</v>
      </c>
      <c r="BM37" s="8">
        <v>0.5</v>
      </c>
      <c r="BN37" s="8">
        <v>0.875</v>
      </c>
      <c r="BO37" s="8">
        <v>0.5</v>
      </c>
      <c r="BP37" s="8">
        <v>0.875</v>
      </c>
      <c r="BQ37" s="21">
        <f>IFERROR(__xludf.DUMMYFUNCTION("TO_PURE_NUMBER(SUM(FILTER(I37:BP37, ISEVEN(COLUMN(I37:BP37))))-SUM(FILTER(I37:BP37, ISODD(COLUMN(I37:BP37)))))*24"),198)</f>
        <v>198</v>
      </c>
    </row>
    <row r="38" customHeight="1" spans="1:69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0.375</v>
      </c>
      <c r="H38" s="8">
        <v>0.791666666666667</v>
      </c>
      <c r="I38" s="8">
        <v>0.375</v>
      </c>
      <c r="J38" s="8">
        <v>0.791666666666667</v>
      </c>
      <c r="K38" s="154" t="s">
        <v>23</v>
      </c>
      <c r="L38" s="154" t="s">
        <v>23</v>
      </c>
      <c r="M38" s="154" t="s">
        <v>23</v>
      </c>
      <c r="N38" s="154" t="s">
        <v>23</v>
      </c>
      <c r="O38" s="8">
        <v>0.416666666666667</v>
      </c>
      <c r="P38" s="8">
        <v>0.625</v>
      </c>
      <c r="Q38" s="8">
        <v>0.333333333333333</v>
      </c>
      <c r="R38" s="8">
        <v>0.75</v>
      </c>
      <c r="S38" s="8">
        <v>0.375</v>
      </c>
      <c r="T38" s="8">
        <v>0.791666666666667</v>
      </c>
      <c r="U38" s="8">
        <v>0.375</v>
      </c>
      <c r="V38" s="8">
        <v>0.791666666666667</v>
      </c>
      <c r="W38" s="8">
        <v>0.375</v>
      </c>
      <c r="X38" s="8">
        <v>0.791666666666667</v>
      </c>
      <c r="Y38" s="154" t="s">
        <v>23</v>
      </c>
      <c r="Z38" s="154" t="s">
        <v>23</v>
      </c>
      <c r="AA38" s="154" t="s">
        <v>23</v>
      </c>
      <c r="AB38" s="154" t="s">
        <v>23</v>
      </c>
      <c r="AC38" s="8">
        <v>0.416666666666667</v>
      </c>
      <c r="AD38" s="8">
        <v>0.625</v>
      </c>
      <c r="AE38" s="8">
        <v>0.333333333333333</v>
      </c>
      <c r="AF38" s="8">
        <v>0.75</v>
      </c>
      <c r="AG38" s="8">
        <v>0.375</v>
      </c>
      <c r="AH38" s="8">
        <v>0.791666666666667</v>
      </c>
      <c r="AI38" s="8">
        <v>0.375</v>
      </c>
      <c r="AJ38" s="8">
        <v>0.791666666666667</v>
      </c>
      <c r="AK38" s="8">
        <v>0.375</v>
      </c>
      <c r="AL38" s="8">
        <v>0.791666666666667</v>
      </c>
      <c r="AM38" s="154" t="s">
        <v>23</v>
      </c>
      <c r="AN38" s="154" t="s">
        <v>23</v>
      </c>
      <c r="AO38" s="154" t="s">
        <v>23</v>
      </c>
      <c r="AP38" s="154" t="s">
        <v>23</v>
      </c>
      <c r="AQ38" s="8">
        <v>0.416666666666667</v>
      </c>
      <c r="AR38" s="8">
        <v>0.625</v>
      </c>
      <c r="AS38" s="8">
        <v>0.333333333333333</v>
      </c>
      <c r="AT38" s="8">
        <v>0.75</v>
      </c>
      <c r="AU38" s="8">
        <v>0.375</v>
      </c>
      <c r="AV38" s="8">
        <v>0.791666666666667</v>
      </c>
      <c r="AW38" s="8">
        <v>0.375</v>
      </c>
      <c r="AX38" s="8">
        <v>0.791666666666667</v>
      </c>
      <c r="AY38" s="8">
        <v>0.375</v>
      </c>
      <c r="AZ38" s="8">
        <v>0.791666666666667</v>
      </c>
      <c r="BA38" s="154" t="s">
        <v>23</v>
      </c>
      <c r="BB38" s="154" t="s">
        <v>23</v>
      </c>
      <c r="BC38" s="154" t="s">
        <v>23</v>
      </c>
      <c r="BD38" s="154" t="s">
        <v>23</v>
      </c>
      <c r="BE38" s="8">
        <v>0.416666666666667</v>
      </c>
      <c r="BF38" s="8">
        <v>0.625</v>
      </c>
      <c r="BG38" s="8">
        <v>0.333333333333333</v>
      </c>
      <c r="BH38" s="8">
        <v>0.75</v>
      </c>
      <c r="BI38" s="8">
        <v>0.375</v>
      </c>
      <c r="BJ38" s="8">
        <v>0.791666666666667</v>
      </c>
      <c r="BK38" s="8">
        <v>0.375</v>
      </c>
      <c r="BL38" s="8">
        <v>0.791666666666667</v>
      </c>
      <c r="BM38" s="8">
        <v>0.375</v>
      </c>
      <c r="BN38" s="8">
        <v>0.791666666666667</v>
      </c>
      <c r="BO38" s="154" t="s">
        <v>23</v>
      </c>
      <c r="BP38" s="154" t="s">
        <v>23</v>
      </c>
      <c r="BQ38" s="21">
        <f>IFERROR(__xludf.DUMMYFUNCTION("TO_PURE_NUMBER(SUM(FILTER(I38:BP38, ISEVEN(COLUMN(I38:BP38))))-SUM(FILTER(I38:BP38, ISODD(COLUMN(I38:BP38)))))*24"),189.999999999999)</f>
        <v>189.999999999999</v>
      </c>
    </row>
    <row r="39" customHeight="1" spans="1:69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154" t="s">
        <v>23</v>
      </c>
      <c r="N39" s="154" t="s">
        <v>23</v>
      </c>
      <c r="O39" s="154" t="s">
        <v>23</v>
      </c>
      <c r="P39" s="154" t="s">
        <v>23</v>
      </c>
      <c r="Q39" s="8">
        <v>0.5</v>
      </c>
      <c r="R39" s="8">
        <v>0.875</v>
      </c>
      <c r="S39" s="8">
        <v>0.5</v>
      </c>
      <c r="T39" s="8">
        <v>0.875</v>
      </c>
      <c r="U39" s="8">
        <v>0.5</v>
      </c>
      <c r="V39" s="8">
        <v>0.875</v>
      </c>
      <c r="W39" s="8">
        <v>0.5</v>
      </c>
      <c r="X39" s="8">
        <v>0.875</v>
      </c>
      <c r="Y39" s="8">
        <v>0.5</v>
      </c>
      <c r="Z39" s="8">
        <v>0.875</v>
      </c>
      <c r="AA39" s="154" t="s">
        <v>23</v>
      </c>
      <c r="AB39" s="154" t="s">
        <v>23</v>
      </c>
      <c r="AC39" s="154" t="s">
        <v>23</v>
      </c>
      <c r="AD39" s="154" t="s">
        <v>23</v>
      </c>
      <c r="AE39" s="8">
        <v>0.375</v>
      </c>
      <c r="AF39" s="8">
        <v>0.75</v>
      </c>
      <c r="AG39" s="8">
        <v>0.375</v>
      </c>
      <c r="AH39" s="8">
        <v>0.75</v>
      </c>
      <c r="AI39" s="8">
        <v>0.375</v>
      </c>
      <c r="AJ39" s="8">
        <v>0.75</v>
      </c>
      <c r="AK39" s="8">
        <v>0.375</v>
      </c>
      <c r="AL39" s="8">
        <v>0.75</v>
      </c>
      <c r="AM39" s="8">
        <v>0.375</v>
      </c>
      <c r="AN39" s="8">
        <v>0.75</v>
      </c>
      <c r="AO39" s="154" t="s">
        <v>23</v>
      </c>
      <c r="AP39" s="154" t="s">
        <v>23</v>
      </c>
      <c r="AQ39" s="154" t="s">
        <v>23</v>
      </c>
      <c r="AR39" s="154" t="s">
        <v>23</v>
      </c>
      <c r="AS39" s="8">
        <v>0.5</v>
      </c>
      <c r="AT39" s="8">
        <v>0.875</v>
      </c>
      <c r="AU39" s="8">
        <v>0.5</v>
      </c>
      <c r="AV39" s="8">
        <v>0.875</v>
      </c>
      <c r="AW39" s="8">
        <v>0.5</v>
      </c>
      <c r="AX39" s="8">
        <v>0.875</v>
      </c>
      <c r="AY39" s="8">
        <v>0.5</v>
      </c>
      <c r="AZ39" s="8">
        <v>0.875</v>
      </c>
      <c r="BA39" s="8">
        <v>0.5</v>
      </c>
      <c r="BB39" s="8">
        <v>0.875</v>
      </c>
      <c r="BC39" s="154" t="s">
        <v>23</v>
      </c>
      <c r="BD39" s="154" t="s">
        <v>23</v>
      </c>
      <c r="BE39" s="154" t="s">
        <v>23</v>
      </c>
      <c r="BF39" s="154" t="s">
        <v>23</v>
      </c>
      <c r="BG39" s="8">
        <v>0.375</v>
      </c>
      <c r="BH39" s="8">
        <v>0.75</v>
      </c>
      <c r="BI39" s="8">
        <v>0.375</v>
      </c>
      <c r="BJ39" s="8">
        <v>0.75</v>
      </c>
      <c r="BK39" s="8">
        <v>0.375</v>
      </c>
      <c r="BL39" s="8">
        <v>0.75</v>
      </c>
      <c r="BM39" s="8">
        <v>0.375</v>
      </c>
      <c r="BN39" s="8">
        <v>0.75</v>
      </c>
      <c r="BO39" s="8">
        <v>0.375</v>
      </c>
      <c r="BP39" s="8">
        <v>0.75</v>
      </c>
      <c r="BQ39" s="21">
        <f>IFERROR(__xludf.DUMMYFUNCTION("TO_PURE_NUMBER(SUM(FILTER(I39:BP39, ISEVEN(COLUMN(I39:BP39))))-SUM(FILTER(I39:BP39, ISODD(COLUMN(I39:BP39)))))*24"),198)</f>
        <v>198</v>
      </c>
    </row>
    <row r="40" customHeight="1" spans="1:69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154" t="s">
        <v>23</v>
      </c>
      <c r="H40" s="154" t="s">
        <v>23</v>
      </c>
      <c r="I40" s="8">
        <v>0.5</v>
      </c>
      <c r="J40" s="8">
        <v>0.875</v>
      </c>
      <c r="K40" s="8">
        <v>0.5</v>
      </c>
      <c r="L40" s="8">
        <v>0.875</v>
      </c>
      <c r="M40" s="8">
        <v>0.458333333333333</v>
      </c>
      <c r="N40" s="8">
        <v>0.666666666666667</v>
      </c>
      <c r="O40" s="8">
        <v>0.458333333333333</v>
      </c>
      <c r="P40" s="8">
        <v>0.666666666666667</v>
      </c>
      <c r="Q40" s="8">
        <v>0.375</v>
      </c>
      <c r="R40" s="8">
        <v>0.75</v>
      </c>
      <c r="S40" s="8">
        <v>0.375</v>
      </c>
      <c r="T40" s="8">
        <v>0.75</v>
      </c>
      <c r="U40" s="154" t="s">
        <v>23</v>
      </c>
      <c r="V40" s="154" t="s">
        <v>23</v>
      </c>
      <c r="W40" s="154" t="s">
        <v>23</v>
      </c>
      <c r="X40" s="154" t="s">
        <v>23</v>
      </c>
      <c r="Y40" s="8">
        <v>0.375</v>
      </c>
      <c r="Z40" s="8">
        <v>0.75</v>
      </c>
      <c r="AA40" s="8">
        <v>0.458333333333333</v>
      </c>
      <c r="AB40" s="8">
        <v>0.666666666666667</v>
      </c>
      <c r="AC40" s="8">
        <v>0.458333333333333</v>
      </c>
      <c r="AD40" s="8">
        <v>0.666666666666667</v>
      </c>
      <c r="AE40" s="8">
        <v>0.5</v>
      </c>
      <c r="AF40" s="8">
        <v>0.875</v>
      </c>
      <c r="AG40" s="8">
        <v>0.5</v>
      </c>
      <c r="AH40" s="8">
        <v>0.875</v>
      </c>
      <c r="AI40" s="154" t="s">
        <v>23</v>
      </c>
      <c r="AJ40" s="154" t="s">
        <v>23</v>
      </c>
      <c r="AK40" s="154" t="s">
        <v>23</v>
      </c>
      <c r="AL40" s="154" t="s">
        <v>23</v>
      </c>
      <c r="AM40" s="8">
        <v>0.5</v>
      </c>
      <c r="AN40" s="8">
        <v>0.875</v>
      </c>
      <c r="AO40" s="8">
        <v>0.458333333333333</v>
      </c>
      <c r="AP40" s="8">
        <v>0.666666666666667</v>
      </c>
      <c r="AQ40" s="8">
        <v>0.458333333333333</v>
      </c>
      <c r="AR40" s="8">
        <v>0.666666666666667</v>
      </c>
      <c r="AS40" s="8">
        <v>0.375</v>
      </c>
      <c r="AT40" s="8">
        <v>0.75</v>
      </c>
      <c r="AU40" s="8">
        <v>0.375</v>
      </c>
      <c r="AV40" s="8">
        <v>0.75</v>
      </c>
      <c r="AW40" s="154" t="s">
        <v>23</v>
      </c>
      <c r="AX40" s="154" t="s">
        <v>23</v>
      </c>
      <c r="AY40" s="154" t="s">
        <v>23</v>
      </c>
      <c r="AZ40" s="154" t="s">
        <v>23</v>
      </c>
      <c r="BA40" s="8">
        <v>0.375</v>
      </c>
      <c r="BB40" s="8">
        <v>0.75</v>
      </c>
      <c r="BC40" s="8">
        <v>0.458333333333333</v>
      </c>
      <c r="BD40" s="8">
        <v>0.666666666666667</v>
      </c>
      <c r="BE40" s="8">
        <v>0.458333333333333</v>
      </c>
      <c r="BF40" s="8">
        <v>0.666666666666667</v>
      </c>
      <c r="BG40" s="8">
        <v>0.5</v>
      </c>
      <c r="BH40" s="8">
        <v>0.875</v>
      </c>
      <c r="BI40" s="8">
        <v>0.5</v>
      </c>
      <c r="BJ40" s="8">
        <v>0.875</v>
      </c>
      <c r="BK40" s="154" t="s">
        <v>23</v>
      </c>
      <c r="BL40" s="154" t="s">
        <v>23</v>
      </c>
      <c r="BM40" s="154" t="s">
        <v>23</v>
      </c>
      <c r="BN40" s="154" t="s">
        <v>23</v>
      </c>
      <c r="BO40" s="8">
        <v>0.5</v>
      </c>
      <c r="BP40" s="8">
        <v>0.875</v>
      </c>
      <c r="BQ40" s="21">
        <f>IFERROR(__xludf.DUMMYFUNCTION("TO_PURE_NUMBER(SUM(FILTER(I40:BP40, ISEVEN(COLUMN(I40:BP40))))-SUM(FILTER(I40:BP40, ISODD(COLUMN(I40:BP40)))))*24"),166)</f>
        <v>166</v>
      </c>
    </row>
    <row r="41" customHeight="1" spans="1:69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0.458333333333333</v>
      </c>
      <c r="H41" s="8">
        <v>0.875</v>
      </c>
      <c r="I41" s="8">
        <v>0.458333333333333</v>
      </c>
      <c r="J41" s="8">
        <v>0.875</v>
      </c>
      <c r="K41" s="154" t="s">
        <v>23</v>
      </c>
      <c r="L41" s="154" t="s">
        <v>23</v>
      </c>
      <c r="M41" s="154" t="s">
        <v>23</v>
      </c>
      <c r="N41" s="154" t="s">
        <v>23</v>
      </c>
      <c r="O41" s="8">
        <v>0.458333333333333</v>
      </c>
      <c r="P41" s="8">
        <v>0.666666666666667</v>
      </c>
      <c r="Q41" s="8">
        <v>0.458333333333333</v>
      </c>
      <c r="R41" s="8">
        <v>0.875</v>
      </c>
      <c r="S41" s="8">
        <v>0.458333333333333</v>
      </c>
      <c r="T41" s="8">
        <v>0.875</v>
      </c>
      <c r="U41" s="8">
        <v>0.458333333333333</v>
      </c>
      <c r="V41" s="8">
        <v>0.875</v>
      </c>
      <c r="W41" s="8">
        <v>0.458333333333333</v>
      </c>
      <c r="X41" s="8">
        <v>0.875</v>
      </c>
      <c r="Y41" s="154" t="s">
        <v>23</v>
      </c>
      <c r="Z41" s="154" t="s">
        <v>23</v>
      </c>
      <c r="AA41" s="154" t="s">
        <v>23</v>
      </c>
      <c r="AB41" s="154" t="s">
        <v>23</v>
      </c>
      <c r="AC41" s="8">
        <v>0.458333333333333</v>
      </c>
      <c r="AD41" s="8">
        <v>0.666666666666667</v>
      </c>
      <c r="AE41" s="8">
        <v>0.375</v>
      </c>
      <c r="AF41" s="8">
        <v>0.791666666666667</v>
      </c>
      <c r="AG41" s="8">
        <v>0.375</v>
      </c>
      <c r="AH41" s="8">
        <v>0.791666666666667</v>
      </c>
      <c r="AI41" s="8">
        <v>0.375</v>
      </c>
      <c r="AJ41" s="8">
        <v>0.791666666666667</v>
      </c>
      <c r="AK41" s="8">
        <v>0.375</v>
      </c>
      <c r="AL41" s="8">
        <v>0.791666666666667</v>
      </c>
      <c r="AM41" s="154" t="s">
        <v>23</v>
      </c>
      <c r="AN41" s="154" t="s">
        <v>23</v>
      </c>
      <c r="AO41" s="154" t="s">
        <v>23</v>
      </c>
      <c r="AP41" s="154" t="s">
        <v>23</v>
      </c>
      <c r="AQ41" s="8">
        <v>0.458333333333333</v>
      </c>
      <c r="AR41" s="8">
        <v>0.666666666666667</v>
      </c>
      <c r="AS41" s="8">
        <v>0.458333333333333</v>
      </c>
      <c r="AT41" s="8">
        <v>0.875</v>
      </c>
      <c r="AU41" s="8">
        <v>0.458333333333333</v>
      </c>
      <c r="AV41" s="8">
        <v>0.875</v>
      </c>
      <c r="AW41" s="8">
        <v>0.458333333333333</v>
      </c>
      <c r="AX41" s="8">
        <v>0.875</v>
      </c>
      <c r="AY41" s="8">
        <v>0.458333333333333</v>
      </c>
      <c r="AZ41" s="8">
        <v>0.875</v>
      </c>
      <c r="BA41" s="154" t="s">
        <v>23</v>
      </c>
      <c r="BB41" s="154" t="s">
        <v>23</v>
      </c>
      <c r="BC41" s="154" t="s">
        <v>23</v>
      </c>
      <c r="BD41" s="154" t="s">
        <v>23</v>
      </c>
      <c r="BE41" s="8">
        <v>0.458333333333333</v>
      </c>
      <c r="BF41" s="8">
        <v>0.666666666666667</v>
      </c>
      <c r="BG41" s="8">
        <v>0.458333333333333</v>
      </c>
      <c r="BH41" s="8">
        <v>0.875</v>
      </c>
      <c r="BI41" s="8">
        <v>0.458333333333333</v>
      </c>
      <c r="BJ41" s="8">
        <v>0.875</v>
      </c>
      <c r="BK41" s="8">
        <v>0.458333333333333</v>
      </c>
      <c r="BL41" s="8">
        <v>0.875</v>
      </c>
      <c r="BM41" s="8">
        <v>0.458333333333333</v>
      </c>
      <c r="BN41" s="8">
        <v>0.875</v>
      </c>
      <c r="BO41" s="154" t="s">
        <v>23</v>
      </c>
      <c r="BP41" s="154" t="s">
        <v>23</v>
      </c>
      <c r="BQ41" s="21">
        <f>IFERROR(__xludf.DUMMYFUNCTION("TO_PURE_NUMBER(SUM(FILTER(I41:BP41, ISEVEN(COLUMN(I41:BP41))))-SUM(FILTER(I41:BP41, ISODD(COLUMN(I41:BP41)))))*24"),190)</f>
        <v>190</v>
      </c>
    </row>
    <row r="42" customHeight="1" spans="1:69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8">
        <v>0.458333333333333</v>
      </c>
      <c r="H42" s="8">
        <v>0.875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0.666666666666667</v>
      </c>
      <c r="O42" s="154" t="s">
        <v>23</v>
      </c>
      <c r="P42" s="154" t="s">
        <v>23</v>
      </c>
      <c r="Q42" s="154" t="s">
        <v>23</v>
      </c>
      <c r="R42" s="154" t="s">
        <v>23</v>
      </c>
      <c r="S42" s="8">
        <v>0.375</v>
      </c>
      <c r="T42" s="8">
        <v>0.791666666666667</v>
      </c>
      <c r="U42" s="8">
        <v>0.375</v>
      </c>
      <c r="V42" s="8">
        <v>0.791666666666667</v>
      </c>
      <c r="W42" s="8">
        <v>0.375</v>
      </c>
      <c r="X42" s="8">
        <v>0.791666666666667</v>
      </c>
      <c r="Y42" s="8">
        <v>0.375</v>
      </c>
      <c r="Z42" s="8">
        <v>0.791666666666667</v>
      </c>
      <c r="AA42" s="8">
        <v>0.458333333333333</v>
      </c>
      <c r="AB42" s="8">
        <v>0.666666666666667</v>
      </c>
      <c r="AC42" s="154" t="s">
        <v>23</v>
      </c>
      <c r="AD42" s="154" t="s">
        <v>23</v>
      </c>
      <c r="AE42" s="154" t="s">
        <v>23</v>
      </c>
      <c r="AF42" s="154" t="s">
        <v>23</v>
      </c>
      <c r="AG42" s="8">
        <v>0.458333333333333</v>
      </c>
      <c r="AH42" s="8">
        <v>0.875</v>
      </c>
      <c r="AI42" s="8">
        <v>0.458333333333333</v>
      </c>
      <c r="AJ42" s="8">
        <v>0.875</v>
      </c>
      <c r="AK42" s="8">
        <v>0.458333333333333</v>
      </c>
      <c r="AL42" s="8">
        <v>0.875</v>
      </c>
      <c r="AM42" s="8">
        <v>0.458333333333333</v>
      </c>
      <c r="AN42" s="8">
        <v>0.875</v>
      </c>
      <c r="AO42" s="8">
        <v>0.458333333333333</v>
      </c>
      <c r="AP42" s="8">
        <v>0.666666666666667</v>
      </c>
      <c r="AQ42" s="154" t="s">
        <v>23</v>
      </c>
      <c r="AR42" s="154" t="s">
        <v>23</v>
      </c>
      <c r="AS42" s="154" t="s">
        <v>23</v>
      </c>
      <c r="AT42" s="154" t="s">
        <v>23</v>
      </c>
      <c r="AU42" s="8">
        <v>0.375</v>
      </c>
      <c r="AV42" s="8">
        <v>0.791666666666667</v>
      </c>
      <c r="AW42" s="8">
        <v>0.375</v>
      </c>
      <c r="AX42" s="8">
        <v>0.791666666666667</v>
      </c>
      <c r="AY42" s="8">
        <v>0.375</v>
      </c>
      <c r="AZ42" s="8">
        <v>0.791666666666667</v>
      </c>
      <c r="BA42" s="8">
        <v>0.375</v>
      </c>
      <c r="BB42" s="8">
        <v>0.791666666666667</v>
      </c>
      <c r="BC42" s="8">
        <v>0.458333333333333</v>
      </c>
      <c r="BD42" s="8">
        <v>0.666666666666667</v>
      </c>
      <c r="BE42" s="154" t="s">
        <v>23</v>
      </c>
      <c r="BF42" s="154" t="s">
        <v>23</v>
      </c>
      <c r="BG42" s="154" t="s">
        <v>23</v>
      </c>
      <c r="BH42" s="154" t="s">
        <v>23</v>
      </c>
      <c r="BI42" s="8">
        <v>0.458333333333333</v>
      </c>
      <c r="BJ42" s="8">
        <v>0.875</v>
      </c>
      <c r="BK42" s="8">
        <v>0.458333333333333</v>
      </c>
      <c r="BL42" s="8">
        <v>0.875</v>
      </c>
      <c r="BM42" s="8">
        <v>0.458333333333333</v>
      </c>
      <c r="BN42" s="8">
        <v>0.875</v>
      </c>
      <c r="BO42" s="8">
        <v>0.458333333333333</v>
      </c>
      <c r="BP42" s="8">
        <v>0.875</v>
      </c>
      <c r="BQ42" s="21">
        <f>IFERROR(__xludf.DUMMYFUNCTION("TO_PURE_NUMBER(SUM(FILTER(I42:BP42, ISEVEN(COLUMN(I42:BP42))))-SUM(FILTER(I42:BP42, ISODD(COLUMN(I42:BP42)))))*24"),199.999999999999)</f>
        <v>199.999999999999</v>
      </c>
    </row>
    <row r="43" customHeight="1" spans="1:69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154" t="s">
        <v>23</v>
      </c>
      <c r="H43" s="154" t="s">
        <v>23</v>
      </c>
      <c r="I43" s="8">
        <v>0.375</v>
      </c>
      <c r="J43" s="8">
        <v>0.75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54"/>
      <c r="V43" s="154"/>
      <c r="W43" s="154"/>
      <c r="X43" s="154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54"/>
      <c r="AJ43" s="154"/>
      <c r="AK43" s="154"/>
      <c r="AL43" s="154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154"/>
      <c r="AX43" s="154"/>
      <c r="AY43" s="154"/>
      <c r="AZ43" s="154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154"/>
      <c r="BL43" s="154"/>
      <c r="BM43" s="154"/>
      <c r="BN43" s="154"/>
      <c r="BO43" s="8"/>
      <c r="BP43" s="8"/>
      <c r="BQ43" s="21"/>
    </row>
    <row r="44" customHeight="1" spans="1:69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154" t="s">
        <v>23</v>
      </c>
      <c r="L44" s="154" t="s">
        <v>23</v>
      </c>
      <c r="M44" s="154" t="s">
        <v>23</v>
      </c>
      <c r="N44" s="154" t="s">
        <v>23</v>
      </c>
      <c r="O44" s="8">
        <v>0.458333333333333</v>
      </c>
      <c r="P44" s="8">
        <v>0.666666666666667</v>
      </c>
      <c r="Q44" s="8">
        <v>0.458333333333333</v>
      </c>
      <c r="R44" s="8">
        <v>0.875</v>
      </c>
      <c r="S44" s="8">
        <v>0.458333333333333</v>
      </c>
      <c r="T44" s="8">
        <v>0.875</v>
      </c>
      <c r="U44" s="8">
        <v>0.458333333333333</v>
      </c>
      <c r="V44" s="8">
        <v>0.875</v>
      </c>
      <c r="W44" s="8">
        <v>0.458333333333333</v>
      </c>
      <c r="X44" s="8">
        <v>0.875</v>
      </c>
      <c r="Y44" s="154" t="s">
        <v>23</v>
      </c>
      <c r="Z44" s="154" t="s">
        <v>23</v>
      </c>
      <c r="AA44" s="154" t="s">
        <v>23</v>
      </c>
      <c r="AB44" s="154" t="s">
        <v>23</v>
      </c>
      <c r="AC44" s="8">
        <v>0.458333333333333</v>
      </c>
      <c r="AD44" s="8">
        <v>0.666666666666667</v>
      </c>
      <c r="AE44" s="8">
        <v>0.375</v>
      </c>
      <c r="AF44" s="8">
        <v>0.791666666666667</v>
      </c>
      <c r="AG44" s="8">
        <v>0.375</v>
      </c>
      <c r="AH44" s="8">
        <v>0.791666666666667</v>
      </c>
      <c r="AI44" s="8">
        <v>0.375</v>
      </c>
      <c r="AJ44" s="8">
        <v>0.791666666666667</v>
      </c>
      <c r="AK44" s="8">
        <v>0.375</v>
      </c>
      <c r="AL44" s="8">
        <v>0.791666666666667</v>
      </c>
      <c r="AM44" s="154" t="s">
        <v>23</v>
      </c>
      <c r="AN44" s="154" t="s">
        <v>23</v>
      </c>
      <c r="AO44" s="154" t="s">
        <v>23</v>
      </c>
      <c r="AP44" s="154" t="s">
        <v>23</v>
      </c>
      <c r="AQ44" s="8">
        <v>0.458333333333333</v>
      </c>
      <c r="AR44" s="8">
        <v>0.666666666666667</v>
      </c>
      <c r="AS44" s="8">
        <v>0.458333333333333</v>
      </c>
      <c r="AT44" s="8">
        <v>0.875</v>
      </c>
      <c r="AU44" s="8">
        <v>0.458333333333333</v>
      </c>
      <c r="AV44" s="8">
        <v>0.875</v>
      </c>
      <c r="AW44" s="8">
        <v>0.458333333333333</v>
      </c>
      <c r="AX44" s="8">
        <v>0.875</v>
      </c>
      <c r="AY44" s="8">
        <v>0.458333333333333</v>
      </c>
      <c r="AZ44" s="8">
        <v>0.875</v>
      </c>
      <c r="BA44" s="154" t="s">
        <v>23</v>
      </c>
      <c r="BB44" s="154" t="s">
        <v>23</v>
      </c>
      <c r="BC44" s="154" t="s">
        <v>23</v>
      </c>
      <c r="BD44" s="154" t="s">
        <v>23</v>
      </c>
      <c r="BE44" s="8">
        <v>0.458333333333333</v>
      </c>
      <c r="BF44" s="8">
        <v>0.666666666666667</v>
      </c>
      <c r="BG44" s="8">
        <v>0.375</v>
      </c>
      <c r="BH44" s="8">
        <v>0.791666666666667</v>
      </c>
      <c r="BI44" s="8">
        <v>0.375</v>
      </c>
      <c r="BJ44" s="8">
        <v>0.791666666666667</v>
      </c>
      <c r="BK44" s="8">
        <v>0.375</v>
      </c>
      <c r="BL44" s="8">
        <v>0.791666666666667</v>
      </c>
      <c r="BM44" s="8">
        <v>0.375</v>
      </c>
      <c r="BN44" s="8">
        <v>0.791666666666667</v>
      </c>
      <c r="BO44" s="154" t="s">
        <v>23</v>
      </c>
      <c r="BP44" s="154" t="s">
        <v>23</v>
      </c>
      <c r="BQ44" s="21">
        <f>IFERROR(__xludf.DUMMYFUNCTION("TO_PURE_NUMBER(SUM(FILTER(I44:BP44, ISEVEN(COLUMN(I44:BP44))))-SUM(FILTER(I44:BP44, ISODD(COLUMN(I44:BP44)))))*24"),190)</f>
        <v>190</v>
      </c>
    </row>
    <row r="45" customHeight="1" spans="1:69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154" t="s">
        <v>23</v>
      </c>
      <c r="N45" s="154" t="s">
        <v>23</v>
      </c>
      <c r="O45" s="154" t="s">
        <v>23</v>
      </c>
      <c r="P45" s="154" t="s">
        <v>23</v>
      </c>
      <c r="Q45" s="8">
        <v>0.375</v>
      </c>
      <c r="R45" s="8">
        <v>0.75</v>
      </c>
      <c r="S45" s="8">
        <v>0.375</v>
      </c>
      <c r="T45" s="8">
        <v>0.75</v>
      </c>
      <c r="U45" s="8">
        <v>0.375</v>
      </c>
      <c r="V45" s="8">
        <v>0.75</v>
      </c>
      <c r="W45" s="8">
        <v>0.375</v>
      </c>
      <c r="X45" s="8">
        <v>0.75</v>
      </c>
      <c r="Y45" s="8">
        <v>0.375</v>
      </c>
      <c r="Z45" s="8">
        <v>0.75</v>
      </c>
      <c r="AA45" s="154" t="s">
        <v>23</v>
      </c>
      <c r="AB45" s="154" t="s">
        <v>23</v>
      </c>
      <c r="AC45" s="154" t="s">
        <v>23</v>
      </c>
      <c r="AD45" s="154" t="s">
        <v>23</v>
      </c>
      <c r="AE45" s="8">
        <v>0.5</v>
      </c>
      <c r="AF45" s="8">
        <v>0.875</v>
      </c>
      <c r="AG45" s="8">
        <v>0.5</v>
      </c>
      <c r="AH45" s="8">
        <v>0.875</v>
      </c>
      <c r="AI45" s="8">
        <v>0.5</v>
      </c>
      <c r="AJ45" s="8">
        <v>0.875</v>
      </c>
      <c r="AK45" s="8">
        <v>0.5</v>
      </c>
      <c r="AL45" s="8">
        <v>0.875</v>
      </c>
      <c r="AM45" s="8">
        <v>0.5</v>
      </c>
      <c r="AN45" s="8">
        <v>0.875</v>
      </c>
      <c r="AO45" s="154" t="s">
        <v>23</v>
      </c>
      <c r="AP45" s="154" t="s">
        <v>23</v>
      </c>
      <c r="AQ45" s="154" t="s">
        <v>23</v>
      </c>
      <c r="AR45" s="154" t="s">
        <v>23</v>
      </c>
      <c r="AS45" s="8">
        <v>0.375</v>
      </c>
      <c r="AT45" s="8">
        <v>0.75</v>
      </c>
      <c r="AU45" s="8">
        <v>0.375</v>
      </c>
      <c r="AV45" s="8">
        <v>0.75</v>
      </c>
      <c r="AW45" s="8">
        <v>0.375</v>
      </c>
      <c r="AX45" s="8">
        <v>0.75</v>
      </c>
      <c r="AY45" s="8">
        <v>0.375</v>
      </c>
      <c r="AZ45" s="8">
        <v>0.75</v>
      </c>
      <c r="BA45" s="8">
        <v>0.375</v>
      </c>
      <c r="BB45" s="8">
        <v>0.75</v>
      </c>
      <c r="BC45" s="154" t="s">
        <v>23</v>
      </c>
      <c r="BD45" s="154" t="s">
        <v>23</v>
      </c>
      <c r="BE45" s="154" t="s">
        <v>23</v>
      </c>
      <c r="BF45" s="154" t="s">
        <v>23</v>
      </c>
      <c r="BG45" s="8">
        <v>0.5</v>
      </c>
      <c r="BH45" s="8">
        <v>0.875</v>
      </c>
      <c r="BI45" s="8">
        <v>0.5</v>
      </c>
      <c r="BJ45" s="8">
        <v>0.875</v>
      </c>
      <c r="BK45" s="8">
        <v>0.5</v>
      </c>
      <c r="BL45" s="8">
        <v>0.875</v>
      </c>
      <c r="BM45" s="8">
        <v>0.5</v>
      </c>
      <c r="BN45" s="8">
        <v>0.875</v>
      </c>
      <c r="BO45" s="8">
        <v>0.5</v>
      </c>
      <c r="BP45" s="8">
        <v>0.875</v>
      </c>
      <c r="BQ45" s="21">
        <f>IFERROR(__xludf.DUMMYFUNCTION("TO_PURE_NUMBER(SUM(FILTER(I45:BP45, ISEVEN(COLUMN(I45:BP45))))-SUM(FILTER(I45:BP45, ISODD(COLUMN(I45:BP45)))))*24"),198)</f>
        <v>198</v>
      </c>
    </row>
    <row r="46" customHeight="1" spans="1:69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154" t="s">
        <v>23</v>
      </c>
      <c r="N46" s="154" t="s">
        <v>23</v>
      </c>
      <c r="O46" s="154" t="s">
        <v>23</v>
      </c>
      <c r="P46" s="154" t="s">
        <v>23</v>
      </c>
      <c r="Q46" s="8">
        <v>0.375</v>
      </c>
      <c r="R46" s="8">
        <v>0.75</v>
      </c>
      <c r="S46" s="8">
        <v>0.375</v>
      </c>
      <c r="T46" s="8">
        <v>0.75</v>
      </c>
      <c r="U46" s="8">
        <v>0.375</v>
      </c>
      <c r="V46" s="8">
        <v>0.75</v>
      </c>
      <c r="W46" s="8">
        <v>0.375</v>
      </c>
      <c r="X46" s="8">
        <v>0.75</v>
      </c>
      <c r="Y46" s="8">
        <v>0.375</v>
      </c>
      <c r="Z46" s="8">
        <v>0.75</v>
      </c>
      <c r="AA46" s="154" t="s">
        <v>23</v>
      </c>
      <c r="AB46" s="154" t="s">
        <v>23</v>
      </c>
      <c r="AC46" s="154" t="s">
        <v>23</v>
      </c>
      <c r="AD46" s="154" t="s">
        <v>23</v>
      </c>
      <c r="AE46" s="8">
        <v>0.5</v>
      </c>
      <c r="AF46" s="8">
        <v>0.875</v>
      </c>
      <c r="AG46" s="8">
        <v>0.5</v>
      </c>
      <c r="AH46" s="8">
        <v>0.875</v>
      </c>
      <c r="AI46" s="8">
        <v>0.5</v>
      </c>
      <c r="AJ46" s="8">
        <v>0.875</v>
      </c>
      <c r="AK46" s="8">
        <v>0.5</v>
      </c>
      <c r="AL46" s="8">
        <v>0.875</v>
      </c>
      <c r="AM46" s="8">
        <v>0.5</v>
      </c>
      <c r="AN46" s="8">
        <v>0.875</v>
      </c>
      <c r="AO46" s="154" t="s">
        <v>23</v>
      </c>
      <c r="AP46" s="154" t="s">
        <v>23</v>
      </c>
      <c r="AQ46" s="154" t="s">
        <v>23</v>
      </c>
      <c r="AR46" s="154" t="s">
        <v>23</v>
      </c>
      <c r="AS46" s="8">
        <v>0.375</v>
      </c>
      <c r="AT46" s="8">
        <v>0.75</v>
      </c>
      <c r="AU46" s="8">
        <v>0.375</v>
      </c>
      <c r="AV46" s="8">
        <v>0.75</v>
      </c>
      <c r="AW46" s="8">
        <v>0.375</v>
      </c>
      <c r="AX46" s="8">
        <v>0.75</v>
      </c>
      <c r="AY46" s="8">
        <v>0.375</v>
      </c>
      <c r="AZ46" s="8">
        <v>0.75</v>
      </c>
      <c r="BA46" s="8">
        <v>0.375</v>
      </c>
      <c r="BB46" s="8">
        <v>0.75</v>
      </c>
      <c r="BC46" s="154" t="s">
        <v>23</v>
      </c>
      <c r="BD46" s="154" t="s">
        <v>23</v>
      </c>
      <c r="BE46" s="154" t="s">
        <v>23</v>
      </c>
      <c r="BF46" s="154" t="s">
        <v>23</v>
      </c>
      <c r="BG46" s="8">
        <v>0.5</v>
      </c>
      <c r="BH46" s="8">
        <v>0.875</v>
      </c>
      <c r="BI46" s="8">
        <v>0.5</v>
      </c>
      <c r="BJ46" s="8">
        <v>0.875</v>
      </c>
      <c r="BK46" s="8">
        <v>0.5</v>
      </c>
      <c r="BL46" s="8">
        <v>0.875</v>
      </c>
      <c r="BM46" s="8">
        <v>0.5</v>
      </c>
      <c r="BN46" s="8">
        <v>0.875</v>
      </c>
      <c r="BO46" s="8">
        <v>0.5</v>
      </c>
      <c r="BP46" s="8">
        <v>0.875</v>
      </c>
      <c r="BQ46" s="21">
        <f>IFERROR(__xludf.DUMMYFUNCTION("TO_PURE_NUMBER(SUM(FILTER(I46:BP46, ISEVEN(COLUMN(I46:BP46))))-SUM(FILTER(I46:BP46, ISODD(COLUMN(I46:BP46)))))*24"),198)</f>
        <v>198</v>
      </c>
    </row>
    <row r="47" customHeight="1" spans="1:69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154" t="s">
        <v>23</v>
      </c>
      <c r="N47" s="154" t="s">
        <v>23</v>
      </c>
      <c r="O47" s="154" t="s">
        <v>23</v>
      </c>
      <c r="P47" s="154" t="s">
        <v>23</v>
      </c>
      <c r="Q47" s="8">
        <v>0.5</v>
      </c>
      <c r="R47" s="8">
        <v>0.875</v>
      </c>
      <c r="S47" s="8">
        <v>0.5</v>
      </c>
      <c r="T47" s="8">
        <v>0.875</v>
      </c>
      <c r="U47" s="8">
        <v>0.5</v>
      </c>
      <c r="V47" s="8">
        <v>0.875</v>
      </c>
      <c r="W47" s="8">
        <v>0.5</v>
      </c>
      <c r="X47" s="8">
        <v>0.875</v>
      </c>
      <c r="Y47" s="8">
        <v>0.5</v>
      </c>
      <c r="Z47" s="8">
        <v>0.875</v>
      </c>
      <c r="AA47" s="154" t="s">
        <v>23</v>
      </c>
      <c r="AB47" s="154" t="s">
        <v>23</v>
      </c>
      <c r="AC47" s="154" t="s">
        <v>23</v>
      </c>
      <c r="AD47" s="154" t="s">
        <v>23</v>
      </c>
      <c r="AE47" s="8">
        <v>0.375</v>
      </c>
      <c r="AF47" s="8">
        <v>0.75</v>
      </c>
      <c r="AG47" s="8">
        <v>0.375</v>
      </c>
      <c r="AH47" s="8">
        <v>0.75</v>
      </c>
      <c r="AI47" s="8">
        <v>0.375</v>
      </c>
      <c r="AJ47" s="8">
        <v>0.75</v>
      </c>
      <c r="AK47" s="8">
        <v>0.375</v>
      </c>
      <c r="AL47" s="8">
        <v>0.75</v>
      </c>
      <c r="AM47" s="8">
        <v>0.375</v>
      </c>
      <c r="AN47" s="8">
        <v>0.75</v>
      </c>
      <c r="AO47" s="154" t="s">
        <v>23</v>
      </c>
      <c r="AP47" s="154" t="s">
        <v>23</v>
      </c>
      <c r="AQ47" s="154" t="s">
        <v>23</v>
      </c>
      <c r="AR47" s="154" t="s">
        <v>23</v>
      </c>
      <c r="AS47" s="8">
        <v>0.5</v>
      </c>
      <c r="AT47" s="8">
        <v>0.875</v>
      </c>
      <c r="AU47" s="8">
        <v>0.5</v>
      </c>
      <c r="AV47" s="8">
        <v>0.875</v>
      </c>
      <c r="AW47" s="8">
        <v>0.5</v>
      </c>
      <c r="AX47" s="8">
        <v>0.875</v>
      </c>
      <c r="AY47" s="8">
        <v>0.5</v>
      </c>
      <c r="AZ47" s="8">
        <v>0.875</v>
      </c>
      <c r="BA47" s="8">
        <v>0.5</v>
      </c>
      <c r="BB47" s="8">
        <v>0.875</v>
      </c>
      <c r="BC47" s="154" t="s">
        <v>23</v>
      </c>
      <c r="BD47" s="154" t="s">
        <v>23</v>
      </c>
      <c r="BE47" s="154" t="s">
        <v>23</v>
      </c>
      <c r="BF47" s="154" t="s">
        <v>23</v>
      </c>
      <c r="BG47" s="8">
        <v>0.375</v>
      </c>
      <c r="BH47" s="8">
        <v>0.75</v>
      </c>
      <c r="BI47" s="8">
        <v>0.375</v>
      </c>
      <c r="BJ47" s="8">
        <v>0.75</v>
      </c>
      <c r="BK47" s="8">
        <v>0.375</v>
      </c>
      <c r="BL47" s="8">
        <v>0.75</v>
      </c>
      <c r="BM47" s="8">
        <v>0.375</v>
      </c>
      <c r="BN47" s="8">
        <v>0.75</v>
      </c>
      <c r="BO47" s="8">
        <v>0.375</v>
      </c>
      <c r="BP47" s="8">
        <v>0.75</v>
      </c>
      <c r="BQ47" s="21">
        <f>IFERROR(__xludf.DUMMYFUNCTION("TO_PURE_NUMBER(SUM(FILTER(I47:BP47, ISEVEN(COLUMN(I47:BP47))))-SUM(FILTER(I47:BP47, ISODD(COLUMN(I47:BP47)))))*24"),198)</f>
        <v>198</v>
      </c>
    </row>
    <row r="48" customHeight="1" spans="1:69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154" t="s">
        <v>23</v>
      </c>
      <c r="L48" s="154" t="s">
        <v>23</v>
      </c>
      <c r="M48" s="154" t="s">
        <v>23</v>
      </c>
      <c r="N48" s="154" t="s">
        <v>23</v>
      </c>
      <c r="O48" s="8">
        <v>0.458333333333333</v>
      </c>
      <c r="P48" s="8">
        <v>0.666666666666667</v>
      </c>
      <c r="Q48" s="8">
        <v>0.375</v>
      </c>
      <c r="R48" s="8">
        <v>0.791666666666667</v>
      </c>
      <c r="S48" s="8">
        <v>0.375</v>
      </c>
      <c r="T48" s="8">
        <v>0.791666666666667</v>
      </c>
      <c r="U48" s="8">
        <v>0.375</v>
      </c>
      <c r="V48" s="8">
        <v>0.791666666666667</v>
      </c>
      <c r="W48" s="8">
        <v>0.375</v>
      </c>
      <c r="X48" s="8">
        <v>0.791666666666667</v>
      </c>
      <c r="Y48" s="154" t="s">
        <v>23</v>
      </c>
      <c r="Z48" s="154" t="s">
        <v>23</v>
      </c>
      <c r="AA48" s="154" t="s">
        <v>23</v>
      </c>
      <c r="AB48" s="154" t="s">
        <v>23</v>
      </c>
      <c r="AC48" s="8">
        <v>0.458333333333333</v>
      </c>
      <c r="AD48" s="8">
        <v>0.666666666666667</v>
      </c>
      <c r="AE48" s="8">
        <v>0.458333333333333</v>
      </c>
      <c r="AF48" s="8">
        <v>0.875</v>
      </c>
      <c r="AG48" s="8">
        <v>0.458333333333333</v>
      </c>
      <c r="AH48" s="8">
        <v>0.875</v>
      </c>
      <c r="AI48" s="8">
        <v>0.458333333333333</v>
      </c>
      <c r="AJ48" s="8">
        <v>0.875</v>
      </c>
      <c r="AK48" s="8">
        <v>0.458333333333333</v>
      </c>
      <c r="AL48" s="8">
        <v>0.875</v>
      </c>
      <c r="AM48" s="154" t="s">
        <v>23</v>
      </c>
      <c r="AN48" s="154" t="s">
        <v>23</v>
      </c>
      <c r="AO48" s="154" t="s">
        <v>23</v>
      </c>
      <c r="AP48" s="154" t="s">
        <v>23</v>
      </c>
      <c r="AQ48" s="8">
        <v>0.458333333333333</v>
      </c>
      <c r="AR48" s="8">
        <v>0.666666666666667</v>
      </c>
      <c r="AS48" s="8">
        <v>0.375</v>
      </c>
      <c r="AT48" s="8">
        <v>0.791666666666667</v>
      </c>
      <c r="AU48" s="8">
        <v>0.375</v>
      </c>
      <c r="AV48" s="8">
        <v>0.791666666666667</v>
      </c>
      <c r="AW48" s="8">
        <v>0.375</v>
      </c>
      <c r="AX48" s="8">
        <v>0.791666666666667</v>
      </c>
      <c r="AY48" s="8">
        <v>0.375</v>
      </c>
      <c r="AZ48" s="8">
        <v>0.791666666666667</v>
      </c>
      <c r="BA48" s="154" t="s">
        <v>23</v>
      </c>
      <c r="BB48" s="154" t="s">
        <v>23</v>
      </c>
      <c r="BC48" s="154" t="s">
        <v>23</v>
      </c>
      <c r="BD48" s="154" t="s">
        <v>23</v>
      </c>
      <c r="BE48" s="8">
        <v>0.458333333333333</v>
      </c>
      <c r="BF48" s="8">
        <v>0.666666666666667</v>
      </c>
      <c r="BG48" s="8">
        <v>0.458333333333333</v>
      </c>
      <c r="BH48" s="8">
        <v>0.875</v>
      </c>
      <c r="BI48" s="8">
        <v>0.458333333333333</v>
      </c>
      <c r="BJ48" s="8">
        <v>0.875</v>
      </c>
      <c r="BK48" s="8">
        <v>0.458333333333333</v>
      </c>
      <c r="BL48" s="8">
        <v>0.875</v>
      </c>
      <c r="BM48" s="8">
        <v>0.458333333333333</v>
      </c>
      <c r="BN48" s="8">
        <v>0.875</v>
      </c>
      <c r="BO48" s="154" t="s">
        <v>23</v>
      </c>
      <c r="BP48" s="154" t="s">
        <v>23</v>
      </c>
      <c r="BQ48" s="21">
        <f>IFERROR(__xludf.DUMMYFUNCTION("TO_PURE_NUMBER(SUM(FILTER(I48:BP48, ISEVEN(COLUMN(I48:BP48))))-SUM(FILTER(I48:BP48, ISODD(COLUMN(I48:BP48)))))*24"),189.999999999999)</f>
        <v>189.999999999999</v>
      </c>
    </row>
    <row r="49" customHeight="1" spans="1:69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154" t="s">
        <v>23</v>
      </c>
      <c r="H49" s="154" t="s">
        <v>23</v>
      </c>
      <c r="I49" s="8">
        <v>0.375</v>
      </c>
      <c r="J49" s="8">
        <v>0.75</v>
      </c>
      <c r="K49" s="8">
        <v>0.375</v>
      </c>
      <c r="L49" s="8">
        <v>0.75</v>
      </c>
      <c r="M49" s="8">
        <v>0.458333333333333</v>
      </c>
      <c r="N49" s="8">
        <v>0.666666666666667</v>
      </c>
      <c r="O49" s="8">
        <v>0.458333333333333</v>
      </c>
      <c r="P49" s="8">
        <v>0.666666666666667</v>
      </c>
      <c r="Q49" s="154" t="s">
        <v>23</v>
      </c>
      <c r="R49" s="154" t="s">
        <v>23</v>
      </c>
      <c r="S49" s="8">
        <v>0.375</v>
      </c>
      <c r="T49" s="8">
        <v>0.791666666666667</v>
      </c>
      <c r="U49" s="8">
        <v>0.375</v>
      </c>
      <c r="V49" s="8">
        <v>0.791666666666667</v>
      </c>
      <c r="W49" s="8">
        <v>0.375</v>
      </c>
      <c r="X49" s="8">
        <v>0.791666666666667</v>
      </c>
      <c r="Y49" s="8">
        <v>0.375</v>
      </c>
      <c r="Z49" s="8">
        <v>0.791666666666667</v>
      </c>
      <c r="AA49" s="8">
        <v>0.458333333333333</v>
      </c>
      <c r="AB49" s="8">
        <v>0.666666666666667</v>
      </c>
      <c r="AC49" s="154" t="s">
        <v>23</v>
      </c>
      <c r="AD49" s="154" t="s">
        <v>23</v>
      </c>
      <c r="AE49" s="154" t="s">
        <v>23</v>
      </c>
      <c r="AF49" s="154" t="s">
        <v>23</v>
      </c>
      <c r="AG49" s="8">
        <v>0.458333333333333</v>
      </c>
      <c r="AH49" s="8">
        <v>0.875</v>
      </c>
      <c r="AI49" s="8">
        <v>0.458333333333333</v>
      </c>
      <c r="AJ49" s="8">
        <v>0.875</v>
      </c>
      <c r="AK49" s="8">
        <v>0.458333333333333</v>
      </c>
      <c r="AL49" s="8">
        <v>0.875</v>
      </c>
      <c r="AM49" s="8">
        <v>0.458333333333333</v>
      </c>
      <c r="AN49" s="8">
        <v>0.875</v>
      </c>
      <c r="AO49" s="8">
        <v>0.458333333333333</v>
      </c>
      <c r="AP49" s="8">
        <v>0.666666666666667</v>
      </c>
      <c r="AQ49" s="154" t="s">
        <v>23</v>
      </c>
      <c r="AR49" s="154" t="s">
        <v>23</v>
      </c>
      <c r="AS49" s="154" t="s">
        <v>23</v>
      </c>
      <c r="AT49" s="154" t="s">
        <v>23</v>
      </c>
      <c r="AU49" s="8">
        <v>0.375</v>
      </c>
      <c r="AV49" s="8">
        <v>0.791666666666667</v>
      </c>
      <c r="AW49" s="8">
        <v>0.375</v>
      </c>
      <c r="AX49" s="8">
        <v>0.791666666666667</v>
      </c>
      <c r="AY49" s="8">
        <v>0.375</v>
      </c>
      <c r="AZ49" s="8">
        <v>0.791666666666667</v>
      </c>
      <c r="BA49" s="8">
        <v>0.375</v>
      </c>
      <c r="BB49" s="8">
        <v>0.791666666666667</v>
      </c>
      <c r="BC49" s="8">
        <v>0.458333333333333</v>
      </c>
      <c r="BD49" s="8">
        <v>0.666666666666667</v>
      </c>
      <c r="BE49" s="154" t="s">
        <v>23</v>
      </c>
      <c r="BF49" s="154" t="s">
        <v>23</v>
      </c>
      <c r="BG49" s="154" t="s">
        <v>23</v>
      </c>
      <c r="BH49" s="154" t="s">
        <v>23</v>
      </c>
      <c r="BI49" s="8">
        <v>0.458333333333333</v>
      </c>
      <c r="BJ49" s="8">
        <v>0.875</v>
      </c>
      <c r="BK49" s="8">
        <v>0.458333333333333</v>
      </c>
      <c r="BL49" s="8">
        <v>0.875</v>
      </c>
      <c r="BM49" s="8">
        <v>0.458333333333333</v>
      </c>
      <c r="BN49" s="8">
        <v>0.875</v>
      </c>
      <c r="BO49" s="8">
        <v>0.458333333333333</v>
      </c>
      <c r="BP49" s="8">
        <v>0.875</v>
      </c>
      <c r="BQ49" s="21">
        <f>IFERROR(__xludf.DUMMYFUNCTION("TO_PURE_NUMBER(SUM(FILTER(I49:BP49, ISEVEN(COLUMN(I49:BP49))))-SUM(FILTER(I49:BP49, ISODD(COLUMN(I49:BP49)))))*24"),202.999999999999)</f>
        <v>202.999999999999</v>
      </c>
    </row>
    <row r="50" customHeight="1" spans="1:69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154" t="s">
        <v>23</v>
      </c>
      <c r="N50" s="154" t="s">
        <v>23</v>
      </c>
      <c r="O50" s="154" t="s">
        <v>23</v>
      </c>
      <c r="P50" s="154" t="s">
        <v>23</v>
      </c>
      <c r="Q50" s="8">
        <v>0.375</v>
      </c>
      <c r="R50" s="8">
        <v>0.75</v>
      </c>
      <c r="S50" s="8">
        <v>0.375</v>
      </c>
      <c r="T50" s="8">
        <v>0.75</v>
      </c>
      <c r="U50" s="8">
        <v>0.375</v>
      </c>
      <c r="V50" s="8">
        <v>0.75</v>
      </c>
      <c r="W50" s="8">
        <v>0.375</v>
      </c>
      <c r="X50" s="8">
        <v>0.75</v>
      </c>
      <c r="Y50" s="8">
        <v>0.375</v>
      </c>
      <c r="Z50" s="8">
        <v>0.75</v>
      </c>
      <c r="AA50" s="154" t="s">
        <v>23</v>
      </c>
      <c r="AB50" s="154" t="s">
        <v>23</v>
      </c>
      <c r="AC50" s="154" t="s">
        <v>23</v>
      </c>
      <c r="AD50" s="154" t="s">
        <v>23</v>
      </c>
      <c r="AE50" s="8">
        <v>0.5</v>
      </c>
      <c r="AF50" s="8">
        <v>0.875</v>
      </c>
      <c r="AG50" s="8">
        <v>0.5</v>
      </c>
      <c r="AH50" s="8">
        <v>0.875</v>
      </c>
      <c r="AI50" s="8">
        <v>0.5</v>
      </c>
      <c r="AJ50" s="8">
        <v>0.875</v>
      </c>
      <c r="AK50" s="8">
        <v>0.5</v>
      </c>
      <c r="AL50" s="8">
        <v>0.875</v>
      </c>
      <c r="AM50" s="8">
        <v>0.5</v>
      </c>
      <c r="AN50" s="8">
        <v>0.875</v>
      </c>
      <c r="AO50" s="154" t="s">
        <v>23</v>
      </c>
      <c r="AP50" s="154" t="s">
        <v>23</v>
      </c>
      <c r="AQ50" s="154" t="s">
        <v>23</v>
      </c>
      <c r="AR50" s="154" t="s">
        <v>23</v>
      </c>
      <c r="AS50" s="8">
        <v>0.375</v>
      </c>
      <c r="AT50" s="8">
        <v>0.75</v>
      </c>
      <c r="AU50" s="8">
        <v>0.375</v>
      </c>
      <c r="AV50" s="8">
        <v>0.75</v>
      </c>
      <c r="AW50" s="8">
        <v>0.375</v>
      </c>
      <c r="AX50" s="8">
        <v>0.75</v>
      </c>
      <c r="AY50" s="8">
        <v>0.375</v>
      </c>
      <c r="AZ50" s="8">
        <v>0.75</v>
      </c>
      <c r="BA50" s="8">
        <v>0.375</v>
      </c>
      <c r="BB50" s="8">
        <v>0.75</v>
      </c>
      <c r="BC50" s="154" t="s">
        <v>23</v>
      </c>
      <c r="BD50" s="154" t="s">
        <v>23</v>
      </c>
      <c r="BE50" s="154" t="s">
        <v>23</v>
      </c>
      <c r="BF50" s="154" t="s">
        <v>23</v>
      </c>
      <c r="BG50" s="8">
        <v>0.5</v>
      </c>
      <c r="BH50" s="8">
        <v>0.875</v>
      </c>
      <c r="BI50" s="8">
        <v>0.5</v>
      </c>
      <c r="BJ50" s="8">
        <v>0.875</v>
      </c>
      <c r="BK50" s="8">
        <v>0.5</v>
      </c>
      <c r="BL50" s="8">
        <v>0.875</v>
      </c>
      <c r="BM50" s="8">
        <v>0.5</v>
      </c>
      <c r="BN50" s="8">
        <v>0.875</v>
      </c>
      <c r="BO50" s="8">
        <v>0.5</v>
      </c>
      <c r="BP50" s="8">
        <v>0.875</v>
      </c>
      <c r="BQ50" s="21">
        <f>IFERROR(__xludf.DUMMYFUNCTION("TO_PURE_NUMBER(SUM(FILTER(I50:BP50, ISEVEN(COLUMN(I50:BP50))))-SUM(FILTER(I50:BP50, ISODD(COLUMN(I50:BP50)))))*24"),198)</f>
        <v>198</v>
      </c>
    </row>
    <row r="51" customHeight="1" spans="1:69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8">
        <v>0.375</v>
      </c>
      <c r="H51" s="8">
        <v>0.791666666666667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0.458333333333333</v>
      </c>
      <c r="N51" s="8">
        <v>0.666666666666667</v>
      </c>
      <c r="O51" s="154" t="s">
        <v>23</v>
      </c>
      <c r="P51" s="154" t="s">
        <v>23</v>
      </c>
      <c r="Q51" s="154" t="s">
        <v>23</v>
      </c>
      <c r="R51" s="154" t="s">
        <v>23</v>
      </c>
      <c r="S51" s="8">
        <v>0.458333333333333</v>
      </c>
      <c r="T51" s="8">
        <v>0.875</v>
      </c>
      <c r="U51" s="8">
        <v>0.458333333333333</v>
      </c>
      <c r="V51" s="8">
        <v>0.875</v>
      </c>
      <c r="W51" s="8">
        <v>0.458333333333333</v>
      </c>
      <c r="X51" s="8">
        <v>0.875</v>
      </c>
      <c r="Y51" s="8">
        <v>0.458333333333333</v>
      </c>
      <c r="Z51" s="8">
        <v>0.875</v>
      </c>
      <c r="AA51" s="8">
        <v>0.458333333333333</v>
      </c>
      <c r="AB51" s="8">
        <v>0.666666666666667</v>
      </c>
      <c r="AC51" s="154" t="s">
        <v>23</v>
      </c>
      <c r="AD51" s="154" t="s">
        <v>23</v>
      </c>
      <c r="AE51" s="154" t="s">
        <v>23</v>
      </c>
      <c r="AF51" s="154" t="s">
        <v>23</v>
      </c>
      <c r="AG51" s="8">
        <v>0.375</v>
      </c>
      <c r="AH51" s="8">
        <v>0.791666666666667</v>
      </c>
      <c r="AI51" s="8">
        <v>0.375</v>
      </c>
      <c r="AJ51" s="8">
        <v>0.791666666666667</v>
      </c>
      <c r="AK51" s="8">
        <v>0.375</v>
      </c>
      <c r="AL51" s="8">
        <v>0.791666666666667</v>
      </c>
      <c r="AM51" s="8">
        <v>0.375</v>
      </c>
      <c r="AN51" s="8">
        <v>0.791666666666667</v>
      </c>
      <c r="AO51" s="8">
        <v>0.458333333333333</v>
      </c>
      <c r="AP51" s="8">
        <v>0.666666666666667</v>
      </c>
      <c r="AQ51" s="154" t="s">
        <v>23</v>
      </c>
      <c r="AR51" s="154" t="s">
        <v>23</v>
      </c>
      <c r="AS51" s="154" t="s">
        <v>23</v>
      </c>
      <c r="AT51" s="154" t="s">
        <v>23</v>
      </c>
      <c r="AU51" s="8">
        <v>0.458333333333333</v>
      </c>
      <c r="AV51" s="8">
        <v>0.875</v>
      </c>
      <c r="AW51" s="8">
        <v>0.458333333333333</v>
      </c>
      <c r="AX51" s="8">
        <v>0.875</v>
      </c>
      <c r="AY51" s="8">
        <v>0.458333333333333</v>
      </c>
      <c r="AZ51" s="8">
        <v>0.875</v>
      </c>
      <c r="BA51" s="8">
        <v>0.458333333333333</v>
      </c>
      <c r="BB51" s="8">
        <v>0.875</v>
      </c>
      <c r="BC51" s="8">
        <v>0.458333333333333</v>
      </c>
      <c r="BD51" s="8">
        <v>0.666666666666667</v>
      </c>
      <c r="BE51" s="154" t="s">
        <v>23</v>
      </c>
      <c r="BF51" s="154" t="s">
        <v>23</v>
      </c>
      <c r="BG51" s="154" t="s">
        <v>23</v>
      </c>
      <c r="BH51" s="154" t="s">
        <v>23</v>
      </c>
      <c r="BI51" s="8">
        <v>0.375</v>
      </c>
      <c r="BJ51" s="8">
        <v>0.791666666666667</v>
      </c>
      <c r="BK51" s="8">
        <v>0.375</v>
      </c>
      <c r="BL51" s="8">
        <v>0.791666666666667</v>
      </c>
      <c r="BM51" s="8">
        <v>0.375</v>
      </c>
      <c r="BN51" s="8">
        <v>0.791666666666667</v>
      </c>
      <c r="BO51" s="8">
        <v>0.375</v>
      </c>
      <c r="BP51" s="8">
        <v>0.791666666666667</v>
      </c>
      <c r="BQ51" s="21">
        <f>IFERROR(__xludf.DUMMYFUNCTION("TO_PURE_NUMBER(SUM(FILTER(I51:BP51, ISEVEN(COLUMN(I51:BP51))))-SUM(FILTER(I51:BP51, ISODD(COLUMN(I51:BP51)))))*24"),200)</f>
        <v>200</v>
      </c>
    </row>
    <row r="52" customHeight="1" spans="2:2">
      <c r="B52" s="155"/>
    </row>
    <row r="53" customHeight="1" spans="2:4">
      <c r="B53" s="155"/>
      <c r="C53" s="85"/>
      <c r="D53" s="85"/>
    </row>
    <row r="54" customHeight="1" spans="2:4">
      <c r="B54" s="155"/>
      <c r="C54" s="85"/>
      <c r="D54" s="85"/>
    </row>
    <row r="55" customHeight="1" spans="2:4">
      <c r="B55" s="155"/>
      <c r="C55" s="85"/>
      <c r="D55" s="85"/>
    </row>
    <row r="56" customHeight="1" spans="2:4">
      <c r="B56" s="155"/>
      <c r="C56" s="85"/>
      <c r="D56" s="85"/>
    </row>
    <row r="57" customHeight="1" spans="2:4">
      <c r="B57" s="155"/>
      <c r="C57" s="85"/>
      <c r="D57" s="85"/>
    </row>
    <row r="58" customHeight="1" spans="2:4">
      <c r="B58" s="155"/>
      <c r="C58" s="85"/>
      <c r="D58" s="85"/>
    </row>
    <row r="59" customHeight="1" spans="2:4">
      <c r="B59" s="155"/>
      <c r="C59" s="85"/>
      <c r="D59" s="85"/>
    </row>
    <row r="60" customHeight="1" spans="2:4">
      <c r="B60" s="155"/>
      <c r="C60" s="85"/>
      <c r="D60" s="85"/>
    </row>
    <row r="61" customHeight="1" spans="2:4">
      <c r="B61" s="155"/>
      <c r="C61" s="85"/>
      <c r="D61" s="85"/>
    </row>
    <row r="62" customHeight="1" spans="2:4">
      <c r="B62" s="155"/>
      <c r="C62" s="85"/>
      <c r="D62" s="85"/>
    </row>
    <row r="63" customHeight="1" spans="2:4">
      <c r="B63" s="155"/>
      <c r="C63" s="85"/>
      <c r="D63" s="85"/>
    </row>
    <row r="64" customHeight="1" spans="2:4">
      <c r="B64" s="155"/>
      <c r="C64" s="85"/>
      <c r="D64" s="85"/>
    </row>
    <row r="65" customHeight="1" spans="2:4">
      <c r="B65" s="155"/>
      <c r="C65" s="85"/>
      <c r="D65" s="85"/>
    </row>
    <row r="66" customHeight="1" spans="2:4">
      <c r="B66" s="155"/>
      <c r="C66" s="85"/>
      <c r="D66" s="85"/>
    </row>
    <row r="67" customHeight="1" spans="2:4">
      <c r="B67" s="155"/>
      <c r="C67" s="85"/>
      <c r="D67" s="85"/>
    </row>
    <row r="68" customHeight="1" spans="2:4">
      <c r="B68" s="155"/>
      <c r="C68" s="85"/>
      <c r="D68" s="85"/>
    </row>
    <row r="69" customHeight="1" spans="2:4">
      <c r="B69" s="155"/>
      <c r="C69" s="85"/>
      <c r="D69" s="85"/>
    </row>
    <row r="70" customHeight="1" spans="2:4">
      <c r="B70" s="155"/>
      <c r="C70" s="85"/>
      <c r="D70" s="85"/>
    </row>
    <row r="71" customHeight="1" spans="2:4">
      <c r="B71" s="155"/>
      <c r="C71" s="85"/>
      <c r="D71" s="85"/>
    </row>
    <row r="72" customHeight="1" spans="2:4">
      <c r="B72" s="155"/>
      <c r="C72" s="85"/>
      <c r="D72" s="85"/>
    </row>
    <row r="73" customHeight="1" spans="2:4">
      <c r="B73" s="155"/>
      <c r="C73" s="85"/>
      <c r="D73" s="85"/>
    </row>
    <row r="74" customHeight="1" spans="2:4">
      <c r="B74" s="155"/>
      <c r="C74" s="85"/>
      <c r="D74" s="85"/>
    </row>
    <row r="75" customHeight="1" spans="2:4">
      <c r="B75" s="155"/>
      <c r="C75" s="85"/>
      <c r="D75" s="85"/>
    </row>
    <row r="76" customHeight="1" spans="2:4">
      <c r="B76" s="155"/>
      <c r="C76" s="85"/>
      <c r="D76" s="85"/>
    </row>
    <row r="77" customHeight="1" spans="2:4">
      <c r="B77" s="155"/>
      <c r="C77" s="85"/>
      <c r="D77" s="85"/>
    </row>
    <row r="78" customHeight="1" spans="2:4">
      <c r="B78" s="155"/>
      <c r="C78" s="85"/>
      <c r="D78" s="85"/>
    </row>
    <row r="79" customHeight="1" spans="2:4">
      <c r="B79" s="155"/>
      <c r="C79" s="85"/>
      <c r="D79" s="85"/>
    </row>
    <row r="80" customHeight="1" spans="2:4">
      <c r="B80" s="155"/>
      <c r="C80" s="85"/>
      <c r="D80" s="85"/>
    </row>
    <row r="81" customHeight="1" spans="2:4">
      <c r="B81" s="155"/>
      <c r="C81" s="85"/>
      <c r="D81" s="85"/>
    </row>
    <row r="82" customHeight="1" spans="2:4">
      <c r="B82" s="155"/>
      <c r="C82" s="85"/>
      <c r="D82" s="85"/>
    </row>
    <row r="83" customHeight="1" spans="2:4">
      <c r="B83" s="155"/>
      <c r="C83" s="85"/>
      <c r="D83" s="85"/>
    </row>
    <row r="84" customHeight="1" spans="2:4">
      <c r="B84" s="155"/>
      <c r="C84" s="85"/>
      <c r="D84" s="85"/>
    </row>
    <row r="85" customHeight="1" spans="2:4">
      <c r="B85" s="155"/>
      <c r="C85" s="85"/>
      <c r="D85" s="85"/>
    </row>
    <row r="86" customHeight="1" spans="2:4">
      <c r="B86" s="155"/>
      <c r="C86" s="85"/>
      <c r="D86" s="85"/>
    </row>
    <row r="87" customHeight="1" spans="2:4">
      <c r="B87" s="155"/>
      <c r="C87" s="85"/>
      <c r="D87" s="85"/>
    </row>
    <row r="88" customHeight="1" spans="2:4">
      <c r="B88" s="155"/>
      <c r="C88" s="85"/>
      <c r="D88" s="85"/>
    </row>
    <row r="89" customHeight="1" spans="2:4">
      <c r="B89" s="155"/>
      <c r="C89" s="85"/>
      <c r="D89" s="85"/>
    </row>
    <row r="90" customHeight="1" spans="2:4">
      <c r="B90" s="155"/>
      <c r="C90" s="85"/>
      <c r="D90" s="85"/>
    </row>
    <row r="91" customHeight="1" spans="2:4">
      <c r="B91" s="155"/>
      <c r="C91" s="85"/>
      <c r="D91" s="85"/>
    </row>
    <row r="92" customHeight="1" spans="2:4">
      <c r="B92" s="155"/>
      <c r="C92" s="85"/>
      <c r="D92" s="85"/>
    </row>
    <row r="93" customHeight="1" spans="2:4">
      <c r="B93" s="155"/>
      <c r="C93" s="85"/>
      <c r="D93" s="85"/>
    </row>
    <row r="94" customHeight="1" spans="2:4">
      <c r="B94" s="155"/>
      <c r="C94" s="85"/>
      <c r="D94" s="85"/>
    </row>
    <row r="95" customHeight="1" spans="2:4">
      <c r="B95" s="155"/>
      <c r="C95" s="85"/>
      <c r="D95" s="85"/>
    </row>
    <row r="96" customHeight="1" spans="2:4">
      <c r="B96" s="155"/>
      <c r="C96" s="85"/>
      <c r="D96" s="85"/>
    </row>
    <row r="97" customHeight="1" spans="2:4">
      <c r="B97" s="155"/>
      <c r="C97" s="85"/>
      <c r="D97" s="85"/>
    </row>
    <row r="98" customHeight="1" spans="2:4">
      <c r="B98" s="155"/>
      <c r="C98" s="85"/>
      <c r="D98" s="85"/>
    </row>
    <row r="99" customHeight="1" spans="2:4">
      <c r="B99" s="155"/>
      <c r="C99" s="85"/>
      <c r="D99" s="85"/>
    </row>
    <row r="100" customHeight="1" spans="2:4">
      <c r="B100" s="155"/>
      <c r="C100" s="85"/>
      <c r="D100" s="85"/>
    </row>
    <row r="101" customHeight="1" spans="2:4">
      <c r="B101" s="155"/>
      <c r="C101" s="85"/>
      <c r="D101" s="85"/>
    </row>
    <row r="102" customHeight="1" spans="2:4">
      <c r="B102" s="155"/>
      <c r="C102" s="85"/>
      <c r="D102" s="85"/>
    </row>
    <row r="103" customHeight="1" spans="2:4">
      <c r="B103" s="155"/>
      <c r="C103" s="85"/>
      <c r="D103" s="85"/>
    </row>
    <row r="104" customHeight="1" spans="2:4">
      <c r="B104" s="155"/>
      <c r="C104" s="85"/>
      <c r="D104" s="85"/>
    </row>
    <row r="105" customHeight="1" spans="2:4">
      <c r="B105" s="155"/>
      <c r="C105" s="85"/>
      <c r="D105" s="85"/>
    </row>
    <row r="106" customHeight="1" spans="2:4">
      <c r="B106" s="155"/>
      <c r="C106" s="85"/>
      <c r="D106" s="85"/>
    </row>
    <row r="107" customHeight="1" spans="2:4">
      <c r="B107" s="155"/>
      <c r="C107" s="85"/>
      <c r="D107" s="85"/>
    </row>
    <row r="108" customHeight="1" spans="2:4">
      <c r="B108" s="155"/>
      <c r="C108" s="85"/>
      <c r="D108" s="85"/>
    </row>
    <row r="109" customHeight="1" spans="2:4">
      <c r="B109" s="155"/>
      <c r="C109" s="85"/>
      <c r="D109" s="85"/>
    </row>
    <row r="110" customHeight="1" spans="2:4">
      <c r="B110" s="155"/>
      <c r="C110" s="85"/>
      <c r="D110" s="85"/>
    </row>
    <row r="111" customHeight="1" spans="2:4">
      <c r="B111" s="155"/>
      <c r="C111" s="85"/>
      <c r="D111" s="85"/>
    </row>
    <row r="112" customHeight="1" spans="2:4">
      <c r="B112" s="155"/>
      <c r="C112" s="85"/>
      <c r="D112" s="85"/>
    </row>
    <row r="113" customHeight="1" spans="2:4">
      <c r="B113" s="155"/>
      <c r="C113" s="85"/>
      <c r="D113" s="85"/>
    </row>
    <row r="114" customHeight="1" spans="2:4">
      <c r="B114" s="155"/>
      <c r="C114" s="85"/>
      <c r="D114" s="85"/>
    </row>
    <row r="115" customHeight="1" spans="2:4">
      <c r="B115" s="155"/>
      <c r="C115" s="85"/>
      <c r="D115" s="85"/>
    </row>
    <row r="116" customHeight="1" spans="2:4">
      <c r="B116" s="155"/>
      <c r="C116" s="85"/>
      <c r="D116" s="85"/>
    </row>
    <row r="117" customHeight="1" spans="2:4">
      <c r="B117" s="155"/>
      <c r="C117" s="85"/>
      <c r="D117" s="85"/>
    </row>
    <row r="118" customHeight="1" spans="2:4">
      <c r="B118" s="155"/>
      <c r="C118" s="85"/>
      <c r="D118" s="85"/>
    </row>
    <row r="119" customHeight="1" spans="2:4">
      <c r="B119" s="155"/>
      <c r="C119" s="85"/>
      <c r="D119" s="85"/>
    </row>
    <row r="120" customHeight="1" spans="2:4">
      <c r="B120" s="155"/>
      <c r="C120" s="85"/>
      <c r="D120" s="85"/>
    </row>
    <row r="121" customHeight="1" spans="2:4">
      <c r="B121" s="155"/>
      <c r="C121" s="85"/>
      <c r="D121" s="85"/>
    </row>
    <row r="122" customHeight="1" spans="2:4">
      <c r="B122" s="155"/>
      <c r="C122" s="85"/>
      <c r="D122" s="85"/>
    </row>
    <row r="123" customHeight="1" spans="2:4">
      <c r="B123" s="155"/>
      <c r="C123" s="85"/>
      <c r="D123" s="85"/>
    </row>
    <row r="124" customHeight="1" spans="2:4">
      <c r="B124" s="155"/>
      <c r="C124" s="85"/>
      <c r="D124" s="85"/>
    </row>
    <row r="125" customHeight="1" spans="2:4">
      <c r="B125" s="155"/>
      <c r="C125" s="85"/>
      <c r="D125" s="85"/>
    </row>
    <row r="126" customHeight="1" spans="2:4">
      <c r="B126" s="155"/>
      <c r="C126" s="85"/>
      <c r="D126" s="85"/>
    </row>
    <row r="127" customHeight="1" spans="2:4">
      <c r="B127" s="155"/>
      <c r="C127" s="85"/>
      <c r="D127" s="85"/>
    </row>
    <row r="128" customHeight="1" spans="2:4">
      <c r="B128" s="155"/>
      <c r="C128" s="85"/>
      <c r="D128" s="85"/>
    </row>
    <row r="129" customHeight="1" spans="2:4">
      <c r="B129" s="155"/>
      <c r="C129" s="85"/>
      <c r="D129" s="85"/>
    </row>
    <row r="130" customHeight="1" spans="2:4">
      <c r="B130" s="155"/>
      <c r="C130" s="85"/>
      <c r="D130" s="85"/>
    </row>
    <row r="131" customHeight="1" spans="2:4">
      <c r="B131" s="155"/>
      <c r="C131" s="85"/>
      <c r="D131" s="85"/>
    </row>
    <row r="132" customHeight="1" spans="2:4">
      <c r="B132" s="155"/>
      <c r="C132" s="85"/>
      <c r="D132" s="85"/>
    </row>
    <row r="133" customHeight="1" spans="2:4">
      <c r="B133" s="155"/>
      <c r="C133" s="85"/>
      <c r="D133" s="85"/>
    </row>
    <row r="134" customHeight="1" spans="2:4">
      <c r="B134" s="155"/>
      <c r="C134" s="85"/>
      <c r="D134" s="85"/>
    </row>
    <row r="135" customHeight="1" spans="2:4">
      <c r="B135" s="155"/>
      <c r="C135" s="85"/>
      <c r="D135" s="85"/>
    </row>
    <row r="136" customHeight="1" spans="2:4">
      <c r="B136" s="155"/>
      <c r="C136" s="85"/>
      <c r="D136" s="85"/>
    </row>
    <row r="137" customHeight="1" spans="2:4">
      <c r="B137" s="155"/>
      <c r="C137" s="85"/>
      <c r="D137" s="85"/>
    </row>
    <row r="138" customHeight="1" spans="2:4">
      <c r="B138" s="155"/>
      <c r="C138" s="85"/>
      <c r="D138" s="85"/>
    </row>
    <row r="139" customHeight="1" spans="2:4">
      <c r="B139" s="155"/>
      <c r="C139" s="85"/>
      <c r="D139" s="85"/>
    </row>
    <row r="140" customHeight="1" spans="2:4">
      <c r="B140" s="155"/>
      <c r="C140" s="85"/>
      <c r="D140" s="85"/>
    </row>
    <row r="141" customHeight="1" spans="2:4">
      <c r="B141" s="155"/>
      <c r="C141" s="85"/>
      <c r="D141" s="85"/>
    </row>
    <row r="142" customHeight="1" spans="2:4">
      <c r="B142" s="155"/>
      <c r="C142" s="85"/>
      <c r="D142" s="85"/>
    </row>
    <row r="143" customHeight="1" spans="2:4">
      <c r="B143" s="155"/>
      <c r="C143" s="85"/>
      <c r="D143" s="85"/>
    </row>
    <row r="144" customHeight="1" spans="2:4">
      <c r="B144" s="155"/>
      <c r="C144" s="85"/>
      <c r="D144" s="85"/>
    </row>
    <row r="145" customHeight="1" spans="2:4">
      <c r="B145" s="155"/>
      <c r="C145" s="85"/>
      <c r="D145" s="85"/>
    </row>
    <row r="146" customHeight="1" spans="2:4">
      <c r="B146" s="155"/>
      <c r="C146" s="85"/>
      <c r="D146" s="85"/>
    </row>
    <row r="147" customHeight="1" spans="2:4">
      <c r="B147" s="155"/>
      <c r="C147" s="85"/>
      <c r="D147" s="85"/>
    </row>
    <row r="148" customHeight="1" spans="2:4">
      <c r="B148" s="155"/>
      <c r="C148" s="85"/>
      <c r="D148" s="85"/>
    </row>
    <row r="149" customHeight="1" spans="2:4">
      <c r="B149" s="155"/>
      <c r="C149" s="85"/>
      <c r="D149" s="85"/>
    </row>
    <row r="150" customHeight="1" spans="2:4">
      <c r="B150" s="155"/>
      <c r="C150" s="85"/>
      <c r="D150" s="85"/>
    </row>
    <row r="151" customHeight="1" spans="2:4">
      <c r="B151" s="155"/>
      <c r="C151" s="85"/>
      <c r="D151" s="85"/>
    </row>
    <row r="152" customHeight="1" spans="2:4">
      <c r="B152" s="155"/>
      <c r="C152" s="85"/>
      <c r="D152" s="85"/>
    </row>
    <row r="153" customHeight="1" spans="2:4">
      <c r="B153" s="155"/>
      <c r="C153" s="85"/>
      <c r="D153" s="85"/>
    </row>
    <row r="154" customHeight="1" spans="2:4">
      <c r="B154" s="155"/>
      <c r="C154" s="85"/>
      <c r="D154" s="85"/>
    </row>
    <row r="155" customHeight="1" spans="2:4">
      <c r="B155" s="155"/>
      <c r="C155" s="85"/>
      <c r="D155" s="85"/>
    </row>
    <row r="156" customHeight="1" spans="2:4">
      <c r="B156" s="155"/>
      <c r="C156" s="85"/>
      <c r="D156" s="85"/>
    </row>
    <row r="157" customHeight="1" spans="2:4">
      <c r="B157" s="155"/>
      <c r="C157" s="85"/>
      <c r="D157" s="85"/>
    </row>
    <row r="158" customHeight="1" spans="2:4">
      <c r="B158" s="155"/>
      <c r="C158" s="85"/>
      <c r="D158" s="85"/>
    </row>
    <row r="159" customHeight="1" spans="2:4">
      <c r="B159" s="155"/>
      <c r="C159" s="85"/>
      <c r="D159" s="85"/>
    </row>
    <row r="160" customHeight="1" spans="2:4">
      <c r="B160" s="155"/>
      <c r="C160" s="85"/>
      <c r="D160" s="85"/>
    </row>
    <row r="161" customHeight="1" spans="2:4">
      <c r="B161" s="155"/>
      <c r="C161" s="85"/>
      <c r="D161" s="85"/>
    </row>
    <row r="162" customHeight="1" spans="2:4">
      <c r="B162" s="155"/>
      <c r="C162" s="85"/>
      <c r="D162" s="85"/>
    </row>
    <row r="163" customHeight="1" spans="2:4">
      <c r="B163" s="155"/>
      <c r="C163" s="85"/>
      <c r="D163" s="85"/>
    </row>
    <row r="164" customHeight="1" spans="2:4">
      <c r="B164" s="155"/>
      <c r="C164" s="85"/>
      <c r="D164" s="85"/>
    </row>
    <row r="165" customHeight="1" spans="2:2">
      <c r="B165" s="155"/>
    </row>
    <row r="166" customHeight="1" spans="2:2">
      <c r="B166" s="155"/>
    </row>
    <row r="167" customHeight="1" spans="2:2">
      <c r="B167" s="155"/>
    </row>
    <row r="168" customHeight="1" spans="2:4">
      <c r="B168" s="155"/>
      <c r="C168" s="85"/>
      <c r="D168" s="85"/>
    </row>
    <row r="169" customHeight="1" spans="2:4">
      <c r="B169" s="155"/>
      <c r="C169" s="85"/>
      <c r="D169" s="85"/>
    </row>
    <row r="170" customHeight="1" spans="2:4">
      <c r="B170" s="155"/>
      <c r="C170" s="85"/>
      <c r="D170" s="85"/>
    </row>
    <row r="171" customHeight="1" spans="2:4">
      <c r="B171" s="155"/>
      <c r="C171" s="85"/>
      <c r="D171" s="85"/>
    </row>
    <row r="172" customHeight="1" spans="2:4">
      <c r="B172" s="155"/>
      <c r="C172" s="85"/>
      <c r="D172" s="85"/>
    </row>
    <row r="173" customHeight="1" spans="2:4">
      <c r="B173" s="155"/>
      <c r="C173" s="85"/>
      <c r="D173" s="85"/>
    </row>
    <row r="174" customHeight="1" spans="2:4">
      <c r="B174" s="155"/>
      <c r="C174" s="85"/>
      <c r="D174" s="85"/>
    </row>
    <row r="175" customHeight="1" spans="2:4">
      <c r="B175" s="155"/>
      <c r="C175" s="85"/>
      <c r="D175" s="85"/>
    </row>
    <row r="176" customHeight="1" spans="2:4">
      <c r="B176" s="155"/>
      <c r="C176" s="85"/>
      <c r="D176" s="85"/>
    </row>
    <row r="177" customHeight="1" spans="2:4">
      <c r="B177" s="155"/>
      <c r="C177" s="85"/>
      <c r="D177" s="85"/>
    </row>
    <row r="178" customHeight="1" spans="2:4">
      <c r="B178" s="155"/>
      <c r="C178" s="85"/>
      <c r="D178" s="85"/>
    </row>
    <row r="179" customHeight="1" spans="2:4">
      <c r="B179" s="155"/>
      <c r="C179" s="85"/>
      <c r="D179" s="85"/>
    </row>
    <row r="180" customHeight="1" spans="2:4">
      <c r="B180" s="155"/>
      <c r="C180" s="85"/>
      <c r="D180" s="85"/>
    </row>
    <row r="181" customHeight="1" spans="2:4">
      <c r="B181" s="155"/>
      <c r="C181" s="85"/>
      <c r="D181" s="85"/>
    </row>
    <row r="182" customHeight="1" spans="2:4">
      <c r="B182" s="155"/>
      <c r="C182" s="85"/>
      <c r="D182" s="85"/>
    </row>
    <row r="183" customHeight="1" spans="2:4">
      <c r="B183" s="155"/>
      <c r="C183" s="85"/>
      <c r="D183" s="85"/>
    </row>
    <row r="184" customHeight="1" spans="2:4">
      <c r="B184" s="155"/>
      <c r="C184" s="85"/>
      <c r="D184" s="85"/>
    </row>
    <row r="185" customHeight="1" spans="2:4">
      <c r="B185" s="155"/>
      <c r="C185" s="85"/>
      <c r="D185" s="85"/>
    </row>
    <row r="186" customHeight="1" spans="2:4">
      <c r="B186" s="155"/>
      <c r="C186" s="85"/>
      <c r="D186" s="85"/>
    </row>
    <row r="187" customHeight="1" spans="2:4">
      <c r="B187" s="155"/>
      <c r="C187" s="85"/>
      <c r="D187" s="85"/>
    </row>
    <row r="188" customHeight="1" spans="2:4">
      <c r="B188" s="155"/>
      <c r="C188" s="85"/>
      <c r="D188" s="85"/>
    </row>
    <row r="189" customHeight="1" spans="2:4">
      <c r="B189" s="155"/>
      <c r="C189" s="85"/>
      <c r="D189" s="85"/>
    </row>
    <row r="190" customHeight="1" spans="2:4">
      <c r="B190" s="155"/>
      <c r="C190" s="85"/>
      <c r="D190" s="85"/>
    </row>
    <row r="191" customHeight="1" spans="2:4">
      <c r="B191" s="155"/>
      <c r="C191" s="85"/>
      <c r="D191" s="85"/>
    </row>
    <row r="192" customHeight="1" spans="2:4">
      <c r="B192" s="155"/>
      <c r="C192" s="85"/>
      <c r="D192" s="85"/>
    </row>
    <row r="193" customHeight="1" spans="2:4">
      <c r="B193" s="155"/>
      <c r="C193" s="85"/>
      <c r="D193" s="85"/>
    </row>
    <row r="194" customHeight="1" spans="2:4">
      <c r="B194" s="155"/>
      <c r="C194" s="85"/>
      <c r="D194" s="85"/>
    </row>
    <row r="195" customHeight="1" spans="2:4">
      <c r="B195" s="155"/>
      <c r="C195" s="85"/>
      <c r="D195" s="85"/>
    </row>
    <row r="196" customHeight="1" spans="2:4">
      <c r="B196" s="155"/>
      <c r="C196" s="85"/>
      <c r="D196" s="85"/>
    </row>
    <row r="197" customHeight="1" spans="2:4">
      <c r="B197" s="155"/>
      <c r="C197" s="85"/>
      <c r="D197" s="85"/>
    </row>
    <row r="198" customHeight="1" spans="2:4">
      <c r="B198" s="155"/>
      <c r="C198" s="85"/>
      <c r="D198" s="85"/>
    </row>
    <row r="199" customHeight="1" spans="2:4">
      <c r="B199" s="155"/>
      <c r="C199" s="85"/>
      <c r="D199" s="85"/>
    </row>
    <row r="200" customHeight="1" spans="2:4">
      <c r="B200" s="155"/>
      <c r="C200" s="85"/>
      <c r="D200" s="85"/>
    </row>
    <row r="201" customHeight="1" spans="2:4">
      <c r="B201" s="155"/>
      <c r="C201" s="85"/>
      <c r="D201" s="85"/>
    </row>
    <row r="202" customHeight="1" spans="2:4">
      <c r="B202" s="155"/>
      <c r="C202" s="85"/>
      <c r="D202" s="85"/>
    </row>
    <row r="203" customHeight="1" spans="2:4">
      <c r="B203" s="155"/>
      <c r="C203" s="85"/>
      <c r="D203" s="85"/>
    </row>
    <row r="204" customHeight="1" spans="2:4">
      <c r="B204" s="155"/>
      <c r="C204" s="85"/>
      <c r="D204" s="85"/>
    </row>
    <row r="205" customHeight="1" spans="2:4">
      <c r="B205" s="155"/>
      <c r="C205" s="85"/>
      <c r="D205" s="85"/>
    </row>
    <row r="206" customHeight="1" spans="2:4">
      <c r="B206" s="155"/>
      <c r="C206" s="85"/>
      <c r="D206" s="85"/>
    </row>
    <row r="207" customHeight="1" spans="2:4">
      <c r="B207" s="155"/>
      <c r="C207" s="85"/>
      <c r="D207" s="85"/>
    </row>
    <row r="208" customHeight="1" spans="2:4">
      <c r="B208" s="155"/>
      <c r="C208" s="85"/>
      <c r="D208" s="85"/>
    </row>
    <row r="209" customHeight="1" spans="2:4">
      <c r="B209" s="155"/>
      <c r="C209" s="85"/>
      <c r="D209" s="85"/>
    </row>
    <row r="210" customHeight="1" spans="2:4">
      <c r="B210" s="155"/>
      <c r="C210" s="85"/>
      <c r="D210" s="85"/>
    </row>
    <row r="211" customHeight="1" spans="2:4">
      <c r="B211" s="155"/>
      <c r="C211" s="85"/>
      <c r="D211" s="85"/>
    </row>
    <row r="212" customHeight="1" spans="2:4">
      <c r="B212" s="155"/>
      <c r="C212" s="85"/>
      <c r="D212" s="85"/>
    </row>
    <row r="213" customHeight="1" spans="2:4">
      <c r="B213" s="155"/>
      <c r="C213" s="85"/>
      <c r="D213" s="85"/>
    </row>
    <row r="214" customHeight="1" spans="2:4">
      <c r="B214" s="155"/>
      <c r="C214" s="85"/>
      <c r="D214" s="85"/>
    </row>
    <row r="215" customHeight="1" spans="2:4">
      <c r="B215" s="155"/>
      <c r="C215" s="85"/>
      <c r="D215" s="85"/>
    </row>
    <row r="216" customHeight="1" spans="2:4">
      <c r="B216" s="155"/>
      <c r="C216" s="85"/>
      <c r="D216" s="85"/>
    </row>
    <row r="217" customHeight="1" spans="2:4">
      <c r="B217" s="155"/>
      <c r="C217" s="85"/>
      <c r="D217" s="85"/>
    </row>
    <row r="218" customHeight="1" spans="2:4">
      <c r="B218" s="155"/>
      <c r="C218" s="85"/>
      <c r="D218" s="85"/>
    </row>
    <row r="219" customHeight="1" spans="2:4">
      <c r="B219" s="155"/>
      <c r="C219" s="85"/>
      <c r="D219" s="85"/>
    </row>
    <row r="220" customHeight="1" spans="2:4">
      <c r="B220" s="155"/>
      <c r="C220" s="85"/>
      <c r="D220" s="85"/>
    </row>
    <row r="221" customHeight="1" spans="2:4">
      <c r="B221" s="155"/>
      <c r="C221" s="85"/>
      <c r="D221" s="85"/>
    </row>
    <row r="222" customHeight="1" spans="2:4">
      <c r="B222" s="155"/>
      <c r="C222" s="85"/>
      <c r="D222" s="85"/>
    </row>
    <row r="223" customHeight="1" spans="2:4">
      <c r="B223" s="155"/>
      <c r="C223" s="85"/>
      <c r="D223" s="85"/>
    </row>
    <row r="224" customHeight="1" spans="2:4">
      <c r="B224" s="155"/>
      <c r="C224" s="85"/>
      <c r="D224" s="85"/>
    </row>
    <row r="225" customHeight="1" spans="2:4">
      <c r="B225" s="155"/>
      <c r="C225" s="85"/>
      <c r="D225" s="85"/>
    </row>
    <row r="226" customHeight="1" spans="2:4">
      <c r="B226" s="155"/>
      <c r="C226" s="85"/>
      <c r="D226" s="85"/>
    </row>
    <row r="227" customHeight="1" spans="2:4">
      <c r="B227" s="155"/>
      <c r="C227" s="85"/>
      <c r="D227" s="85"/>
    </row>
    <row r="228" customHeight="1" spans="2:4">
      <c r="B228" s="155"/>
      <c r="C228" s="85"/>
      <c r="D228" s="85"/>
    </row>
    <row r="229" customHeight="1" spans="2:4">
      <c r="B229" s="155"/>
      <c r="C229" s="85"/>
      <c r="D229" s="85"/>
    </row>
    <row r="230" customHeight="1" spans="2:4">
      <c r="B230" s="155"/>
      <c r="C230" s="85"/>
      <c r="D230" s="85"/>
    </row>
    <row r="231" customHeight="1" spans="2:4">
      <c r="B231" s="155"/>
      <c r="C231" s="85"/>
      <c r="D231" s="85"/>
    </row>
    <row r="232" customHeight="1" spans="2:4">
      <c r="B232" s="155"/>
      <c r="C232" s="85"/>
      <c r="D232" s="85"/>
    </row>
    <row r="233" customHeight="1" spans="2:4">
      <c r="B233" s="155"/>
      <c r="C233" s="85"/>
      <c r="D233" s="85"/>
    </row>
    <row r="234" customHeight="1" spans="2:4">
      <c r="B234" s="155"/>
      <c r="C234" s="85"/>
      <c r="D234" s="85"/>
    </row>
    <row r="235" customHeight="1" spans="2:4">
      <c r="B235" s="155"/>
      <c r="C235" s="85"/>
      <c r="D235" s="85"/>
    </row>
    <row r="236" customHeight="1" spans="2:4">
      <c r="B236" s="155"/>
      <c r="C236" s="85"/>
      <c r="D236" s="85"/>
    </row>
    <row r="237" customHeight="1" spans="2:4">
      <c r="B237" s="155"/>
      <c r="C237" s="85"/>
      <c r="D237" s="85"/>
    </row>
    <row r="238" customHeight="1" spans="2:4">
      <c r="B238" s="155"/>
      <c r="C238" s="85"/>
      <c r="D238" s="85"/>
    </row>
    <row r="239" customHeight="1" spans="2:4">
      <c r="B239" s="155"/>
      <c r="C239" s="85"/>
      <c r="D239" s="85"/>
    </row>
    <row r="240" customHeight="1" spans="2:4">
      <c r="B240" s="155"/>
      <c r="C240" s="85"/>
      <c r="D240" s="85"/>
    </row>
    <row r="241" customHeight="1" spans="2:4">
      <c r="B241" s="155"/>
      <c r="C241" s="85"/>
      <c r="D241" s="85"/>
    </row>
    <row r="242" customHeight="1" spans="2:4">
      <c r="B242" s="155"/>
      <c r="C242" s="85"/>
      <c r="D242" s="85"/>
    </row>
    <row r="243" customHeight="1" spans="2:4">
      <c r="B243" s="155"/>
      <c r="C243" s="85"/>
      <c r="D243" s="85"/>
    </row>
    <row r="244" customHeight="1" spans="2:4">
      <c r="B244" s="155"/>
      <c r="C244" s="85"/>
      <c r="D244" s="85"/>
    </row>
    <row r="245" customHeight="1" spans="2:4">
      <c r="B245" s="155"/>
      <c r="C245" s="85"/>
      <c r="D245" s="85"/>
    </row>
    <row r="246" customHeight="1" spans="2:4">
      <c r="B246" s="155"/>
      <c r="C246" s="85"/>
      <c r="D246" s="85"/>
    </row>
    <row r="247" customHeight="1" spans="2:4">
      <c r="B247" s="155"/>
      <c r="C247" s="85"/>
      <c r="D247" s="85"/>
    </row>
    <row r="248" customHeight="1" spans="2:4">
      <c r="B248" s="155"/>
      <c r="C248" s="85"/>
      <c r="D248" s="85"/>
    </row>
    <row r="249" customHeight="1" spans="2:4">
      <c r="B249" s="155"/>
      <c r="C249" s="85"/>
      <c r="D249" s="85"/>
    </row>
    <row r="250" customHeight="1" spans="2:4">
      <c r="B250" s="155"/>
      <c r="C250" s="85"/>
      <c r="D250" s="85"/>
    </row>
    <row r="251" customHeight="1" spans="2:4">
      <c r="B251" s="155"/>
      <c r="C251" s="85"/>
      <c r="D251" s="85"/>
    </row>
    <row r="252" customHeight="1" spans="2:4">
      <c r="B252" s="155"/>
      <c r="C252" s="85"/>
      <c r="D252" s="85"/>
    </row>
    <row r="253" customHeight="1" spans="2:4">
      <c r="B253" s="155"/>
      <c r="C253" s="85"/>
      <c r="D253" s="85"/>
    </row>
    <row r="254" customHeight="1" spans="2:4">
      <c r="B254" s="155"/>
      <c r="C254" s="85"/>
      <c r="D254" s="85"/>
    </row>
    <row r="255" customHeight="1" spans="2:4">
      <c r="B255" s="155"/>
      <c r="C255" s="85"/>
      <c r="D255" s="85"/>
    </row>
    <row r="256" customHeight="1" spans="2:4">
      <c r="B256" s="155"/>
      <c r="C256" s="85"/>
      <c r="D256" s="85"/>
    </row>
    <row r="257" customHeight="1" spans="2:4">
      <c r="B257" s="155"/>
      <c r="C257" s="85"/>
      <c r="D257" s="85"/>
    </row>
    <row r="258" customHeight="1" spans="2:4">
      <c r="B258" s="155"/>
      <c r="C258" s="85"/>
      <c r="D258" s="85"/>
    </row>
    <row r="259" customHeight="1" spans="2:4">
      <c r="B259" s="155"/>
      <c r="C259" s="85"/>
      <c r="D259" s="85"/>
    </row>
    <row r="260" customHeight="1" spans="2:4">
      <c r="B260" s="155"/>
      <c r="C260" s="85"/>
      <c r="D260" s="85"/>
    </row>
    <row r="261" customHeight="1" spans="2:4">
      <c r="B261" s="155"/>
      <c r="C261" s="85"/>
      <c r="D261" s="85"/>
    </row>
    <row r="262" customHeight="1" spans="2:4">
      <c r="B262" s="155"/>
      <c r="C262" s="85"/>
      <c r="D262" s="85"/>
    </row>
    <row r="263" customHeight="1" spans="2:4">
      <c r="B263" s="155"/>
      <c r="C263" s="85"/>
      <c r="D263" s="85"/>
    </row>
    <row r="264" customHeight="1" spans="2:4">
      <c r="B264" s="155"/>
      <c r="C264" s="85"/>
      <c r="D264" s="85"/>
    </row>
    <row r="265" customHeight="1" spans="2:4">
      <c r="B265" s="155"/>
      <c r="C265" s="85"/>
      <c r="D265" s="85"/>
    </row>
    <row r="266" customHeight="1" spans="2:4">
      <c r="B266" s="155"/>
      <c r="C266" s="85"/>
      <c r="D266" s="85"/>
    </row>
    <row r="267" customHeight="1" spans="2:4">
      <c r="B267" s="155"/>
      <c r="C267" s="85"/>
      <c r="D267" s="85"/>
    </row>
    <row r="268" customHeight="1" spans="2:4">
      <c r="B268" s="155"/>
      <c r="C268" s="85"/>
      <c r="D268" s="85"/>
    </row>
    <row r="269" customHeight="1" spans="2:4">
      <c r="B269" s="155"/>
      <c r="C269" s="85"/>
      <c r="D269" s="85"/>
    </row>
    <row r="270" customHeight="1" spans="2:4">
      <c r="B270" s="155"/>
      <c r="C270" s="85"/>
      <c r="D270" s="85"/>
    </row>
    <row r="271" customHeight="1" spans="2:4">
      <c r="B271" s="155"/>
      <c r="C271" s="85"/>
      <c r="D271" s="85"/>
    </row>
    <row r="272" customHeight="1" spans="2:4">
      <c r="B272" s="155"/>
      <c r="C272" s="85"/>
      <c r="D272" s="85"/>
    </row>
    <row r="273" customHeight="1" spans="2:4">
      <c r="B273" s="155"/>
      <c r="C273" s="85"/>
      <c r="D273" s="85"/>
    </row>
    <row r="274" customHeight="1" spans="2:4">
      <c r="B274" s="155"/>
      <c r="C274" s="85"/>
      <c r="D274" s="85"/>
    </row>
    <row r="275" customHeight="1" spans="2:4">
      <c r="B275" s="155"/>
      <c r="C275" s="85"/>
      <c r="D275" s="85"/>
    </row>
    <row r="276" customHeight="1" spans="2:4">
      <c r="B276" s="155"/>
      <c r="C276" s="85"/>
      <c r="D276" s="85"/>
    </row>
    <row r="277" customHeight="1" spans="2:4">
      <c r="B277" s="155"/>
      <c r="C277" s="85"/>
      <c r="D277" s="85"/>
    </row>
    <row r="278" customHeight="1" spans="2:4">
      <c r="B278" s="155"/>
      <c r="C278" s="85"/>
      <c r="D278" s="85"/>
    </row>
    <row r="279" customHeight="1" spans="2:4">
      <c r="B279" s="155"/>
      <c r="C279" s="85"/>
      <c r="D279" s="85"/>
    </row>
    <row r="280" customHeight="1" spans="2:4">
      <c r="B280" s="155"/>
      <c r="C280" s="85"/>
      <c r="D280" s="85"/>
    </row>
    <row r="281" customHeight="1" spans="2:4">
      <c r="B281" s="155"/>
      <c r="C281" s="85"/>
      <c r="D281" s="85"/>
    </row>
    <row r="282" customHeight="1" spans="2:4">
      <c r="B282" s="155"/>
      <c r="C282" s="85"/>
      <c r="D282" s="85"/>
    </row>
    <row r="283" customHeight="1" spans="2:4">
      <c r="B283" s="155"/>
      <c r="C283" s="85"/>
      <c r="D283" s="85"/>
    </row>
    <row r="284" customHeight="1" spans="2:4">
      <c r="B284" s="155"/>
      <c r="C284" s="85"/>
      <c r="D284" s="85"/>
    </row>
    <row r="285" customHeight="1" spans="2:4">
      <c r="B285" s="155"/>
      <c r="C285" s="85"/>
      <c r="D285" s="85"/>
    </row>
    <row r="286" customHeight="1" spans="2:4">
      <c r="B286" s="155"/>
      <c r="C286" s="85"/>
      <c r="D286" s="85"/>
    </row>
    <row r="287" customHeight="1" spans="2:4">
      <c r="B287" s="155"/>
      <c r="C287" s="85"/>
      <c r="D287" s="85"/>
    </row>
    <row r="288" customHeight="1" spans="2:4">
      <c r="B288" s="155"/>
      <c r="C288" s="85"/>
      <c r="D288" s="85"/>
    </row>
    <row r="289" customHeight="1" spans="2:4">
      <c r="B289" s="155"/>
      <c r="C289" s="85"/>
      <c r="D289" s="85"/>
    </row>
    <row r="290" customHeight="1" spans="2:4">
      <c r="B290" s="155"/>
      <c r="C290" s="85"/>
      <c r="D290" s="85"/>
    </row>
    <row r="291" customHeight="1" spans="2:4">
      <c r="B291" s="155"/>
      <c r="C291" s="85"/>
      <c r="D291" s="85"/>
    </row>
    <row r="292" customHeight="1" spans="2:4">
      <c r="B292" s="155"/>
      <c r="C292" s="85"/>
      <c r="D292" s="85"/>
    </row>
    <row r="293" customHeight="1" spans="2:4">
      <c r="B293" s="155"/>
      <c r="C293" s="85"/>
      <c r="D293" s="85"/>
    </row>
    <row r="294" customHeight="1" spans="2:4">
      <c r="B294" s="155"/>
      <c r="C294" s="85"/>
      <c r="D294" s="85"/>
    </row>
    <row r="295" customHeight="1" spans="2:4">
      <c r="B295" s="155"/>
      <c r="C295" s="85"/>
      <c r="D295" s="85"/>
    </row>
    <row r="296" customHeight="1" spans="2:4">
      <c r="B296" s="155"/>
      <c r="C296" s="85"/>
      <c r="D296" s="85"/>
    </row>
    <row r="297" customHeight="1" spans="2:4">
      <c r="B297" s="155"/>
      <c r="C297" s="85"/>
      <c r="D297" s="85"/>
    </row>
    <row r="298" customHeight="1" spans="2:4">
      <c r="B298" s="155"/>
      <c r="C298" s="85"/>
      <c r="D298" s="85"/>
    </row>
    <row r="299" customHeight="1" spans="2:4">
      <c r="B299" s="155"/>
      <c r="C299" s="85"/>
      <c r="D299" s="85"/>
    </row>
    <row r="300" customHeight="1" spans="2:4">
      <c r="B300" s="155"/>
      <c r="C300" s="85"/>
      <c r="D300" s="85"/>
    </row>
    <row r="301" customHeight="1" spans="2:4">
      <c r="B301" s="155"/>
      <c r="C301" s="85"/>
      <c r="D301" s="85"/>
    </row>
    <row r="302" customHeight="1" spans="2:4">
      <c r="B302" s="155"/>
      <c r="C302" s="85"/>
      <c r="D302" s="85"/>
    </row>
    <row r="303" customHeight="1" spans="2:4">
      <c r="B303" s="155"/>
      <c r="C303" s="85"/>
      <c r="D303" s="85"/>
    </row>
    <row r="304" customHeight="1" spans="2:4">
      <c r="B304" s="155"/>
      <c r="C304" s="85"/>
      <c r="D304" s="85"/>
    </row>
    <row r="305" customHeight="1" spans="2:4">
      <c r="B305" s="155"/>
      <c r="C305" s="85"/>
      <c r="D305" s="85"/>
    </row>
    <row r="306" customHeight="1" spans="2:4">
      <c r="B306" s="155"/>
      <c r="C306" s="85"/>
      <c r="D306" s="85"/>
    </row>
    <row r="307" customHeight="1" spans="2:4">
      <c r="B307" s="155"/>
      <c r="C307" s="85"/>
      <c r="D307" s="85"/>
    </row>
    <row r="308" customHeight="1" spans="2:4">
      <c r="B308" s="155"/>
      <c r="C308" s="85"/>
      <c r="D308" s="85"/>
    </row>
    <row r="309" customHeight="1" spans="2:4">
      <c r="B309" s="155"/>
      <c r="C309" s="85"/>
      <c r="D309" s="85"/>
    </row>
    <row r="310" customHeight="1" spans="2:4">
      <c r="B310" s="155"/>
      <c r="C310" s="85"/>
      <c r="D310" s="85"/>
    </row>
    <row r="311" customHeight="1" spans="2:4">
      <c r="B311" s="155"/>
      <c r="C311" s="85"/>
      <c r="D311" s="85"/>
    </row>
    <row r="312" customHeight="1" spans="2:4">
      <c r="B312" s="155"/>
      <c r="C312" s="85"/>
      <c r="D312" s="85"/>
    </row>
    <row r="313" customHeight="1" spans="2:4">
      <c r="B313" s="155"/>
      <c r="C313" s="85"/>
      <c r="D313" s="85"/>
    </row>
    <row r="314" customHeight="1" spans="2:4">
      <c r="B314" s="155"/>
      <c r="C314" s="85"/>
      <c r="D314" s="85"/>
    </row>
    <row r="315" customHeight="1" spans="2:4">
      <c r="B315" s="155"/>
      <c r="C315" s="85"/>
      <c r="D315" s="85"/>
    </row>
    <row r="316" customHeight="1" spans="2:4">
      <c r="B316" s="155"/>
      <c r="C316" s="85"/>
      <c r="D316" s="85"/>
    </row>
    <row r="317" customHeight="1" spans="2:4">
      <c r="B317" s="155"/>
      <c r="C317" s="85"/>
      <c r="D317" s="85"/>
    </row>
    <row r="318" customHeight="1" spans="2:4">
      <c r="B318" s="155"/>
      <c r="C318" s="85"/>
      <c r="D318" s="85"/>
    </row>
    <row r="319" customHeight="1" spans="2:4">
      <c r="B319" s="155"/>
      <c r="C319" s="85"/>
      <c r="D319" s="85"/>
    </row>
    <row r="320" customHeight="1" spans="2:4">
      <c r="B320" s="155"/>
      <c r="C320" s="85"/>
      <c r="D320" s="85"/>
    </row>
    <row r="321" customHeight="1" spans="2:4">
      <c r="B321" s="155"/>
      <c r="C321" s="85"/>
      <c r="D321" s="85"/>
    </row>
    <row r="322" customHeight="1" spans="2:4">
      <c r="B322" s="155"/>
      <c r="C322" s="85"/>
      <c r="D322" s="85"/>
    </row>
    <row r="323" customHeight="1" spans="2:4">
      <c r="B323" s="155"/>
      <c r="C323" s="85"/>
      <c r="D323" s="85"/>
    </row>
    <row r="324" customHeight="1" spans="2:4">
      <c r="B324" s="155"/>
      <c r="C324" s="85"/>
      <c r="D324" s="85"/>
    </row>
    <row r="325" customHeight="1" spans="2:4">
      <c r="B325" s="155"/>
      <c r="C325" s="85"/>
      <c r="D325" s="85"/>
    </row>
    <row r="326" customHeight="1" spans="2:4">
      <c r="B326" s="155"/>
      <c r="C326" s="85"/>
      <c r="D326" s="85"/>
    </row>
    <row r="327" customHeight="1" spans="2:4">
      <c r="B327" s="155"/>
      <c r="C327" s="85"/>
      <c r="D327" s="85"/>
    </row>
    <row r="328" customHeight="1" spans="2:4">
      <c r="B328" s="155"/>
      <c r="C328" s="85"/>
      <c r="D328" s="85"/>
    </row>
    <row r="329" customHeight="1" spans="2:4">
      <c r="B329" s="155"/>
      <c r="C329" s="85"/>
      <c r="D329" s="85"/>
    </row>
    <row r="330" customHeight="1" spans="2:4">
      <c r="B330" s="155"/>
      <c r="C330" s="85"/>
      <c r="D330" s="85"/>
    </row>
    <row r="331" customHeight="1" spans="2:4">
      <c r="B331" s="155"/>
      <c r="C331" s="85"/>
      <c r="D331" s="85"/>
    </row>
    <row r="332" customHeight="1" spans="2:4">
      <c r="B332" s="155"/>
      <c r="C332" s="85"/>
      <c r="D332" s="85"/>
    </row>
    <row r="333" customHeight="1" spans="2:4">
      <c r="B333" s="155"/>
      <c r="C333" s="85"/>
      <c r="D333" s="85"/>
    </row>
    <row r="334" customHeight="1" spans="2:4">
      <c r="B334" s="155"/>
      <c r="C334" s="85"/>
      <c r="D334" s="85"/>
    </row>
    <row r="335" customHeight="1" spans="2:4">
      <c r="B335" s="155"/>
      <c r="C335" s="85"/>
      <c r="D335" s="85"/>
    </row>
    <row r="336" customHeight="1" spans="2:4">
      <c r="B336" s="155"/>
      <c r="C336" s="85"/>
      <c r="D336" s="85"/>
    </row>
    <row r="337" customHeight="1" spans="2:4">
      <c r="B337" s="155"/>
      <c r="C337" s="85"/>
      <c r="D337" s="85"/>
    </row>
    <row r="338" customHeight="1" spans="2:4">
      <c r="B338" s="155"/>
      <c r="C338" s="85"/>
      <c r="D338" s="85"/>
    </row>
    <row r="339" customHeight="1" spans="2:4">
      <c r="B339" s="155"/>
      <c r="C339" s="85"/>
      <c r="D339" s="85"/>
    </row>
    <row r="340" customHeight="1" spans="2:4">
      <c r="B340" s="155"/>
      <c r="C340" s="85"/>
      <c r="D340" s="85"/>
    </row>
    <row r="341" customHeight="1" spans="2:4">
      <c r="B341" s="155"/>
      <c r="C341" s="85"/>
      <c r="D341" s="85"/>
    </row>
    <row r="342" customHeight="1" spans="2:4">
      <c r="B342" s="155"/>
      <c r="C342" s="85"/>
      <c r="D342" s="85"/>
    </row>
    <row r="343" customHeight="1" spans="2:4">
      <c r="B343" s="155"/>
      <c r="C343" s="85"/>
      <c r="D343" s="85"/>
    </row>
    <row r="344" customHeight="1" spans="2:4">
      <c r="B344" s="155"/>
      <c r="C344" s="85"/>
      <c r="D344" s="85"/>
    </row>
    <row r="345" customHeight="1" spans="2:4">
      <c r="B345" s="155"/>
      <c r="C345" s="85"/>
      <c r="D345" s="85"/>
    </row>
    <row r="346" customHeight="1" spans="2:4">
      <c r="B346" s="155"/>
      <c r="C346" s="85"/>
      <c r="D346" s="85"/>
    </row>
    <row r="347" customHeight="1" spans="2:4">
      <c r="B347" s="155"/>
      <c r="C347" s="85"/>
      <c r="D347" s="85"/>
    </row>
    <row r="348" customHeight="1" spans="2:4">
      <c r="B348" s="155"/>
      <c r="C348" s="85"/>
      <c r="D348" s="85"/>
    </row>
    <row r="349" customHeight="1" spans="2:4">
      <c r="B349" s="155"/>
      <c r="C349" s="85"/>
      <c r="D349" s="85"/>
    </row>
    <row r="350" customHeight="1" spans="2:4">
      <c r="B350" s="155"/>
      <c r="C350" s="85"/>
      <c r="D350" s="85"/>
    </row>
    <row r="351" customHeight="1" spans="2:4">
      <c r="B351" s="155"/>
      <c r="C351" s="85"/>
      <c r="D351" s="85"/>
    </row>
    <row r="352" customHeight="1" spans="2:4">
      <c r="B352" s="155"/>
      <c r="C352" s="85"/>
      <c r="D352" s="85"/>
    </row>
    <row r="353" customHeight="1" spans="2:4">
      <c r="B353" s="155"/>
      <c r="C353" s="85"/>
      <c r="D353" s="85"/>
    </row>
    <row r="354" customHeight="1" spans="2:4">
      <c r="B354" s="155"/>
      <c r="C354" s="85"/>
      <c r="D354" s="85"/>
    </row>
    <row r="355" customHeight="1" spans="2:4">
      <c r="B355" s="155"/>
      <c r="C355" s="85"/>
      <c r="D355" s="85"/>
    </row>
    <row r="356" customHeight="1" spans="2:4">
      <c r="B356" s="155"/>
      <c r="C356" s="85"/>
      <c r="D356" s="85"/>
    </row>
    <row r="357" customHeight="1" spans="2:4">
      <c r="B357" s="155"/>
      <c r="C357" s="85"/>
      <c r="D357" s="85"/>
    </row>
    <row r="358" customHeight="1" spans="2:4">
      <c r="B358" s="155"/>
      <c r="C358" s="85"/>
      <c r="D358" s="85"/>
    </row>
    <row r="359" customHeight="1" spans="2:4">
      <c r="B359" s="155"/>
      <c r="C359" s="85"/>
      <c r="D359" s="85"/>
    </row>
    <row r="360" customHeight="1" spans="2:4">
      <c r="B360" s="155"/>
      <c r="C360" s="85"/>
      <c r="D360" s="85"/>
    </row>
    <row r="361" customHeight="1" spans="2:4">
      <c r="B361" s="155"/>
      <c r="C361" s="85"/>
      <c r="D361" s="85"/>
    </row>
    <row r="362" customHeight="1" spans="2:4">
      <c r="B362" s="155"/>
      <c r="C362" s="85"/>
      <c r="D362" s="85"/>
    </row>
    <row r="363" customHeight="1" spans="2:4">
      <c r="B363" s="155"/>
      <c r="C363" s="85"/>
      <c r="D363" s="85"/>
    </row>
    <row r="364" customHeight="1" spans="2:4">
      <c r="B364" s="155"/>
      <c r="C364" s="85"/>
      <c r="D364" s="85"/>
    </row>
    <row r="365" customHeight="1" spans="2:4">
      <c r="B365" s="155"/>
      <c r="C365" s="85"/>
      <c r="D365" s="85"/>
    </row>
    <row r="366" customHeight="1" spans="2:4">
      <c r="B366" s="155"/>
      <c r="C366" s="85"/>
      <c r="D366" s="85"/>
    </row>
    <row r="367" customHeight="1" spans="2:4">
      <c r="B367" s="155"/>
      <c r="C367" s="85"/>
      <c r="D367" s="85"/>
    </row>
    <row r="368" customHeight="1" spans="2:4">
      <c r="B368" s="155"/>
      <c r="C368" s="85"/>
      <c r="D368" s="85"/>
    </row>
    <row r="369" customHeight="1" spans="2:4">
      <c r="B369" s="155"/>
      <c r="C369" s="85"/>
      <c r="D369" s="85"/>
    </row>
    <row r="370" customHeight="1" spans="2:4">
      <c r="B370" s="155"/>
      <c r="C370" s="85"/>
      <c r="D370" s="85"/>
    </row>
    <row r="371" customHeight="1" spans="2:4">
      <c r="B371" s="155"/>
      <c r="C371" s="85"/>
      <c r="D371" s="85"/>
    </row>
    <row r="372" customHeight="1" spans="2:4">
      <c r="B372" s="155"/>
      <c r="C372" s="85"/>
      <c r="D372" s="85"/>
    </row>
    <row r="373" customHeight="1" spans="2:4">
      <c r="B373" s="155"/>
      <c r="C373" s="85"/>
      <c r="D373" s="85"/>
    </row>
    <row r="374" customHeight="1" spans="2:4">
      <c r="B374" s="155"/>
      <c r="C374" s="85"/>
      <c r="D374" s="85"/>
    </row>
    <row r="375" customHeight="1" spans="2:4">
      <c r="B375" s="155"/>
      <c r="C375" s="85"/>
      <c r="D375" s="85"/>
    </row>
    <row r="376" customHeight="1" spans="2:4">
      <c r="B376" s="155"/>
      <c r="C376" s="85"/>
      <c r="D376" s="85"/>
    </row>
    <row r="377" customHeight="1" spans="2:4">
      <c r="B377" s="155"/>
      <c r="C377" s="85"/>
      <c r="D377" s="85"/>
    </row>
    <row r="378" customHeight="1" spans="2:4">
      <c r="B378" s="155"/>
      <c r="C378" s="85"/>
      <c r="D378" s="85"/>
    </row>
    <row r="379" customHeight="1" spans="2:4">
      <c r="B379" s="155"/>
      <c r="C379" s="85"/>
      <c r="D379" s="85"/>
    </row>
    <row r="380" customHeight="1" spans="2:4">
      <c r="B380" s="155"/>
      <c r="C380" s="85"/>
      <c r="D380" s="85"/>
    </row>
    <row r="381" customHeight="1" spans="2:4">
      <c r="B381" s="155"/>
      <c r="C381" s="85"/>
      <c r="D381" s="85"/>
    </row>
    <row r="382" customHeight="1" spans="2:4">
      <c r="B382" s="155"/>
      <c r="C382" s="85"/>
      <c r="D382" s="85"/>
    </row>
    <row r="383" customHeight="1" spans="2:4">
      <c r="B383" s="155"/>
      <c r="C383" s="85"/>
      <c r="D383" s="85"/>
    </row>
    <row r="384" customHeight="1" spans="2:4">
      <c r="B384" s="155"/>
      <c r="C384" s="85"/>
      <c r="D384" s="85"/>
    </row>
    <row r="385" customHeight="1" spans="2:4">
      <c r="B385" s="155"/>
      <c r="C385" s="85"/>
      <c r="D385" s="85"/>
    </row>
    <row r="386" customHeight="1" spans="2:4">
      <c r="B386" s="155"/>
      <c r="C386" s="85"/>
      <c r="D386" s="85"/>
    </row>
    <row r="387" customHeight="1" spans="2:4">
      <c r="B387" s="155"/>
      <c r="C387" s="85"/>
      <c r="D387" s="85"/>
    </row>
    <row r="388" customHeight="1" spans="2:4">
      <c r="B388" s="155"/>
      <c r="C388" s="85"/>
      <c r="D388" s="85"/>
    </row>
    <row r="389" customHeight="1" spans="2:4">
      <c r="B389" s="155"/>
      <c r="C389" s="85"/>
      <c r="D389" s="85"/>
    </row>
    <row r="390" customHeight="1" spans="2:4">
      <c r="B390" s="155"/>
      <c r="C390" s="85"/>
      <c r="D390" s="85"/>
    </row>
    <row r="391" customHeight="1" spans="2:4">
      <c r="B391" s="155"/>
      <c r="C391" s="85"/>
      <c r="D391" s="85"/>
    </row>
    <row r="392" customHeight="1" spans="2:4">
      <c r="B392" s="155"/>
      <c r="C392" s="85"/>
      <c r="D392" s="85"/>
    </row>
    <row r="393" customHeight="1" spans="2:4">
      <c r="B393" s="155"/>
      <c r="C393" s="85"/>
      <c r="D393" s="85"/>
    </row>
    <row r="394" customHeight="1" spans="2:4">
      <c r="B394" s="155"/>
      <c r="C394" s="85"/>
      <c r="D394" s="85"/>
    </row>
    <row r="395" customHeight="1" spans="2:4">
      <c r="B395" s="155"/>
      <c r="C395" s="85"/>
      <c r="D395" s="85"/>
    </row>
    <row r="396" customHeight="1" spans="2:4">
      <c r="B396" s="155"/>
      <c r="C396" s="85"/>
      <c r="D396" s="85"/>
    </row>
    <row r="397" customHeight="1" spans="2:4">
      <c r="B397" s="155"/>
      <c r="C397" s="85"/>
      <c r="D397" s="85"/>
    </row>
    <row r="398" customHeight="1" spans="2:4">
      <c r="B398" s="155"/>
      <c r="C398" s="85"/>
      <c r="D398" s="85"/>
    </row>
    <row r="399" customHeight="1" spans="2:4">
      <c r="B399" s="155"/>
      <c r="C399" s="85"/>
      <c r="D399" s="85"/>
    </row>
    <row r="400" customHeight="1" spans="2:4">
      <c r="B400" s="155"/>
      <c r="C400" s="85"/>
      <c r="D400" s="85"/>
    </row>
    <row r="401" customHeight="1" spans="2:4">
      <c r="B401" s="155"/>
      <c r="C401" s="85"/>
      <c r="D401" s="85"/>
    </row>
    <row r="402" customHeight="1" spans="2:4">
      <c r="B402" s="155"/>
      <c r="C402" s="85"/>
      <c r="D402" s="85"/>
    </row>
    <row r="403" customHeight="1" spans="2:4">
      <c r="B403" s="155"/>
      <c r="C403" s="85"/>
      <c r="D403" s="85"/>
    </row>
    <row r="404" customHeight="1" spans="2:4">
      <c r="B404" s="155"/>
      <c r="C404" s="85"/>
      <c r="D404" s="85"/>
    </row>
    <row r="405" customHeight="1" spans="2:4">
      <c r="B405" s="155"/>
      <c r="C405" s="85"/>
      <c r="D405" s="85"/>
    </row>
    <row r="406" customHeight="1" spans="2:4">
      <c r="B406" s="155"/>
      <c r="C406" s="85"/>
      <c r="D406" s="85"/>
    </row>
    <row r="407" customHeight="1" spans="2:4">
      <c r="B407" s="155"/>
      <c r="C407" s="85"/>
      <c r="D407" s="85"/>
    </row>
    <row r="408" customHeight="1" spans="2:4">
      <c r="B408" s="155"/>
      <c r="C408" s="85"/>
      <c r="D408" s="85"/>
    </row>
    <row r="409" customHeight="1" spans="2:4">
      <c r="B409" s="155"/>
      <c r="C409" s="85"/>
      <c r="D409" s="85"/>
    </row>
    <row r="410" customHeight="1" spans="2:4">
      <c r="B410" s="155"/>
      <c r="C410" s="85"/>
      <c r="D410" s="85"/>
    </row>
    <row r="411" customHeight="1" spans="2:4">
      <c r="B411" s="155"/>
      <c r="C411" s="85"/>
      <c r="D411" s="85"/>
    </row>
    <row r="412" customHeight="1" spans="2:4">
      <c r="B412" s="155"/>
      <c r="C412" s="85"/>
      <c r="D412" s="85"/>
    </row>
    <row r="413" customHeight="1" spans="2:4">
      <c r="B413" s="155"/>
      <c r="C413" s="85"/>
      <c r="D413" s="85"/>
    </row>
    <row r="414" customHeight="1" spans="2:4">
      <c r="B414" s="155"/>
      <c r="C414" s="85"/>
      <c r="D414" s="85"/>
    </row>
    <row r="415" customHeight="1" spans="2:4">
      <c r="B415" s="155"/>
      <c r="C415" s="85"/>
      <c r="D415" s="85"/>
    </row>
    <row r="416" customHeight="1" spans="2:4">
      <c r="B416" s="155"/>
      <c r="C416" s="85"/>
      <c r="D416" s="85"/>
    </row>
    <row r="417" customHeight="1" spans="2:4">
      <c r="B417" s="155"/>
      <c r="C417" s="85"/>
      <c r="D417" s="85"/>
    </row>
    <row r="418" customHeight="1" spans="2:4">
      <c r="B418" s="155"/>
      <c r="C418" s="85"/>
      <c r="D418" s="85"/>
    </row>
    <row r="419" customHeight="1" spans="2:4">
      <c r="B419" s="155"/>
      <c r="C419" s="85"/>
      <c r="D419" s="85"/>
    </row>
    <row r="420" customHeight="1" spans="2:4">
      <c r="B420" s="155"/>
      <c r="C420" s="85"/>
      <c r="D420" s="85"/>
    </row>
    <row r="421" customHeight="1" spans="2:4">
      <c r="B421" s="155"/>
      <c r="C421" s="85"/>
      <c r="D421" s="85"/>
    </row>
    <row r="422" customHeight="1" spans="2:4">
      <c r="B422" s="155"/>
      <c r="C422" s="85"/>
      <c r="D422" s="85"/>
    </row>
    <row r="423" customHeight="1" spans="2:4">
      <c r="B423" s="155"/>
      <c r="C423" s="85"/>
      <c r="D423" s="85"/>
    </row>
    <row r="424" customHeight="1" spans="2:4">
      <c r="B424" s="155"/>
      <c r="C424" s="85"/>
      <c r="D424" s="85"/>
    </row>
    <row r="425" customHeight="1" spans="2:4">
      <c r="B425" s="155"/>
      <c r="C425" s="85"/>
      <c r="D425" s="85"/>
    </row>
    <row r="426" customHeight="1" spans="2:4">
      <c r="B426" s="155"/>
      <c r="C426" s="85"/>
      <c r="D426" s="85"/>
    </row>
    <row r="427" customHeight="1" spans="2:4">
      <c r="B427" s="155"/>
      <c r="C427" s="85"/>
      <c r="D427" s="85"/>
    </row>
    <row r="428" customHeight="1" spans="2:4">
      <c r="B428" s="155"/>
      <c r="C428" s="85"/>
      <c r="D428" s="85"/>
    </row>
    <row r="429" customHeight="1" spans="2:4">
      <c r="B429" s="155"/>
      <c r="C429" s="85"/>
      <c r="D429" s="85"/>
    </row>
    <row r="430" customHeight="1" spans="2:4">
      <c r="B430" s="155"/>
      <c r="C430" s="85"/>
      <c r="D430" s="85"/>
    </row>
    <row r="431" customHeight="1" spans="2:4">
      <c r="B431" s="155"/>
      <c r="C431" s="85"/>
      <c r="D431" s="85"/>
    </row>
    <row r="432" customHeight="1" spans="2:4">
      <c r="B432" s="155"/>
      <c r="C432" s="85"/>
      <c r="D432" s="85"/>
    </row>
    <row r="433" customHeight="1" spans="2:4">
      <c r="B433" s="155"/>
      <c r="C433" s="85"/>
      <c r="D433" s="85"/>
    </row>
    <row r="434" customHeight="1" spans="2:4">
      <c r="B434" s="155"/>
      <c r="C434" s="85"/>
      <c r="D434" s="85"/>
    </row>
    <row r="435" customHeight="1" spans="2:4">
      <c r="B435" s="155"/>
      <c r="C435" s="85"/>
      <c r="D435" s="85"/>
    </row>
    <row r="436" customHeight="1" spans="2:4">
      <c r="B436" s="155"/>
      <c r="C436" s="85"/>
      <c r="D436" s="85"/>
    </row>
    <row r="437" customHeight="1" spans="2:4">
      <c r="B437" s="155"/>
      <c r="C437" s="85"/>
      <c r="D437" s="85"/>
    </row>
    <row r="438" customHeight="1" spans="2:4">
      <c r="B438" s="155"/>
      <c r="C438" s="85"/>
      <c r="D438" s="85"/>
    </row>
    <row r="439" customHeight="1" spans="2:4">
      <c r="B439" s="155"/>
      <c r="C439" s="85"/>
      <c r="D439" s="85"/>
    </row>
    <row r="440" customHeight="1" spans="2:4">
      <c r="B440" s="155"/>
      <c r="C440" s="85"/>
      <c r="D440" s="85"/>
    </row>
    <row r="441" customHeight="1" spans="2:4">
      <c r="B441" s="155"/>
      <c r="C441" s="85"/>
      <c r="D441" s="85"/>
    </row>
    <row r="442" customHeight="1" spans="2:4">
      <c r="B442" s="155"/>
      <c r="C442" s="85"/>
      <c r="D442" s="85"/>
    </row>
    <row r="443" customHeight="1" spans="2:4">
      <c r="B443" s="155"/>
      <c r="C443" s="85"/>
      <c r="D443" s="85"/>
    </row>
    <row r="444" customHeight="1" spans="2:4">
      <c r="B444" s="155"/>
      <c r="C444" s="85"/>
      <c r="D444" s="85"/>
    </row>
    <row r="445" customHeight="1" spans="2:4">
      <c r="B445" s="155"/>
      <c r="C445" s="85"/>
      <c r="D445" s="85"/>
    </row>
    <row r="446" customHeight="1" spans="2:4">
      <c r="B446" s="155"/>
      <c r="C446" s="85"/>
      <c r="D446" s="85"/>
    </row>
    <row r="447" customHeight="1" spans="2:4">
      <c r="B447" s="155"/>
      <c r="C447" s="85"/>
      <c r="D447" s="85"/>
    </row>
    <row r="448" customHeight="1" spans="2:4">
      <c r="B448" s="155"/>
      <c r="C448" s="85"/>
      <c r="D448" s="85"/>
    </row>
    <row r="449" customHeight="1" spans="2:4">
      <c r="B449" s="155"/>
      <c r="C449" s="85"/>
      <c r="D449" s="85"/>
    </row>
    <row r="450" customHeight="1" spans="2:4">
      <c r="B450" s="155"/>
      <c r="C450" s="85"/>
      <c r="D450" s="85"/>
    </row>
    <row r="451" customHeight="1" spans="2:4">
      <c r="B451" s="155"/>
      <c r="C451" s="85"/>
      <c r="D451" s="85"/>
    </row>
    <row r="452" customHeight="1" spans="2:4">
      <c r="B452" s="155"/>
      <c r="C452" s="85"/>
      <c r="D452" s="85"/>
    </row>
    <row r="453" customHeight="1" spans="2:4">
      <c r="B453" s="155"/>
      <c r="C453" s="85"/>
      <c r="D453" s="85"/>
    </row>
    <row r="454" customHeight="1" spans="2:4">
      <c r="B454" s="155"/>
      <c r="C454" s="85"/>
      <c r="D454" s="85"/>
    </row>
    <row r="455" customHeight="1" spans="2:4">
      <c r="B455" s="155"/>
      <c r="C455" s="85"/>
      <c r="D455" s="85"/>
    </row>
    <row r="456" customHeight="1" spans="2:4">
      <c r="B456" s="155"/>
      <c r="C456" s="85"/>
      <c r="D456" s="85"/>
    </row>
    <row r="457" customHeight="1" spans="2:2">
      <c r="B457" s="155"/>
    </row>
    <row r="458" customHeight="1" spans="2:4">
      <c r="B458" s="155"/>
      <c r="C458" s="85"/>
      <c r="D458" s="85"/>
    </row>
    <row r="459" customHeight="1" spans="2:4">
      <c r="B459" s="155"/>
      <c r="C459" s="85"/>
      <c r="D459" s="85"/>
    </row>
    <row r="460" customHeight="1" spans="2:4">
      <c r="B460" s="155"/>
      <c r="C460" s="85"/>
      <c r="D460" s="85"/>
    </row>
    <row r="461" customHeight="1" spans="2:4">
      <c r="B461" s="155"/>
      <c r="C461" s="85"/>
      <c r="D461" s="85"/>
    </row>
    <row r="462" customHeight="1" spans="2:4">
      <c r="B462" s="155"/>
      <c r="C462" s="85"/>
      <c r="D462" s="85"/>
    </row>
    <row r="463" customHeight="1" spans="2:4">
      <c r="B463" s="155"/>
      <c r="C463" s="85"/>
      <c r="D463" s="85"/>
    </row>
    <row r="464" customHeight="1" spans="2:4">
      <c r="B464" s="155"/>
      <c r="C464" s="85"/>
      <c r="D464" s="85"/>
    </row>
    <row r="465" customHeight="1" spans="2:4">
      <c r="B465" s="155"/>
      <c r="C465" s="85"/>
      <c r="D465" s="85"/>
    </row>
    <row r="466" customHeight="1" spans="2:4">
      <c r="B466" s="155"/>
      <c r="C466" s="85"/>
      <c r="D466" s="85"/>
    </row>
    <row r="467" customHeight="1" spans="2:4">
      <c r="B467" s="155"/>
      <c r="C467" s="85"/>
      <c r="D467" s="85"/>
    </row>
    <row r="468" customHeight="1" spans="2:4">
      <c r="B468" s="155"/>
      <c r="C468" s="85"/>
      <c r="D468" s="85"/>
    </row>
    <row r="469" customHeight="1" spans="2:4">
      <c r="B469" s="155"/>
      <c r="C469" s="85"/>
      <c r="D469" s="85"/>
    </row>
    <row r="470" customHeight="1" spans="2:4">
      <c r="B470" s="155"/>
      <c r="C470" s="85"/>
      <c r="D470" s="85"/>
    </row>
    <row r="471" customHeight="1" spans="2:4">
      <c r="B471" s="155"/>
      <c r="C471" s="85"/>
      <c r="D471" s="85"/>
    </row>
    <row r="472" customHeight="1" spans="2:4">
      <c r="B472" s="155"/>
      <c r="C472" s="85"/>
      <c r="D472" s="85"/>
    </row>
    <row r="473" customHeight="1" spans="2:4">
      <c r="B473" s="155"/>
      <c r="C473" s="85"/>
      <c r="D473" s="85"/>
    </row>
    <row r="474" customHeight="1" spans="2:4">
      <c r="B474" s="155"/>
      <c r="C474" s="85"/>
      <c r="D474" s="85"/>
    </row>
    <row r="475" customHeight="1" spans="2:4">
      <c r="B475" s="155"/>
      <c r="C475" s="85"/>
      <c r="D475" s="85"/>
    </row>
    <row r="476" customHeight="1" spans="2:4">
      <c r="B476" s="155"/>
      <c r="C476" s="85"/>
      <c r="D476" s="85"/>
    </row>
    <row r="477" customHeight="1" spans="2:4">
      <c r="B477" s="155"/>
      <c r="C477" s="85"/>
      <c r="D477" s="85"/>
    </row>
    <row r="478" customHeight="1" spans="2:4">
      <c r="B478" s="155"/>
      <c r="C478" s="85"/>
      <c r="D478" s="85"/>
    </row>
    <row r="479" customHeight="1" spans="2:4">
      <c r="B479" s="155"/>
      <c r="C479" s="85"/>
      <c r="D479" s="85"/>
    </row>
    <row r="480" customHeight="1" spans="2:4">
      <c r="B480" s="155"/>
      <c r="C480" s="85"/>
      <c r="D480" s="85"/>
    </row>
    <row r="481" customHeight="1" spans="2:4">
      <c r="B481" s="155"/>
      <c r="C481" s="85"/>
      <c r="D481" s="85"/>
    </row>
    <row r="482" customHeight="1" spans="2:4">
      <c r="B482" s="155"/>
      <c r="C482" s="85"/>
      <c r="D482" s="85"/>
    </row>
    <row r="483" customHeight="1" spans="2:4">
      <c r="B483" s="155"/>
      <c r="C483" s="85"/>
      <c r="D483" s="85"/>
    </row>
    <row r="484" customHeight="1" spans="2:4">
      <c r="B484" s="155"/>
      <c r="C484" s="85"/>
      <c r="D484" s="85"/>
    </row>
    <row r="485" customHeight="1" spans="2:4">
      <c r="B485" s="155"/>
      <c r="C485" s="85"/>
      <c r="D485" s="85"/>
    </row>
    <row r="486" customHeight="1" spans="2:4">
      <c r="B486" s="155"/>
      <c r="C486" s="85"/>
      <c r="D486" s="85"/>
    </row>
    <row r="487" customHeight="1" spans="2:4">
      <c r="B487" s="155"/>
      <c r="C487" s="85"/>
      <c r="D487" s="85"/>
    </row>
    <row r="488" customHeight="1" spans="2:4">
      <c r="B488" s="155"/>
      <c r="C488" s="85"/>
      <c r="D488" s="85"/>
    </row>
    <row r="489" customHeight="1" spans="2:4">
      <c r="B489" s="155"/>
      <c r="C489" s="85"/>
      <c r="D489" s="85"/>
    </row>
    <row r="490" customHeight="1" spans="2:4">
      <c r="B490" s="155"/>
      <c r="C490" s="85"/>
      <c r="D490" s="85"/>
    </row>
    <row r="491" customHeight="1" spans="2:4">
      <c r="B491" s="155"/>
      <c r="C491" s="85"/>
      <c r="D491" s="85"/>
    </row>
    <row r="492" customHeight="1" spans="2:4">
      <c r="B492" s="155"/>
      <c r="C492" s="85"/>
      <c r="D492" s="85"/>
    </row>
    <row r="493" customHeight="1" spans="2:4">
      <c r="B493" s="155"/>
      <c r="C493" s="85"/>
      <c r="D493" s="85"/>
    </row>
    <row r="494" customHeight="1" spans="2:4">
      <c r="B494" s="155"/>
      <c r="C494" s="85"/>
      <c r="D494" s="85"/>
    </row>
    <row r="495" customHeight="1" spans="2:4">
      <c r="B495" s="155"/>
      <c r="C495" s="85"/>
      <c r="D495" s="85"/>
    </row>
    <row r="496" customHeight="1" spans="2:4">
      <c r="B496" s="155"/>
      <c r="C496" s="85"/>
      <c r="D496" s="85"/>
    </row>
    <row r="497" customHeight="1" spans="2:4">
      <c r="B497" s="155"/>
      <c r="C497" s="85"/>
      <c r="D497" s="85"/>
    </row>
    <row r="498" customHeight="1" spans="2:4">
      <c r="B498" s="155"/>
      <c r="C498" s="85"/>
      <c r="D498" s="85"/>
    </row>
    <row r="499" customHeight="1" spans="2:4">
      <c r="B499" s="155"/>
      <c r="C499" s="85"/>
      <c r="D499" s="85"/>
    </row>
    <row r="500" customHeight="1" spans="2:4">
      <c r="B500" s="155"/>
      <c r="C500" s="85"/>
      <c r="D500" s="85"/>
    </row>
    <row r="501" customHeight="1" spans="2:4">
      <c r="B501" s="155"/>
      <c r="C501" s="85"/>
      <c r="D501" s="85"/>
    </row>
    <row r="502" customHeight="1" spans="2:4">
      <c r="B502" s="155"/>
      <c r="C502" s="85"/>
      <c r="D502" s="85"/>
    </row>
    <row r="503" customHeight="1" spans="2:4">
      <c r="B503" s="155"/>
      <c r="C503" s="85"/>
      <c r="D503" s="85"/>
    </row>
    <row r="504" customHeight="1" spans="2:4">
      <c r="B504" s="155"/>
      <c r="C504" s="85"/>
      <c r="D504" s="85"/>
    </row>
    <row r="505" customHeight="1" spans="2:4">
      <c r="B505" s="155"/>
      <c r="C505" s="85"/>
      <c r="D505" s="85"/>
    </row>
    <row r="506" customHeight="1" spans="2:4">
      <c r="B506" s="155"/>
      <c r="C506" s="85"/>
      <c r="D506" s="85"/>
    </row>
    <row r="507" customHeight="1" spans="2:4">
      <c r="B507" s="155"/>
      <c r="C507" s="85"/>
      <c r="D507" s="85"/>
    </row>
    <row r="508" customHeight="1" spans="2:4">
      <c r="B508" s="155"/>
      <c r="C508" s="85"/>
      <c r="D508" s="85"/>
    </row>
    <row r="509" customHeight="1" spans="2:4">
      <c r="B509" s="155"/>
      <c r="C509" s="85"/>
      <c r="D509" s="85"/>
    </row>
    <row r="510" customHeight="1" spans="2:4">
      <c r="B510" s="155"/>
      <c r="C510" s="85"/>
      <c r="D510" s="85"/>
    </row>
    <row r="511" customHeight="1" spans="2:4">
      <c r="B511" s="155"/>
      <c r="C511" s="85"/>
      <c r="D511" s="85"/>
    </row>
    <row r="512" customHeight="1" spans="2:4">
      <c r="B512" s="155"/>
      <c r="C512" s="85"/>
      <c r="D512" s="85"/>
    </row>
    <row r="513" customHeight="1" spans="2:4">
      <c r="B513" s="155"/>
      <c r="C513" s="85"/>
      <c r="D513" s="85"/>
    </row>
    <row r="514" customHeight="1" spans="2:4">
      <c r="B514" s="155"/>
      <c r="C514" s="85"/>
      <c r="D514" s="85"/>
    </row>
    <row r="515" customHeight="1" spans="2:4">
      <c r="B515" s="155"/>
      <c r="C515" s="85"/>
      <c r="D515" s="85"/>
    </row>
    <row r="516" customHeight="1" spans="2:4">
      <c r="B516" s="155"/>
      <c r="C516" s="85"/>
      <c r="D516" s="85"/>
    </row>
    <row r="517" customHeight="1" spans="2:4">
      <c r="B517" s="155"/>
      <c r="C517" s="85"/>
      <c r="D517" s="85"/>
    </row>
    <row r="518" customHeight="1" spans="2:4">
      <c r="B518" s="155"/>
      <c r="C518" s="85"/>
      <c r="D518" s="85"/>
    </row>
    <row r="519" customHeight="1" spans="2:4">
      <c r="B519" s="155"/>
      <c r="C519" s="85"/>
      <c r="D519" s="85"/>
    </row>
    <row r="520" customHeight="1" spans="2:4">
      <c r="B520" s="155"/>
      <c r="C520" s="85"/>
      <c r="D520" s="85"/>
    </row>
    <row r="521" customHeight="1" spans="2:4">
      <c r="B521" s="155"/>
      <c r="C521" s="85"/>
      <c r="D521" s="85"/>
    </row>
    <row r="522" customHeight="1" spans="2:4">
      <c r="B522" s="155"/>
      <c r="C522" s="85"/>
      <c r="D522" s="85"/>
    </row>
    <row r="523" customHeight="1" spans="2:4">
      <c r="B523" s="155"/>
      <c r="C523" s="85"/>
      <c r="D523" s="85"/>
    </row>
    <row r="524" customHeight="1" spans="2:4">
      <c r="B524" s="155"/>
      <c r="C524" s="85"/>
      <c r="D524" s="85"/>
    </row>
    <row r="525" customHeight="1" spans="2:4">
      <c r="B525" s="155"/>
      <c r="C525" s="85"/>
      <c r="D525" s="85"/>
    </row>
    <row r="526" customHeight="1" spans="2:4">
      <c r="B526" s="155"/>
      <c r="C526" s="85"/>
      <c r="D526" s="85"/>
    </row>
    <row r="527" customHeight="1" spans="2:4">
      <c r="B527" s="155"/>
      <c r="C527" s="85"/>
      <c r="D527" s="85"/>
    </row>
    <row r="528" customHeight="1" spans="2:4">
      <c r="B528" s="155"/>
      <c r="C528" s="85"/>
      <c r="D528" s="85"/>
    </row>
    <row r="529" customHeight="1" spans="2:4">
      <c r="B529" s="155"/>
      <c r="C529" s="85"/>
      <c r="D529" s="85"/>
    </row>
    <row r="530" customHeight="1" spans="2:4">
      <c r="B530" s="155"/>
      <c r="C530" s="85"/>
      <c r="D530" s="85"/>
    </row>
    <row r="531" customHeight="1" spans="2:4">
      <c r="B531" s="155"/>
      <c r="C531" s="85"/>
      <c r="D531" s="85"/>
    </row>
    <row r="532" customHeight="1" spans="2:4">
      <c r="B532" s="155"/>
      <c r="C532" s="85"/>
      <c r="D532" s="85"/>
    </row>
    <row r="533" customHeight="1" spans="2:4">
      <c r="B533" s="155"/>
      <c r="C533" s="85"/>
      <c r="D533" s="85"/>
    </row>
    <row r="534" customHeight="1" spans="2:4">
      <c r="B534" s="155"/>
      <c r="C534" s="85"/>
      <c r="D534" s="85"/>
    </row>
    <row r="535" customHeight="1" spans="2:4">
      <c r="B535" s="155"/>
      <c r="C535" s="85"/>
      <c r="D535" s="85"/>
    </row>
    <row r="536" customHeight="1" spans="2:4">
      <c r="B536" s="155"/>
      <c r="C536" s="85"/>
      <c r="D536" s="85"/>
    </row>
    <row r="537" customHeight="1" spans="2:4">
      <c r="B537" s="155"/>
      <c r="C537" s="85"/>
      <c r="D537" s="85"/>
    </row>
    <row r="538" customHeight="1" spans="2:4">
      <c r="B538" s="155"/>
      <c r="C538" s="85"/>
      <c r="D538" s="85"/>
    </row>
    <row r="539" customHeight="1" spans="2:4">
      <c r="B539" s="155"/>
      <c r="C539" s="85"/>
      <c r="D539" s="85"/>
    </row>
    <row r="540" customHeight="1" spans="2:4">
      <c r="B540" s="155"/>
      <c r="C540" s="85"/>
      <c r="D540" s="85"/>
    </row>
    <row r="541" customHeight="1" spans="2:4">
      <c r="B541" s="155"/>
      <c r="C541" s="85"/>
      <c r="D541" s="85"/>
    </row>
    <row r="542" customHeight="1" spans="2:4">
      <c r="B542" s="155"/>
      <c r="C542" s="85"/>
      <c r="D542" s="85"/>
    </row>
    <row r="543" customHeight="1" spans="2:4">
      <c r="B543" s="155"/>
      <c r="C543" s="85"/>
      <c r="D543" s="85"/>
    </row>
    <row r="544" customHeight="1" spans="2:4">
      <c r="B544" s="155"/>
      <c r="C544" s="85"/>
      <c r="D544" s="85"/>
    </row>
    <row r="545" customHeight="1" spans="2:4">
      <c r="B545" s="155"/>
      <c r="C545" s="85"/>
      <c r="D545" s="85"/>
    </row>
    <row r="546" customHeight="1" spans="2:4">
      <c r="B546" s="155"/>
      <c r="C546" s="85"/>
      <c r="D546" s="85"/>
    </row>
    <row r="547" customHeight="1" spans="2:4">
      <c r="B547" s="155"/>
      <c r="C547" s="85"/>
      <c r="D547" s="85"/>
    </row>
    <row r="548" customHeight="1" spans="2:4">
      <c r="B548" s="155"/>
      <c r="C548" s="85"/>
      <c r="D548" s="85"/>
    </row>
    <row r="549" customHeight="1" spans="2:4">
      <c r="B549" s="155"/>
      <c r="C549" s="85"/>
      <c r="D549" s="85"/>
    </row>
    <row r="550" customHeight="1" spans="2:4">
      <c r="B550" s="155"/>
      <c r="C550" s="85"/>
      <c r="D550" s="85"/>
    </row>
    <row r="551" customHeight="1" spans="2:4">
      <c r="B551" s="155"/>
      <c r="C551" s="85"/>
      <c r="D551" s="85"/>
    </row>
    <row r="552" customHeight="1" spans="2:4">
      <c r="B552" s="155"/>
      <c r="C552" s="85"/>
      <c r="D552" s="85"/>
    </row>
    <row r="553" customHeight="1" spans="2:4">
      <c r="B553" s="155"/>
      <c r="C553" s="85"/>
      <c r="D553" s="85"/>
    </row>
    <row r="554" customHeight="1" spans="2:4">
      <c r="B554" s="155"/>
      <c r="C554" s="85"/>
      <c r="D554" s="85"/>
    </row>
    <row r="555" customHeight="1" spans="2:4">
      <c r="B555" s="155"/>
      <c r="C555" s="85"/>
      <c r="D555" s="85"/>
    </row>
    <row r="556" customHeight="1" spans="2:4">
      <c r="B556" s="155"/>
      <c r="C556" s="85"/>
      <c r="D556" s="85"/>
    </row>
    <row r="557" customHeight="1" spans="2:4">
      <c r="B557" s="155"/>
      <c r="C557" s="85"/>
      <c r="D557" s="85"/>
    </row>
    <row r="558" customHeight="1" spans="2:4">
      <c r="B558" s="155"/>
      <c r="C558" s="85"/>
      <c r="D558" s="85"/>
    </row>
    <row r="559" customHeight="1" spans="2:4">
      <c r="B559" s="155"/>
      <c r="C559" s="85"/>
      <c r="D559" s="85"/>
    </row>
    <row r="560" customHeight="1" spans="2:4">
      <c r="B560" s="155"/>
      <c r="C560" s="85"/>
      <c r="D560" s="85"/>
    </row>
    <row r="561" customHeight="1" spans="2:4">
      <c r="B561" s="155"/>
      <c r="C561" s="85"/>
      <c r="D561" s="85"/>
    </row>
    <row r="562" customHeight="1" spans="2:4">
      <c r="B562" s="155"/>
      <c r="C562" s="85"/>
      <c r="D562" s="85"/>
    </row>
    <row r="563" customHeight="1" spans="2:4">
      <c r="B563" s="155"/>
      <c r="C563" s="85"/>
      <c r="D563" s="85"/>
    </row>
    <row r="564" customHeight="1" spans="2:4">
      <c r="B564" s="155"/>
      <c r="C564" s="85"/>
      <c r="D564" s="85"/>
    </row>
    <row r="565" customHeight="1" spans="2:4">
      <c r="B565" s="155"/>
      <c r="C565" s="85"/>
      <c r="D565" s="85"/>
    </row>
    <row r="566" customHeight="1" spans="2:4">
      <c r="B566" s="155"/>
      <c r="C566" s="85"/>
      <c r="D566" s="85"/>
    </row>
    <row r="567" customHeight="1" spans="2:4">
      <c r="B567" s="155"/>
      <c r="C567" s="85"/>
      <c r="D567" s="85"/>
    </row>
    <row r="568" customHeight="1" spans="2:4">
      <c r="B568" s="155"/>
      <c r="C568" s="85"/>
      <c r="D568" s="85"/>
    </row>
    <row r="569" customHeight="1" spans="2:4">
      <c r="B569" s="155"/>
      <c r="C569" s="85"/>
      <c r="D569" s="85"/>
    </row>
    <row r="570" customHeight="1" spans="2:4">
      <c r="B570" s="155"/>
      <c r="C570" s="85"/>
      <c r="D570" s="85"/>
    </row>
    <row r="571" customHeight="1" spans="2:4">
      <c r="B571" s="155"/>
      <c r="C571" s="85"/>
      <c r="D571" s="85"/>
    </row>
    <row r="572" customHeight="1" spans="2:4">
      <c r="B572" s="155"/>
      <c r="C572" s="85"/>
      <c r="D572" s="85"/>
    </row>
    <row r="573" customHeight="1" spans="2:4">
      <c r="B573" s="155"/>
      <c r="C573" s="85"/>
      <c r="D573" s="85"/>
    </row>
    <row r="574" customHeight="1" spans="2:4">
      <c r="B574" s="155"/>
      <c r="C574" s="85"/>
      <c r="D574" s="85"/>
    </row>
    <row r="575" customHeight="1" spans="2:4">
      <c r="B575" s="155"/>
      <c r="C575" s="85"/>
      <c r="D575" s="85"/>
    </row>
    <row r="576" customHeight="1" spans="2:4">
      <c r="B576" s="155"/>
      <c r="C576" s="85"/>
      <c r="D576" s="85"/>
    </row>
    <row r="577" customHeight="1" spans="2:4">
      <c r="B577" s="155"/>
      <c r="C577" s="85"/>
      <c r="D577" s="85"/>
    </row>
    <row r="578" customHeight="1" spans="2:4">
      <c r="B578" s="155"/>
      <c r="C578" s="85"/>
      <c r="D578" s="85"/>
    </row>
    <row r="579" customHeight="1" spans="2:4">
      <c r="B579" s="155"/>
      <c r="C579" s="85"/>
      <c r="D579" s="85"/>
    </row>
    <row r="580" customHeight="1" spans="2:4">
      <c r="B580" s="155"/>
      <c r="C580" s="85"/>
      <c r="D580" s="85"/>
    </row>
    <row r="581" customHeight="1" spans="2:4">
      <c r="B581" s="155"/>
      <c r="C581" s="85"/>
      <c r="D581" s="85"/>
    </row>
    <row r="582" customHeight="1" spans="2:4">
      <c r="B582" s="155"/>
      <c r="C582" s="85"/>
      <c r="D582" s="85"/>
    </row>
    <row r="583" customHeight="1" spans="2:4">
      <c r="B583" s="155"/>
      <c r="C583" s="85"/>
      <c r="D583" s="85"/>
    </row>
    <row r="584" customHeight="1" spans="2:4">
      <c r="B584" s="155"/>
      <c r="C584" s="85"/>
      <c r="D584" s="85"/>
    </row>
    <row r="585" customHeight="1" spans="2:4">
      <c r="B585" s="155"/>
      <c r="C585" s="85"/>
      <c r="D585" s="85"/>
    </row>
    <row r="586" customHeight="1" spans="2:4">
      <c r="B586" s="155"/>
      <c r="C586" s="85"/>
      <c r="D586" s="85"/>
    </row>
    <row r="587" customHeight="1" spans="2:4">
      <c r="B587" s="155"/>
      <c r="C587" s="85"/>
      <c r="D587" s="85"/>
    </row>
    <row r="588" customHeight="1" spans="2:4">
      <c r="B588" s="155"/>
      <c r="C588" s="85"/>
      <c r="D588" s="85"/>
    </row>
    <row r="589" customHeight="1" spans="2:4">
      <c r="B589" s="155"/>
      <c r="C589" s="85"/>
      <c r="D589" s="85"/>
    </row>
    <row r="590" customHeight="1" spans="2:4">
      <c r="B590" s="155"/>
      <c r="C590" s="85"/>
      <c r="D590" s="85"/>
    </row>
    <row r="591" customHeight="1" spans="2:4">
      <c r="B591" s="155"/>
      <c r="C591" s="85"/>
      <c r="D591" s="85"/>
    </row>
    <row r="592" customHeight="1" spans="2:4">
      <c r="B592" s="155"/>
      <c r="C592" s="85"/>
      <c r="D592" s="85"/>
    </row>
    <row r="593" customHeight="1" spans="2:4">
      <c r="B593" s="155"/>
      <c r="C593" s="85"/>
      <c r="D593" s="85"/>
    </row>
    <row r="594" customHeight="1" spans="2:4">
      <c r="B594" s="155"/>
      <c r="C594" s="85"/>
      <c r="D594" s="85"/>
    </row>
    <row r="595" customHeight="1" spans="2:4">
      <c r="B595" s="155"/>
      <c r="C595" s="85"/>
      <c r="D595" s="85"/>
    </row>
    <row r="596" customHeight="1" spans="2:4">
      <c r="B596" s="155"/>
      <c r="C596" s="85"/>
      <c r="D596" s="85"/>
    </row>
    <row r="597" customHeight="1" spans="2:2">
      <c r="B597" s="155"/>
    </row>
    <row r="598" customHeight="1" spans="2:4">
      <c r="B598" s="155"/>
      <c r="C598" s="85"/>
      <c r="D598" s="85"/>
    </row>
    <row r="599" customHeight="1" spans="2:4">
      <c r="B599" s="155"/>
      <c r="C599" s="85"/>
      <c r="D599" s="85"/>
    </row>
    <row r="600" customHeight="1" spans="2:4">
      <c r="B600" s="155"/>
      <c r="C600" s="85"/>
      <c r="D600" s="85"/>
    </row>
    <row r="601" customHeight="1" spans="2:4">
      <c r="B601" s="155"/>
      <c r="C601" s="85"/>
      <c r="D601" s="85"/>
    </row>
    <row r="602" customHeight="1" spans="2:2">
      <c r="B602" s="155"/>
    </row>
    <row r="603" customHeight="1" spans="2:4">
      <c r="B603" s="155"/>
      <c r="C603" s="85"/>
      <c r="D603" s="85"/>
    </row>
    <row r="604" customHeight="1" spans="2:4">
      <c r="B604" s="155"/>
      <c r="C604" s="85"/>
      <c r="D604" s="85"/>
    </row>
    <row r="605" customHeight="1" spans="2:4">
      <c r="B605" s="155"/>
      <c r="C605" s="85"/>
      <c r="D605" s="85"/>
    </row>
    <row r="606" customHeight="1" spans="2:4">
      <c r="B606" s="155"/>
      <c r="C606" s="85"/>
      <c r="D606" s="85"/>
    </row>
    <row r="607" customHeight="1" spans="2:4">
      <c r="B607" s="155"/>
      <c r="C607" s="85"/>
      <c r="D607" s="85"/>
    </row>
    <row r="608" customHeight="1" spans="2:4">
      <c r="B608" s="155"/>
      <c r="C608" s="85"/>
      <c r="D608" s="85"/>
    </row>
    <row r="609" customHeight="1" spans="2:4">
      <c r="B609" s="155"/>
      <c r="C609" s="85"/>
      <c r="D609" s="85"/>
    </row>
    <row r="610" customHeight="1" spans="2:4">
      <c r="B610" s="155"/>
      <c r="C610" s="85"/>
      <c r="D610" s="85"/>
    </row>
    <row r="611" customHeight="1" spans="2:4">
      <c r="B611" s="155"/>
      <c r="C611" s="85"/>
      <c r="D611" s="85"/>
    </row>
    <row r="612" customHeight="1" spans="2:4">
      <c r="B612" s="155"/>
      <c r="C612" s="85"/>
      <c r="D612" s="85"/>
    </row>
    <row r="613" customHeight="1" spans="2:4">
      <c r="B613" s="155"/>
      <c r="C613" s="85"/>
      <c r="D613" s="85"/>
    </row>
    <row r="614" customHeight="1" spans="2:4">
      <c r="B614" s="155"/>
      <c r="C614" s="85"/>
      <c r="D614" s="85"/>
    </row>
    <row r="615" customHeight="1" spans="2:4">
      <c r="B615" s="155"/>
      <c r="C615" s="85"/>
      <c r="D615" s="85"/>
    </row>
    <row r="616" customHeight="1" spans="2:4">
      <c r="B616" s="155"/>
      <c r="C616" s="85"/>
      <c r="D616" s="85"/>
    </row>
    <row r="617" customHeight="1" spans="2:4">
      <c r="B617" s="155"/>
      <c r="C617" s="85"/>
      <c r="D617" s="85"/>
    </row>
    <row r="618" customHeight="1" spans="2:4">
      <c r="B618" s="155"/>
      <c r="C618" s="85"/>
      <c r="D618" s="85"/>
    </row>
    <row r="619" customHeight="1" spans="2:4">
      <c r="B619" s="155"/>
      <c r="C619" s="85"/>
      <c r="D619" s="85"/>
    </row>
    <row r="620" customHeight="1" spans="2:4">
      <c r="B620" s="155"/>
      <c r="C620" s="85"/>
      <c r="D620" s="85"/>
    </row>
    <row r="621" customHeight="1" spans="2:4">
      <c r="B621" s="155"/>
      <c r="C621" s="85"/>
      <c r="D621" s="85"/>
    </row>
    <row r="622" customHeight="1" spans="2:4">
      <c r="B622" s="155"/>
      <c r="C622" s="85"/>
      <c r="D622" s="85"/>
    </row>
    <row r="623" customHeight="1" spans="2:4">
      <c r="B623" s="155"/>
      <c r="C623" s="85"/>
      <c r="D623" s="85"/>
    </row>
    <row r="624" customHeight="1" spans="2:4">
      <c r="B624" s="155"/>
      <c r="C624" s="85"/>
      <c r="D624" s="85"/>
    </row>
    <row r="625" customHeight="1" spans="2:4">
      <c r="B625" s="155"/>
      <c r="C625" s="85"/>
      <c r="D625" s="85"/>
    </row>
    <row r="626" customHeight="1" spans="2:4">
      <c r="B626" s="155"/>
      <c r="C626" s="85"/>
      <c r="D626" s="85"/>
    </row>
    <row r="627" customHeight="1" spans="2:4">
      <c r="B627" s="155"/>
      <c r="C627" s="85"/>
      <c r="D627" s="85"/>
    </row>
    <row r="628" customHeight="1" spans="2:4">
      <c r="B628" s="155"/>
      <c r="C628" s="85"/>
      <c r="D628" s="85"/>
    </row>
    <row r="629" customHeight="1" spans="2:4">
      <c r="B629" s="155"/>
      <c r="C629" s="85"/>
      <c r="D629" s="85"/>
    </row>
    <row r="630" customHeight="1" spans="2:4">
      <c r="B630" s="155"/>
      <c r="C630" s="85"/>
      <c r="D630" s="85"/>
    </row>
    <row r="631" customHeight="1" spans="2:4">
      <c r="B631" s="155"/>
      <c r="C631" s="85"/>
      <c r="D631" s="85"/>
    </row>
    <row r="632" customHeight="1" spans="2:4">
      <c r="B632" s="155"/>
      <c r="C632" s="85"/>
      <c r="D632" s="85"/>
    </row>
    <row r="633" customHeight="1" spans="2:4">
      <c r="B633" s="155"/>
      <c r="C633" s="85"/>
      <c r="D633" s="85"/>
    </row>
    <row r="634" customHeight="1" spans="2:4">
      <c r="B634" s="155"/>
      <c r="C634" s="85"/>
      <c r="D634" s="85"/>
    </row>
    <row r="635" customHeight="1" spans="2:4">
      <c r="B635" s="155"/>
      <c r="C635" s="85"/>
      <c r="D635" s="85"/>
    </row>
    <row r="636" customHeight="1" spans="2:4">
      <c r="B636" s="155"/>
      <c r="C636" s="85"/>
      <c r="D636" s="85"/>
    </row>
    <row r="637" customHeight="1" spans="2:4">
      <c r="B637" s="155"/>
      <c r="C637" s="85"/>
      <c r="D637" s="85"/>
    </row>
    <row r="638" customHeight="1" spans="2:4">
      <c r="B638" s="155"/>
      <c r="C638" s="85"/>
      <c r="D638" s="85"/>
    </row>
    <row r="639" customHeight="1" spans="2:4">
      <c r="B639" s="155"/>
      <c r="C639" s="85"/>
      <c r="D639" s="85"/>
    </row>
    <row r="640" customHeight="1" spans="2:4">
      <c r="B640" s="155"/>
      <c r="C640" s="85"/>
      <c r="D640" s="85"/>
    </row>
    <row r="641" customHeight="1" spans="2:4">
      <c r="B641" s="155"/>
      <c r="C641" s="85"/>
      <c r="D641" s="85"/>
    </row>
    <row r="642" customHeight="1" spans="2:4">
      <c r="B642" s="155"/>
      <c r="C642" s="85"/>
      <c r="D642" s="85"/>
    </row>
    <row r="643" customHeight="1" spans="2:4">
      <c r="B643" s="155"/>
      <c r="C643" s="85"/>
      <c r="D643" s="85"/>
    </row>
    <row r="644" customHeight="1" spans="2:4">
      <c r="B644" s="155"/>
      <c r="C644" s="85"/>
      <c r="D644" s="85"/>
    </row>
    <row r="645" customHeight="1" spans="2:4">
      <c r="B645" s="155"/>
      <c r="C645" s="85"/>
      <c r="D645" s="85"/>
    </row>
    <row r="646" customHeight="1" spans="2:4">
      <c r="B646" s="155"/>
      <c r="C646" s="85"/>
      <c r="D646" s="85"/>
    </row>
    <row r="647" customHeight="1" spans="2:4">
      <c r="B647" s="155"/>
      <c r="C647" s="85"/>
      <c r="D647" s="85"/>
    </row>
    <row r="648" customHeight="1" spans="2:4">
      <c r="B648" s="155"/>
      <c r="C648" s="85"/>
      <c r="D648" s="85"/>
    </row>
    <row r="649" customHeight="1" spans="2:4">
      <c r="B649" s="155"/>
      <c r="C649" s="85"/>
      <c r="D649" s="85"/>
    </row>
    <row r="650" customHeight="1" spans="2:4">
      <c r="B650" s="155"/>
      <c r="C650" s="85"/>
      <c r="D650" s="85"/>
    </row>
    <row r="651" customHeight="1" spans="2:4">
      <c r="B651" s="155"/>
      <c r="C651" s="85"/>
      <c r="D651" s="85"/>
    </row>
    <row r="652" customHeight="1" spans="2:4">
      <c r="B652" s="155"/>
      <c r="C652" s="85"/>
      <c r="D652" s="85"/>
    </row>
    <row r="653" customHeight="1" spans="2:4">
      <c r="B653" s="155"/>
      <c r="C653" s="85"/>
      <c r="D653" s="85"/>
    </row>
    <row r="654" customHeight="1" spans="2:4">
      <c r="B654" s="155"/>
      <c r="C654" s="85"/>
      <c r="D654" s="85"/>
    </row>
    <row r="655" customHeight="1" spans="2:4">
      <c r="B655" s="155"/>
      <c r="C655" s="85"/>
      <c r="D655" s="85"/>
    </row>
    <row r="656" customHeight="1" spans="2:4">
      <c r="B656" s="155"/>
      <c r="C656" s="85"/>
      <c r="D656" s="85"/>
    </row>
    <row r="657" customHeight="1" spans="2:4">
      <c r="B657" s="155"/>
      <c r="C657" s="85"/>
      <c r="D657" s="85"/>
    </row>
    <row r="658" customHeight="1" spans="2:4">
      <c r="B658" s="155"/>
      <c r="C658" s="85"/>
      <c r="D658" s="85"/>
    </row>
    <row r="659" customHeight="1" spans="2:4">
      <c r="B659" s="155"/>
      <c r="C659" s="85"/>
      <c r="D659" s="85"/>
    </row>
    <row r="660" customHeight="1" spans="2:4">
      <c r="B660" s="155"/>
      <c r="C660" s="85"/>
      <c r="D660" s="85"/>
    </row>
    <row r="661" customHeight="1" spans="2:4">
      <c r="B661" s="155"/>
      <c r="C661" s="85"/>
      <c r="D661" s="85"/>
    </row>
    <row r="662" customHeight="1" spans="2:4">
      <c r="B662" s="155"/>
      <c r="C662" s="85"/>
      <c r="D662" s="85"/>
    </row>
    <row r="663" customHeight="1" spans="2:4">
      <c r="B663" s="155"/>
      <c r="C663" s="85"/>
      <c r="D663" s="85"/>
    </row>
    <row r="664" customHeight="1" spans="2:4">
      <c r="B664" s="155"/>
      <c r="C664" s="85"/>
      <c r="D664" s="85"/>
    </row>
    <row r="665" customHeight="1" spans="2:4">
      <c r="B665" s="155"/>
      <c r="C665" s="85"/>
      <c r="D665" s="85"/>
    </row>
    <row r="666" customHeight="1" spans="2:4">
      <c r="B666" s="155"/>
      <c r="C666" s="85"/>
      <c r="D666" s="85"/>
    </row>
    <row r="667" customHeight="1" spans="2:4">
      <c r="B667" s="155"/>
      <c r="C667" s="85"/>
      <c r="D667" s="85"/>
    </row>
    <row r="668" customHeight="1" spans="2:4">
      <c r="B668" s="155"/>
      <c r="C668" s="85"/>
      <c r="D668" s="85"/>
    </row>
    <row r="669" customHeight="1" spans="2:4">
      <c r="B669" s="155"/>
      <c r="C669" s="85"/>
      <c r="D669" s="85"/>
    </row>
    <row r="670" customHeight="1" spans="2:4">
      <c r="B670" s="155"/>
      <c r="C670" s="85"/>
      <c r="D670" s="85"/>
    </row>
    <row r="671" customHeight="1" spans="2:4">
      <c r="B671" s="155"/>
      <c r="C671" s="85"/>
      <c r="D671" s="85"/>
    </row>
    <row r="672" customHeight="1" spans="2:4">
      <c r="B672" s="155"/>
      <c r="C672" s="85"/>
      <c r="D672" s="85"/>
    </row>
    <row r="673" customHeight="1" spans="2:4">
      <c r="B673" s="155"/>
      <c r="C673" s="85"/>
      <c r="D673" s="85"/>
    </row>
    <row r="674" customHeight="1" spans="2:4">
      <c r="B674" s="155"/>
      <c r="C674" s="85"/>
      <c r="D674" s="85"/>
    </row>
    <row r="675" customHeight="1" spans="2:4">
      <c r="B675" s="155"/>
      <c r="C675" s="85"/>
      <c r="D675" s="85"/>
    </row>
    <row r="676" customHeight="1" spans="2:4">
      <c r="B676" s="155"/>
      <c r="C676" s="85"/>
      <c r="D676" s="85"/>
    </row>
    <row r="677" customHeight="1" spans="2:4">
      <c r="B677" s="155"/>
      <c r="C677" s="85"/>
      <c r="D677" s="85"/>
    </row>
    <row r="678" customHeight="1" spans="2:4">
      <c r="B678" s="155"/>
      <c r="C678" s="85"/>
      <c r="D678" s="85"/>
    </row>
    <row r="679" customHeight="1" spans="2:4">
      <c r="B679" s="155"/>
      <c r="C679" s="85"/>
      <c r="D679" s="85"/>
    </row>
    <row r="680" customHeight="1" spans="2:4">
      <c r="B680" s="155"/>
      <c r="C680" s="85"/>
      <c r="D680" s="85"/>
    </row>
    <row r="681" customHeight="1" spans="2:4">
      <c r="B681" s="155"/>
      <c r="C681" s="85"/>
      <c r="D681" s="85"/>
    </row>
    <row r="682" customHeight="1" spans="2:4">
      <c r="B682" s="155"/>
      <c r="C682" s="85"/>
      <c r="D682" s="85"/>
    </row>
    <row r="683" customHeight="1" spans="2:4">
      <c r="B683" s="155"/>
      <c r="C683" s="85"/>
      <c r="D683" s="85"/>
    </row>
    <row r="684" customHeight="1" spans="2:4">
      <c r="B684" s="155"/>
      <c r="C684" s="85"/>
      <c r="D684" s="85"/>
    </row>
    <row r="685" customHeight="1" spans="2:4">
      <c r="B685" s="155"/>
      <c r="C685" s="85"/>
      <c r="D685" s="85"/>
    </row>
    <row r="686" customHeight="1" spans="2:4">
      <c r="B686" s="155"/>
      <c r="C686" s="85"/>
      <c r="D686" s="85"/>
    </row>
    <row r="687" customHeight="1" spans="2:4">
      <c r="B687" s="155"/>
      <c r="C687" s="85"/>
      <c r="D687" s="85"/>
    </row>
    <row r="688" customHeight="1" spans="2:4">
      <c r="B688" s="155"/>
      <c r="C688" s="85"/>
      <c r="D688" s="85"/>
    </row>
    <row r="689" customHeight="1" spans="2:4">
      <c r="B689" s="155"/>
      <c r="C689" s="85"/>
      <c r="D689" s="85"/>
    </row>
    <row r="690" customHeight="1" spans="2:4">
      <c r="B690" s="155"/>
      <c r="C690" s="85"/>
      <c r="D690" s="85"/>
    </row>
    <row r="691" customHeight="1" spans="2:4">
      <c r="B691" s="155"/>
      <c r="C691" s="85"/>
      <c r="D691" s="85"/>
    </row>
    <row r="692" customHeight="1" spans="2:4">
      <c r="B692" s="155"/>
      <c r="C692" s="85"/>
      <c r="D692" s="85"/>
    </row>
    <row r="693" customHeight="1" spans="2:4">
      <c r="B693" s="155"/>
      <c r="C693" s="85"/>
      <c r="D693" s="85"/>
    </row>
    <row r="694" customHeight="1" spans="2:4">
      <c r="B694" s="155"/>
      <c r="C694" s="85"/>
      <c r="D694" s="85"/>
    </row>
    <row r="695" customHeight="1" spans="2:4">
      <c r="B695" s="155"/>
      <c r="C695" s="85"/>
      <c r="D695" s="85"/>
    </row>
    <row r="696" customHeight="1" spans="2:4">
      <c r="B696" s="155"/>
      <c r="C696" s="85"/>
      <c r="D696" s="85"/>
    </row>
    <row r="697" customHeight="1" spans="2:4">
      <c r="B697" s="155"/>
      <c r="C697" s="85"/>
      <c r="D697" s="85"/>
    </row>
    <row r="698" customHeight="1" spans="2:4">
      <c r="B698" s="155"/>
      <c r="C698" s="85"/>
      <c r="D698" s="85"/>
    </row>
    <row r="699" customHeight="1" spans="2:4">
      <c r="B699" s="155"/>
      <c r="C699" s="85"/>
      <c r="D699" s="85"/>
    </row>
    <row r="700" customHeight="1" spans="2:4">
      <c r="B700" s="155"/>
      <c r="C700" s="85"/>
      <c r="D700" s="85"/>
    </row>
    <row r="701" customHeight="1" spans="2:4">
      <c r="B701" s="155"/>
      <c r="C701" s="85"/>
      <c r="D701" s="85"/>
    </row>
    <row r="702" customHeight="1" spans="2:4">
      <c r="B702" s="155"/>
      <c r="C702" s="85"/>
      <c r="D702" s="85"/>
    </row>
    <row r="703" customHeight="1" spans="2:4">
      <c r="B703" s="155"/>
      <c r="C703" s="85"/>
      <c r="D703" s="85"/>
    </row>
    <row r="704" customHeight="1" spans="2:4">
      <c r="B704" s="155"/>
      <c r="C704" s="85"/>
      <c r="D704" s="85"/>
    </row>
    <row r="705" customHeight="1" spans="2:4">
      <c r="B705" s="155"/>
      <c r="C705" s="85"/>
      <c r="D705" s="85"/>
    </row>
    <row r="706" customHeight="1" spans="2:4">
      <c r="B706" s="155"/>
      <c r="C706" s="85"/>
      <c r="D706" s="85"/>
    </row>
    <row r="707" customHeight="1" spans="2:4">
      <c r="B707" s="155"/>
      <c r="C707" s="85"/>
      <c r="D707" s="85"/>
    </row>
    <row r="708" customHeight="1" spans="2:4">
      <c r="B708" s="155"/>
      <c r="C708" s="85"/>
      <c r="D708" s="85"/>
    </row>
    <row r="709" customHeight="1" spans="2:4">
      <c r="B709" s="155"/>
      <c r="C709" s="85"/>
      <c r="D709" s="85"/>
    </row>
    <row r="710" customHeight="1" spans="2:4">
      <c r="B710" s="155"/>
      <c r="C710" s="85"/>
      <c r="D710" s="85"/>
    </row>
    <row r="711" customHeight="1" spans="2:4">
      <c r="B711" s="155"/>
      <c r="C711" s="85"/>
      <c r="D711" s="85"/>
    </row>
    <row r="712" customHeight="1" spans="2:4">
      <c r="B712" s="155"/>
      <c r="C712" s="85"/>
      <c r="D712" s="85"/>
    </row>
    <row r="713" customHeight="1" spans="2:4">
      <c r="B713" s="155"/>
      <c r="C713" s="85"/>
      <c r="D713" s="85"/>
    </row>
    <row r="714" customHeight="1" spans="2:4">
      <c r="B714" s="155"/>
      <c r="C714" s="85"/>
      <c r="D714" s="85"/>
    </row>
    <row r="715" customHeight="1" spans="2:4">
      <c r="B715" s="155"/>
      <c r="C715" s="85"/>
      <c r="D715" s="85"/>
    </row>
    <row r="716" customHeight="1" spans="2:4">
      <c r="B716" s="155"/>
      <c r="C716" s="85"/>
      <c r="D716" s="85"/>
    </row>
    <row r="717" customHeight="1" spans="2:4">
      <c r="B717" s="155"/>
      <c r="C717" s="85"/>
      <c r="D717" s="85"/>
    </row>
    <row r="718" customHeight="1" spans="2:4">
      <c r="B718" s="155"/>
      <c r="C718" s="85"/>
      <c r="D718" s="85"/>
    </row>
    <row r="719" customHeight="1" spans="2:4">
      <c r="B719" s="155"/>
      <c r="C719" s="85"/>
      <c r="D719" s="85"/>
    </row>
    <row r="720" customHeight="1" spans="2:4">
      <c r="B720" s="155"/>
      <c r="C720" s="85"/>
      <c r="D720" s="85"/>
    </row>
    <row r="721" customHeight="1" spans="2:4">
      <c r="B721" s="155"/>
      <c r="C721" s="85"/>
      <c r="D721" s="85"/>
    </row>
    <row r="722" customHeight="1" spans="2:4">
      <c r="B722" s="155"/>
      <c r="C722" s="85"/>
      <c r="D722" s="85"/>
    </row>
    <row r="723" customHeight="1" spans="2:4">
      <c r="B723" s="155"/>
      <c r="C723" s="85"/>
      <c r="D723" s="85"/>
    </row>
    <row r="724" customHeight="1" spans="2:4">
      <c r="B724" s="155"/>
      <c r="C724" s="85"/>
      <c r="D724" s="85"/>
    </row>
    <row r="725" customHeight="1" spans="2:4">
      <c r="B725" s="155"/>
      <c r="C725" s="85"/>
      <c r="D725" s="85"/>
    </row>
    <row r="726" customHeight="1" spans="2:4">
      <c r="B726" s="155"/>
      <c r="C726" s="85"/>
      <c r="D726" s="85"/>
    </row>
    <row r="727" customHeight="1" spans="2:4">
      <c r="B727" s="155"/>
      <c r="C727" s="85"/>
      <c r="D727" s="85"/>
    </row>
    <row r="728" customHeight="1" spans="2:4">
      <c r="B728" s="155"/>
      <c r="C728" s="85"/>
      <c r="D728" s="85"/>
    </row>
    <row r="729" customHeight="1" spans="2:4">
      <c r="B729" s="155"/>
      <c r="C729" s="85"/>
      <c r="D729" s="85"/>
    </row>
    <row r="730" customHeight="1" spans="2:4">
      <c r="B730" s="155"/>
      <c r="C730" s="85"/>
      <c r="D730" s="85"/>
    </row>
    <row r="731" customHeight="1" spans="2:4">
      <c r="B731" s="155"/>
      <c r="C731" s="85"/>
      <c r="D731" s="85"/>
    </row>
    <row r="732" customHeight="1" spans="2:4">
      <c r="B732" s="155"/>
      <c r="C732" s="85"/>
      <c r="D732" s="85"/>
    </row>
    <row r="733" customHeight="1" spans="2:4">
      <c r="B733" s="155"/>
      <c r="C733" s="85"/>
      <c r="D733" s="85"/>
    </row>
    <row r="734" customHeight="1" spans="2:4">
      <c r="B734" s="155"/>
      <c r="C734" s="85"/>
      <c r="D734" s="85"/>
    </row>
    <row r="735" customHeight="1" spans="2:4">
      <c r="B735" s="155"/>
      <c r="C735" s="85"/>
      <c r="D735" s="85"/>
    </row>
    <row r="736" customHeight="1" spans="2:4">
      <c r="B736" s="155"/>
      <c r="C736" s="85"/>
      <c r="D736" s="85"/>
    </row>
    <row r="737" customHeight="1" spans="2:4">
      <c r="B737" s="155"/>
      <c r="C737" s="85"/>
      <c r="D737" s="85"/>
    </row>
    <row r="738" customHeight="1" spans="2:4">
      <c r="B738" s="155"/>
      <c r="C738" s="85"/>
      <c r="D738" s="85"/>
    </row>
    <row r="739" customHeight="1" spans="2:4">
      <c r="B739" s="155"/>
      <c r="C739" s="85"/>
      <c r="D739" s="85"/>
    </row>
    <row r="740" customHeight="1" spans="2:4">
      <c r="B740" s="155"/>
      <c r="C740" s="85"/>
      <c r="D740" s="85"/>
    </row>
    <row r="741" customHeight="1" spans="2:4">
      <c r="B741" s="155"/>
      <c r="C741" s="85"/>
      <c r="D741" s="85"/>
    </row>
    <row r="742" customHeight="1" spans="2:4">
      <c r="B742" s="155"/>
      <c r="C742" s="85"/>
      <c r="D742" s="85"/>
    </row>
    <row r="743" customHeight="1" spans="2:4">
      <c r="B743" s="155"/>
      <c r="C743" s="85"/>
      <c r="D743" s="85"/>
    </row>
    <row r="744" customHeight="1" spans="2:4">
      <c r="B744" s="155"/>
      <c r="C744" s="85"/>
      <c r="D744" s="85"/>
    </row>
    <row r="745" customHeight="1" spans="2:4">
      <c r="B745" s="155"/>
      <c r="C745" s="85"/>
      <c r="D745" s="85"/>
    </row>
    <row r="746" customHeight="1" spans="2:4">
      <c r="B746" s="155"/>
      <c r="C746" s="85"/>
      <c r="D746" s="85"/>
    </row>
    <row r="747" customHeight="1" spans="2:4">
      <c r="B747" s="155"/>
      <c r="C747" s="85"/>
      <c r="D747" s="85"/>
    </row>
    <row r="748" customHeight="1" spans="2:4">
      <c r="B748" s="155"/>
      <c r="C748" s="85"/>
      <c r="D748" s="85"/>
    </row>
    <row r="749" customHeight="1" spans="2:4">
      <c r="B749" s="155"/>
      <c r="C749" s="85"/>
      <c r="D749" s="85"/>
    </row>
    <row r="750" customHeight="1" spans="2:4">
      <c r="B750" s="155"/>
      <c r="C750" s="85"/>
      <c r="D750" s="85"/>
    </row>
    <row r="751" customHeight="1" spans="2:4">
      <c r="B751" s="155"/>
      <c r="C751" s="85"/>
      <c r="D751" s="85"/>
    </row>
    <row r="752" customHeight="1" spans="2:4">
      <c r="B752" s="155"/>
      <c r="C752" s="85"/>
      <c r="D752" s="85"/>
    </row>
    <row r="753" customHeight="1" spans="2:4">
      <c r="B753" s="155"/>
      <c r="C753" s="85"/>
      <c r="D753" s="85"/>
    </row>
    <row r="754" customHeight="1" spans="2:4">
      <c r="B754" s="155"/>
      <c r="C754" s="85"/>
      <c r="D754" s="85"/>
    </row>
    <row r="755" customHeight="1" spans="2:4">
      <c r="B755" s="155"/>
      <c r="C755" s="85"/>
      <c r="D755" s="85"/>
    </row>
    <row r="756" customHeight="1" spans="2:4">
      <c r="B756" s="155"/>
      <c r="C756" s="85"/>
      <c r="D756" s="85"/>
    </row>
    <row r="757" customHeight="1" spans="2:4">
      <c r="B757" s="155"/>
      <c r="C757" s="85"/>
      <c r="D757" s="85"/>
    </row>
    <row r="758" customHeight="1" spans="2:4">
      <c r="B758" s="155"/>
      <c r="C758" s="85"/>
      <c r="D758" s="85"/>
    </row>
    <row r="759" customHeight="1" spans="2:4">
      <c r="B759" s="155"/>
      <c r="C759" s="85"/>
      <c r="D759" s="85"/>
    </row>
    <row r="760" customHeight="1" spans="2:4">
      <c r="B760" s="155"/>
      <c r="C760" s="85"/>
      <c r="D760" s="85"/>
    </row>
    <row r="761" customHeight="1" spans="2:4">
      <c r="B761" s="155"/>
      <c r="C761" s="85"/>
      <c r="D761" s="85"/>
    </row>
    <row r="762" customHeight="1" spans="2:4">
      <c r="B762" s="155"/>
      <c r="C762" s="85"/>
      <c r="D762" s="85"/>
    </row>
    <row r="763" customHeight="1" spans="2:4">
      <c r="B763" s="155"/>
      <c r="C763" s="85"/>
      <c r="D763" s="85"/>
    </row>
    <row r="764" customHeight="1" spans="2:4">
      <c r="B764" s="155"/>
      <c r="C764" s="85"/>
      <c r="D764" s="85"/>
    </row>
    <row r="765" customHeight="1" spans="2:4">
      <c r="B765" s="155"/>
      <c r="C765" s="85"/>
      <c r="D765" s="85"/>
    </row>
    <row r="766" customHeight="1" spans="2:4">
      <c r="B766" s="155"/>
      <c r="C766" s="85"/>
      <c r="D766" s="85"/>
    </row>
    <row r="767" customHeight="1" spans="2:4">
      <c r="B767" s="155"/>
      <c r="C767" s="85"/>
      <c r="D767" s="85"/>
    </row>
    <row r="768" customHeight="1" spans="2:4">
      <c r="B768" s="155"/>
      <c r="C768" s="85"/>
      <c r="D768" s="85"/>
    </row>
    <row r="769" customHeight="1" spans="2:4">
      <c r="B769" s="155"/>
      <c r="C769" s="85"/>
      <c r="D769" s="85"/>
    </row>
    <row r="770" customHeight="1" spans="2:4">
      <c r="B770" s="155"/>
      <c r="C770" s="85"/>
      <c r="D770" s="85"/>
    </row>
    <row r="771" customHeight="1" spans="2:4">
      <c r="B771" s="155"/>
      <c r="C771" s="85"/>
      <c r="D771" s="85"/>
    </row>
    <row r="772" customHeight="1" spans="2:4">
      <c r="B772" s="155"/>
      <c r="C772" s="85"/>
      <c r="D772" s="85"/>
    </row>
    <row r="773" customHeight="1" spans="2:4">
      <c r="B773" s="155"/>
      <c r="C773" s="85"/>
      <c r="D773" s="85"/>
    </row>
    <row r="774" customHeight="1" spans="2:4">
      <c r="B774" s="155"/>
      <c r="C774" s="85"/>
      <c r="D774" s="85"/>
    </row>
    <row r="775" customHeight="1" spans="2:4">
      <c r="B775" s="155"/>
      <c r="C775" s="85"/>
      <c r="D775" s="85"/>
    </row>
    <row r="776" customHeight="1" spans="2:4">
      <c r="B776" s="155"/>
      <c r="C776" s="85"/>
      <c r="D776" s="85"/>
    </row>
    <row r="777" customHeight="1" spans="2:4">
      <c r="B777" s="155"/>
      <c r="C777" s="85"/>
      <c r="D777" s="85"/>
    </row>
    <row r="778" customHeight="1" spans="2:4">
      <c r="B778" s="155"/>
      <c r="C778" s="85"/>
      <c r="D778" s="85"/>
    </row>
    <row r="779" customHeight="1" spans="2:4">
      <c r="B779" s="155"/>
      <c r="C779" s="85"/>
      <c r="D779" s="85"/>
    </row>
    <row r="780" customHeight="1" spans="2:4">
      <c r="B780" s="155"/>
      <c r="C780" s="85"/>
      <c r="D780" s="85"/>
    </row>
    <row r="781" customHeight="1" spans="2:4">
      <c r="B781" s="155"/>
      <c r="C781" s="85"/>
      <c r="D781" s="85"/>
    </row>
    <row r="782" customHeight="1" spans="2:4">
      <c r="B782" s="155"/>
      <c r="C782" s="85"/>
      <c r="D782" s="85"/>
    </row>
    <row r="783" customHeight="1" spans="2:4">
      <c r="B783" s="155"/>
      <c r="C783" s="85"/>
      <c r="D783" s="85"/>
    </row>
    <row r="784" customHeight="1" spans="2:4">
      <c r="B784" s="155"/>
      <c r="C784" s="85"/>
      <c r="D784" s="85"/>
    </row>
    <row r="785" customHeight="1" spans="2:4">
      <c r="B785" s="155"/>
      <c r="C785" s="85"/>
      <c r="D785" s="85"/>
    </row>
    <row r="786" customHeight="1" spans="2:4">
      <c r="B786" s="155"/>
      <c r="C786" s="85"/>
      <c r="D786" s="85"/>
    </row>
    <row r="787" customHeight="1" spans="2:4">
      <c r="B787" s="155"/>
      <c r="C787" s="85"/>
      <c r="D787" s="85"/>
    </row>
    <row r="788" customHeight="1" spans="2:4">
      <c r="B788" s="155"/>
      <c r="C788" s="85"/>
      <c r="D788" s="85"/>
    </row>
    <row r="789" customHeight="1" spans="2:4">
      <c r="B789" s="155"/>
      <c r="C789" s="85"/>
      <c r="D789" s="85"/>
    </row>
    <row r="790" customHeight="1" spans="2:4">
      <c r="B790" s="155"/>
      <c r="C790" s="85"/>
      <c r="D790" s="85"/>
    </row>
    <row r="791" customHeight="1" spans="2:4">
      <c r="B791" s="155"/>
      <c r="C791" s="85"/>
      <c r="D791" s="85"/>
    </row>
    <row r="792" customHeight="1" spans="2:4">
      <c r="B792" s="155"/>
      <c r="C792" s="85"/>
      <c r="D792" s="85"/>
    </row>
    <row r="793" customHeight="1" spans="2:4">
      <c r="B793" s="155"/>
      <c r="C793" s="85"/>
      <c r="D793" s="85"/>
    </row>
    <row r="794" customHeight="1" spans="2:4">
      <c r="B794" s="155"/>
      <c r="C794" s="85"/>
      <c r="D794" s="85"/>
    </row>
    <row r="795" customHeight="1" spans="2:4">
      <c r="B795" s="155"/>
      <c r="C795" s="85"/>
      <c r="D795" s="85"/>
    </row>
    <row r="796" customHeight="1" spans="2:4">
      <c r="B796" s="155"/>
      <c r="C796" s="85"/>
      <c r="D796" s="85"/>
    </row>
    <row r="797" customHeight="1" spans="2:4">
      <c r="B797" s="155"/>
      <c r="C797" s="85"/>
      <c r="D797" s="85"/>
    </row>
    <row r="798" customHeight="1" spans="2:4">
      <c r="B798" s="155"/>
      <c r="C798" s="85"/>
      <c r="D798" s="85"/>
    </row>
    <row r="799" customHeight="1" spans="2:4">
      <c r="B799" s="155"/>
      <c r="C799" s="85"/>
      <c r="D799" s="85"/>
    </row>
    <row r="800" customHeight="1" spans="2:4">
      <c r="B800" s="155"/>
      <c r="C800" s="85"/>
      <c r="D800" s="85"/>
    </row>
    <row r="801" customHeight="1" spans="2:4">
      <c r="B801" s="155"/>
      <c r="C801" s="85"/>
      <c r="D801" s="85"/>
    </row>
    <row r="802" customHeight="1" spans="2:4">
      <c r="B802" s="155"/>
      <c r="C802" s="85"/>
      <c r="D802" s="85"/>
    </row>
    <row r="803" customHeight="1" spans="2:4">
      <c r="B803" s="155"/>
      <c r="C803" s="85"/>
      <c r="D803" s="85"/>
    </row>
    <row r="804" customHeight="1" spans="2:4">
      <c r="B804" s="155"/>
      <c r="C804" s="85"/>
      <c r="D804" s="85"/>
    </row>
    <row r="805" customHeight="1" spans="2:4">
      <c r="B805" s="155"/>
      <c r="C805" s="85"/>
      <c r="D805" s="85"/>
    </row>
    <row r="806" customHeight="1" spans="2:4">
      <c r="B806" s="155"/>
      <c r="C806" s="85"/>
      <c r="D806" s="85"/>
    </row>
    <row r="807" customHeight="1" spans="2:4">
      <c r="B807" s="155"/>
      <c r="C807" s="85"/>
      <c r="D807" s="85"/>
    </row>
    <row r="808" customHeight="1" spans="2:4">
      <c r="B808" s="155"/>
      <c r="C808" s="85"/>
      <c r="D808" s="85"/>
    </row>
    <row r="809" customHeight="1" spans="2:4">
      <c r="B809" s="155"/>
      <c r="C809" s="85"/>
      <c r="D809" s="85"/>
    </row>
    <row r="810" customHeight="1" spans="2:4">
      <c r="B810" s="155"/>
      <c r="C810" s="85"/>
      <c r="D810" s="85"/>
    </row>
    <row r="811" customHeight="1" spans="2:4">
      <c r="B811" s="155"/>
      <c r="C811" s="85"/>
      <c r="D811" s="85"/>
    </row>
    <row r="812" customHeight="1" spans="2:4">
      <c r="B812" s="155"/>
      <c r="C812" s="85"/>
      <c r="D812" s="85"/>
    </row>
    <row r="813" customHeight="1" spans="2:4">
      <c r="B813" s="155"/>
      <c r="C813" s="85"/>
      <c r="D813" s="85"/>
    </row>
    <row r="814" customHeight="1" spans="2:4">
      <c r="B814" s="155"/>
      <c r="C814" s="85"/>
      <c r="D814" s="85"/>
    </row>
    <row r="815" customHeight="1" spans="2:4">
      <c r="B815" s="155"/>
      <c r="C815" s="85"/>
      <c r="D815" s="85"/>
    </row>
    <row r="816" customHeight="1" spans="2:4">
      <c r="B816" s="155"/>
      <c r="C816" s="85"/>
      <c r="D816" s="85"/>
    </row>
    <row r="817" customHeight="1" spans="2:4">
      <c r="B817" s="155"/>
      <c r="C817" s="85"/>
      <c r="D817" s="85"/>
    </row>
    <row r="818" customHeight="1" spans="2:4">
      <c r="B818" s="155"/>
      <c r="C818" s="85"/>
      <c r="D818" s="85"/>
    </row>
    <row r="819" customHeight="1" spans="2:4">
      <c r="B819" s="155"/>
      <c r="C819" s="85"/>
      <c r="D819" s="85"/>
    </row>
    <row r="820" customHeight="1" spans="2:4">
      <c r="B820" s="155"/>
      <c r="C820" s="85"/>
      <c r="D820" s="85"/>
    </row>
    <row r="821" customHeight="1" spans="2:4">
      <c r="B821" s="155"/>
      <c r="C821" s="85"/>
      <c r="D821" s="85"/>
    </row>
    <row r="822" customHeight="1" spans="2:4">
      <c r="B822" s="155"/>
      <c r="C822" s="85"/>
      <c r="D822" s="85"/>
    </row>
    <row r="823" customHeight="1" spans="2:4">
      <c r="B823" s="155"/>
      <c r="C823" s="85"/>
      <c r="D823" s="85"/>
    </row>
    <row r="824" customHeight="1" spans="2:4">
      <c r="B824" s="155"/>
      <c r="C824" s="85"/>
      <c r="D824" s="85"/>
    </row>
    <row r="825" customHeight="1" spans="2:4">
      <c r="B825" s="155"/>
      <c r="C825" s="85"/>
      <c r="D825" s="85"/>
    </row>
    <row r="826" customHeight="1" spans="2:4">
      <c r="B826" s="155"/>
      <c r="C826" s="85"/>
      <c r="D826" s="85"/>
    </row>
    <row r="827" customHeight="1" spans="2:4">
      <c r="B827" s="155"/>
      <c r="C827" s="85"/>
      <c r="D827" s="85"/>
    </row>
    <row r="828" customHeight="1" spans="2:4">
      <c r="B828" s="155"/>
      <c r="C828" s="85"/>
      <c r="D828" s="85"/>
    </row>
    <row r="829" customHeight="1" spans="2:4">
      <c r="B829" s="155"/>
      <c r="C829" s="85"/>
      <c r="D829" s="85"/>
    </row>
    <row r="830" customHeight="1" spans="2:4">
      <c r="B830" s="155"/>
      <c r="C830" s="85"/>
      <c r="D830" s="85"/>
    </row>
    <row r="831" customHeight="1" spans="2:4">
      <c r="B831" s="155"/>
      <c r="C831" s="85"/>
      <c r="D831" s="85"/>
    </row>
    <row r="832" customHeight="1" spans="2:4">
      <c r="B832" s="155"/>
      <c r="C832" s="85"/>
      <c r="D832" s="85"/>
    </row>
    <row r="833" customHeight="1" spans="2:4">
      <c r="B833" s="155"/>
      <c r="C833" s="85"/>
      <c r="D833" s="85"/>
    </row>
    <row r="834" customHeight="1" spans="2:4">
      <c r="B834" s="155"/>
      <c r="C834" s="85"/>
      <c r="D834" s="85"/>
    </row>
    <row r="835" customHeight="1" spans="2:4">
      <c r="B835" s="155"/>
      <c r="C835" s="85"/>
      <c r="D835" s="85"/>
    </row>
    <row r="836" customHeight="1" spans="2:4">
      <c r="B836" s="155"/>
      <c r="C836" s="85"/>
      <c r="D836" s="85"/>
    </row>
    <row r="837" customHeight="1" spans="2:4">
      <c r="B837" s="155"/>
      <c r="C837" s="85"/>
      <c r="D837" s="85"/>
    </row>
    <row r="838" customHeight="1" spans="2:4">
      <c r="B838" s="155"/>
      <c r="C838" s="85"/>
      <c r="D838" s="85"/>
    </row>
    <row r="839" customHeight="1" spans="2:4">
      <c r="B839" s="155"/>
      <c r="C839" s="85"/>
      <c r="D839" s="85"/>
    </row>
    <row r="840" customHeight="1" spans="2:4">
      <c r="B840" s="155"/>
      <c r="C840" s="85"/>
      <c r="D840" s="85"/>
    </row>
    <row r="841" customHeight="1" spans="2:4">
      <c r="B841" s="155"/>
      <c r="C841" s="85"/>
      <c r="D841" s="85"/>
    </row>
    <row r="842" customHeight="1" spans="2:4">
      <c r="B842" s="155"/>
      <c r="C842" s="85"/>
      <c r="D842" s="85"/>
    </row>
    <row r="843" customHeight="1" spans="2:4">
      <c r="B843" s="155"/>
      <c r="C843" s="85"/>
      <c r="D843" s="85"/>
    </row>
    <row r="844" customHeight="1" spans="2:4">
      <c r="B844" s="155"/>
      <c r="C844" s="85"/>
      <c r="D844" s="85"/>
    </row>
    <row r="845" customHeight="1" spans="2:4">
      <c r="B845" s="155"/>
      <c r="C845" s="85"/>
      <c r="D845" s="85"/>
    </row>
    <row r="846" customHeight="1" spans="2:4">
      <c r="B846" s="155"/>
      <c r="C846" s="85"/>
      <c r="D846" s="85"/>
    </row>
    <row r="847" customHeight="1" spans="2:4">
      <c r="B847" s="155"/>
      <c r="C847" s="85"/>
      <c r="D847" s="85"/>
    </row>
    <row r="848" customHeight="1" spans="2:4">
      <c r="B848" s="155"/>
      <c r="C848" s="85"/>
      <c r="D848" s="85"/>
    </row>
    <row r="849" customHeight="1" spans="2:4">
      <c r="B849" s="155"/>
      <c r="C849" s="85"/>
      <c r="D849" s="85"/>
    </row>
    <row r="850" customHeight="1" spans="2:4">
      <c r="B850" s="155"/>
      <c r="C850" s="85"/>
      <c r="D850" s="85"/>
    </row>
    <row r="851" customHeight="1" spans="2:4">
      <c r="B851" s="155"/>
      <c r="C851" s="85"/>
      <c r="D851" s="85"/>
    </row>
    <row r="852" customHeight="1" spans="2:4">
      <c r="B852" s="155"/>
      <c r="C852" s="85"/>
      <c r="D852" s="85"/>
    </row>
    <row r="853" customHeight="1" spans="2:4">
      <c r="B853" s="155"/>
      <c r="C853" s="85"/>
      <c r="D853" s="85"/>
    </row>
    <row r="854" customHeight="1" spans="2:4">
      <c r="B854" s="155"/>
      <c r="C854" s="85"/>
      <c r="D854" s="85"/>
    </row>
    <row r="855" customHeight="1" spans="2:4">
      <c r="B855" s="155"/>
      <c r="C855" s="85"/>
      <c r="D855" s="85"/>
    </row>
    <row r="856" customHeight="1" spans="2:4">
      <c r="B856" s="155"/>
      <c r="C856" s="85"/>
      <c r="D856" s="85"/>
    </row>
    <row r="857" customHeight="1" spans="2:4">
      <c r="B857" s="155"/>
      <c r="C857" s="85"/>
      <c r="D857" s="85"/>
    </row>
    <row r="858" customHeight="1" spans="2:4">
      <c r="B858" s="155"/>
      <c r="C858" s="85"/>
      <c r="D858" s="85"/>
    </row>
    <row r="859" customHeight="1" spans="2:4">
      <c r="B859" s="155"/>
      <c r="C859" s="85"/>
      <c r="D859" s="85"/>
    </row>
    <row r="860" customHeight="1" spans="2:4">
      <c r="B860" s="155"/>
      <c r="C860" s="85"/>
      <c r="D860" s="85"/>
    </row>
    <row r="861" customHeight="1" spans="2:4">
      <c r="B861" s="155"/>
      <c r="C861" s="85"/>
      <c r="D861" s="85"/>
    </row>
    <row r="862" customHeight="1" spans="2:4">
      <c r="B862" s="155"/>
      <c r="C862" s="85"/>
      <c r="D862" s="85"/>
    </row>
    <row r="863" customHeight="1" spans="2:4">
      <c r="B863" s="155"/>
      <c r="C863" s="85"/>
      <c r="D863" s="85"/>
    </row>
    <row r="864" customHeight="1" spans="2:4">
      <c r="B864" s="155"/>
      <c r="C864" s="85"/>
      <c r="D864" s="85"/>
    </row>
    <row r="865" customHeight="1" spans="2:4">
      <c r="B865" s="155"/>
      <c r="C865" s="85"/>
      <c r="D865" s="85"/>
    </row>
    <row r="866" customHeight="1" spans="2:4">
      <c r="B866" s="155"/>
      <c r="C866" s="85"/>
      <c r="D866" s="85"/>
    </row>
    <row r="867" customHeight="1" spans="2:4">
      <c r="B867" s="155"/>
      <c r="C867" s="85"/>
      <c r="D867" s="85"/>
    </row>
    <row r="868" customHeight="1" spans="2:4">
      <c r="B868" s="155"/>
      <c r="C868" s="85"/>
      <c r="D868" s="85"/>
    </row>
    <row r="869" customHeight="1" spans="2:4">
      <c r="B869" s="155"/>
      <c r="C869" s="85"/>
      <c r="D869" s="85"/>
    </row>
    <row r="870" customHeight="1" spans="2:4">
      <c r="B870" s="155"/>
      <c r="C870" s="85"/>
      <c r="D870" s="85"/>
    </row>
    <row r="871" customHeight="1" spans="2:4">
      <c r="B871" s="155"/>
      <c r="C871" s="85"/>
      <c r="D871" s="85"/>
    </row>
    <row r="872" customHeight="1" spans="2:4">
      <c r="B872" s="155"/>
      <c r="C872" s="85"/>
      <c r="D872" s="85"/>
    </row>
    <row r="873" customHeight="1" spans="2:4">
      <c r="B873" s="155"/>
      <c r="C873" s="85"/>
      <c r="D873" s="85"/>
    </row>
    <row r="874" customHeight="1" spans="2:4">
      <c r="B874" s="155"/>
      <c r="C874" s="85"/>
      <c r="D874" s="85"/>
    </row>
    <row r="875" customHeight="1" spans="2:4">
      <c r="B875" s="155"/>
      <c r="C875" s="85"/>
      <c r="D875" s="85"/>
    </row>
    <row r="876" customHeight="1" spans="2:4">
      <c r="B876" s="155"/>
      <c r="C876" s="85"/>
      <c r="D876" s="85"/>
    </row>
    <row r="877" customHeight="1" spans="2:4">
      <c r="B877" s="155"/>
      <c r="C877" s="85"/>
      <c r="D877" s="85"/>
    </row>
    <row r="878" customHeight="1" spans="2:4">
      <c r="B878" s="155"/>
      <c r="C878" s="85"/>
      <c r="D878" s="85"/>
    </row>
    <row r="879" customHeight="1" spans="2:4">
      <c r="B879" s="155"/>
      <c r="C879" s="85"/>
      <c r="D879" s="85"/>
    </row>
    <row r="880" customHeight="1" spans="2:4">
      <c r="B880" s="155"/>
      <c r="C880" s="85"/>
      <c r="D880" s="85"/>
    </row>
    <row r="881" customHeight="1" spans="2:4">
      <c r="B881" s="155"/>
      <c r="C881" s="85"/>
      <c r="D881" s="85"/>
    </row>
    <row r="882" customHeight="1" spans="2:4">
      <c r="B882" s="155"/>
      <c r="C882" s="85"/>
      <c r="D882" s="85"/>
    </row>
    <row r="883" customHeight="1" spans="2:4">
      <c r="B883" s="155"/>
      <c r="C883" s="85"/>
      <c r="D883" s="85"/>
    </row>
    <row r="884" customHeight="1" spans="2:4">
      <c r="B884" s="155"/>
      <c r="C884" s="85"/>
      <c r="D884" s="85"/>
    </row>
    <row r="885" customHeight="1" spans="2:4">
      <c r="B885" s="155"/>
      <c r="C885" s="85"/>
      <c r="D885" s="85"/>
    </row>
    <row r="886" customHeight="1" spans="2:4">
      <c r="B886" s="155"/>
      <c r="C886" s="85"/>
      <c r="D886" s="85"/>
    </row>
    <row r="887" customHeight="1" spans="2:4">
      <c r="B887" s="155"/>
      <c r="C887" s="85"/>
      <c r="D887" s="85"/>
    </row>
    <row r="888" customHeight="1" spans="2:4">
      <c r="B888" s="155"/>
      <c r="C888" s="85"/>
      <c r="D888" s="85"/>
    </row>
    <row r="889" customHeight="1" spans="2:4">
      <c r="B889" s="155"/>
      <c r="C889" s="85"/>
      <c r="D889" s="85"/>
    </row>
    <row r="890" customHeight="1" spans="2:4">
      <c r="B890" s="155"/>
      <c r="C890" s="85"/>
      <c r="D890" s="85"/>
    </row>
    <row r="891" customHeight="1" spans="2:4">
      <c r="B891" s="155"/>
      <c r="C891" s="85"/>
      <c r="D891" s="85"/>
    </row>
    <row r="892" customHeight="1" spans="2:4">
      <c r="B892" s="155"/>
      <c r="C892" s="85"/>
      <c r="D892" s="85"/>
    </row>
    <row r="893" customHeight="1" spans="2:4">
      <c r="B893" s="155"/>
      <c r="C893" s="85"/>
      <c r="D893" s="85"/>
    </row>
    <row r="894" customHeight="1" spans="2:4">
      <c r="B894" s="155"/>
      <c r="C894" s="85"/>
      <c r="D894" s="85"/>
    </row>
    <row r="895" customHeight="1" spans="2:4">
      <c r="B895" s="155"/>
      <c r="C895" s="85"/>
      <c r="D895" s="85"/>
    </row>
    <row r="896" customHeight="1" spans="2:4">
      <c r="B896" s="155"/>
      <c r="C896" s="85"/>
      <c r="D896" s="85"/>
    </row>
    <row r="897" customHeight="1" spans="2:4">
      <c r="B897" s="155"/>
      <c r="C897" s="85"/>
      <c r="D897" s="85"/>
    </row>
    <row r="898" customHeight="1" spans="2:4">
      <c r="B898" s="155"/>
      <c r="C898" s="85"/>
      <c r="D898" s="85"/>
    </row>
    <row r="899" customHeight="1" spans="2:4">
      <c r="B899" s="155"/>
      <c r="C899" s="85"/>
      <c r="D899" s="85"/>
    </row>
    <row r="900" customHeight="1" spans="2:4">
      <c r="B900" s="155"/>
      <c r="C900" s="85"/>
      <c r="D900" s="85"/>
    </row>
    <row r="901" customHeight="1" spans="2:4">
      <c r="B901" s="155"/>
      <c r="C901" s="85"/>
      <c r="D901" s="85"/>
    </row>
    <row r="902" customHeight="1" spans="2:4">
      <c r="B902" s="155"/>
      <c r="C902" s="85"/>
      <c r="D902" s="85"/>
    </row>
    <row r="903" customHeight="1" spans="2:4">
      <c r="B903" s="155"/>
      <c r="C903" s="85"/>
      <c r="D903" s="85"/>
    </row>
    <row r="904" customHeight="1" spans="2:4">
      <c r="B904" s="155"/>
      <c r="C904" s="85"/>
      <c r="D904" s="85"/>
    </row>
    <row r="905" customHeight="1" spans="2:4">
      <c r="B905" s="155"/>
      <c r="C905" s="85"/>
      <c r="D905" s="85"/>
    </row>
    <row r="906" customHeight="1" spans="2:4">
      <c r="B906" s="155"/>
      <c r="C906" s="85"/>
      <c r="D906" s="85"/>
    </row>
    <row r="907" customHeight="1" spans="2:4">
      <c r="B907" s="155"/>
      <c r="C907" s="85"/>
      <c r="D907" s="85"/>
    </row>
    <row r="908" customHeight="1" spans="2:4">
      <c r="B908" s="155"/>
      <c r="C908" s="85"/>
      <c r="D908" s="85"/>
    </row>
    <row r="909" customHeight="1" spans="2:4">
      <c r="B909" s="155"/>
      <c r="C909" s="85"/>
      <c r="D909" s="85"/>
    </row>
    <row r="910" customHeight="1" spans="2:4">
      <c r="B910" s="155"/>
      <c r="C910" s="85"/>
      <c r="D910" s="85"/>
    </row>
    <row r="911" customHeight="1" spans="2:4">
      <c r="B911" s="155"/>
      <c r="C911" s="85"/>
      <c r="D911" s="85"/>
    </row>
    <row r="912" customHeight="1" spans="2:4">
      <c r="B912" s="155"/>
      <c r="C912" s="85"/>
      <c r="D912" s="85"/>
    </row>
    <row r="913" customHeight="1" spans="2:4">
      <c r="B913" s="155"/>
      <c r="C913" s="85"/>
      <c r="D913" s="85"/>
    </row>
    <row r="914" customHeight="1" spans="2:4">
      <c r="B914" s="155"/>
      <c r="C914" s="85"/>
      <c r="D914" s="85"/>
    </row>
    <row r="915" customHeight="1" spans="2:4">
      <c r="B915" s="155"/>
      <c r="C915" s="85"/>
      <c r="D915" s="85"/>
    </row>
    <row r="916" customHeight="1" spans="2:4">
      <c r="B916" s="155"/>
      <c r="C916" s="85"/>
      <c r="D916" s="85"/>
    </row>
    <row r="917" customHeight="1" spans="2:4">
      <c r="B917" s="155"/>
      <c r="C917" s="85"/>
      <c r="D917" s="85"/>
    </row>
    <row r="918" customHeight="1" spans="2:4">
      <c r="B918" s="155"/>
      <c r="C918" s="85"/>
      <c r="D918" s="85"/>
    </row>
    <row r="919" customHeight="1" spans="2:4">
      <c r="B919" s="155"/>
      <c r="C919" s="85"/>
      <c r="D919" s="85"/>
    </row>
    <row r="920" customHeight="1" spans="2:4">
      <c r="B920" s="155"/>
      <c r="C920" s="85"/>
      <c r="D920" s="85"/>
    </row>
    <row r="921" customHeight="1" spans="2:4">
      <c r="B921" s="155"/>
      <c r="C921" s="85"/>
      <c r="D921" s="85"/>
    </row>
    <row r="922" customHeight="1" spans="2:4">
      <c r="B922" s="155"/>
      <c r="C922" s="85"/>
      <c r="D922" s="85"/>
    </row>
    <row r="923" customHeight="1" spans="2:4">
      <c r="B923" s="155"/>
      <c r="C923" s="85"/>
      <c r="D923" s="85"/>
    </row>
    <row r="924" customHeight="1" spans="2:4">
      <c r="B924" s="155"/>
      <c r="C924" s="85"/>
      <c r="D924" s="85"/>
    </row>
    <row r="925" customHeight="1" spans="2:4">
      <c r="B925" s="155"/>
      <c r="C925" s="85"/>
      <c r="D925" s="85"/>
    </row>
    <row r="926" customHeight="1" spans="2:4">
      <c r="B926" s="155"/>
      <c r="C926" s="85"/>
      <c r="D926" s="85"/>
    </row>
    <row r="927" customHeight="1" spans="2:4">
      <c r="B927" s="155"/>
      <c r="C927" s="85"/>
      <c r="D927" s="85"/>
    </row>
    <row r="928" customHeight="1" spans="2:4">
      <c r="B928" s="155"/>
      <c r="C928" s="85"/>
      <c r="D928" s="85"/>
    </row>
    <row r="929" customHeight="1" spans="2:4">
      <c r="B929" s="155"/>
      <c r="C929" s="85"/>
      <c r="D929" s="85"/>
    </row>
    <row r="930" customHeight="1" spans="2:4">
      <c r="B930" s="155"/>
      <c r="C930" s="85"/>
      <c r="D930" s="85"/>
    </row>
    <row r="931" customHeight="1" spans="2:4">
      <c r="B931" s="155"/>
      <c r="C931" s="85"/>
      <c r="D931" s="85"/>
    </row>
    <row r="932" customHeight="1" spans="2:4">
      <c r="B932" s="155"/>
      <c r="C932" s="85"/>
      <c r="D932" s="85"/>
    </row>
    <row r="933" customHeight="1" spans="2:4">
      <c r="B933" s="155"/>
      <c r="C933" s="85"/>
      <c r="D933" s="85"/>
    </row>
    <row r="934" customHeight="1" spans="2:4">
      <c r="B934" s="155"/>
      <c r="C934" s="85"/>
      <c r="D934" s="85"/>
    </row>
    <row r="935" customHeight="1" spans="2:4">
      <c r="B935" s="155"/>
      <c r="C935" s="85"/>
      <c r="D935" s="85"/>
    </row>
    <row r="936" customHeight="1" spans="2:4">
      <c r="B936" s="155"/>
      <c r="C936" s="85"/>
      <c r="D936" s="85"/>
    </row>
    <row r="937" customHeight="1" spans="2:4">
      <c r="B937" s="155"/>
      <c r="C937" s="85"/>
      <c r="D937" s="85"/>
    </row>
    <row r="938" customHeight="1" spans="2:4">
      <c r="B938" s="155"/>
      <c r="C938" s="85"/>
      <c r="D938" s="85"/>
    </row>
    <row r="939" customHeight="1" spans="2:4">
      <c r="B939" s="155"/>
      <c r="C939" s="85"/>
      <c r="D939" s="85"/>
    </row>
    <row r="940" customHeight="1" spans="2:4">
      <c r="B940" s="155"/>
      <c r="C940" s="85"/>
      <c r="D940" s="85"/>
    </row>
    <row r="941" customHeight="1" spans="2:4">
      <c r="B941" s="155"/>
      <c r="C941" s="85"/>
      <c r="D941" s="85"/>
    </row>
    <row r="942" customHeight="1" spans="2:4">
      <c r="B942" s="155"/>
      <c r="C942" s="85"/>
      <c r="D942" s="85"/>
    </row>
    <row r="943" customHeight="1" spans="2:4">
      <c r="B943" s="155"/>
      <c r="C943" s="85"/>
      <c r="D943" s="85"/>
    </row>
    <row r="944" customHeight="1" spans="2:4">
      <c r="B944" s="155"/>
      <c r="C944" s="85"/>
      <c r="D944" s="85"/>
    </row>
    <row r="945" customHeight="1" spans="2:4">
      <c r="B945" s="155"/>
      <c r="C945" s="85"/>
      <c r="D945" s="85"/>
    </row>
    <row r="946" customHeight="1" spans="2:4">
      <c r="B946" s="155"/>
      <c r="C946" s="85"/>
      <c r="D946" s="85"/>
    </row>
    <row r="947" customHeight="1" spans="2:4">
      <c r="B947" s="155"/>
      <c r="C947" s="85"/>
      <c r="D947" s="85"/>
    </row>
    <row r="948" customHeight="1" spans="2:4">
      <c r="B948" s="155"/>
      <c r="C948" s="85"/>
      <c r="D948" s="85"/>
    </row>
    <row r="949" customHeight="1" spans="2:4">
      <c r="B949" s="155"/>
      <c r="C949" s="85"/>
      <c r="D949" s="85"/>
    </row>
    <row r="950" customHeight="1" spans="2:4">
      <c r="B950" s="155"/>
      <c r="C950" s="85"/>
      <c r="D950" s="85"/>
    </row>
    <row r="951" customHeight="1" spans="2:4">
      <c r="B951" s="155"/>
      <c r="C951" s="85"/>
      <c r="D951" s="85"/>
    </row>
    <row r="952" customHeight="1" spans="2:4">
      <c r="B952" s="155"/>
      <c r="C952" s="85"/>
      <c r="D952" s="85"/>
    </row>
    <row r="953" customHeight="1" spans="2:4">
      <c r="B953" s="155"/>
      <c r="C953" s="85"/>
      <c r="D953" s="85"/>
    </row>
    <row r="954" customHeight="1" spans="2:4">
      <c r="B954" s="155"/>
      <c r="C954" s="85"/>
      <c r="D954" s="85"/>
    </row>
    <row r="955" customHeight="1" spans="2:4">
      <c r="B955" s="155"/>
      <c r="C955" s="85"/>
      <c r="D955" s="85"/>
    </row>
    <row r="956" customHeight="1" spans="2:4">
      <c r="B956" s="155"/>
      <c r="C956" s="85"/>
      <c r="D956" s="85"/>
    </row>
    <row r="957" customHeight="1" spans="2:4">
      <c r="B957" s="155"/>
      <c r="C957" s="85"/>
      <c r="D957" s="85"/>
    </row>
    <row r="958" customHeight="1" spans="2:4">
      <c r="B958" s="155"/>
      <c r="C958" s="85"/>
      <c r="D958" s="85"/>
    </row>
    <row r="959" customHeight="1" spans="2:4">
      <c r="B959" s="155"/>
      <c r="C959" s="85"/>
      <c r="D959" s="85"/>
    </row>
    <row r="960" customHeight="1" spans="2:4">
      <c r="B960" s="155"/>
      <c r="C960" s="85"/>
      <c r="D960" s="85"/>
    </row>
    <row r="961" customHeight="1" spans="2:4">
      <c r="B961" s="155"/>
      <c r="C961" s="85"/>
      <c r="D961" s="85"/>
    </row>
    <row r="962" customHeight="1" spans="2:4">
      <c r="B962" s="155"/>
      <c r="C962" s="85"/>
      <c r="D962" s="85"/>
    </row>
    <row r="963" customHeight="1" spans="2:4">
      <c r="B963" s="155"/>
      <c r="C963" s="85"/>
      <c r="D963" s="85"/>
    </row>
    <row r="964" customHeight="1" spans="2:4">
      <c r="B964" s="155"/>
      <c r="C964" s="85"/>
      <c r="D964" s="85"/>
    </row>
    <row r="965" customHeight="1" spans="2:4">
      <c r="B965" s="155"/>
      <c r="C965" s="85"/>
      <c r="D965" s="85"/>
    </row>
    <row r="966" customHeight="1" spans="2:4">
      <c r="B966" s="155"/>
      <c r="C966" s="85"/>
      <c r="D966" s="85"/>
    </row>
    <row r="967" customHeight="1" spans="2:4">
      <c r="B967" s="155"/>
      <c r="C967" s="85"/>
      <c r="D967" s="85"/>
    </row>
    <row r="968" customHeight="1" spans="2:4">
      <c r="B968" s="155"/>
      <c r="C968" s="85"/>
      <c r="D968" s="85"/>
    </row>
    <row r="969" customHeight="1" spans="2:4">
      <c r="B969" s="155"/>
      <c r="C969" s="85"/>
      <c r="D969" s="85"/>
    </row>
    <row r="970" customHeight="1" spans="2:4">
      <c r="B970" s="155"/>
      <c r="C970" s="85"/>
      <c r="D970" s="85"/>
    </row>
    <row r="971" customHeight="1" spans="2:4">
      <c r="B971" s="155"/>
      <c r="C971" s="85"/>
      <c r="D971" s="85"/>
    </row>
    <row r="972" customHeight="1" spans="2:4">
      <c r="B972" s="155"/>
      <c r="C972" s="85"/>
      <c r="D972" s="85"/>
    </row>
    <row r="973" customHeight="1" spans="2:4">
      <c r="B973" s="155"/>
      <c r="C973" s="85"/>
      <c r="D973" s="85"/>
    </row>
    <row r="974" customHeight="1" spans="2:4">
      <c r="B974" s="155"/>
      <c r="C974" s="85"/>
      <c r="D974" s="85"/>
    </row>
    <row r="975" customHeight="1" spans="2:4">
      <c r="B975" s="155"/>
      <c r="C975" s="85"/>
      <c r="D975" s="85"/>
    </row>
    <row r="976" customHeight="1" spans="2:4">
      <c r="B976" s="155"/>
      <c r="C976" s="85"/>
      <c r="D976" s="85"/>
    </row>
    <row r="977" customHeight="1" spans="2:4">
      <c r="B977" s="155"/>
      <c r="C977" s="85"/>
      <c r="D977" s="85"/>
    </row>
    <row r="978" customHeight="1" spans="2:4">
      <c r="B978" s="155"/>
      <c r="C978" s="85"/>
      <c r="D978" s="85"/>
    </row>
    <row r="979" customHeight="1" spans="2:4">
      <c r="B979" s="155"/>
      <c r="C979" s="85"/>
      <c r="D979" s="85"/>
    </row>
    <row r="980" customHeight="1" spans="2:4">
      <c r="B980" s="155"/>
      <c r="C980" s="85"/>
      <c r="D980" s="85"/>
    </row>
    <row r="981" customHeight="1" spans="2:4">
      <c r="B981" s="155"/>
      <c r="C981" s="85"/>
      <c r="D981" s="85"/>
    </row>
    <row r="982" customHeight="1" spans="2:4">
      <c r="B982" s="155"/>
      <c r="C982" s="85"/>
      <c r="D982" s="85"/>
    </row>
    <row r="983" customHeight="1" spans="2:4">
      <c r="B983" s="155"/>
      <c r="C983" s="85"/>
      <c r="D983" s="85"/>
    </row>
    <row r="984" customHeight="1" spans="2:4">
      <c r="B984" s="155"/>
      <c r="C984" s="85"/>
      <c r="D984" s="85"/>
    </row>
    <row r="985" customHeight="1" spans="2:4">
      <c r="B985" s="155"/>
      <c r="C985" s="85"/>
      <c r="D985" s="85"/>
    </row>
    <row r="986" customHeight="1" spans="2:4">
      <c r="B986" s="155"/>
      <c r="C986" s="85"/>
      <c r="D986" s="85"/>
    </row>
    <row r="987" customHeight="1" spans="2:4">
      <c r="B987" s="155"/>
      <c r="C987" s="85"/>
      <c r="D987" s="85"/>
    </row>
    <row r="988" customHeight="1" spans="2:4">
      <c r="B988" s="155"/>
      <c r="C988" s="85"/>
      <c r="D988" s="85"/>
    </row>
    <row r="989" customHeight="1" spans="2:4">
      <c r="B989" s="155"/>
      <c r="C989" s="85"/>
      <c r="D989" s="85"/>
    </row>
    <row r="990" customHeight="1" spans="2:4">
      <c r="B990" s="155"/>
      <c r="C990" s="85"/>
      <c r="D990" s="85"/>
    </row>
    <row r="991" customHeight="1" spans="2:4">
      <c r="B991" s="155"/>
      <c r="C991" s="85"/>
      <c r="D991" s="85"/>
    </row>
    <row r="992" customHeight="1" spans="2:4">
      <c r="B992" s="155"/>
      <c r="C992" s="85"/>
      <c r="D992" s="85"/>
    </row>
    <row r="993" customHeight="1" spans="2:4">
      <c r="B993" s="155"/>
      <c r="C993" s="85"/>
      <c r="D993" s="85"/>
    </row>
    <row r="994" customHeight="1" spans="2:4">
      <c r="B994" s="155"/>
      <c r="C994" s="85"/>
      <c r="D994" s="85"/>
    </row>
    <row r="995" customHeight="1" spans="2:4">
      <c r="B995" s="155"/>
      <c r="C995" s="85"/>
      <c r="D995" s="85"/>
    </row>
    <row r="996" customHeight="1" spans="2:4">
      <c r="B996" s="155"/>
      <c r="C996" s="85"/>
      <c r="D996" s="85"/>
    </row>
    <row r="997" customHeight="1" spans="2:4">
      <c r="B997" s="155"/>
      <c r="C997" s="85"/>
      <c r="D997" s="85"/>
    </row>
    <row r="998" customHeight="1" spans="2:4">
      <c r="B998" s="155"/>
      <c r="C998" s="85"/>
      <c r="D998" s="85"/>
    </row>
    <row r="999" customHeight="1" spans="2:4">
      <c r="B999" s="155"/>
      <c r="C999" s="85"/>
      <c r="D999" s="85"/>
    </row>
    <row r="1000" customHeight="1" spans="2:4">
      <c r="B1000" s="155"/>
      <c r="C1000" s="85"/>
      <c r="D1000" s="85"/>
    </row>
    <row r="1001" customHeight="1" spans="2:4">
      <c r="B1001" s="155"/>
      <c r="C1001" s="85"/>
      <c r="D1001" s="85"/>
    </row>
    <row r="1002" customHeight="1" spans="2:4">
      <c r="B1002" s="155"/>
      <c r="C1002" s="85"/>
      <c r="D1002" s="85"/>
    </row>
    <row r="1003" customHeight="1" spans="2:4">
      <c r="B1003" s="155"/>
      <c r="C1003" s="85"/>
      <c r="D1003" s="85"/>
    </row>
    <row r="1004" customHeight="1" spans="2:4">
      <c r="B1004" s="155"/>
      <c r="C1004" s="85"/>
      <c r="D1004" s="85"/>
    </row>
    <row r="1005" customHeight="1" spans="2:4">
      <c r="B1005" s="155"/>
      <c r="C1005" s="85"/>
      <c r="D1005" s="85"/>
    </row>
    <row r="1006" customHeight="1" spans="2:4">
      <c r="B1006" s="155"/>
      <c r="C1006" s="85"/>
      <c r="D1006" s="85"/>
    </row>
    <row r="1007" customHeight="1" spans="2:4">
      <c r="B1007" s="155"/>
      <c r="C1007" s="85"/>
      <c r="D1007" s="85"/>
    </row>
    <row r="1008" customHeight="1" spans="2:4">
      <c r="B1008" s="155"/>
      <c r="C1008" s="85"/>
      <c r="D1008" s="85"/>
    </row>
    <row r="1009" customHeight="1" spans="2:4">
      <c r="B1009" s="155"/>
      <c r="C1009" s="85"/>
      <c r="D1009" s="85"/>
    </row>
    <row r="1010" customHeight="1" spans="2:4">
      <c r="B1010" s="155"/>
      <c r="C1010" s="85"/>
      <c r="D1010" s="85"/>
    </row>
    <row r="1011" customHeight="1" spans="2:4">
      <c r="B1011" s="155"/>
      <c r="C1011" s="85"/>
      <c r="D1011" s="85"/>
    </row>
    <row r="1012" customHeight="1" spans="2:4">
      <c r="B1012" s="155"/>
      <c r="C1012" s="85"/>
      <c r="D1012" s="85"/>
    </row>
    <row r="1013" customHeight="1" spans="2:4">
      <c r="B1013" s="155"/>
      <c r="C1013" s="85"/>
      <c r="D1013" s="85"/>
    </row>
    <row r="1014" customHeight="1" spans="2:4">
      <c r="B1014" s="155"/>
      <c r="C1014" s="85"/>
      <c r="D1014" s="85"/>
    </row>
    <row r="1015" customHeight="1" spans="2:4">
      <c r="B1015" s="155"/>
      <c r="C1015" s="85"/>
      <c r="D1015" s="85"/>
    </row>
    <row r="1016" customHeight="1" spans="2:4">
      <c r="B1016" s="155"/>
      <c r="C1016" s="85"/>
      <c r="D1016" s="85"/>
    </row>
    <row r="1017" customHeight="1" spans="2:4">
      <c r="B1017" s="155"/>
      <c r="C1017" s="85"/>
      <c r="D1017" s="85"/>
    </row>
    <row r="1018" customHeight="1" spans="2:4">
      <c r="B1018" s="155"/>
      <c r="C1018" s="85"/>
      <c r="D1018" s="85"/>
    </row>
    <row r="1019" customHeight="1" spans="2:4">
      <c r="B1019" s="155"/>
      <c r="C1019" s="85"/>
      <c r="D1019" s="85"/>
    </row>
    <row r="1020" customHeight="1" spans="2:4">
      <c r="B1020" s="155"/>
      <c r="C1020" s="85"/>
      <c r="D1020" s="85"/>
    </row>
    <row r="1021" customHeight="1" spans="2:4">
      <c r="B1021" s="155"/>
      <c r="C1021" s="85"/>
      <c r="D1021" s="85"/>
    </row>
    <row r="1022" customHeight="1" spans="2:4">
      <c r="B1022" s="155"/>
      <c r="C1022" s="85"/>
      <c r="D1022" s="85"/>
    </row>
    <row r="1023" customHeight="1" spans="2:4">
      <c r="B1023" s="155"/>
      <c r="C1023" s="85"/>
      <c r="D1023" s="85"/>
    </row>
    <row r="1024" customHeight="1" spans="2:4">
      <c r="B1024" s="155"/>
      <c r="C1024" s="85"/>
      <c r="D1024" s="85"/>
    </row>
    <row r="1025" customHeight="1" spans="2:4">
      <c r="B1025" s="155"/>
      <c r="C1025" s="85"/>
      <c r="D1025" s="85"/>
    </row>
    <row r="1026" customHeight="1" spans="2:4">
      <c r="B1026" s="155"/>
      <c r="C1026" s="85"/>
      <c r="D1026" s="85"/>
    </row>
    <row r="1027" customHeight="1" spans="2:4">
      <c r="B1027" s="155"/>
      <c r="C1027" s="85"/>
      <c r="D1027" s="85"/>
    </row>
    <row r="1028" customHeight="1" spans="2:4">
      <c r="B1028" s="155"/>
      <c r="C1028" s="85"/>
      <c r="D1028" s="85"/>
    </row>
    <row r="1029" customHeight="1" spans="2:4">
      <c r="B1029" s="155"/>
      <c r="C1029" s="85"/>
      <c r="D1029" s="85"/>
    </row>
    <row r="1030" customHeight="1" spans="2:4">
      <c r="B1030" s="155"/>
      <c r="C1030" s="85"/>
      <c r="D1030" s="85"/>
    </row>
    <row r="1031" customHeight="1" spans="2:4">
      <c r="B1031" s="155"/>
      <c r="C1031" s="85"/>
      <c r="D1031" s="85"/>
    </row>
    <row r="1032" customHeight="1" spans="2:4">
      <c r="B1032" s="155"/>
      <c r="C1032" s="85"/>
      <c r="D1032" s="85"/>
    </row>
    <row r="1033" customHeight="1" spans="2:4">
      <c r="B1033" s="155"/>
      <c r="C1033" s="85"/>
      <c r="D1033" s="85"/>
    </row>
    <row r="1034" customHeight="1" spans="2:4">
      <c r="B1034" s="155"/>
      <c r="C1034" s="85"/>
      <c r="D1034" s="85"/>
    </row>
    <row r="1035" customHeight="1" spans="2:4">
      <c r="B1035" s="155"/>
      <c r="C1035" s="85"/>
      <c r="D1035" s="85"/>
    </row>
    <row r="1036" customHeight="1" spans="2:4">
      <c r="B1036" s="155"/>
      <c r="C1036" s="85"/>
      <c r="D1036" s="85"/>
    </row>
    <row r="1037" customHeight="1" spans="2:4">
      <c r="B1037" s="155"/>
      <c r="C1037" s="85"/>
      <c r="D1037" s="85"/>
    </row>
    <row r="1038" customHeight="1" spans="2:4">
      <c r="B1038" s="155"/>
      <c r="C1038" s="85"/>
      <c r="D1038" s="85"/>
    </row>
    <row r="1039" customHeight="1" spans="2:4">
      <c r="B1039" s="155"/>
      <c r="C1039" s="85"/>
      <c r="D1039" s="85"/>
    </row>
    <row r="1040" customHeight="1" spans="2:4">
      <c r="B1040" s="155"/>
      <c r="C1040" s="85"/>
      <c r="D1040" s="85"/>
    </row>
    <row r="1041" customHeight="1" spans="2:4">
      <c r="B1041" s="155"/>
      <c r="C1041" s="85"/>
      <c r="D1041" s="85"/>
    </row>
    <row r="1042" customHeight="1" spans="2:4">
      <c r="B1042" s="155"/>
      <c r="C1042" s="85"/>
      <c r="D1042" s="85"/>
    </row>
    <row r="1043" customHeight="1" spans="2:4">
      <c r="B1043" s="155"/>
      <c r="C1043" s="85"/>
      <c r="D1043" s="85"/>
    </row>
    <row r="1044" customHeight="1" spans="2:4">
      <c r="B1044" s="155"/>
      <c r="C1044" s="85"/>
      <c r="D1044" s="85"/>
    </row>
    <row r="1045" customHeight="1" spans="2:4">
      <c r="B1045" s="155"/>
      <c r="C1045" s="85"/>
      <c r="D1045" s="85"/>
    </row>
    <row r="1046" customHeight="1" spans="2:4">
      <c r="B1046" s="155"/>
      <c r="C1046" s="85"/>
      <c r="D1046" s="85"/>
    </row>
    <row r="1047" customHeight="1" spans="2:4">
      <c r="B1047" s="155"/>
      <c r="C1047" s="85"/>
      <c r="D1047" s="85"/>
    </row>
    <row r="1048" customHeight="1" spans="2:4">
      <c r="B1048" s="155"/>
      <c r="C1048" s="85"/>
      <c r="D1048" s="85"/>
    </row>
    <row r="1049" customHeight="1" spans="2:4">
      <c r="B1049" s="155"/>
      <c r="C1049" s="85"/>
      <c r="D1049" s="85"/>
    </row>
    <row r="1050" customHeight="1" spans="2:4">
      <c r="B1050" s="155"/>
      <c r="C1050" s="85"/>
      <c r="D1050" s="85"/>
    </row>
    <row r="1051" customHeight="1" spans="2:4">
      <c r="B1051" s="155"/>
      <c r="C1051" s="85"/>
      <c r="D1051" s="85"/>
    </row>
    <row r="1052" customHeight="1" spans="2:4">
      <c r="B1052" s="155"/>
      <c r="C1052" s="85"/>
      <c r="D1052" s="85"/>
    </row>
    <row r="1053" customHeight="1" spans="2:4">
      <c r="B1053" s="155"/>
      <c r="C1053" s="85"/>
      <c r="D1053" s="85"/>
    </row>
    <row r="1054" customHeight="1" spans="2:4">
      <c r="B1054" s="155"/>
      <c r="C1054" s="85"/>
      <c r="D1054" s="85"/>
    </row>
    <row r="1055" customHeight="1" spans="2:4">
      <c r="B1055" s="155"/>
      <c r="C1055" s="85"/>
      <c r="D1055" s="85"/>
    </row>
    <row r="1056" customHeight="1" spans="2:4">
      <c r="B1056" s="155"/>
      <c r="C1056" s="85"/>
      <c r="D1056" s="85"/>
    </row>
    <row r="1057" customHeight="1" spans="2:4">
      <c r="B1057" s="155"/>
      <c r="C1057" s="85"/>
      <c r="D1057" s="85"/>
    </row>
    <row r="1058" customHeight="1" spans="2:4">
      <c r="B1058" s="155"/>
      <c r="C1058" s="85"/>
      <c r="D1058" s="85"/>
    </row>
    <row r="1059" customHeight="1" spans="2:4">
      <c r="B1059" s="155"/>
      <c r="C1059" s="85"/>
      <c r="D1059" s="85"/>
    </row>
    <row r="1060" customHeight="1" spans="2:4">
      <c r="B1060" s="155"/>
      <c r="C1060" s="85"/>
      <c r="D1060" s="85"/>
    </row>
    <row r="1061" customHeight="1" spans="2:4">
      <c r="B1061" s="155"/>
      <c r="C1061" s="85"/>
      <c r="D1061" s="85"/>
    </row>
    <row r="1062" customHeight="1" spans="2:4">
      <c r="B1062" s="155"/>
      <c r="C1062" s="85"/>
      <c r="D1062" s="85"/>
    </row>
    <row r="1063" customHeight="1" spans="2:4">
      <c r="B1063" s="155"/>
      <c r="C1063" s="85"/>
      <c r="D1063" s="85"/>
    </row>
    <row r="1064" customHeight="1" spans="2:4">
      <c r="B1064" s="155"/>
      <c r="C1064" s="85"/>
      <c r="D1064" s="85"/>
    </row>
    <row r="1065" customHeight="1" spans="2:4">
      <c r="B1065" s="155"/>
      <c r="C1065" s="85"/>
      <c r="D1065" s="85"/>
    </row>
    <row r="1066" customHeight="1" spans="2:4">
      <c r="B1066" s="155"/>
      <c r="C1066" s="85"/>
      <c r="D1066" s="85"/>
    </row>
    <row r="1067" customHeight="1" spans="2:4">
      <c r="B1067" s="155"/>
      <c r="C1067" s="85"/>
      <c r="D1067" s="85"/>
    </row>
    <row r="1068" customHeight="1" spans="2:4">
      <c r="B1068" s="155"/>
      <c r="C1068" s="85"/>
      <c r="D1068" s="85"/>
    </row>
    <row r="1069" customHeight="1" spans="2:4">
      <c r="B1069" s="155"/>
      <c r="C1069" s="85"/>
      <c r="D1069" s="85"/>
    </row>
    <row r="1070" customHeight="1" spans="2:4">
      <c r="B1070" s="155"/>
      <c r="C1070" s="85"/>
      <c r="D1070" s="85"/>
    </row>
    <row r="1071" customHeight="1" spans="2:4">
      <c r="B1071" s="155"/>
      <c r="C1071" s="85"/>
      <c r="D1071" s="85"/>
    </row>
    <row r="1072" customHeight="1" spans="2:4">
      <c r="B1072" s="155"/>
      <c r="C1072" s="85"/>
      <c r="D1072" s="85"/>
    </row>
    <row r="1073" customHeight="1" spans="2:4">
      <c r="B1073" s="155"/>
      <c r="C1073" s="85"/>
      <c r="D1073" s="85"/>
    </row>
    <row r="1074" customHeight="1" spans="2:4">
      <c r="B1074" s="155"/>
      <c r="C1074" s="85"/>
      <c r="D1074" s="85"/>
    </row>
    <row r="1075" customHeight="1" spans="2:4">
      <c r="B1075" s="155"/>
      <c r="C1075" s="85"/>
      <c r="D1075" s="85"/>
    </row>
    <row r="1076" customHeight="1" spans="2:4">
      <c r="B1076" s="155"/>
      <c r="C1076" s="85"/>
      <c r="D1076" s="85"/>
    </row>
    <row r="1077" customHeight="1" spans="2:4">
      <c r="B1077" s="155"/>
      <c r="C1077" s="85"/>
      <c r="D1077" s="85"/>
    </row>
    <row r="1078" customHeight="1" spans="2:4">
      <c r="B1078" s="155"/>
      <c r="C1078" s="85"/>
      <c r="D1078" s="85"/>
    </row>
    <row r="1079" customHeight="1" spans="2:4">
      <c r="B1079" s="155"/>
      <c r="C1079" s="85"/>
      <c r="D1079" s="85"/>
    </row>
    <row r="1080" customHeight="1" spans="2:4">
      <c r="B1080" s="155"/>
      <c r="C1080" s="85"/>
      <c r="D1080" s="85"/>
    </row>
    <row r="1081" customHeight="1" spans="2:4">
      <c r="B1081" s="155"/>
      <c r="C1081" s="85"/>
      <c r="D1081" s="85"/>
    </row>
    <row r="1082" customHeight="1" spans="2:4">
      <c r="B1082" s="155"/>
      <c r="C1082" s="85"/>
      <c r="D1082" s="85"/>
    </row>
    <row r="1083" customHeight="1" spans="2:4">
      <c r="B1083" s="155"/>
      <c r="C1083" s="85"/>
      <c r="D1083" s="85"/>
    </row>
    <row r="1084" customHeight="1" spans="2:4">
      <c r="B1084" s="155"/>
      <c r="C1084" s="85"/>
      <c r="D1084" s="85"/>
    </row>
    <row r="1085" customHeight="1" spans="2:4">
      <c r="B1085" s="155"/>
      <c r="C1085" s="85"/>
      <c r="D1085" s="85"/>
    </row>
    <row r="1086" customHeight="1" spans="2:4">
      <c r="B1086" s="155"/>
      <c r="C1086" s="85"/>
      <c r="D1086" s="85"/>
    </row>
    <row r="1087" customHeight="1" spans="2:4">
      <c r="B1087" s="155"/>
      <c r="C1087" s="85"/>
      <c r="D1087" s="85"/>
    </row>
    <row r="1088" customHeight="1" spans="2:4">
      <c r="B1088" s="155"/>
      <c r="C1088" s="85"/>
      <c r="D1088" s="85"/>
    </row>
  </sheetData>
  <autoFilter xmlns:etc="http://www.wps.cn/officeDocument/2017/etCustomData" ref="Q3:R42" etc:filterBottomFollowUsedRange="0">
    <extLst/>
  </autoFilter>
  <mergeCells count="68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A1:A3"/>
    <mergeCell ref="B1:B3"/>
    <mergeCell ref="C1:C3"/>
    <mergeCell ref="D1:D3"/>
    <mergeCell ref="E1:E3"/>
    <mergeCell ref="F1:F3"/>
  </mergeCells>
  <conditionalFormatting sqref="G36:H36">
    <cfRule type="containsText" dxfId="3" priority="1" operator="between" text="OFF">
      <formula>NOT(ISERROR(SEARCH("OFF",G36)))</formula>
    </cfRule>
  </conditionalFormatting>
  <conditionalFormatting sqref="G4:BP5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7" priority="3" operator="between" text="AN">
      <formula>NOT(ISERROR(SEARCH("AN",G4)))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7"/>
  <sheetViews>
    <sheetView tabSelected="1" workbookViewId="0">
      <selection activeCell="A4" sqref="A4:D15"/>
    </sheetView>
  </sheetViews>
  <sheetFormatPr defaultColWidth="12.6272727272727" defaultRowHeight="12.5"/>
  <cols>
    <col min="1" max="1" width="10.2727272727273" customWidth="1"/>
    <col min="2" max="2" width="26.3636363636364" customWidth="1"/>
    <col min="3" max="3" width="12.1818181818182" customWidth="1"/>
    <col min="4" max="4" width="11.0909090909091" customWidth="1"/>
    <col min="5" max="5" width="7.81818181818182" customWidth="1"/>
    <col min="6" max="6" width="8.72727272727273" customWidth="1"/>
    <col min="7" max="7" width="7.81818181818182" customWidth="1"/>
    <col min="8" max="8" width="8.72727272727273" customWidth="1"/>
    <col min="9" max="9" width="7.81818181818182" customWidth="1"/>
    <col min="10" max="10" width="8.81818181818182" customWidth="1"/>
    <col min="11" max="11" width="7.81818181818182" customWidth="1"/>
    <col min="12" max="12" width="8.81818181818182" customWidth="1"/>
    <col min="13" max="13" width="7.81818181818182" customWidth="1"/>
    <col min="14" max="14" width="8.81818181818182" customWidth="1"/>
    <col min="15" max="15" width="7.81818181818182" customWidth="1"/>
    <col min="16" max="16" width="8.81818181818182" customWidth="1"/>
    <col min="17" max="17" width="7.81818181818182" customWidth="1"/>
  </cols>
  <sheetData>
    <row r="1" customFormat="1" ht="15.25" customHeight="1" spans="1:17">
      <c r="A1" s="122"/>
      <c r="B1" s="122"/>
      <c r="C1" s="123">
        <v>46020</v>
      </c>
      <c r="D1" s="123"/>
      <c r="E1" s="123">
        <v>46021</v>
      </c>
      <c r="F1" s="123"/>
      <c r="G1" s="123">
        <v>46022</v>
      </c>
      <c r="H1" s="123"/>
      <c r="I1" s="123">
        <v>45658</v>
      </c>
      <c r="J1" s="123"/>
      <c r="K1" s="123">
        <v>45659</v>
      </c>
      <c r="L1" s="123"/>
      <c r="M1" s="123">
        <v>45660</v>
      </c>
      <c r="N1" s="123"/>
      <c r="O1" s="123">
        <v>45661</v>
      </c>
      <c r="P1" s="123"/>
      <c r="Q1" s="153"/>
    </row>
    <row r="2" customFormat="1" ht="16" customHeight="1" spans="1:16">
      <c r="A2" s="122"/>
      <c r="B2" s="122"/>
      <c r="C2" s="124" t="s">
        <v>6</v>
      </c>
      <c r="D2" s="124"/>
      <c r="E2" s="124" t="s">
        <v>7</v>
      </c>
      <c r="F2" s="124"/>
      <c r="G2" s="124" t="s">
        <v>8</v>
      </c>
      <c r="H2" s="124"/>
      <c r="I2" s="124" t="s">
        <v>9</v>
      </c>
      <c r="J2" s="124"/>
      <c r="K2" s="124" t="s">
        <v>10</v>
      </c>
      <c r="L2" s="124"/>
      <c r="M2" s="124" t="s">
        <v>11</v>
      </c>
      <c r="N2" s="124"/>
      <c r="O2" s="124" t="s">
        <v>12</v>
      </c>
      <c r="P2" s="124"/>
    </row>
    <row r="3" customFormat="1" ht="13" spans="1:16">
      <c r="A3" s="124" t="s">
        <v>0</v>
      </c>
      <c r="B3" s="124" t="s">
        <v>98</v>
      </c>
      <c r="C3" s="124" t="s">
        <v>13</v>
      </c>
      <c r="D3" s="124" t="s">
        <v>14</v>
      </c>
      <c r="E3" s="124" t="s">
        <v>13</v>
      </c>
      <c r="F3" s="124" t="s">
        <v>14</v>
      </c>
      <c r="G3" s="124" t="s">
        <v>13</v>
      </c>
      <c r="H3" s="124" t="s">
        <v>14</v>
      </c>
      <c r="I3" s="124" t="s">
        <v>13</v>
      </c>
      <c r="J3" s="124" t="s">
        <v>14</v>
      </c>
      <c r="K3" s="124" t="s">
        <v>13</v>
      </c>
      <c r="L3" s="124" t="s">
        <v>14</v>
      </c>
      <c r="M3" s="124" t="s">
        <v>13</v>
      </c>
      <c r="N3" s="124" t="s">
        <v>14</v>
      </c>
      <c r="O3" s="124" t="s">
        <v>13</v>
      </c>
      <c r="P3" s="124" t="s">
        <v>14</v>
      </c>
    </row>
    <row r="4" customFormat="1" ht="13" spans="1:16">
      <c r="A4" s="125">
        <v>10259973</v>
      </c>
      <c r="B4" s="125" t="s">
        <v>99</v>
      </c>
      <c r="C4" s="126">
        <v>0.416666666666667</v>
      </c>
      <c r="D4" s="127">
        <v>0.791666666666667</v>
      </c>
      <c r="E4" s="126">
        <v>0.416666666666667</v>
      </c>
      <c r="F4" s="127">
        <v>0.791666666666667</v>
      </c>
      <c r="G4" s="126">
        <v>0.416666666666667</v>
      </c>
      <c r="H4" s="127">
        <v>0.791666666666667</v>
      </c>
      <c r="I4" s="126">
        <v>0.416666666666667</v>
      </c>
      <c r="J4" s="127">
        <v>0.791666666666667</v>
      </c>
      <c r="K4" s="126">
        <v>0.416666666666667</v>
      </c>
      <c r="L4" s="127">
        <v>0.791666666666667</v>
      </c>
      <c r="M4" s="151" t="s">
        <v>23</v>
      </c>
      <c r="N4" s="151" t="s">
        <v>23</v>
      </c>
      <c r="O4" s="151" t="s">
        <v>23</v>
      </c>
      <c r="P4" s="151" t="s">
        <v>23</v>
      </c>
    </row>
    <row r="5" customFormat="1" ht="13" spans="1:16">
      <c r="A5" s="125">
        <v>10225640</v>
      </c>
      <c r="B5" s="125" t="s">
        <v>100</v>
      </c>
      <c r="C5" s="126">
        <v>0.5</v>
      </c>
      <c r="D5" s="127">
        <v>0.875</v>
      </c>
      <c r="E5" s="126">
        <v>0.5</v>
      </c>
      <c r="F5" s="127">
        <v>0.875</v>
      </c>
      <c r="G5" s="126">
        <v>0.416666666666667</v>
      </c>
      <c r="H5" s="127">
        <v>0.791666666666667</v>
      </c>
      <c r="I5" s="126">
        <v>0.5</v>
      </c>
      <c r="J5" s="127">
        <v>0.875</v>
      </c>
      <c r="K5" s="126">
        <v>0.5</v>
      </c>
      <c r="L5" s="127">
        <v>0.875</v>
      </c>
      <c r="M5" s="151" t="s">
        <v>23</v>
      </c>
      <c r="N5" s="151" t="s">
        <v>23</v>
      </c>
      <c r="O5" s="151" t="s">
        <v>23</v>
      </c>
      <c r="P5" s="151" t="s">
        <v>23</v>
      </c>
    </row>
    <row r="6" customFormat="1" ht="13" spans="1:16">
      <c r="A6" s="125">
        <v>10316685</v>
      </c>
      <c r="B6" s="125" t="s">
        <v>101</v>
      </c>
      <c r="C6" s="126">
        <v>0.375</v>
      </c>
      <c r="D6" s="127">
        <v>0.75</v>
      </c>
      <c r="E6" s="126">
        <v>0.375</v>
      </c>
      <c r="F6" s="127">
        <v>0.75</v>
      </c>
      <c r="G6" s="126">
        <v>0.416666666666667</v>
      </c>
      <c r="H6" s="127">
        <v>0.791666666666667</v>
      </c>
      <c r="I6" s="126">
        <v>0.375</v>
      </c>
      <c r="J6" s="127">
        <v>0.75</v>
      </c>
      <c r="K6" s="126">
        <v>0.375</v>
      </c>
      <c r="L6" s="127">
        <v>0.75</v>
      </c>
      <c r="M6" s="151" t="s">
        <v>23</v>
      </c>
      <c r="N6" s="151" t="s">
        <v>23</v>
      </c>
      <c r="O6" s="151" t="s">
        <v>23</v>
      </c>
      <c r="P6" s="151" t="s">
        <v>23</v>
      </c>
    </row>
    <row r="7" customFormat="1" ht="13" spans="1:16">
      <c r="A7" s="125">
        <v>10316538</v>
      </c>
      <c r="B7" s="125" t="s">
        <v>102</v>
      </c>
      <c r="C7" s="128" t="s">
        <v>36</v>
      </c>
      <c r="D7" s="128" t="s">
        <v>36</v>
      </c>
      <c r="E7" s="128" t="s">
        <v>36</v>
      </c>
      <c r="F7" s="128" t="s">
        <v>36</v>
      </c>
      <c r="G7" s="128" t="s">
        <v>36</v>
      </c>
      <c r="H7" s="128" t="s">
        <v>36</v>
      </c>
      <c r="I7" s="151" t="s">
        <v>23</v>
      </c>
      <c r="J7" s="151" t="s">
        <v>23</v>
      </c>
      <c r="K7" s="151" t="s">
        <v>23</v>
      </c>
      <c r="L7" s="151" t="s">
        <v>23</v>
      </c>
      <c r="M7" s="126">
        <v>0.458333333333333</v>
      </c>
      <c r="N7" s="127">
        <v>0.833333333333333</v>
      </c>
      <c r="O7" s="126">
        <v>0.458333333333333</v>
      </c>
      <c r="P7" s="127">
        <v>0.833333333333333</v>
      </c>
    </row>
    <row r="8" customFormat="1" ht="13" spans="1:16">
      <c r="A8" s="125">
        <v>10320414</v>
      </c>
      <c r="B8" s="125" t="s">
        <v>62</v>
      </c>
      <c r="C8" s="128" t="s">
        <v>36</v>
      </c>
      <c r="D8" s="128" t="s">
        <v>36</v>
      </c>
      <c r="E8" s="128" t="s">
        <v>36</v>
      </c>
      <c r="F8" s="128" t="s">
        <v>36</v>
      </c>
      <c r="G8" s="128" t="s">
        <v>36</v>
      </c>
      <c r="H8" s="128" t="s">
        <v>36</v>
      </c>
      <c r="I8" s="126">
        <v>0.458333333333333</v>
      </c>
      <c r="J8" s="127">
        <v>0.833333333333333</v>
      </c>
      <c r="K8" s="126">
        <v>0.458333333333333</v>
      </c>
      <c r="L8" s="127">
        <v>0.833333333333333</v>
      </c>
      <c r="M8" s="151" t="s">
        <v>23</v>
      </c>
      <c r="N8" s="151" t="s">
        <v>23</v>
      </c>
      <c r="O8" s="151" t="s">
        <v>23</v>
      </c>
      <c r="P8" s="151" t="s">
        <v>23</v>
      </c>
    </row>
    <row r="9" customFormat="1" ht="13" spans="1:16">
      <c r="A9" s="125">
        <v>10272259</v>
      </c>
      <c r="B9" s="125" t="s">
        <v>103</v>
      </c>
      <c r="C9" s="126">
        <v>0.333333333333333</v>
      </c>
      <c r="D9" s="127">
        <v>0.708333333333333</v>
      </c>
      <c r="E9" s="126">
        <v>0.333333333333333</v>
      </c>
      <c r="F9" s="127">
        <v>0.708333333333333</v>
      </c>
      <c r="G9" s="126">
        <v>0.333333333333333</v>
      </c>
      <c r="H9" s="127">
        <v>0.708333333333333</v>
      </c>
      <c r="I9" s="128" t="s">
        <v>36</v>
      </c>
      <c r="J9" s="128" t="s">
        <v>36</v>
      </c>
      <c r="K9" s="128" t="s">
        <v>36</v>
      </c>
      <c r="L9" s="128" t="s">
        <v>36</v>
      </c>
      <c r="M9" s="151" t="s">
        <v>23</v>
      </c>
      <c r="N9" s="151" t="s">
        <v>23</v>
      </c>
      <c r="O9" s="151" t="s">
        <v>23</v>
      </c>
      <c r="P9" s="151" t="s">
        <v>23</v>
      </c>
    </row>
    <row r="10" customFormat="1" ht="13" spans="1:16">
      <c r="A10" s="125">
        <v>10320407</v>
      </c>
      <c r="B10" s="125" t="s">
        <v>55</v>
      </c>
      <c r="C10" s="126">
        <v>0.375</v>
      </c>
      <c r="D10" s="127">
        <v>0.875</v>
      </c>
      <c r="E10" s="126">
        <v>0.375</v>
      </c>
      <c r="F10" s="127">
        <v>0.875</v>
      </c>
      <c r="G10" s="128" t="s">
        <v>36</v>
      </c>
      <c r="H10" s="128" t="s">
        <v>36</v>
      </c>
      <c r="I10" s="126">
        <v>0.375</v>
      </c>
      <c r="J10" s="127">
        <v>0.875</v>
      </c>
      <c r="K10" s="126">
        <v>0.375</v>
      </c>
      <c r="L10" s="127">
        <v>0.875</v>
      </c>
      <c r="M10" s="151" t="s">
        <v>23</v>
      </c>
      <c r="N10" s="151" t="s">
        <v>23</v>
      </c>
      <c r="O10" s="151" t="s">
        <v>23</v>
      </c>
      <c r="P10" s="151" t="s">
        <v>23</v>
      </c>
    </row>
    <row r="11" customFormat="1" ht="13" spans="1:16">
      <c r="A11" s="125">
        <v>10317522</v>
      </c>
      <c r="B11" s="125" t="s">
        <v>31</v>
      </c>
      <c r="C11" s="126">
        <v>0.5</v>
      </c>
      <c r="D11" s="127">
        <v>0.875</v>
      </c>
      <c r="E11" s="126">
        <v>0.5</v>
      </c>
      <c r="F11" s="127">
        <v>0.875</v>
      </c>
      <c r="G11" s="126">
        <v>0.416666666666667</v>
      </c>
      <c r="H11" s="127">
        <v>0.791666666666667</v>
      </c>
      <c r="I11" s="151" t="s">
        <v>23</v>
      </c>
      <c r="J11" s="151" t="s">
        <v>23</v>
      </c>
      <c r="K11" s="151" t="s">
        <v>23</v>
      </c>
      <c r="L11" s="151" t="s">
        <v>23</v>
      </c>
      <c r="M11" s="126">
        <v>0.416666666666667</v>
      </c>
      <c r="N11" s="127">
        <v>0.791666666666667</v>
      </c>
      <c r="O11" s="126">
        <v>0.416666666666667</v>
      </c>
      <c r="P11" s="127">
        <v>0.791666666666667</v>
      </c>
    </row>
    <row r="12" customFormat="1" ht="13" spans="1:16">
      <c r="A12" s="125">
        <v>10316540</v>
      </c>
      <c r="B12" s="125" t="s">
        <v>104</v>
      </c>
      <c r="C12" s="126">
        <v>0.333333333333333</v>
      </c>
      <c r="D12" s="127">
        <v>0.708333333333333</v>
      </c>
      <c r="E12" s="126">
        <v>0.333333333333333</v>
      </c>
      <c r="F12" s="127">
        <v>0.708333333333333</v>
      </c>
      <c r="G12" s="126">
        <v>0.416666666666667</v>
      </c>
      <c r="H12" s="127">
        <v>0.791666666666667</v>
      </c>
      <c r="I12" s="126">
        <v>0.333333333333333</v>
      </c>
      <c r="J12" s="127">
        <v>0.708333333333333</v>
      </c>
      <c r="K12" s="126">
        <v>0.333333333333333</v>
      </c>
      <c r="L12" s="127">
        <v>0.708333333333333</v>
      </c>
      <c r="M12" s="151" t="s">
        <v>23</v>
      </c>
      <c r="N12" s="151" t="s">
        <v>23</v>
      </c>
      <c r="O12" s="151" t="s">
        <v>23</v>
      </c>
      <c r="P12" s="151" t="s">
        <v>23</v>
      </c>
    </row>
    <row r="13" ht="13" spans="1:16">
      <c r="A13" s="125">
        <v>10250963</v>
      </c>
      <c r="B13" s="125" t="s">
        <v>105</v>
      </c>
      <c r="C13" s="128" t="s">
        <v>36</v>
      </c>
      <c r="D13" s="128" t="s">
        <v>36</v>
      </c>
      <c r="E13" s="128" t="s">
        <v>36</v>
      </c>
      <c r="F13" s="128" t="s">
        <v>36</v>
      </c>
      <c r="G13" s="128" t="s">
        <v>36</v>
      </c>
      <c r="H13" s="128" t="s">
        <v>36</v>
      </c>
      <c r="I13" s="126">
        <v>0.375</v>
      </c>
      <c r="J13" s="127">
        <v>0.75</v>
      </c>
      <c r="K13" s="126">
        <v>0.375</v>
      </c>
      <c r="L13" s="127">
        <v>0.75</v>
      </c>
      <c r="M13" s="151" t="s">
        <v>23</v>
      </c>
      <c r="N13" s="151" t="s">
        <v>23</v>
      </c>
      <c r="O13" s="151" t="s">
        <v>23</v>
      </c>
      <c r="P13" s="151" t="s">
        <v>23</v>
      </c>
    </row>
    <row r="14" ht="13.75" spans="1:16">
      <c r="A14" s="125">
        <v>10317147</v>
      </c>
      <c r="B14" s="125" t="s">
        <v>106</v>
      </c>
      <c r="C14" s="126">
        <v>0.375</v>
      </c>
      <c r="D14" s="127">
        <v>0.75</v>
      </c>
      <c r="E14" s="126">
        <v>0.375</v>
      </c>
      <c r="F14" s="127">
        <v>0.75</v>
      </c>
      <c r="G14" s="126">
        <v>0.416666666666667</v>
      </c>
      <c r="H14" s="127">
        <v>0.791666666666667</v>
      </c>
      <c r="I14" s="126">
        <v>0.375</v>
      </c>
      <c r="J14" s="127">
        <v>0.75</v>
      </c>
      <c r="K14" s="126">
        <v>0.375</v>
      </c>
      <c r="L14" s="127">
        <v>0.75</v>
      </c>
      <c r="M14" s="151" t="s">
        <v>23</v>
      </c>
      <c r="N14" s="151" t="s">
        <v>23</v>
      </c>
      <c r="O14" s="151" t="s">
        <v>23</v>
      </c>
      <c r="P14" s="151" t="s">
        <v>23</v>
      </c>
    </row>
    <row r="15" ht="13.75" spans="1:16">
      <c r="A15" s="129">
        <v>10306591</v>
      </c>
      <c r="B15" s="130" t="s">
        <v>107</v>
      </c>
      <c r="C15" s="131" t="s">
        <v>108</v>
      </c>
      <c r="D15" s="131" t="s">
        <v>108</v>
      </c>
      <c r="E15" s="131" t="s">
        <v>36</v>
      </c>
      <c r="F15" s="131" t="s">
        <v>36</v>
      </c>
      <c r="G15" s="132">
        <v>0.416666666666667</v>
      </c>
      <c r="H15" s="133">
        <v>0.791666666666667</v>
      </c>
      <c r="I15" s="132">
        <v>0.416666666666667</v>
      </c>
      <c r="J15" s="133">
        <v>0.791666666666667</v>
      </c>
      <c r="K15" s="132" t="s">
        <v>109</v>
      </c>
      <c r="L15" s="133" t="s">
        <v>109</v>
      </c>
      <c r="M15" s="152" t="s">
        <v>23</v>
      </c>
      <c r="N15" s="152" t="s">
        <v>23</v>
      </c>
      <c r="O15" s="152" t="s">
        <v>23</v>
      </c>
      <c r="P15" s="152" t="s">
        <v>23</v>
      </c>
    </row>
    <row r="17" ht="13" spans="1:4">
      <c r="A17" s="134" t="s">
        <v>0</v>
      </c>
      <c r="B17" s="134" t="s">
        <v>110</v>
      </c>
      <c r="C17" s="135" t="s">
        <v>111</v>
      </c>
      <c r="D17" s="136"/>
    </row>
    <row r="18" ht="13" spans="1:4">
      <c r="A18" s="137"/>
      <c r="B18" s="137"/>
      <c r="C18" s="138" t="s">
        <v>112</v>
      </c>
      <c r="D18" s="138" t="s">
        <v>113</v>
      </c>
    </row>
    <row r="19" spans="1:4">
      <c r="A19" s="139">
        <v>10276839</v>
      </c>
      <c r="B19" s="140" t="s">
        <v>54</v>
      </c>
      <c r="C19" s="141">
        <v>0.375</v>
      </c>
      <c r="D19" s="142">
        <v>0.75</v>
      </c>
    </row>
    <row r="20" spans="1:4">
      <c r="A20" s="139">
        <v>10320409</v>
      </c>
      <c r="B20" s="140" t="s">
        <v>57</v>
      </c>
      <c r="C20" s="141">
        <v>0.375</v>
      </c>
      <c r="D20" s="142">
        <v>0.75</v>
      </c>
    </row>
    <row r="21" spans="1:4">
      <c r="A21" s="139">
        <v>10327293</v>
      </c>
      <c r="B21" s="140" t="s">
        <v>114</v>
      </c>
      <c r="C21" s="143" t="s">
        <v>115</v>
      </c>
      <c r="D21" s="143" t="s">
        <v>115</v>
      </c>
    </row>
    <row r="22" spans="1:4">
      <c r="A22" s="139">
        <v>10327224</v>
      </c>
      <c r="B22" s="140" t="s">
        <v>116</v>
      </c>
      <c r="C22" s="144">
        <v>0.5</v>
      </c>
      <c r="D22" s="145">
        <v>0.875</v>
      </c>
    </row>
    <row r="23" spans="1:4">
      <c r="A23" s="139">
        <v>10327297</v>
      </c>
      <c r="B23" s="140" t="s">
        <v>117</v>
      </c>
      <c r="C23" s="146">
        <v>0.333333333333333</v>
      </c>
      <c r="D23" s="147">
        <v>0.708333333333333</v>
      </c>
    </row>
    <row r="24" spans="1:4">
      <c r="A24" s="139">
        <v>10327295</v>
      </c>
      <c r="B24" s="140" t="s">
        <v>118</v>
      </c>
      <c r="C24" s="143" t="s">
        <v>115</v>
      </c>
      <c r="D24" s="143" t="s">
        <v>115</v>
      </c>
    </row>
    <row r="25" spans="1:4">
      <c r="A25" s="139">
        <v>10331627</v>
      </c>
      <c r="B25" s="140" t="s">
        <v>119</v>
      </c>
      <c r="C25" s="144">
        <v>0.5</v>
      </c>
      <c r="D25" s="145">
        <v>0.875</v>
      </c>
    </row>
    <row r="26" spans="1:4">
      <c r="A26" s="139">
        <v>10331651</v>
      </c>
      <c r="B26" s="140" t="s">
        <v>120</v>
      </c>
      <c r="C26" s="144">
        <v>0.5</v>
      </c>
      <c r="D26" s="145">
        <v>0.875</v>
      </c>
    </row>
    <row r="27" spans="1:4">
      <c r="A27" s="139">
        <v>10331708</v>
      </c>
      <c r="B27" s="140" t="s">
        <v>121</v>
      </c>
      <c r="C27" s="141">
        <v>0.375</v>
      </c>
      <c r="D27" s="142">
        <v>0.75</v>
      </c>
    </row>
    <row r="28" spans="1:4">
      <c r="A28" s="139">
        <v>10337074</v>
      </c>
      <c r="B28" s="140" t="s">
        <v>122</v>
      </c>
      <c r="C28" s="143" t="s">
        <v>115</v>
      </c>
      <c r="D28" s="143" t="s">
        <v>115</v>
      </c>
    </row>
    <row r="29" spans="1:4">
      <c r="A29" s="139">
        <v>10337069</v>
      </c>
      <c r="B29" s="140" t="s">
        <v>123</v>
      </c>
      <c r="C29" s="141">
        <v>0.375</v>
      </c>
      <c r="D29" s="142">
        <v>0.75</v>
      </c>
    </row>
    <row r="30" spans="1:4">
      <c r="A30" s="139">
        <v>10337193</v>
      </c>
      <c r="B30" s="140" t="s">
        <v>124</v>
      </c>
      <c r="C30" s="141">
        <v>0.375</v>
      </c>
      <c r="D30" s="142">
        <v>0.75</v>
      </c>
    </row>
    <row r="31" spans="1:4">
      <c r="A31" s="139">
        <v>10337038</v>
      </c>
      <c r="B31" s="140" t="s">
        <v>125</v>
      </c>
      <c r="C31" s="144">
        <v>0.5</v>
      </c>
      <c r="D31" s="145">
        <v>0.875</v>
      </c>
    </row>
    <row r="32" spans="1:4">
      <c r="A32" s="139">
        <v>10309485</v>
      </c>
      <c r="B32" s="140" t="s">
        <v>126</v>
      </c>
      <c r="C32" s="144">
        <v>0.5</v>
      </c>
      <c r="D32" s="145">
        <v>0.875</v>
      </c>
    </row>
    <row r="33" spans="1:4">
      <c r="A33" s="139">
        <v>10337017</v>
      </c>
      <c r="B33" s="140" t="s">
        <v>127</v>
      </c>
      <c r="C33" s="143" t="s">
        <v>115</v>
      </c>
      <c r="D33" s="143" t="s">
        <v>115</v>
      </c>
    </row>
    <row r="34" spans="1:4">
      <c r="A34" s="139">
        <v>10337078</v>
      </c>
      <c r="B34" s="140" t="s">
        <v>128</v>
      </c>
      <c r="C34" s="144">
        <v>0.5</v>
      </c>
      <c r="D34" s="145">
        <v>0.875</v>
      </c>
    </row>
    <row r="35" spans="1:4">
      <c r="A35" s="139">
        <v>10343270</v>
      </c>
      <c r="B35" s="140" t="s">
        <v>129</v>
      </c>
      <c r="C35" s="144">
        <v>0.5</v>
      </c>
      <c r="D35" s="145">
        <v>0.875</v>
      </c>
    </row>
    <row r="36" spans="1:4">
      <c r="A36" s="139">
        <v>10294264</v>
      </c>
      <c r="B36" s="140" t="s">
        <v>130</v>
      </c>
      <c r="C36" s="143" t="s">
        <v>115</v>
      </c>
      <c r="D36" s="143" t="s">
        <v>115</v>
      </c>
    </row>
    <row r="37" spans="1:4">
      <c r="A37" s="139">
        <v>10343271</v>
      </c>
      <c r="B37" s="140" t="s">
        <v>131</v>
      </c>
      <c r="C37" s="148">
        <v>0.375</v>
      </c>
      <c r="D37" s="149">
        <v>0.75</v>
      </c>
    </row>
    <row r="38" spans="1:4">
      <c r="A38" s="139">
        <v>10343408</v>
      </c>
      <c r="B38" s="140" t="s">
        <v>132</v>
      </c>
      <c r="C38" s="148">
        <v>0.375</v>
      </c>
      <c r="D38" s="149">
        <v>0.75</v>
      </c>
    </row>
    <row r="39" spans="1:4">
      <c r="A39" s="139">
        <v>10343397</v>
      </c>
      <c r="B39" s="140" t="s">
        <v>133</v>
      </c>
      <c r="C39" s="144">
        <v>0.5</v>
      </c>
      <c r="D39" s="145">
        <v>0.875</v>
      </c>
    </row>
    <row r="40" spans="1:4">
      <c r="A40" s="139">
        <v>10343405</v>
      </c>
      <c r="B40" s="140" t="s">
        <v>134</v>
      </c>
      <c r="C40" s="144">
        <v>0.5</v>
      </c>
      <c r="D40" s="145">
        <v>0.875</v>
      </c>
    </row>
    <row r="41" spans="1:4">
      <c r="A41" s="139">
        <v>10343404</v>
      </c>
      <c r="B41" s="140" t="s">
        <v>135</v>
      </c>
      <c r="C41" s="144">
        <v>0.5</v>
      </c>
      <c r="D41" s="145">
        <v>0.875</v>
      </c>
    </row>
    <row r="42" spans="1:4">
      <c r="A42" s="139">
        <v>10343276</v>
      </c>
      <c r="B42" s="140" t="s">
        <v>136</v>
      </c>
      <c r="C42" s="144">
        <v>0.5</v>
      </c>
      <c r="D42" s="145">
        <v>0.875</v>
      </c>
    </row>
    <row r="43" spans="1:4">
      <c r="A43" s="139">
        <v>10343407</v>
      </c>
      <c r="B43" s="140" t="s">
        <v>137</v>
      </c>
      <c r="C43" s="146">
        <v>0.333333333333333</v>
      </c>
      <c r="D43" s="147">
        <v>0.708333333333333</v>
      </c>
    </row>
    <row r="44" spans="1:4">
      <c r="A44" s="139">
        <v>10343278</v>
      </c>
      <c r="B44" s="140" t="s">
        <v>138</v>
      </c>
      <c r="C44" s="150" t="s">
        <v>23</v>
      </c>
      <c r="D44" s="150" t="s">
        <v>23</v>
      </c>
    </row>
    <row r="45" spans="1:4">
      <c r="A45" s="139">
        <v>10343286</v>
      </c>
      <c r="B45" s="140" t="s">
        <v>139</v>
      </c>
      <c r="C45" s="146">
        <v>0.333333333333333</v>
      </c>
      <c r="D45" s="147">
        <v>0.708333333333333</v>
      </c>
    </row>
    <row r="46" spans="1:4">
      <c r="A46" s="139">
        <v>10347285</v>
      </c>
      <c r="B46" s="140" t="s">
        <v>140</v>
      </c>
      <c r="C46" s="144">
        <v>0.5</v>
      </c>
      <c r="D46" s="145">
        <v>0.875</v>
      </c>
    </row>
    <row r="47" spans="1:4">
      <c r="A47" s="139">
        <v>10347283</v>
      </c>
      <c r="B47" s="140" t="s">
        <v>141</v>
      </c>
      <c r="C47" s="141">
        <v>0.375</v>
      </c>
      <c r="D47" s="142">
        <v>0.75</v>
      </c>
    </row>
    <row r="48" spans="1:4">
      <c r="A48" s="139">
        <v>10347346</v>
      </c>
      <c r="B48" s="140" t="s">
        <v>142</v>
      </c>
      <c r="C48" s="141">
        <v>0.375</v>
      </c>
      <c r="D48" s="142">
        <v>0.75</v>
      </c>
    </row>
    <row r="49" spans="1:4">
      <c r="A49" s="139">
        <v>10347318</v>
      </c>
      <c r="B49" s="140" t="s">
        <v>143</v>
      </c>
      <c r="C49" s="141">
        <v>0.375</v>
      </c>
      <c r="D49" s="142">
        <v>0.75</v>
      </c>
    </row>
    <row r="50" spans="1:4">
      <c r="A50" s="139">
        <v>10347267</v>
      </c>
      <c r="B50" s="140" t="s">
        <v>144</v>
      </c>
      <c r="C50" s="141">
        <v>0.375</v>
      </c>
      <c r="D50" s="142">
        <v>0.75</v>
      </c>
    </row>
    <row r="51" spans="1:4">
      <c r="A51" s="139">
        <v>10332448</v>
      </c>
      <c r="B51" s="140" t="s">
        <v>145</v>
      </c>
      <c r="C51" s="146">
        <v>0.333333333333333</v>
      </c>
      <c r="D51" s="147">
        <v>0.708333333333333</v>
      </c>
    </row>
    <row r="52" spans="1:4">
      <c r="A52" s="139">
        <v>10332650</v>
      </c>
      <c r="B52" s="140" t="s">
        <v>146</v>
      </c>
      <c r="C52" s="141">
        <v>0.375</v>
      </c>
      <c r="D52" s="142">
        <v>0.75</v>
      </c>
    </row>
    <row r="53" spans="1:4">
      <c r="A53" s="139">
        <v>10331588</v>
      </c>
      <c r="B53" s="140" t="s">
        <v>147</v>
      </c>
      <c r="C53" s="144">
        <v>0.5</v>
      </c>
      <c r="D53" s="145">
        <v>0.875</v>
      </c>
    </row>
    <row r="54" spans="1:4">
      <c r="A54" s="139">
        <v>10332446</v>
      </c>
      <c r="B54" s="140" t="s">
        <v>148</v>
      </c>
      <c r="C54" s="150" t="s">
        <v>23</v>
      </c>
      <c r="D54" s="150" t="s">
        <v>23</v>
      </c>
    </row>
    <row r="55" spans="1:4">
      <c r="A55" s="139">
        <v>10310370</v>
      </c>
      <c r="B55" s="140" t="s">
        <v>149</v>
      </c>
      <c r="C55" s="141">
        <v>0.375</v>
      </c>
      <c r="D55" s="142">
        <v>0.75</v>
      </c>
    </row>
    <row r="56" spans="1:4">
      <c r="A56" s="139">
        <v>10334731</v>
      </c>
      <c r="B56" s="140" t="s">
        <v>150</v>
      </c>
      <c r="C56" s="150" t="s">
        <v>23</v>
      </c>
      <c r="D56" s="150" t="s">
        <v>23</v>
      </c>
    </row>
    <row r="57" spans="1:4">
      <c r="A57" s="139">
        <v>10331615</v>
      </c>
      <c r="B57" s="140" t="s">
        <v>151</v>
      </c>
      <c r="C57" s="146">
        <v>0.333333333333333</v>
      </c>
      <c r="D57" s="147">
        <v>0.541666666666667</v>
      </c>
    </row>
    <row r="58" spans="1:4">
      <c r="A58" s="139">
        <v>10332451</v>
      </c>
      <c r="B58" s="140" t="s">
        <v>152</v>
      </c>
      <c r="C58" s="141">
        <v>0.375</v>
      </c>
      <c r="D58" s="142">
        <v>0.75</v>
      </c>
    </row>
    <row r="59" spans="1:4">
      <c r="A59" s="139">
        <v>10334730</v>
      </c>
      <c r="B59" s="140" t="s">
        <v>153</v>
      </c>
      <c r="C59" s="144">
        <v>0.5</v>
      </c>
      <c r="D59" s="145">
        <v>0.875</v>
      </c>
    </row>
    <row r="60" spans="1:4">
      <c r="A60" s="139">
        <v>10331633</v>
      </c>
      <c r="B60" s="140" t="s">
        <v>154</v>
      </c>
      <c r="C60" s="141">
        <v>0.375</v>
      </c>
      <c r="D60" s="142">
        <v>0.75</v>
      </c>
    </row>
    <row r="61" spans="1:4">
      <c r="A61" s="139">
        <v>10347537</v>
      </c>
      <c r="B61" s="140" t="s">
        <v>155</v>
      </c>
      <c r="C61" s="144">
        <v>0.5</v>
      </c>
      <c r="D61" s="145">
        <v>0.875</v>
      </c>
    </row>
    <row r="62" spans="1:4">
      <c r="A62" s="139">
        <v>10347270</v>
      </c>
      <c r="B62" s="140" t="s">
        <v>156</v>
      </c>
      <c r="C62" s="144">
        <v>0.5</v>
      </c>
      <c r="D62" s="145">
        <v>0.875</v>
      </c>
    </row>
    <row r="63" spans="1:4">
      <c r="A63" s="139">
        <v>10347357</v>
      </c>
      <c r="B63" s="140" t="s">
        <v>157</v>
      </c>
      <c r="C63" s="144">
        <v>0.5</v>
      </c>
      <c r="D63" s="145">
        <v>0.875</v>
      </c>
    </row>
    <row r="64" spans="1:4">
      <c r="A64" s="139">
        <v>10347274</v>
      </c>
      <c r="B64" s="140" t="s">
        <v>158</v>
      </c>
      <c r="C64" s="141">
        <v>0.375</v>
      </c>
      <c r="D64" s="142">
        <v>0.75</v>
      </c>
    </row>
    <row r="65" spans="1:4">
      <c r="A65" s="139">
        <v>10347319</v>
      </c>
      <c r="B65" s="140" t="s">
        <v>159</v>
      </c>
      <c r="C65" s="144">
        <v>0.5</v>
      </c>
      <c r="D65" s="145">
        <v>0.875</v>
      </c>
    </row>
    <row r="66" spans="1:4">
      <c r="A66" s="139">
        <v>10347299</v>
      </c>
      <c r="B66" s="140" t="s">
        <v>160</v>
      </c>
      <c r="C66" s="141">
        <v>0.375</v>
      </c>
      <c r="D66" s="142">
        <v>0.75</v>
      </c>
    </row>
    <row r="67" spans="1:4">
      <c r="A67" s="139">
        <v>10347380</v>
      </c>
      <c r="B67" s="140" t="s">
        <v>161</v>
      </c>
      <c r="C67" s="141">
        <v>0.375</v>
      </c>
      <c r="D67" s="142">
        <v>0.75</v>
      </c>
    </row>
    <row r="68" spans="1:4">
      <c r="A68" s="139">
        <v>10285489</v>
      </c>
      <c r="B68" s="140" t="s">
        <v>162</v>
      </c>
      <c r="C68" s="144">
        <v>0.5</v>
      </c>
      <c r="D68" s="145">
        <v>0.875</v>
      </c>
    </row>
    <row r="69" spans="1:4">
      <c r="A69" s="139">
        <v>10334246</v>
      </c>
      <c r="B69" s="140" t="s">
        <v>163</v>
      </c>
      <c r="C69" s="150" t="s">
        <v>23</v>
      </c>
      <c r="D69" s="150" t="s">
        <v>23</v>
      </c>
    </row>
    <row r="70" spans="1:4">
      <c r="A70" s="139">
        <v>10334247</v>
      </c>
      <c r="B70" s="140" t="s">
        <v>164</v>
      </c>
      <c r="C70" s="146">
        <v>0.333333333333333</v>
      </c>
      <c r="D70" s="147">
        <v>0.708333333333333</v>
      </c>
    </row>
    <row r="71" spans="1:4">
      <c r="A71" s="139">
        <v>10334245</v>
      </c>
      <c r="B71" s="140" t="s">
        <v>165</v>
      </c>
      <c r="C71" s="144">
        <v>0.5</v>
      </c>
      <c r="D71" s="145">
        <v>0.875</v>
      </c>
    </row>
    <row r="72" spans="1:4">
      <c r="A72" s="139">
        <v>10334248</v>
      </c>
      <c r="B72" s="140" t="s">
        <v>166</v>
      </c>
      <c r="C72" s="144">
        <v>0.5</v>
      </c>
      <c r="D72" s="145">
        <v>0.875</v>
      </c>
    </row>
    <row r="73" spans="1:4">
      <c r="A73" s="139">
        <v>10317520</v>
      </c>
      <c r="B73" s="140" t="s">
        <v>37</v>
      </c>
      <c r="C73" s="141">
        <v>0.375</v>
      </c>
      <c r="D73" s="142">
        <v>0.75</v>
      </c>
    </row>
    <row r="74" spans="1:4">
      <c r="A74" s="139">
        <v>10316650</v>
      </c>
      <c r="B74" s="140" t="s">
        <v>39</v>
      </c>
      <c r="C74" s="143" t="s">
        <v>115</v>
      </c>
      <c r="D74" s="143" t="s">
        <v>115</v>
      </c>
    </row>
    <row r="75" spans="1:4">
      <c r="A75" s="139">
        <v>10317521</v>
      </c>
      <c r="B75" s="140" t="s">
        <v>28</v>
      </c>
      <c r="C75" s="141">
        <v>0.375</v>
      </c>
      <c r="D75" s="142">
        <v>0.75</v>
      </c>
    </row>
    <row r="76" spans="1:4">
      <c r="A76" s="139">
        <v>10252106</v>
      </c>
      <c r="B76" s="140" t="s">
        <v>43</v>
      </c>
      <c r="C76" s="141">
        <v>0.375</v>
      </c>
      <c r="D76" s="142">
        <v>0.75</v>
      </c>
    </row>
    <row r="77" spans="1:4">
      <c r="A77" s="139">
        <v>10293607</v>
      </c>
      <c r="B77" s="140" t="s">
        <v>65</v>
      </c>
      <c r="C77" s="141">
        <v>0.375</v>
      </c>
      <c r="D77" s="142">
        <v>0.75</v>
      </c>
    </row>
    <row r="78" spans="1:4">
      <c r="A78" s="139">
        <v>10331521</v>
      </c>
      <c r="B78" s="140" t="s">
        <v>167</v>
      </c>
      <c r="C78" s="141">
        <v>0.375</v>
      </c>
      <c r="D78" s="142">
        <v>0.75</v>
      </c>
    </row>
    <row r="79" spans="1:4">
      <c r="A79" s="139">
        <v>10327299</v>
      </c>
      <c r="B79" s="140" t="s">
        <v>168</v>
      </c>
      <c r="C79" s="141">
        <v>0.375</v>
      </c>
      <c r="D79" s="142">
        <v>0.75</v>
      </c>
    </row>
    <row r="80" spans="1:4">
      <c r="A80" s="139">
        <v>10320413</v>
      </c>
      <c r="B80" s="140" t="s">
        <v>60</v>
      </c>
      <c r="C80" s="141">
        <v>0.375</v>
      </c>
      <c r="D80" s="142">
        <v>0.75</v>
      </c>
    </row>
    <row r="81" spans="1:4">
      <c r="A81" s="139">
        <v>10331625</v>
      </c>
      <c r="B81" s="140" t="s">
        <v>169</v>
      </c>
      <c r="C81" s="141">
        <v>0.375</v>
      </c>
      <c r="D81" s="142">
        <v>0.75</v>
      </c>
    </row>
    <row r="82" spans="1:4">
      <c r="A82" s="139">
        <v>10327356</v>
      </c>
      <c r="B82" s="140" t="s">
        <v>170</v>
      </c>
      <c r="C82" s="141">
        <v>0.375</v>
      </c>
      <c r="D82" s="142">
        <v>0.75</v>
      </c>
    </row>
    <row r="83" spans="1:4">
      <c r="A83" s="139">
        <v>10316618</v>
      </c>
      <c r="B83" s="140" t="s">
        <v>33</v>
      </c>
      <c r="C83" s="143" t="s">
        <v>115</v>
      </c>
      <c r="D83" s="143" t="s">
        <v>115</v>
      </c>
    </row>
    <row r="84" spans="1:4">
      <c r="A84" s="139">
        <v>10316545</v>
      </c>
      <c r="B84" s="140" t="s">
        <v>45</v>
      </c>
      <c r="C84" s="141">
        <v>0.375</v>
      </c>
      <c r="D84" s="142">
        <v>0.75</v>
      </c>
    </row>
    <row r="85" spans="1:4">
      <c r="A85" s="139">
        <v>10316683</v>
      </c>
      <c r="B85" s="140" t="s">
        <v>51</v>
      </c>
      <c r="C85" s="141">
        <v>0.375</v>
      </c>
      <c r="D85" s="142">
        <v>0.75</v>
      </c>
    </row>
    <row r="86" spans="1:4">
      <c r="A86" s="139">
        <v>10316681</v>
      </c>
      <c r="B86" s="140" t="s">
        <v>38</v>
      </c>
      <c r="C86" s="143" t="s">
        <v>115</v>
      </c>
      <c r="D86" s="143" t="s">
        <v>115</v>
      </c>
    </row>
    <row r="87" spans="1:4">
      <c r="A87" s="139">
        <v>10316543</v>
      </c>
      <c r="B87" s="140" t="s">
        <v>41</v>
      </c>
      <c r="C87" s="141">
        <v>0.375</v>
      </c>
      <c r="D87" s="142">
        <v>0.75</v>
      </c>
    </row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7:D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8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5.38181818181818" customWidth="1"/>
    <col min="9" max="9" width="9.5" customWidth="1"/>
    <col min="10" max="10" width="5.38181818181818" customWidth="1"/>
    <col min="11" max="11" width="10.2545454545455" customWidth="1"/>
    <col min="12" max="12" width="5.38181818181818" customWidth="1"/>
    <col min="13" max="13" width="9.5" customWidth="1"/>
    <col min="14" max="14" width="5.38181818181818" customWidth="1"/>
    <col min="15" max="15" width="9.5" customWidth="1"/>
    <col min="16" max="16" width="5.38181818181818" customWidth="1"/>
    <col min="17" max="17" width="9.5" customWidth="1"/>
    <col min="18" max="18" width="5.38181818181818" customWidth="1"/>
    <col min="19" max="19" width="9.5" customWidth="1"/>
    <col min="20" max="20" width="5.38181818181818" customWidth="1"/>
    <col min="21" max="21" width="3.2545454545454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47"/>
      <c r="B2" s="47"/>
      <c r="C2" s="47"/>
      <c r="D2" s="47"/>
      <c r="E2" s="47"/>
      <c r="F2" s="120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0.375</v>
      </c>
      <c r="H24" s="8">
        <v>0.791666666666667</v>
      </c>
      <c r="I24" s="8">
        <v>0.375</v>
      </c>
      <c r="J24" s="8">
        <v>0.791666666666667</v>
      </c>
      <c r="K24" s="8">
        <v>0.375</v>
      </c>
      <c r="L24" s="8">
        <v>0.791666666666667</v>
      </c>
      <c r="M24" s="8">
        <v>0.375</v>
      </c>
      <c r="N24" s="8">
        <v>0.791666666666667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0.791666666666667</v>
      </c>
      <c r="I26" s="8">
        <v>0.375</v>
      </c>
      <c r="J26" s="8">
        <v>0.791666666666667</v>
      </c>
      <c r="K26" s="8">
        <v>0.375</v>
      </c>
      <c r="L26" s="8">
        <v>0.791666666666667</v>
      </c>
      <c r="M26" s="8">
        <v>0.375</v>
      </c>
      <c r="N26" s="8">
        <v>0.791666666666667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customHeight="1" spans="1:20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</row>
    <row r="29" customHeight="1" spans="1:20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0.5</v>
      </c>
      <c r="H29" s="8">
        <v>0.875</v>
      </c>
      <c r="I29" s="8">
        <v>0.5</v>
      </c>
      <c r="J29" s="8">
        <v>0.875</v>
      </c>
      <c r="K29" s="8">
        <v>0.5</v>
      </c>
      <c r="L29" s="8">
        <v>0.875</v>
      </c>
      <c r="M29" s="8">
        <v>0.5</v>
      </c>
      <c r="N29" s="8">
        <v>0.875</v>
      </c>
      <c r="O29" s="8">
        <v>0.5</v>
      </c>
      <c r="P29" s="8">
        <v>0.875</v>
      </c>
      <c r="Q29" s="7" t="s">
        <v>23</v>
      </c>
      <c r="R29" s="7" t="s">
        <v>23</v>
      </c>
      <c r="S29" s="7" t="s">
        <v>23</v>
      </c>
      <c r="T29" s="7" t="s">
        <v>23</v>
      </c>
    </row>
    <row r="30" customHeight="1" spans="1:20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0.458333333333333</v>
      </c>
      <c r="R30" s="8">
        <v>0.666666666666667</v>
      </c>
      <c r="S30" s="8">
        <v>0.458333333333333</v>
      </c>
      <c r="T30" s="8">
        <v>0.666666666666667</v>
      </c>
    </row>
    <row r="31" customHeight="1" spans="1:20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7" t="s">
        <v>23</v>
      </c>
      <c r="T31" s="7" t="s">
        <v>23</v>
      </c>
    </row>
    <row r="32" customHeight="1" spans="1:20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</row>
    <row r="34" customHeight="1" spans="1:20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8">
        <v>0.375</v>
      </c>
      <c r="J35" s="8">
        <v>0.75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</row>
    <row r="36" customHeight="1" spans="1:20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0.375</v>
      </c>
      <c r="H36" s="8">
        <v>0.791666666666667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</row>
    <row r="37" customHeight="1" spans="1:20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</row>
    <row r="39" customHeight="1" spans="1:20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</row>
    <row r="40" customHeight="1" spans="1:20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8">
        <v>0.5</v>
      </c>
      <c r="J40" s="8">
        <v>0.875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</row>
    <row r="41" customHeight="1" spans="1:20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0.791666666666667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</row>
    <row r="42" customHeight="1" spans="1:20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7" t="s">
        <v>23</v>
      </c>
      <c r="T42" s="7" t="s">
        <v>23</v>
      </c>
    </row>
    <row r="43" customHeight="1" spans="1:20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/>
      <c r="H43" s="8"/>
      <c r="I43" s="8"/>
      <c r="J43" s="8"/>
      <c r="K43" s="7"/>
      <c r="L43" s="7"/>
      <c r="M43" s="7"/>
      <c r="N43" s="7"/>
      <c r="O43" s="8"/>
      <c r="P43" s="8"/>
      <c r="Q43" s="8"/>
      <c r="R43" s="8"/>
      <c r="S43" s="8"/>
      <c r="T43" s="8"/>
    </row>
    <row r="44" customHeight="1" spans="1:20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</row>
    <row r="48" customHeight="1" spans="1:20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</row>
    <row r="49" customHeight="1" spans="1:20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</row>
    <row r="50" customHeight="1" spans="1:20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</row>
    <row r="51" customHeight="1" spans="1:20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7" t="s">
        <v>23</v>
      </c>
      <c r="T51" s="7" t="s">
        <v>23</v>
      </c>
    </row>
    <row r="58" customHeight="1" spans="8:21">
      <c r="H58" s="121" t="s">
        <v>80</v>
      </c>
      <c r="I58" s="121" t="s">
        <v>81</v>
      </c>
      <c r="J58" s="121" t="s">
        <v>80</v>
      </c>
      <c r="K58" s="121" t="s">
        <v>81</v>
      </c>
      <c r="L58" s="121" t="s">
        <v>80</v>
      </c>
      <c r="M58" s="121" t="s">
        <v>81</v>
      </c>
      <c r="N58" s="121" t="s">
        <v>80</v>
      </c>
      <c r="O58" s="121" t="s">
        <v>81</v>
      </c>
      <c r="P58" s="121" t="s">
        <v>80</v>
      </c>
      <c r="Q58" s="121" t="s">
        <v>81</v>
      </c>
      <c r="R58" s="121" t="s">
        <v>80</v>
      </c>
      <c r="S58" s="121" t="s">
        <v>81</v>
      </c>
      <c r="T58" s="121" t="s">
        <v>80</v>
      </c>
      <c r="U58" s="121" t="s">
        <v>81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1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15"/>
      <c r="B2" s="15"/>
      <c r="C2" s="15"/>
      <c r="D2" s="15"/>
      <c r="E2" s="15"/>
      <c r="F2" s="15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hidden="1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0.375</v>
      </c>
      <c r="H24" s="8">
        <v>0.791666666666667</v>
      </c>
      <c r="I24" s="8">
        <v>0.375</v>
      </c>
      <c r="J24" s="8">
        <v>0.791666666666667</v>
      </c>
      <c r="K24" s="8">
        <v>0.375</v>
      </c>
      <c r="L24" s="8">
        <v>0.791666666666667</v>
      </c>
      <c r="M24" s="8">
        <v>0.375</v>
      </c>
      <c r="N24" s="8">
        <v>0.791666666666667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0.791666666666667</v>
      </c>
      <c r="I26" s="8">
        <v>0.375</v>
      </c>
      <c r="J26" s="8">
        <v>0.791666666666667</v>
      </c>
      <c r="K26" s="8">
        <v>0.375</v>
      </c>
      <c r="L26" s="8">
        <v>0.791666666666667</v>
      </c>
      <c r="M26" s="8">
        <v>0.375</v>
      </c>
      <c r="N26" s="8">
        <v>0.791666666666667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hidden="1" customHeight="1" spans="1:20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</row>
    <row r="29" customHeight="1" spans="1:20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0.5</v>
      </c>
      <c r="H29" s="8">
        <v>0.875</v>
      </c>
      <c r="I29" s="8">
        <v>0.5</v>
      </c>
      <c r="J29" s="8">
        <v>0.875</v>
      </c>
      <c r="K29" s="8">
        <v>0.5</v>
      </c>
      <c r="L29" s="8">
        <v>0.875</v>
      </c>
      <c r="M29" s="8">
        <v>0.5</v>
      </c>
      <c r="N29" s="8">
        <v>0.875</v>
      </c>
      <c r="O29" s="8">
        <v>0.5</v>
      </c>
      <c r="P29" s="8">
        <v>0.875</v>
      </c>
      <c r="Q29" s="7" t="s">
        <v>23</v>
      </c>
      <c r="R29" s="7" t="s">
        <v>23</v>
      </c>
      <c r="S29" s="7" t="s">
        <v>23</v>
      </c>
      <c r="T29" s="7" t="s">
        <v>23</v>
      </c>
    </row>
    <row r="30" customHeight="1" spans="1:20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0.458333333333333</v>
      </c>
      <c r="R30" s="8">
        <v>0.666666666666667</v>
      </c>
      <c r="S30" s="8">
        <v>0.458333333333333</v>
      </c>
      <c r="T30" s="8">
        <v>0.666666666666667</v>
      </c>
    </row>
    <row r="31" customHeight="1" spans="1:20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7" t="s">
        <v>23</v>
      </c>
      <c r="T31" s="7" t="s">
        <v>23</v>
      </c>
    </row>
    <row r="32" customHeight="1" spans="1:20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</row>
    <row r="34" customHeight="1" spans="1:20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8">
        <v>0.375</v>
      </c>
      <c r="J35" s="8">
        <v>0.75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</row>
    <row r="36" customHeight="1" spans="1:20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0.375</v>
      </c>
      <c r="H36" s="8">
        <v>0.791666666666667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</row>
    <row r="37" customHeight="1" spans="1:20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</row>
    <row r="39" customHeight="1" spans="1:20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</row>
    <row r="40" hidden="1" customHeight="1" spans="1:20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8">
        <v>0.5</v>
      </c>
      <c r="J40" s="8">
        <v>0.875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</row>
    <row r="41" customHeight="1" spans="1:20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0.791666666666667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</row>
    <row r="42" customHeight="1" spans="1:20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7" t="s">
        <v>23</v>
      </c>
      <c r="T42" s="7" t="s">
        <v>23</v>
      </c>
    </row>
    <row r="43" hidden="1" customHeight="1" spans="1:20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/>
      <c r="H43" s="8"/>
      <c r="I43" s="8"/>
      <c r="J43" s="8"/>
      <c r="K43" s="7"/>
      <c r="L43" s="7"/>
      <c r="M43" s="7"/>
      <c r="N43" s="7"/>
      <c r="O43" s="8"/>
      <c r="P43" s="8"/>
      <c r="Q43" s="8"/>
      <c r="R43" s="8"/>
      <c r="S43" s="8"/>
      <c r="T43" s="8"/>
    </row>
    <row r="44" customHeight="1" spans="1:20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</row>
    <row r="48" customHeight="1" spans="1:20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</row>
    <row r="49" customHeight="1" spans="1:20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</row>
    <row r="50" customHeight="1" spans="1:20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</row>
    <row r="51" customHeight="1" spans="1:20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7" t="s">
        <v>23</v>
      </c>
      <c r="T51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15"/>
      <c r="B2" s="15"/>
      <c r="C2" s="15"/>
      <c r="D2" s="15"/>
      <c r="E2" s="15"/>
      <c r="F2" s="15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10250966</v>
      </c>
      <c r="B24" s="8" t="s">
        <v>61</v>
      </c>
      <c r="C24" s="7" t="s">
        <v>20</v>
      </c>
      <c r="D24" s="7" t="s">
        <v>21</v>
      </c>
      <c r="E24" s="8" t="s">
        <v>22</v>
      </c>
      <c r="F24" s="9">
        <v>3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10316543</v>
      </c>
      <c r="B25" s="8" t="s">
        <v>41</v>
      </c>
      <c r="C25" s="7" t="s">
        <v>20</v>
      </c>
      <c r="D25" s="7" t="s">
        <v>21</v>
      </c>
      <c r="E25" s="8" t="s">
        <v>22</v>
      </c>
      <c r="F25" s="9">
        <v>1</v>
      </c>
      <c r="G25" s="8">
        <v>0.375</v>
      </c>
      <c r="H25" s="8">
        <v>0.791666666666667</v>
      </c>
      <c r="I25" s="8">
        <v>0.375</v>
      </c>
      <c r="J25" s="8">
        <v>0.791666666666667</v>
      </c>
      <c r="K25" s="8">
        <v>0.375</v>
      </c>
      <c r="L25" s="8">
        <v>0.791666666666667</v>
      </c>
      <c r="M25" s="8">
        <v>0.375</v>
      </c>
      <c r="N25" s="8">
        <v>0.791666666666667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10317521</v>
      </c>
      <c r="B26" s="8" t="s">
        <v>28</v>
      </c>
      <c r="C26" s="7" t="s">
        <v>20</v>
      </c>
      <c r="D26" s="7" t="s">
        <v>21</v>
      </c>
      <c r="E26" s="8" t="s">
        <v>22</v>
      </c>
      <c r="F26" s="9">
        <v>2</v>
      </c>
      <c r="G26" s="7" t="s">
        <v>23</v>
      </c>
      <c r="H26" s="7" t="s">
        <v>23</v>
      </c>
      <c r="I26" s="8">
        <v>0.333333333333333</v>
      </c>
      <c r="J26" s="8">
        <v>0.75</v>
      </c>
      <c r="K26" s="8">
        <v>0.333333333333333</v>
      </c>
      <c r="L26" s="8">
        <v>0.75</v>
      </c>
      <c r="M26" s="8">
        <v>0.333333333333333</v>
      </c>
      <c r="N26" s="8">
        <v>0.75</v>
      </c>
      <c r="O26" s="8">
        <v>0.333333333333333</v>
      </c>
      <c r="P26" s="8">
        <v>0.75</v>
      </c>
      <c r="Q26" s="8">
        <v>0.416666666666667</v>
      </c>
      <c r="R26" s="8">
        <v>0.625</v>
      </c>
      <c r="S26" s="7" t="s">
        <v>23</v>
      </c>
      <c r="T26" s="7" t="s">
        <v>23</v>
      </c>
    </row>
    <row r="27" customHeight="1" spans="1:20">
      <c r="A27" s="7">
        <v>10317517</v>
      </c>
      <c r="B27" s="8" t="s">
        <v>29</v>
      </c>
      <c r="C27" s="7" t="s">
        <v>20</v>
      </c>
      <c r="D27" s="7" t="s">
        <v>21</v>
      </c>
      <c r="E27" s="8" t="s">
        <v>22</v>
      </c>
      <c r="F27" s="9">
        <v>2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10252106</v>
      </c>
      <c r="B28" s="8" t="s">
        <v>43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0.5</v>
      </c>
      <c r="H28" s="8">
        <v>0.875</v>
      </c>
      <c r="I28" s="7" t="s">
        <v>23</v>
      </c>
      <c r="J28" s="7" t="s">
        <v>23</v>
      </c>
      <c r="K28" s="7" t="s">
        <v>23</v>
      </c>
      <c r="L28" s="7" t="s">
        <v>23</v>
      </c>
      <c r="M28" s="8">
        <v>0.5</v>
      </c>
      <c r="N28" s="8">
        <v>0.875</v>
      </c>
      <c r="O28" s="8">
        <v>0.5</v>
      </c>
      <c r="P28" s="8">
        <v>0.875</v>
      </c>
      <c r="Q28" s="8">
        <v>0.458333333333333</v>
      </c>
      <c r="R28" s="8">
        <v>0.666666666666667</v>
      </c>
      <c r="S28" s="8">
        <v>0.458333333333333</v>
      </c>
      <c r="T28" s="8">
        <v>0.666666666666667</v>
      </c>
    </row>
    <row r="29" customHeight="1" spans="1:20">
      <c r="A29" s="7">
        <v>10320407</v>
      </c>
      <c r="B29" s="8" t="s">
        <v>55</v>
      </c>
      <c r="C29" s="7" t="s">
        <v>20</v>
      </c>
      <c r="D29" s="7" t="s">
        <v>21</v>
      </c>
      <c r="E29" s="8" t="s">
        <v>22</v>
      </c>
      <c r="F29" s="9">
        <v>3</v>
      </c>
      <c r="G29" s="7" t="s">
        <v>23</v>
      </c>
      <c r="H29" s="7" t="s">
        <v>23</v>
      </c>
      <c r="I29" s="8">
        <v>0.458333333333333</v>
      </c>
      <c r="J29" s="8">
        <v>0.875</v>
      </c>
      <c r="K29" s="8">
        <v>0.458333333333333</v>
      </c>
      <c r="L29" s="8">
        <v>0.875</v>
      </c>
      <c r="M29" s="8">
        <v>0.458333333333333</v>
      </c>
      <c r="N29" s="8">
        <v>0.875</v>
      </c>
      <c r="O29" s="8">
        <v>0.458333333333333</v>
      </c>
      <c r="P29" s="8">
        <v>0.875</v>
      </c>
      <c r="Q29" s="8">
        <v>0.458333333333333</v>
      </c>
      <c r="R29" s="8">
        <v>0.666666666666667</v>
      </c>
      <c r="S29" s="7" t="s">
        <v>23</v>
      </c>
      <c r="T29" s="7" t="s">
        <v>23</v>
      </c>
    </row>
    <row r="30" customHeight="1" spans="1:20">
      <c r="A30" s="7">
        <v>10320417</v>
      </c>
      <c r="B30" s="8" t="s">
        <v>67</v>
      </c>
      <c r="C30" s="7" t="s">
        <v>20</v>
      </c>
      <c r="D30" s="7" t="s">
        <v>21</v>
      </c>
      <c r="E30" s="8" t="s">
        <v>22</v>
      </c>
      <c r="F30" s="9">
        <v>3</v>
      </c>
      <c r="G30" s="8">
        <v>0.458333333333333</v>
      </c>
      <c r="H30" s="8">
        <v>0.875</v>
      </c>
      <c r="I30" s="8">
        <v>0.458333333333333</v>
      </c>
      <c r="J30" s="8">
        <v>0.875</v>
      </c>
      <c r="K30" s="8">
        <v>0.458333333333333</v>
      </c>
      <c r="L30" s="8">
        <v>0.875</v>
      </c>
      <c r="M30" s="8">
        <v>0.458333333333333</v>
      </c>
      <c r="N30" s="8">
        <v>0.875</v>
      </c>
      <c r="O30" s="7" t="s">
        <v>23</v>
      </c>
      <c r="P30" s="7" t="s">
        <v>23</v>
      </c>
      <c r="Q30" s="7" t="s">
        <v>23</v>
      </c>
      <c r="R30" s="7" t="s">
        <v>23</v>
      </c>
      <c r="S30" s="8">
        <v>0.458333333333333</v>
      </c>
      <c r="T30" s="8">
        <v>0.666666666666667</v>
      </c>
    </row>
    <row r="31" customHeight="1" spans="1:20">
      <c r="A31" s="7">
        <v>10317154</v>
      </c>
      <c r="B31" s="8" t="s">
        <v>70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0.416666666666667</v>
      </c>
      <c r="H31" s="8">
        <v>0.833333333333333</v>
      </c>
      <c r="I31" s="8">
        <v>0.416666666666667</v>
      </c>
      <c r="J31" s="8">
        <v>0.833333333333333</v>
      </c>
      <c r="K31" s="8">
        <v>0.416666666666667</v>
      </c>
      <c r="L31" s="8">
        <v>0.833333333333333</v>
      </c>
      <c r="M31" s="8">
        <v>0.416666666666667</v>
      </c>
      <c r="N31" s="8">
        <v>0.833333333333333</v>
      </c>
      <c r="O31" s="7" t="s">
        <v>23</v>
      </c>
      <c r="P31" s="7" t="s">
        <v>23</v>
      </c>
      <c r="Q31" s="7" t="s">
        <v>23</v>
      </c>
      <c r="R31" s="7" t="s">
        <v>23</v>
      </c>
      <c r="S31" s="8">
        <v>0.416666666666667</v>
      </c>
      <c r="T31" s="8">
        <v>0.625</v>
      </c>
    </row>
    <row r="32" customHeight="1" spans="1:20">
      <c r="A32" s="7">
        <v>10320436</v>
      </c>
      <c r="B32" s="8" t="s">
        <v>90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10316538</v>
      </c>
      <c r="B33" s="8" t="s">
        <v>44</v>
      </c>
      <c r="C33" s="7" t="s">
        <v>20</v>
      </c>
      <c r="D33" s="7" t="s">
        <v>21</v>
      </c>
      <c r="E33" s="8" t="s">
        <v>22</v>
      </c>
      <c r="F33" s="9">
        <v>1</v>
      </c>
      <c r="G33" s="8">
        <v>0.375</v>
      </c>
      <c r="H33" s="8">
        <v>0.75</v>
      </c>
      <c r="I33" s="8">
        <v>0.375</v>
      </c>
      <c r="J33" s="8">
        <v>0.75</v>
      </c>
      <c r="K33" s="7" t="s">
        <v>23</v>
      </c>
      <c r="L33" s="7" t="s">
        <v>23</v>
      </c>
      <c r="M33" s="7" t="s">
        <v>23</v>
      </c>
      <c r="N33" s="7" t="s">
        <v>23</v>
      </c>
      <c r="O33" s="8">
        <v>0.375</v>
      </c>
      <c r="P33" s="8">
        <v>0.75</v>
      </c>
      <c r="Q33" s="8">
        <v>0.458333333333333</v>
      </c>
      <c r="R33" s="8">
        <v>0.666666666666667</v>
      </c>
      <c r="S33" s="8">
        <v>0.458333333333333</v>
      </c>
      <c r="T33" s="8">
        <v>0.666666666666667</v>
      </c>
    </row>
    <row r="34" customHeight="1" spans="1:20">
      <c r="A34" s="7">
        <v>10293607</v>
      </c>
      <c r="B34" s="8" t="s">
        <v>65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0.791666666666667</v>
      </c>
      <c r="I34" s="8">
        <v>0.375</v>
      </c>
      <c r="J34" s="8">
        <v>0.791666666666667</v>
      </c>
      <c r="K34" s="8">
        <v>0.375</v>
      </c>
      <c r="L34" s="8">
        <v>0.791666666666667</v>
      </c>
      <c r="M34" s="8">
        <v>0.375</v>
      </c>
      <c r="N34" s="8">
        <v>0.791666666666667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10316545</v>
      </c>
      <c r="B35" s="8" t="s">
        <v>45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8">
        <v>0.5</v>
      </c>
      <c r="L35" s="8">
        <v>0.875</v>
      </c>
      <c r="M35" s="8">
        <v>0.5</v>
      </c>
      <c r="N35" s="8">
        <v>0.875</v>
      </c>
      <c r="O35" s="8">
        <v>0.5</v>
      </c>
      <c r="P35" s="8">
        <v>0.875</v>
      </c>
      <c r="Q35" s="7" t="s">
        <v>23</v>
      </c>
      <c r="R35" s="7" t="s">
        <v>23</v>
      </c>
      <c r="S35" s="7" t="s">
        <v>23</v>
      </c>
      <c r="T35" s="7" t="s">
        <v>23</v>
      </c>
    </row>
    <row r="36" customHeight="1" spans="1:20">
      <c r="A36" s="7">
        <v>10316572</v>
      </c>
      <c r="B36" s="8" t="s">
        <v>46</v>
      </c>
      <c r="C36" s="7" t="s">
        <v>20</v>
      </c>
      <c r="D36" s="7" t="s">
        <v>21</v>
      </c>
      <c r="E36" s="8" t="s">
        <v>22</v>
      </c>
      <c r="F36" s="9">
        <v>2</v>
      </c>
      <c r="G36" s="8">
        <v>0.333333333333333</v>
      </c>
      <c r="H36" s="8">
        <v>0.75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0.416666666666667</v>
      </c>
      <c r="T36" s="8">
        <v>0.625</v>
      </c>
    </row>
    <row r="37" customHeight="1" spans="1:20">
      <c r="A37" s="7">
        <v>10316685</v>
      </c>
      <c r="B37" s="8" t="s">
        <v>47</v>
      </c>
      <c r="C37" s="7" t="s">
        <v>89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10276839</v>
      </c>
      <c r="B38" s="8" t="s">
        <v>54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0.375</v>
      </c>
      <c r="H38" s="8">
        <v>0.791666666666667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0.458333333333333</v>
      </c>
      <c r="T38" s="8">
        <v>0.666666666666667</v>
      </c>
    </row>
    <row r="39" customHeight="1" spans="1:20">
      <c r="A39" s="7">
        <v>10320419</v>
      </c>
      <c r="B39" s="8" t="s">
        <v>69</v>
      </c>
      <c r="C39" s="7" t="s">
        <v>20</v>
      </c>
      <c r="D39" s="7" t="s">
        <v>21</v>
      </c>
      <c r="E39" s="8" t="s">
        <v>22</v>
      </c>
      <c r="F39" s="9">
        <v>3</v>
      </c>
      <c r="G39" s="7" t="s">
        <v>23</v>
      </c>
      <c r="H39" s="7" t="s">
        <v>23</v>
      </c>
      <c r="I39" s="8">
        <v>0.458333333333333</v>
      </c>
      <c r="J39" s="8">
        <v>0.875</v>
      </c>
      <c r="K39" s="8">
        <v>0.458333333333333</v>
      </c>
      <c r="L39" s="8">
        <v>0.875</v>
      </c>
      <c r="M39" s="8">
        <v>0.458333333333333</v>
      </c>
      <c r="N39" s="8">
        <v>0.875</v>
      </c>
      <c r="O39" s="8">
        <v>0.458333333333333</v>
      </c>
      <c r="P39" s="8">
        <v>0.875</v>
      </c>
      <c r="Q39" s="8">
        <v>0.458333333333333</v>
      </c>
      <c r="R39" s="8">
        <v>0.666666666666667</v>
      </c>
      <c r="S39" s="7" t="s">
        <v>23</v>
      </c>
      <c r="T39" s="7" t="s">
        <v>23</v>
      </c>
    </row>
    <row r="40" customHeight="1" spans="1:20">
      <c r="A40" s="7">
        <v>10316551</v>
      </c>
      <c r="B40" s="8" t="s">
        <v>87</v>
      </c>
      <c r="C40" s="7" t="s">
        <v>20</v>
      </c>
      <c r="D40" s="7" t="s">
        <v>21</v>
      </c>
      <c r="E40" s="8" t="s">
        <v>22</v>
      </c>
      <c r="F40" s="9">
        <v>1</v>
      </c>
      <c r="G40" s="8">
        <v>0.375</v>
      </c>
      <c r="H40" s="8">
        <v>0.791666666666667</v>
      </c>
      <c r="I40" s="8">
        <v>0.375</v>
      </c>
      <c r="J40" s="8">
        <v>0.791666666666667</v>
      </c>
      <c r="K40" s="8">
        <v>0.375</v>
      </c>
      <c r="L40" s="8">
        <v>0.791666666666667</v>
      </c>
      <c r="M40" s="8">
        <v>0.375</v>
      </c>
      <c r="N40" s="8">
        <v>0.791666666666667</v>
      </c>
      <c r="O40" s="7" t="s">
        <v>23</v>
      </c>
      <c r="P40" s="7" t="s">
        <v>23</v>
      </c>
      <c r="Q40" s="7" t="s">
        <v>23</v>
      </c>
      <c r="R40" s="7" t="s">
        <v>23</v>
      </c>
      <c r="S40" s="8">
        <v>0.458333333333333</v>
      </c>
      <c r="T40" s="8">
        <v>0.666666666666667</v>
      </c>
    </row>
    <row r="41" customHeight="1" spans="1:20">
      <c r="A41" s="7">
        <v>10320435</v>
      </c>
      <c r="B41" s="8" t="s">
        <v>71</v>
      </c>
      <c r="C41" s="7" t="s">
        <v>20</v>
      </c>
      <c r="D41" s="7" t="s">
        <v>21</v>
      </c>
      <c r="E41" s="8" t="s">
        <v>22</v>
      </c>
      <c r="F41" s="9">
        <v>3</v>
      </c>
      <c r="G41" s="8">
        <v>0.5</v>
      </c>
      <c r="H41" s="8">
        <v>0.875</v>
      </c>
      <c r="I41" s="8">
        <v>0.5</v>
      </c>
      <c r="J41" s="8">
        <v>0.875</v>
      </c>
      <c r="K41" s="8">
        <v>0.5</v>
      </c>
      <c r="L41" s="8">
        <v>0.875</v>
      </c>
      <c r="M41" s="8">
        <v>0.5</v>
      </c>
      <c r="N41" s="8">
        <v>0.875</v>
      </c>
      <c r="O41" s="8">
        <v>0.5</v>
      </c>
      <c r="P41" s="8">
        <v>0.875</v>
      </c>
      <c r="Q41" s="7" t="s">
        <v>23</v>
      </c>
      <c r="R41" s="7" t="s">
        <v>23</v>
      </c>
      <c r="S41" s="7" t="s">
        <v>23</v>
      </c>
      <c r="T41" s="7" t="s">
        <v>23</v>
      </c>
    </row>
    <row r="42" customHeight="1" spans="1:20">
      <c r="A42" s="7">
        <v>10316683</v>
      </c>
      <c r="B42" s="8" t="s">
        <v>51</v>
      </c>
      <c r="C42" s="7" t="s">
        <v>20</v>
      </c>
      <c r="D42" s="7" t="s">
        <v>21</v>
      </c>
      <c r="E42" s="8" t="s">
        <v>22</v>
      </c>
      <c r="F42" s="9">
        <v>1</v>
      </c>
      <c r="G42" s="8">
        <v>0.5</v>
      </c>
      <c r="H42" s="8">
        <v>0.875</v>
      </c>
      <c r="I42" s="8">
        <v>0.5</v>
      </c>
      <c r="J42" s="8">
        <v>0.875</v>
      </c>
      <c r="K42" s="8">
        <v>0.5</v>
      </c>
      <c r="L42" s="8">
        <v>0.875</v>
      </c>
      <c r="M42" s="8">
        <v>0.5</v>
      </c>
      <c r="N42" s="8">
        <v>0.875</v>
      </c>
      <c r="O42" s="8">
        <v>0.5</v>
      </c>
      <c r="P42" s="8">
        <v>0.875</v>
      </c>
      <c r="Q42" s="7" t="s">
        <v>23</v>
      </c>
      <c r="R42" s="7" t="s">
        <v>23</v>
      </c>
      <c r="S42" s="7" t="s">
        <v>23</v>
      </c>
      <c r="T42" s="7" t="s">
        <v>23</v>
      </c>
    </row>
    <row r="43" customHeight="1" spans="1:20">
      <c r="A43" s="7">
        <v>10316540</v>
      </c>
      <c r="B43" s="8" t="s">
        <v>30</v>
      </c>
      <c r="C43" s="7" t="s">
        <v>20</v>
      </c>
      <c r="D43" s="7" t="s">
        <v>86</v>
      </c>
      <c r="E43" s="8" t="s">
        <v>22</v>
      </c>
      <c r="F43" s="9"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8">
        <v>0.375</v>
      </c>
      <c r="N43" s="8">
        <v>0.75</v>
      </c>
      <c r="O43" s="8">
        <v>0.375</v>
      </c>
      <c r="P43" s="8">
        <v>0.75</v>
      </c>
      <c r="Q43" s="7" t="s">
        <v>23</v>
      </c>
      <c r="R43" s="7" t="s">
        <v>23</v>
      </c>
      <c r="S43" s="7" t="s">
        <v>23</v>
      </c>
      <c r="T43" s="7" t="s">
        <v>23</v>
      </c>
    </row>
    <row r="44" customHeight="1" spans="1:20">
      <c r="A44" s="7">
        <v>10293627</v>
      </c>
      <c r="B44" s="8" t="s">
        <v>92</v>
      </c>
      <c r="C44" s="7" t="s">
        <v>20</v>
      </c>
      <c r="D44" s="7" t="s">
        <v>21</v>
      </c>
      <c r="E44" s="8" t="s">
        <v>22</v>
      </c>
      <c r="F44" s="9">
        <v>3</v>
      </c>
      <c r="G44" s="8">
        <v>0.458333333333333</v>
      </c>
      <c r="H44" s="8">
        <v>0.875</v>
      </c>
      <c r="I44" s="8">
        <v>0.458333333333333</v>
      </c>
      <c r="J44" s="8">
        <v>0.875</v>
      </c>
      <c r="K44" s="8">
        <v>0.458333333333333</v>
      </c>
      <c r="L44" s="8">
        <v>0.875</v>
      </c>
      <c r="M44" s="8">
        <v>0.458333333333333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10320409</v>
      </c>
      <c r="B45" s="8" t="s">
        <v>57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0.375</v>
      </c>
      <c r="H45" s="8">
        <v>0.75</v>
      </c>
      <c r="I45" s="7" t="s">
        <v>23</v>
      </c>
      <c r="J45" s="7" t="s">
        <v>23</v>
      </c>
      <c r="K45" s="7" t="s">
        <v>23</v>
      </c>
      <c r="L45" s="7" t="s">
        <v>23</v>
      </c>
      <c r="M45" s="8">
        <v>0.375</v>
      </c>
      <c r="N45" s="8">
        <v>0.75</v>
      </c>
      <c r="O45" s="8">
        <v>0.375</v>
      </c>
      <c r="P45" s="8">
        <v>0.75</v>
      </c>
      <c r="Q45" s="8">
        <v>0.458333333333333</v>
      </c>
      <c r="R45" s="8">
        <v>0.666666666666667</v>
      </c>
      <c r="S45" s="8">
        <v>0.458333333333333</v>
      </c>
      <c r="T45" s="8">
        <v>0.666666666666667</v>
      </c>
    </row>
    <row r="46" customHeight="1" spans="1:20">
      <c r="A46" s="7">
        <v>10317151</v>
      </c>
      <c r="B46" s="8" t="s">
        <v>52</v>
      </c>
      <c r="C46" s="7" t="s">
        <v>20</v>
      </c>
      <c r="D46" s="7" t="s">
        <v>86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10317524</v>
      </c>
      <c r="B47" s="8" t="s">
        <v>53</v>
      </c>
      <c r="C47" s="7" t="s">
        <v>20</v>
      </c>
      <c r="D47" s="7" t="s">
        <v>21</v>
      </c>
      <c r="E47" s="8" t="s">
        <v>22</v>
      </c>
      <c r="F47" s="9">
        <v>2</v>
      </c>
      <c r="G47" s="7" t="s">
        <v>23</v>
      </c>
      <c r="H47" s="7" t="s">
        <v>23</v>
      </c>
      <c r="I47" s="8">
        <v>0.375</v>
      </c>
      <c r="J47" s="8">
        <v>0.791666666666667</v>
      </c>
      <c r="K47" s="8">
        <v>0.375</v>
      </c>
      <c r="L47" s="8">
        <v>0.791666666666667</v>
      </c>
      <c r="M47" s="8">
        <v>0.375</v>
      </c>
      <c r="N47" s="8">
        <v>0.791666666666667</v>
      </c>
      <c r="O47" s="8">
        <v>0.375</v>
      </c>
      <c r="P47" s="8">
        <v>0.791666666666667</v>
      </c>
      <c r="Q47" s="8">
        <v>0.458333333333333</v>
      </c>
      <c r="R47" s="8">
        <v>0.666666666666667</v>
      </c>
      <c r="S47" s="7" t="s">
        <v>23</v>
      </c>
      <c r="T47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4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8"/>
  <sheetViews>
    <sheetView workbookViewId="0">
      <selection activeCell="A1" sqref="A1:A3"/>
    </sheetView>
  </sheetViews>
  <sheetFormatPr defaultColWidth="12.6272727272727" defaultRowHeight="15.75" customHeight="1"/>
  <cols>
    <col min="1" max="1" width="10.2545454545455" customWidth="1"/>
    <col min="2" max="2" width="24.7545454545455" customWidth="1"/>
    <col min="3" max="4" width="9" customWidth="1"/>
    <col min="5" max="5" width="13.3818181818182" customWidth="1"/>
    <col min="6" max="6" width="8" customWidth="1"/>
    <col min="7" max="7" width="9.38181818181818" customWidth="1"/>
    <col min="8" max="8" width="7.5" customWidth="1"/>
    <col min="9" max="9" width="9.38181818181818" customWidth="1"/>
    <col min="10" max="10" width="7.5" customWidth="1"/>
    <col min="11" max="11" width="9.38181818181818" customWidth="1"/>
    <col min="12" max="12" width="7.5" customWidth="1"/>
    <col min="13" max="13" width="9.38181818181818" customWidth="1"/>
    <col min="14" max="14" width="7.5" customWidth="1"/>
    <col min="15" max="15" width="9.38181818181818" customWidth="1"/>
    <col min="16" max="16" width="7.5" customWidth="1"/>
    <col min="17" max="17" width="9.38181818181818" customWidth="1"/>
    <col min="18" max="18" width="7.5" customWidth="1"/>
    <col min="19" max="19" width="9.5" customWidth="1"/>
    <col min="20" max="20" width="7.5" customWidth="1"/>
    <col min="21" max="21" width="15.2545454545455" customWidth="1"/>
    <col min="22" max="23" width="10.8818181818182" customWidth="1"/>
    <col min="24" max="24" width="7.62727272727273" customWidth="1"/>
    <col min="25" max="25" width="46.2545454545455" customWidth="1"/>
  </cols>
  <sheetData>
    <row r="1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2">
        <v>45621</v>
      </c>
      <c r="H1" s="14"/>
      <c r="I1" s="112">
        <v>45622</v>
      </c>
      <c r="J1" s="14"/>
      <c r="K1" s="112">
        <v>45623</v>
      </c>
      <c r="L1" s="14"/>
      <c r="M1" s="112">
        <v>45624</v>
      </c>
      <c r="N1" s="14"/>
      <c r="O1" s="112">
        <v>45625</v>
      </c>
      <c r="P1" s="14"/>
      <c r="Q1" s="112">
        <v>45626</v>
      </c>
      <c r="R1" s="14"/>
      <c r="S1" s="112">
        <v>45627</v>
      </c>
      <c r="T1" s="14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customHeight="1" spans="1:33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customHeight="1" spans="1:33">
      <c r="A3" s="15"/>
      <c r="B3" s="15"/>
      <c r="C3" s="15"/>
      <c r="D3" s="15"/>
      <c r="E3" s="15"/>
      <c r="F3" s="5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84</v>
      </c>
      <c r="X3" s="17" t="s">
        <v>85</v>
      </c>
      <c r="Y3" s="17" t="s">
        <v>18</v>
      </c>
      <c r="Z3" s="61"/>
      <c r="AA3" s="61"/>
      <c r="AB3" s="61"/>
      <c r="AC3" s="61"/>
      <c r="AD3" s="61"/>
      <c r="AE3" s="61"/>
      <c r="AF3" s="61"/>
      <c r="AG3" s="61"/>
    </row>
    <row r="4" customHeight="1" spans="1:33">
      <c r="A4" s="21">
        <v>10317524</v>
      </c>
      <c r="B4" s="86" t="s">
        <v>53</v>
      </c>
      <c r="C4" s="21" t="s">
        <v>20</v>
      </c>
      <c r="D4" s="21" t="s">
        <v>21</v>
      </c>
      <c r="E4" s="54" t="str">
        <f t="array" ref="E4">_xlfn.XLOOKUP(A4,'Schedule Wk 47'!A:A,'Schedule Wk 47'!E:E,"")</f>
        <v>FT</v>
      </c>
      <c r="F4" s="103">
        <f t="array" ref="F4">_xlfn.XLOOKUP(A4,'Schedule Wk 47'!A:A,'Schedule Wk 47'!F:F,"")</f>
        <v>2</v>
      </c>
      <c r="G4" s="54">
        <v>0.375</v>
      </c>
      <c r="H4" s="54">
        <f t="shared" ref="H4:H5" si="0">IFERROR(G4+$Y4,"OFF")</f>
        <v>0.75</v>
      </c>
      <c r="I4" s="54">
        <v>0.375</v>
      </c>
      <c r="J4" s="54">
        <f t="shared" ref="J4:J5" si="1">IFERROR(I4+$Y4,"OFF")</f>
        <v>0.75</v>
      </c>
      <c r="K4" s="54">
        <v>0.375</v>
      </c>
      <c r="L4" s="54">
        <f t="shared" ref="L4:L5" si="2">IFERROR(K4+$Y4,"OFF")</f>
        <v>0.75</v>
      </c>
      <c r="M4" s="54">
        <v>0.375</v>
      </c>
      <c r="N4" s="54">
        <f t="shared" ref="N4:N7" si="3">IFERROR(M4+$Y4,"OFF")</f>
        <v>0.75</v>
      </c>
      <c r="O4" s="54">
        <v>0.375</v>
      </c>
      <c r="P4" s="54">
        <f>IFERROR(O4+$Y4,"OFF")</f>
        <v>0.75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17">
        <f t="array" ref="V4">_xlfn.XLOOKUP(A4,'WK 47'!A:A,'WK 47'!V:V,"")</f>
        <v>45</v>
      </c>
      <c r="W4" s="17" t="str">
        <f t="array" ref="W4">_xlfn.XLOOKUP(A4,'WK 47'!A:A,'WK 47'!AA:AA,"")</f>
        <v>early</v>
      </c>
      <c r="X4" s="7">
        <f t="shared" ref="X4:X51" si="4">V4-U4</f>
        <v>0</v>
      </c>
      <c r="Y4" s="20">
        <f t="array" ref="Y4">_xlfn.XLOOKUP(A4,'WK 45'!A:A,'WK 45'!X:X,"")</f>
        <v>0.375</v>
      </c>
      <c r="Z4" s="61"/>
      <c r="AA4" s="61"/>
      <c r="AB4" s="61"/>
      <c r="AC4" s="61"/>
      <c r="AD4" s="61"/>
      <c r="AE4" s="61"/>
      <c r="AF4" s="61"/>
      <c r="AG4" s="61"/>
    </row>
    <row r="5" customHeight="1" spans="1:33">
      <c r="A5" s="21">
        <v>10316683</v>
      </c>
      <c r="B5" s="86" t="s">
        <v>51</v>
      </c>
      <c r="C5" s="21" t="s">
        <v>20</v>
      </c>
      <c r="D5" s="21" t="s">
        <v>21</v>
      </c>
      <c r="E5" s="54" t="str">
        <f t="array" ref="E5">_xlfn.XLOOKUP(A5,'Schedule Wk 47'!A:A,'Schedule Wk 47'!E:E,"")</f>
        <v>FT</v>
      </c>
      <c r="F5" s="103">
        <f t="array" ref="F5">_xlfn.XLOOKUP(A5,'Schedule Wk 47'!A:A,'Schedule Wk 47'!F:F,"")</f>
        <v>1</v>
      </c>
      <c r="G5" s="54">
        <v>0.375</v>
      </c>
      <c r="H5" s="54">
        <f t="shared" si="0"/>
        <v>0.791666666666667</v>
      </c>
      <c r="I5" s="54">
        <v>0.375</v>
      </c>
      <c r="J5" s="54">
        <f t="shared" si="1"/>
        <v>0.791666666666667</v>
      </c>
      <c r="K5" s="54">
        <v>0.375</v>
      </c>
      <c r="L5" s="54">
        <f t="shared" si="2"/>
        <v>0.791666666666667</v>
      </c>
      <c r="M5" s="54">
        <v>0.375</v>
      </c>
      <c r="N5" s="54">
        <f t="shared" si="3"/>
        <v>0.791666666666667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17" t="str">
        <f t="array" ref="W5">_xlfn.XLOOKUP(A5,'WK 47'!A:A,'WK 47'!AA:AA,"")</f>
        <v>early</v>
      </c>
      <c r="X5" s="7">
        <f t="shared" si="4"/>
        <v>9.9475983006414e-14</v>
      </c>
      <c r="Y5" s="20">
        <f t="array" ref="Y5">_xlfn.XLOOKUP(A5,'WK 45'!A:A,'WK 45'!X:X,"")</f>
        <v>0.416666666666667</v>
      </c>
      <c r="Z5" s="61"/>
      <c r="AA5" s="61"/>
      <c r="AB5" s="61"/>
      <c r="AC5" s="61"/>
      <c r="AD5" s="61"/>
      <c r="AE5" s="61"/>
      <c r="AF5" s="61"/>
      <c r="AG5" s="61"/>
    </row>
    <row r="6" customHeight="1" spans="1:33">
      <c r="A6" s="21">
        <v>10320419</v>
      </c>
      <c r="B6" s="86" t="s">
        <v>69</v>
      </c>
      <c r="C6" s="21" t="s">
        <v>20</v>
      </c>
      <c r="D6" s="21" t="s">
        <v>21</v>
      </c>
      <c r="E6" s="54" t="str">
        <f t="array" ref="E6">_xlfn.XLOOKUP(A6,'Schedule Wk 47'!A:A,'Schedule Wk 47'!E:E,"")</f>
        <v>FT</v>
      </c>
      <c r="F6" s="103">
        <f t="array" ref="F6">_xlfn.XLOOKUP(A6,'Schedule Wk 47'!A:A,'Schedule Wk 47'!F:F,"")</f>
        <v>3</v>
      </c>
      <c r="G6" s="54">
        <v>0.375</v>
      </c>
      <c r="H6" s="54">
        <v>0.75</v>
      </c>
      <c r="I6" s="21" t="s">
        <v>23</v>
      </c>
      <c r="J6" s="21" t="s">
        <v>23</v>
      </c>
      <c r="K6" s="21" t="s">
        <v>23</v>
      </c>
      <c r="L6" s="21" t="s">
        <v>23</v>
      </c>
      <c r="M6" s="54">
        <v>0.375</v>
      </c>
      <c r="N6" s="54">
        <f t="shared" si="3"/>
        <v>0.791666666666667</v>
      </c>
      <c r="O6" s="54">
        <v>0.375</v>
      </c>
      <c r="P6" s="54">
        <f t="shared" ref="P6:P7" si="5">IFERROR(O6+$Y6,"OFF")</f>
        <v>0.791666666666667</v>
      </c>
      <c r="Q6" s="54">
        <v>0.458333333333333</v>
      </c>
      <c r="R6" s="54">
        <v>0.666666666666667</v>
      </c>
      <c r="S6" s="54">
        <v>0.458333333333333</v>
      </c>
      <c r="T6" s="54">
        <v>0.666666666666667</v>
      </c>
      <c r="U6" s="113">
        <f>IFERROR(__xludf.DUMMYFUNCTION("TO_PURE_NUMBER(SUM(FILTER(G6:T6, ISEVEN(COLUMN(G6:T6))))-SUM(FILTER(G6:T6, ISODD(COLUMN(G6:T6)))))*24"),38.9999999999999)</f>
        <v>38.9999999999999</v>
      </c>
      <c r="V6" s="17">
        <f t="array" ref="V6">_xlfn.XLOOKUP(A6,'WK 47'!A:A,'WK 47'!V:V,"")</f>
        <v>45</v>
      </c>
      <c r="W6" s="17" t="str">
        <f t="array" ref="W6">_xlfn.XLOOKUP(A6,'WK 47'!A:A,'WK 47'!AA:AA,"")</f>
        <v>early</v>
      </c>
      <c r="X6" s="7">
        <f t="shared" si="4"/>
        <v>6.0000000000001</v>
      </c>
      <c r="Y6" s="20">
        <v>0.416666666666667</v>
      </c>
      <c r="Z6" s="61"/>
      <c r="AA6" s="61"/>
      <c r="AB6" s="61"/>
      <c r="AC6" s="61"/>
      <c r="AD6" s="61"/>
      <c r="AE6" s="61"/>
      <c r="AF6" s="61"/>
      <c r="AG6" s="61"/>
    </row>
    <row r="7" customHeight="1" spans="1:33">
      <c r="A7" s="21">
        <v>10316572</v>
      </c>
      <c r="B7" s="86" t="s">
        <v>46</v>
      </c>
      <c r="C7" s="21" t="s">
        <v>20</v>
      </c>
      <c r="D7" s="21" t="s">
        <v>21</v>
      </c>
      <c r="E7" s="54" t="str">
        <f t="array" ref="E7">_xlfn.XLOOKUP(A7,'Schedule Wk 47'!A:A,'Schedule Wk 47'!E:E,"")</f>
        <v>FT</v>
      </c>
      <c r="F7" s="103">
        <f t="array" ref="F7">_xlfn.XLOOKUP(A7,'Schedule Wk 47'!A:A,'Schedule Wk 47'!F:F,"")</f>
        <v>2</v>
      </c>
      <c r="G7" s="54">
        <v>0.5</v>
      </c>
      <c r="H7" s="54">
        <f>IFERROR(G7+$Y7,"OFF")</f>
        <v>0.875</v>
      </c>
      <c r="I7" s="54">
        <v>0.5</v>
      </c>
      <c r="J7" s="54">
        <f>IFERROR(I7+$Y7,"OFF")</f>
        <v>0.875</v>
      </c>
      <c r="K7" s="54">
        <v>0.5</v>
      </c>
      <c r="L7" s="54">
        <f>IFERROR(K7+$Y7,"OFF")</f>
        <v>0.875</v>
      </c>
      <c r="M7" s="54">
        <v>0.5</v>
      </c>
      <c r="N7" s="54">
        <f t="shared" si="3"/>
        <v>0.875</v>
      </c>
      <c r="O7" s="54">
        <v>0.5</v>
      </c>
      <c r="P7" s="54">
        <f t="shared" si="5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17">
        <f t="array" ref="V7">_xlfn.XLOOKUP(A7,'WK 47'!A:A,'WK 47'!V:V,"")</f>
        <v>45</v>
      </c>
      <c r="W7" s="17" t="str">
        <f t="array" ref="W7">_xlfn.XLOOKUP(A7,'WK 47'!A:A,'WK 47'!AA:AA,"")</f>
        <v>late</v>
      </c>
      <c r="X7" s="7">
        <f t="shared" si="4"/>
        <v>0</v>
      </c>
      <c r="Y7" s="20">
        <f t="array" ref="Y7">_xlfn.XLOOKUP(A7,'WK 45'!A:A,'WK 45'!X:X,"")</f>
        <v>0.375</v>
      </c>
      <c r="Z7" s="61"/>
      <c r="AA7" s="61"/>
      <c r="AB7" s="61"/>
      <c r="AC7" s="61"/>
      <c r="AD7" s="61"/>
      <c r="AE7" s="61"/>
      <c r="AF7" s="61"/>
      <c r="AG7" s="61"/>
    </row>
    <row r="8" customHeight="1" spans="1:33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_xlfn.XLOOKUP(A8,'Schedule Wk 47'!A:A,'Schedule Wk 47'!E:E,"")</f>
        <v>FT</v>
      </c>
      <c r="F8" s="103">
        <f t="array" ref="F8">_xlfn.XLOOKUP(A8,'Schedule Wk 47'!A:A,'Schedule Wk 47'!F:F,"")</f>
        <v>1</v>
      </c>
      <c r="G8" s="54">
        <v>0.375</v>
      </c>
      <c r="H8" s="54">
        <v>0.75</v>
      </c>
      <c r="I8" s="54">
        <v>0.375</v>
      </c>
      <c r="J8" s="54">
        <v>0.75</v>
      </c>
      <c r="K8" s="54">
        <v>0.375</v>
      </c>
      <c r="L8" s="54">
        <v>0.75</v>
      </c>
      <c r="M8" s="54">
        <v>0.375</v>
      </c>
      <c r="N8" s="54">
        <v>0.75</v>
      </c>
      <c r="O8" s="54">
        <v>0.375</v>
      </c>
      <c r="P8" s="54">
        <v>0.75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17" t="str">
        <f t="array" ref="W8">_xlfn.XLOOKUP(A8,'WK 47'!A:A,'WK 47'!AA:AA,"")</f>
        <v>early</v>
      </c>
      <c r="X8" s="7">
        <f t="shared" si="4"/>
        <v>0</v>
      </c>
      <c r="Y8" s="20">
        <f t="array" ref="Y8">_xlfn.XLOOKUP(A8,'WK 45'!A:A,'WK 45'!X:X,"")</f>
        <v>0.416666666666667</v>
      </c>
      <c r="Z8" s="61"/>
      <c r="AA8" s="61"/>
      <c r="AB8" s="61"/>
      <c r="AC8" s="61"/>
      <c r="AD8" s="61"/>
      <c r="AE8" s="61"/>
      <c r="AF8" s="61"/>
      <c r="AG8" s="61"/>
    </row>
    <row r="9" customHeight="1" spans="1:33">
      <c r="A9" s="21">
        <v>10317517</v>
      </c>
      <c r="B9" s="86" t="s">
        <v>29</v>
      </c>
      <c r="C9" s="21" t="s">
        <v>20</v>
      </c>
      <c r="D9" s="21" t="s">
        <v>21</v>
      </c>
      <c r="E9" s="54" t="str">
        <f t="array" ref="E9">_xlfn.XLOOKUP(A9,'Schedule Wk 47'!A:A,'Schedule Wk 47'!E:E,"")</f>
        <v>FT</v>
      </c>
      <c r="F9" s="103">
        <f t="array" ref="F9">_xlfn.XLOOKUP(A9,'Schedule Wk 47'!A:A,'Schedule Wk 47'!F:F,"")</f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21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f>IFERROR(__xludf.DUMMYFUNCTION("TO_PURE_NUMBER(SUM(FILTER(G9:T9, ISEVEN(COLUMN(G9:T9))))-SUM(FILTER(G9:T9, ISODD(COLUMN(G9:T9)))))*24"),44.9999999999999)</f>
        <v>44.9999999999999</v>
      </c>
      <c r="V9" s="17">
        <f t="array" ref="V9">_xlfn.XLOOKUP(A9,'WK 47'!A:A,'WK 47'!V:V,"")</f>
        <v>45</v>
      </c>
      <c r="W9" s="17" t="str">
        <f t="array" ref="W9">_xlfn.XLOOKUP(A9,'WK 47'!A:A,'WK 47'!AA:AA,"")</f>
        <v>early</v>
      </c>
      <c r="X9" s="7">
        <f t="shared" si="4"/>
        <v>9.9475983006414e-14</v>
      </c>
      <c r="Y9" s="20">
        <f t="array" ref="Y9">_xlfn.XLOOKUP(A9,'WK 45'!A:A,'WK 45'!X:X,"")</f>
        <v>0.375</v>
      </c>
      <c r="Z9" s="61"/>
      <c r="AA9" s="61"/>
      <c r="AB9" s="61"/>
      <c r="AC9" s="61"/>
      <c r="AD9" s="61"/>
      <c r="AE9" s="61"/>
      <c r="AF9" s="61"/>
      <c r="AG9" s="61"/>
    </row>
    <row r="10" customHeight="1" spans="1:33">
      <c r="A10" s="21">
        <v>10317521</v>
      </c>
      <c r="B10" s="86" t="s">
        <v>28</v>
      </c>
      <c r="C10" s="21" t="s">
        <v>20</v>
      </c>
      <c r="D10" s="21" t="s">
        <v>21</v>
      </c>
      <c r="E10" s="54" t="str">
        <f t="array" ref="E10">_xlfn.XLOOKUP(A10,'Schedule Wk 47'!A:A,'Schedule Wk 47'!E:E,"")</f>
        <v>FT</v>
      </c>
      <c r="F10" s="103">
        <f t="array" ref="F10">_xlfn.XLOOKUP(A10,'Schedule Wk 47'!A:A,'Schedule Wk 47'!F:F,"")</f>
        <v>2</v>
      </c>
      <c r="G10" s="54">
        <v>0.375</v>
      </c>
      <c r="H10" s="54">
        <v>0.75</v>
      </c>
      <c r="I10" s="54">
        <v>0.375</v>
      </c>
      <c r="J10" s="54">
        <v>0.75</v>
      </c>
      <c r="K10" s="54">
        <v>0.375</v>
      </c>
      <c r="L10" s="54">
        <v>0.75</v>
      </c>
      <c r="M10" s="54">
        <v>0.375</v>
      </c>
      <c r="N10" s="54">
        <v>0.75</v>
      </c>
      <c r="O10" s="54">
        <v>0.375</v>
      </c>
      <c r="P10" s="54">
        <v>0.75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17">
        <f t="array" ref="V10">_xlfn.XLOOKUP(A10,'WK 47'!A:A,'WK 47'!V:V,"")</f>
        <v>45</v>
      </c>
      <c r="W10" s="17" t="str">
        <f t="array" ref="W10">_xlfn.XLOOKUP(A10,'WK 47'!A:A,'WK 47'!AA:AA,"")</f>
        <v>early</v>
      </c>
      <c r="X10" s="7">
        <f t="shared" si="4"/>
        <v>0</v>
      </c>
      <c r="Y10" s="20">
        <f t="array" ref="Y10">_xlfn.XLOOKUP(A10,'WK 45'!A:A,'WK 45'!X:X,"")</f>
        <v>0.375</v>
      </c>
      <c r="Z10" s="61"/>
      <c r="AA10" s="61"/>
      <c r="AB10" s="61"/>
      <c r="AC10" s="61"/>
      <c r="AD10" s="61"/>
      <c r="AE10" s="61"/>
      <c r="AF10" s="61"/>
      <c r="AG10" s="61"/>
    </row>
    <row r="11" customHeight="1" spans="1:33">
      <c r="A11" s="21">
        <v>10316680</v>
      </c>
      <c r="B11" s="86" t="s">
        <v>40</v>
      </c>
      <c r="C11" s="21" t="s">
        <v>20</v>
      </c>
      <c r="D11" s="21" t="s">
        <v>21</v>
      </c>
      <c r="E11" s="54" t="str">
        <f t="array" ref="E11">_xlfn.XLOOKUP(A11,'Schedule Wk 47'!A:A,'Schedule Wk 47'!E:E,"")</f>
        <v>FT</v>
      </c>
      <c r="F11" s="103">
        <f t="array" ref="F11">_xlfn.XLOOKUP(A11,'Schedule Wk 47'!A:A,'Schedule Wk 47'!F:F,"")</f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17" t="str">
        <f t="array" ref="W11">_xlfn.XLOOKUP(A11,'WK 47'!A:A,'WK 47'!AA:AA,"")</f>
        <v>late</v>
      </c>
      <c r="X11" s="7">
        <f t="shared" si="4"/>
        <v>0</v>
      </c>
      <c r="Y11" s="20">
        <f t="array" ref="Y11">_xlfn.XLOOKUP(A11,'WK 45'!A:A,'WK 45'!X:X,"")</f>
        <v>0.416666666666667</v>
      </c>
      <c r="Z11" s="61"/>
      <c r="AA11" s="61"/>
      <c r="AB11" s="61"/>
      <c r="AC11" s="61"/>
      <c r="AD11" s="61"/>
      <c r="AE11" s="61"/>
      <c r="AF11" s="61"/>
      <c r="AG11" s="61"/>
    </row>
    <row r="12" customHeight="1" spans="1:33">
      <c r="A12" s="21">
        <v>10320416</v>
      </c>
      <c r="B12" s="86" t="s">
        <v>66</v>
      </c>
      <c r="C12" s="21" t="s">
        <v>20</v>
      </c>
      <c r="D12" s="21" t="s">
        <v>21</v>
      </c>
      <c r="E12" s="54" t="str">
        <f t="array" ref="E12">_xlfn.XLOOKUP(A12,'Schedule Wk 47'!A:A,'Schedule Wk 47'!E:E,"")</f>
        <v>FT</v>
      </c>
      <c r="F12" s="103">
        <f t="array" ref="F12">_xlfn.XLOOKUP(A12,'Schedule Wk 47'!A:A,'Schedule Wk 47'!F:F,"")</f>
        <v>3</v>
      </c>
      <c r="G12" s="54">
        <v>0.375</v>
      </c>
      <c r="H12" s="54">
        <v>0.75</v>
      </c>
      <c r="I12" s="21" t="s">
        <v>23</v>
      </c>
      <c r="J12" s="21" t="s">
        <v>23</v>
      </c>
      <c r="K12" s="21" t="s">
        <v>23</v>
      </c>
      <c r="L12" s="21" t="s">
        <v>23</v>
      </c>
      <c r="M12" s="54">
        <v>0.375</v>
      </c>
      <c r="N12" s="54">
        <v>0.791666666666667</v>
      </c>
      <c r="O12" s="54">
        <v>0.375</v>
      </c>
      <c r="P12" s="54">
        <v>0.791666666666667</v>
      </c>
      <c r="Q12" s="54">
        <v>0.458333333333333</v>
      </c>
      <c r="R12" s="54">
        <v>0.666666666666667</v>
      </c>
      <c r="S12" s="54">
        <v>0.458333333333333</v>
      </c>
      <c r="T12" s="54">
        <v>0.666666666666667</v>
      </c>
      <c r="U12" s="113">
        <f>IFERROR(__xludf.DUMMYFUNCTION("TO_PURE_NUMBER(SUM(FILTER(G12:T12, ISEVEN(COLUMN(G12:T12))))-SUM(FILTER(G12:T12, ISODD(COLUMN(G12:T12)))))*24"),38.9999999999999)</f>
        <v>38.9999999999999</v>
      </c>
      <c r="V12" s="17">
        <f t="array" ref="V12">_xlfn.XLOOKUP(A12,'WK 47'!A:A,'WK 47'!V:V,"")</f>
        <v>45</v>
      </c>
      <c r="W12" s="17" t="str">
        <f t="array" ref="W12">_xlfn.XLOOKUP(A12,'WK 47'!A:A,'WK 47'!AA:AA,"")</f>
        <v>early</v>
      </c>
      <c r="X12" s="7">
        <f t="shared" si="4"/>
        <v>6.0000000000001</v>
      </c>
      <c r="Y12" s="17" t="str">
        <f t="array" ref="Y12">_xlfn.XLOOKUP(A12,'WK 45'!A:A,'WK 45'!X:X,"")</f>
        <v/>
      </c>
      <c r="Z12" s="61"/>
      <c r="AA12" s="61"/>
      <c r="AB12" s="61"/>
      <c r="AC12" s="61"/>
      <c r="AD12" s="61"/>
      <c r="AE12" s="61"/>
      <c r="AF12" s="61"/>
      <c r="AG12" s="61"/>
    </row>
    <row r="13" customHeight="1" spans="1:33">
      <c r="A13" s="21">
        <v>10316650</v>
      </c>
      <c r="B13" s="86" t="s">
        <v>39</v>
      </c>
      <c r="C13" s="21" t="s">
        <v>20</v>
      </c>
      <c r="D13" s="21" t="s">
        <v>21</v>
      </c>
      <c r="E13" s="54" t="str">
        <f t="array" ref="E13">_xlfn.XLOOKUP(A13,'Schedule Wk 47'!A:A,'Schedule Wk 47'!E:E,"")</f>
        <v>FT</v>
      </c>
      <c r="F13" s="103">
        <f t="array" ref="F13">_xlfn.XLOOKUP(A13,'Schedule Wk 47'!A:A,'Schedule Wk 47'!F:F,"")</f>
        <v>2</v>
      </c>
      <c r="G13" s="54">
        <v>0.5</v>
      </c>
      <c r="H13" s="54">
        <v>0.875</v>
      </c>
      <c r="I13" s="54">
        <v>0.5</v>
      </c>
      <c r="J13" s="54">
        <v>0.875</v>
      </c>
      <c r="K13" s="54">
        <v>0.5</v>
      </c>
      <c r="L13" s="54">
        <v>0.875</v>
      </c>
      <c r="M13" s="54">
        <v>0.5</v>
      </c>
      <c r="N13" s="54">
        <v>0.875</v>
      </c>
      <c r="O13" s="54">
        <v>0.5</v>
      </c>
      <c r="P13" s="54"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17" t="str">
        <f t="array" ref="W13">_xlfn.XLOOKUP(A13,'WK 47'!A:A,'WK 47'!AA:AA,"")</f>
        <v>early</v>
      </c>
      <c r="X13" s="7">
        <f t="shared" si="4"/>
        <v>0</v>
      </c>
      <c r="Y13" s="20">
        <f t="array" ref="Y13">_xlfn.XLOOKUP(A13,'WK 45'!A:A,'WK 45'!X:X,"")</f>
        <v>0.375</v>
      </c>
      <c r="Z13" s="61"/>
      <c r="AA13" s="61"/>
      <c r="AB13" s="61"/>
      <c r="AC13" s="61"/>
      <c r="AD13" s="61"/>
      <c r="AE13" s="61"/>
      <c r="AF13" s="61"/>
      <c r="AG13" s="61"/>
    </row>
    <row r="14" customHeight="1" spans="1:33">
      <c r="A14" s="21">
        <v>10317520</v>
      </c>
      <c r="B14" s="86" t="s">
        <v>37</v>
      </c>
      <c r="C14" s="21" t="s">
        <v>20</v>
      </c>
      <c r="D14" s="21" t="s">
        <v>21</v>
      </c>
      <c r="E14" s="54" t="str">
        <f t="array" ref="E14">_xlfn.XLOOKUP(A14,'Schedule Wk 47'!A:A,'Schedule Wk 47'!E:E,"")</f>
        <v>FT</v>
      </c>
      <c r="F14" s="103">
        <f t="array" ref="F14">_xlfn.XLOOKUP(A14,'Schedule Wk 47'!A:A,'Schedule Wk 47'!F:F,"")</f>
        <v>2</v>
      </c>
      <c r="G14" s="54">
        <v>0.375</v>
      </c>
      <c r="H14" s="54">
        <v>0.75</v>
      </c>
      <c r="I14" s="54">
        <v>0.375</v>
      </c>
      <c r="J14" s="54">
        <v>0.75</v>
      </c>
      <c r="K14" s="54">
        <v>0.375</v>
      </c>
      <c r="L14" s="54">
        <v>0.75</v>
      </c>
      <c r="M14" s="54">
        <v>0.375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17" t="str">
        <f t="array" ref="W14">_xlfn.XLOOKUP(A14,'WK 47'!A:A,'WK 47'!AA:AA,"")</f>
        <v>early</v>
      </c>
      <c r="X14" s="7">
        <f t="shared" si="4"/>
        <v>0</v>
      </c>
      <c r="Y14" s="20">
        <f t="array" ref="Y14">_xlfn.XLOOKUP(A14,'WK 45'!A:A,'WK 45'!X:X,"")</f>
        <v>0.375</v>
      </c>
      <c r="Z14" s="61"/>
      <c r="AA14" s="61"/>
      <c r="AB14" s="61"/>
      <c r="AC14" s="61"/>
      <c r="AD14" s="61"/>
      <c r="AE14" s="61"/>
      <c r="AF14" s="61"/>
      <c r="AG14" s="61"/>
    </row>
    <row r="15" customHeight="1" spans="1:33">
      <c r="A15" s="21">
        <v>10317147</v>
      </c>
      <c r="B15" s="86" t="s">
        <v>24</v>
      </c>
      <c r="C15" s="21" t="s">
        <v>20</v>
      </c>
      <c r="D15" s="21" t="s">
        <v>21</v>
      </c>
      <c r="E15" s="54" t="str">
        <f t="array" ref="E15">_xlfn.XLOOKUP(A15,'Schedule Wk 47'!A:A,'Schedule Wk 47'!E:E,"")</f>
        <v>FT</v>
      </c>
      <c r="F15" s="103">
        <f t="array" ref="F15">_xlfn.XLOOKUP(A15,'Schedule Wk 47'!A:A,'Schedule Wk 47'!F:F,"")</f>
        <v>1</v>
      </c>
      <c r="G15" s="21" t="s">
        <v>23</v>
      </c>
      <c r="H15" s="21" t="s">
        <v>23</v>
      </c>
      <c r="I15" s="54">
        <v>0.458333333333333</v>
      </c>
      <c r="J15" s="54">
        <v>0.875</v>
      </c>
      <c r="K15" s="54">
        <v>0.458333333333333</v>
      </c>
      <c r="L15" s="54">
        <v>0.875</v>
      </c>
      <c r="M15" s="54">
        <v>0.458333333333333</v>
      </c>
      <c r="N15" s="54">
        <v>0.875</v>
      </c>
      <c r="O15" s="54">
        <v>0.458333333333333</v>
      </c>
      <c r="P15" s="54">
        <v>0.875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f>IFERROR(__xludf.DUMMYFUNCTION("TO_PURE_NUMBER(SUM(FILTER(G15:T15, ISEVEN(COLUMN(G15:T15))))-SUM(FILTER(G15:T15, ISODD(COLUMN(G15:T15)))))*24"),45)</f>
        <v>45</v>
      </c>
      <c r="V15" s="17">
        <f t="array" ref="V15">_xlfn.XLOOKUP(A15,'WK 47'!A:A,'WK 47'!V:V,"")</f>
        <v>45</v>
      </c>
      <c r="W15" s="17" t="str">
        <f t="array" ref="W15">_xlfn.XLOOKUP(A15,'WK 47'!A:A,'WK 47'!AA:AA,"")</f>
        <v>early</v>
      </c>
      <c r="X15" s="7">
        <f t="shared" si="4"/>
        <v>0</v>
      </c>
      <c r="Y15" s="20">
        <f t="array" ref="Y15">_xlfn.XLOOKUP(A15,'WK 45'!A:A,'WK 45'!X:X,"")</f>
        <v>0.416666666666667</v>
      </c>
      <c r="Z15" s="61"/>
      <c r="AA15" s="61"/>
      <c r="AB15" s="61"/>
      <c r="AC15" s="61"/>
      <c r="AD15" s="61"/>
      <c r="AE15" s="61"/>
      <c r="AF15" s="61"/>
      <c r="AG15" s="61"/>
    </row>
    <row r="16" customHeight="1" spans="1:33">
      <c r="A16" s="21">
        <v>10320413</v>
      </c>
      <c r="B16" s="86" t="s">
        <v>60</v>
      </c>
      <c r="C16" s="21" t="s">
        <v>20</v>
      </c>
      <c r="D16" s="21" t="s">
        <v>21</v>
      </c>
      <c r="E16" s="54" t="str">
        <f t="array" ref="E16">_xlfn.XLOOKUP(A16,'Schedule Wk 47'!A:A,'Schedule Wk 47'!E:E,"")</f>
        <v>FT</v>
      </c>
      <c r="F16" s="103">
        <f t="array" ref="F16">_xlfn.XLOOKUP(A16,'Schedule Wk 47'!A:A,'Schedule Wk 47'!F:F,"")</f>
        <v>3</v>
      </c>
      <c r="G16" s="54">
        <v>0.375</v>
      </c>
      <c r="H16" s="54">
        <v>0.75</v>
      </c>
      <c r="I16" s="21" t="s">
        <v>23</v>
      </c>
      <c r="J16" s="21" t="s">
        <v>23</v>
      </c>
      <c r="K16" s="21" t="s">
        <v>23</v>
      </c>
      <c r="L16" s="21" t="s">
        <v>23</v>
      </c>
      <c r="M16" s="54">
        <v>0.375</v>
      </c>
      <c r="N16" s="54">
        <v>0.791666666666667</v>
      </c>
      <c r="O16" s="54">
        <v>0.375</v>
      </c>
      <c r="P16" s="54">
        <v>0.791666666666667</v>
      </c>
      <c r="Q16" s="54">
        <v>0.458333333333333</v>
      </c>
      <c r="R16" s="54">
        <v>0.666666666666667</v>
      </c>
      <c r="S16" s="54">
        <v>0.458333333333333</v>
      </c>
      <c r="T16" s="54">
        <v>0.666666666666667</v>
      </c>
      <c r="U16" s="113">
        <f>IFERROR(__xludf.DUMMYFUNCTION("TO_PURE_NUMBER(SUM(FILTER(G16:T16, ISEVEN(COLUMN(G16:T16))))-SUM(FILTER(G16:T16, ISODD(COLUMN(G16:T16)))))*24"),38.9999999999999)</f>
        <v>38.9999999999999</v>
      </c>
      <c r="V16" s="17">
        <f t="array" ref="V16">_xlfn.XLOOKUP(A16,'WK 47'!A:A,'WK 47'!V:V,"")</f>
        <v>45</v>
      </c>
      <c r="W16" s="17" t="str">
        <f t="array" ref="W16">_xlfn.XLOOKUP(A16,'WK 47'!A:A,'WK 47'!AA:AA,"")</f>
        <v>early</v>
      </c>
      <c r="X16" s="7">
        <f t="shared" si="4"/>
        <v>6.0000000000001</v>
      </c>
      <c r="Y16" s="17" t="str">
        <f t="array" ref="Y16">_xlfn.XLOOKUP(A16,'WK 45'!A:A,'WK 45'!X:X,"")</f>
        <v/>
      </c>
      <c r="Z16" s="61"/>
      <c r="AA16" s="61"/>
      <c r="AB16" s="61"/>
      <c r="AC16" s="61"/>
      <c r="AD16" s="61"/>
      <c r="AE16" s="61"/>
      <c r="AF16" s="61"/>
      <c r="AG16" s="61"/>
    </row>
    <row r="17" customHeight="1" spans="1:33">
      <c r="A17" s="21">
        <v>10317522</v>
      </c>
      <c r="B17" s="86" t="s">
        <v>31</v>
      </c>
      <c r="C17" s="21" t="s">
        <v>20</v>
      </c>
      <c r="D17" s="21" t="s">
        <v>21</v>
      </c>
      <c r="E17" s="54" t="str">
        <f t="array" ref="E17">_xlfn.XLOOKUP(A17,'Schedule Wk 47'!A:A,'Schedule Wk 47'!E:E,"")</f>
        <v>FT</v>
      </c>
      <c r="F17" s="103">
        <f t="array" ref="F17">_xlfn.XLOOKUP(A17,'Schedule Wk 47'!A:A,'Schedule Wk 47'!F:F,"")</f>
        <v>2</v>
      </c>
      <c r="G17" s="21" t="s">
        <v>23</v>
      </c>
      <c r="H17" s="21" t="s">
        <v>23</v>
      </c>
      <c r="I17" s="54">
        <v>0.458333333333333</v>
      </c>
      <c r="J17" s="54">
        <v>0.875</v>
      </c>
      <c r="K17" s="54">
        <v>0.458333333333333</v>
      </c>
      <c r="L17" s="54">
        <v>0.875</v>
      </c>
      <c r="M17" s="54">
        <v>0.458333333333333</v>
      </c>
      <c r="N17" s="54">
        <v>0.875</v>
      </c>
      <c r="O17" s="54">
        <v>0.458333333333333</v>
      </c>
      <c r="P17" s="54">
        <v>0.875</v>
      </c>
      <c r="Q17" s="54">
        <v>0.458333333333333</v>
      </c>
      <c r="R17" s="54">
        <v>0.666666666666667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17">
        <f t="array" ref="V17">_xlfn.XLOOKUP(A17,'WK 47'!A:A,'WK 47'!V:V,"")</f>
        <v>45</v>
      </c>
      <c r="W17" s="17" t="str">
        <f t="array" ref="W17">_xlfn.XLOOKUP(A17,'WK 47'!A:A,'WK 47'!AA:AA,"")</f>
        <v>late</v>
      </c>
      <c r="X17" s="7">
        <f t="shared" si="4"/>
        <v>0</v>
      </c>
      <c r="Y17" s="20">
        <f t="array" ref="Y17">_xlfn.XLOOKUP(A17,'WK 45'!A:A,'WK 45'!X:X,"")</f>
        <v>0.375</v>
      </c>
      <c r="Z17" s="61"/>
      <c r="AA17" s="61"/>
      <c r="AB17" s="61"/>
      <c r="AC17" s="61"/>
      <c r="AD17" s="61"/>
      <c r="AE17" s="61"/>
      <c r="AF17" s="61"/>
      <c r="AG17" s="61"/>
    </row>
    <row r="18" customHeight="1" spans="1:33">
      <c r="A18" s="21">
        <v>10317151</v>
      </c>
      <c r="B18" s="86" t="s">
        <v>52</v>
      </c>
      <c r="C18" s="21" t="s">
        <v>20</v>
      </c>
      <c r="D18" s="21" t="s">
        <v>86</v>
      </c>
      <c r="E18" s="54" t="str">
        <f t="array" ref="E18">_xlfn.XLOOKUP(A18,'Schedule Wk 47'!A:A,'Schedule Wk 47'!E:E,"")</f>
        <v>FT</v>
      </c>
      <c r="F18" s="103">
        <f t="array" ref="F18">_xlfn.XLOOKUP(A18,'Schedule Wk 47'!A:A,'Schedule Wk 47'!F:F,"")</f>
        <v>1</v>
      </c>
      <c r="G18" s="54">
        <v>0.375</v>
      </c>
      <c r="H18" s="54">
        <v>0.75</v>
      </c>
      <c r="I18" s="54">
        <v>0.375</v>
      </c>
      <c r="J18" s="54">
        <v>0.75</v>
      </c>
      <c r="K18" s="54">
        <v>0.375</v>
      </c>
      <c r="L18" s="54">
        <v>0.75</v>
      </c>
      <c r="M18" s="54">
        <v>0.375</v>
      </c>
      <c r="N18" s="54">
        <v>0.75</v>
      </c>
      <c r="O18" s="54">
        <v>0.375</v>
      </c>
      <c r="P18" s="54">
        <v>0.75</v>
      </c>
      <c r="Q18" s="114" t="s">
        <v>23</v>
      </c>
      <c r="R18" s="114" t="s">
        <v>23</v>
      </c>
      <c r="S18" s="114" t="s">
        <v>23</v>
      </c>
      <c r="T18" s="114" t="s">
        <v>23</v>
      </c>
      <c r="U18" s="21">
        <f>IFERROR(__xludf.DUMMYFUNCTION("TO_PURE_NUMBER(SUM(FILTER(G18:T18, ISEVEN(COLUMN(G18:T18))))-SUM(FILTER(G18:T18, ISODD(COLUMN(G18:T18)))))*24"),45)</f>
        <v>45</v>
      </c>
      <c r="V18" s="17">
        <f t="array" ref="V18">_xlfn.XLOOKUP(A18,'WK 47'!A:A,'WK 47'!V:V,"")</f>
        <v>45</v>
      </c>
      <c r="W18" s="17" t="str">
        <f t="array" ref="W18">_xlfn.XLOOKUP(A18,'WK 47'!A:A,'WK 47'!AA:AA,"")</f>
        <v>early</v>
      </c>
      <c r="X18" s="7">
        <f t="shared" si="4"/>
        <v>0</v>
      </c>
      <c r="Y18" s="20">
        <f t="array" ref="Y18">_xlfn.XLOOKUP(A18,'WK 45'!A:A,'WK 45'!X:X,"")</f>
        <v>0.416666666666667</v>
      </c>
      <c r="Z18" s="61"/>
      <c r="AA18" s="61"/>
      <c r="AB18" s="61"/>
      <c r="AC18" s="61"/>
      <c r="AD18" s="61"/>
      <c r="AE18" s="61"/>
      <c r="AF18" s="61"/>
      <c r="AG18" s="61"/>
    </row>
    <row r="19" customHeight="1" spans="1:33">
      <c r="A19" s="21">
        <v>10320409</v>
      </c>
      <c r="B19" s="86" t="s">
        <v>57</v>
      </c>
      <c r="C19" s="21" t="s">
        <v>20</v>
      </c>
      <c r="D19" s="21" t="s">
        <v>21</v>
      </c>
      <c r="E19" s="54" t="str">
        <f t="array" ref="E19">_xlfn.XLOOKUP(A19,'Schedule Wk 47'!A:A,'Schedule Wk 47'!E:E,"")</f>
        <v>FT</v>
      </c>
      <c r="F19" s="103">
        <f t="array" ref="F19">_xlfn.XLOOKUP(A19,'Schedule Wk 47'!A:A,'Schedule Wk 47'!F:F,"")</f>
        <v>3</v>
      </c>
      <c r="G19" s="54">
        <v>0.375</v>
      </c>
      <c r="H19" s="54">
        <v>0.75</v>
      </c>
      <c r="I19" s="21" t="s">
        <v>23</v>
      </c>
      <c r="J19" s="21" t="s">
        <v>23</v>
      </c>
      <c r="K19" s="21" t="s">
        <v>23</v>
      </c>
      <c r="L19" s="21" t="s">
        <v>23</v>
      </c>
      <c r="M19" s="54">
        <v>0.375</v>
      </c>
      <c r="N19" s="54">
        <v>0.75</v>
      </c>
      <c r="O19" s="54">
        <v>0.375</v>
      </c>
      <c r="P19" s="54">
        <v>0.75</v>
      </c>
      <c r="Q19" s="54">
        <v>0.458333333333333</v>
      </c>
      <c r="R19" s="54">
        <v>0.666666666666667</v>
      </c>
      <c r="S19" s="54">
        <v>0.458333333333333</v>
      </c>
      <c r="T19" s="54">
        <v>0.666666666666667</v>
      </c>
      <c r="U19" s="113">
        <f>IFERROR(__xludf.DUMMYFUNCTION("TO_PURE_NUMBER(SUM(FILTER(G19:T19, ISEVEN(COLUMN(G19:T19))))-SUM(FILTER(G19:T19, ISODD(COLUMN(G19:T19)))))*24"),37)</f>
        <v>37</v>
      </c>
      <c r="V19" s="17">
        <f t="array" ref="V19">_xlfn.XLOOKUP(A19,'WK 47'!A:A,'WK 47'!V:V,"")</f>
        <v>45</v>
      </c>
      <c r="W19" s="17" t="str">
        <f t="array" ref="W19">_xlfn.XLOOKUP(A19,'WK 47'!A:A,'WK 47'!AA:AA,"")</f>
        <v>early</v>
      </c>
      <c r="X19" s="7">
        <f t="shared" si="4"/>
        <v>8</v>
      </c>
      <c r="Y19" s="17" t="str">
        <f t="array" ref="Y19">_xlfn.XLOOKUP(A19,'WK 45'!A:A,'WK 45'!X:X,"")</f>
        <v/>
      </c>
      <c r="Z19" s="61"/>
      <c r="AA19" s="61"/>
      <c r="AB19" s="61"/>
      <c r="AC19" s="61"/>
      <c r="AD19" s="61"/>
      <c r="AE19" s="61"/>
      <c r="AF19" s="61"/>
      <c r="AG19" s="61"/>
    </row>
    <row r="20" customHeight="1" spans="1:33">
      <c r="A20" s="21">
        <v>10293627</v>
      </c>
      <c r="B20" s="86" t="s">
        <v>64</v>
      </c>
      <c r="C20" s="21" t="s">
        <v>20</v>
      </c>
      <c r="D20" s="21" t="s">
        <v>21</v>
      </c>
      <c r="E20" s="54" t="str">
        <f t="array" ref="E20">_xlfn.XLOOKUP(A20,'Schedule Wk 47'!A:A,'Schedule Wk 47'!E:E,"")</f>
        <v>FT</v>
      </c>
      <c r="F20" s="103">
        <f t="array" ref="F20">_xlfn.XLOOKUP(A20,'Schedule Wk 47'!A:A,'Schedule Wk 47'!F:F,"")</f>
        <v>3</v>
      </c>
      <c r="G20" s="54">
        <v>0.375</v>
      </c>
      <c r="H20" s="54">
        <v>0.75</v>
      </c>
      <c r="I20" s="54">
        <v>0.375</v>
      </c>
      <c r="J20" s="54">
        <v>0.75</v>
      </c>
      <c r="K20" s="21" t="s">
        <v>23</v>
      </c>
      <c r="L20" s="21" t="s">
        <v>23</v>
      </c>
      <c r="M20" s="21" t="s">
        <v>23</v>
      </c>
      <c r="N20" s="21" t="s">
        <v>23</v>
      </c>
      <c r="O20" s="54">
        <v>0.375</v>
      </c>
      <c r="P20" s="54">
        <v>0.75</v>
      </c>
      <c r="Q20" s="54">
        <v>0.458333333333333</v>
      </c>
      <c r="R20" s="54">
        <v>0.666666666666667</v>
      </c>
      <c r="S20" s="54">
        <v>0.458333333333333</v>
      </c>
      <c r="T20" s="54">
        <v>0.666666666666667</v>
      </c>
      <c r="U20" s="113">
        <f>IFERROR(__xludf.DUMMYFUNCTION("TO_PURE_NUMBER(SUM(FILTER(G20:T20, ISEVEN(COLUMN(G20:T20))))-SUM(FILTER(G20:T20, ISODD(COLUMN(G20:T20)))))*24"),37)</f>
        <v>37</v>
      </c>
      <c r="V20" s="17">
        <f t="array" ref="V20">_xlfn.XLOOKUP(A20,'WK 47'!A:A,'WK 47'!V:V,"")</f>
        <v>45</v>
      </c>
      <c r="W20" s="17" t="str">
        <f t="array" ref="W20">_xlfn.XLOOKUP(A20,'WK 47'!A:A,'WK 47'!AA:AA,"")</f>
        <v>early</v>
      </c>
      <c r="X20" s="7">
        <f t="shared" si="4"/>
        <v>8</v>
      </c>
      <c r="Y20" s="20">
        <v>0.416666666666667</v>
      </c>
      <c r="Z20" s="61"/>
      <c r="AA20" s="61"/>
      <c r="AB20" s="61"/>
      <c r="AC20" s="61"/>
      <c r="AD20" s="61"/>
      <c r="AE20" s="61"/>
      <c r="AF20" s="61"/>
      <c r="AG20" s="61"/>
    </row>
    <row r="21" customHeight="1" spans="1:33">
      <c r="A21" s="21">
        <v>10316540</v>
      </c>
      <c r="B21" s="86" t="s">
        <v>30</v>
      </c>
      <c r="C21" s="21" t="s">
        <v>20</v>
      </c>
      <c r="D21" s="21" t="s">
        <v>86</v>
      </c>
      <c r="E21" s="54" t="str">
        <f t="array" ref="E21">_xlfn.XLOOKUP(A21,'Schedule Wk 47'!A:A,'Schedule Wk 47'!E:E,"")</f>
        <v>FT</v>
      </c>
      <c r="F21" s="103">
        <f t="array" ref="F21">_xlfn.XLOOKUP(A21,'Schedule Wk 47'!A:A,'Schedule Wk 47'!F:F,"")</f>
        <v>1</v>
      </c>
      <c r="G21" s="54">
        <v>0.375</v>
      </c>
      <c r="H21" s="54">
        <v>0.75</v>
      </c>
      <c r="I21" s="54">
        <v>0.375</v>
      </c>
      <c r="J21" s="54">
        <v>0.75</v>
      </c>
      <c r="K21" s="54">
        <v>0.375</v>
      </c>
      <c r="L21" s="54">
        <v>0.75</v>
      </c>
      <c r="M21" s="54">
        <v>0.375</v>
      </c>
      <c r="N21" s="54">
        <v>0.75</v>
      </c>
      <c r="O21" s="54">
        <v>0.375</v>
      </c>
      <c r="P21" s="54">
        <v>0.75</v>
      </c>
      <c r="Q21" s="114" t="s">
        <v>23</v>
      </c>
      <c r="R21" s="114" t="s">
        <v>23</v>
      </c>
      <c r="S21" s="114" t="s">
        <v>23</v>
      </c>
      <c r="T21" s="114" t="s">
        <v>23</v>
      </c>
      <c r="U21" s="21">
        <f>IFERROR(__xludf.DUMMYFUNCTION("TO_PURE_NUMBER(SUM(FILTER(G21:T21, ISEVEN(COLUMN(G21:T21))))-SUM(FILTER(G21:T21, ISODD(COLUMN(G21:T21)))))*24"),45)</f>
        <v>45</v>
      </c>
      <c r="V21" s="17">
        <f t="array" ref="V21">_xlfn.XLOOKUP(A21,'WK 47'!A:A,'WK 47'!V:V,"")</f>
        <v>45</v>
      </c>
      <c r="W21" s="17" t="str">
        <f t="array" ref="W21">_xlfn.XLOOKUP(A21,'WK 47'!A:A,'WK 47'!AA:AA,"")</f>
        <v>late</v>
      </c>
      <c r="X21" s="7">
        <f t="shared" si="4"/>
        <v>0</v>
      </c>
      <c r="Y21" s="20">
        <f t="array" ref="Y21">_xlfn.XLOOKUP(A21,'WK 45'!A:A,'WK 45'!X:X,"")</f>
        <v>0.416666666666667</v>
      </c>
      <c r="Z21" s="61"/>
      <c r="AA21" s="61"/>
      <c r="AB21" s="61"/>
      <c r="AC21" s="61"/>
      <c r="AD21" s="61"/>
      <c r="AE21" s="61"/>
      <c r="AF21" s="61"/>
      <c r="AG21" s="61"/>
    </row>
    <row r="22" customHeight="1" spans="1:33">
      <c r="A22" s="21">
        <v>10320435</v>
      </c>
      <c r="B22" s="86" t="s">
        <v>71</v>
      </c>
      <c r="C22" s="21" t="s">
        <v>20</v>
      </c>
      <c r="D22" s="21" t="s">
        <v>21</v>
      </c>
      <c r="E22" s="54" t="str">
        <f t="array" ref="E22">_xlfn.XLOOKUP(A22,'Schedule Wk 47'!A:A,'Schedule Wk 47'!E:E,"")</f>
        <v>FT</v>
      </c>
      <c r="F22" s="103">
        <f t="array" ref="F22">_xlfn.XLOOKUP(A22,'Schedule Wk 47'!A:A,'Schedule Wk 47'!F:F,"")</f>
        <v>3</v>
      </c>
      <c r="G22" s="54">
        <v>0.375</v>
      </c>
      <c r="H22" s="54">
        <v>0.75</v>
      </c>
      <c r="I22" s="21" t="s">
        <v>23</v>
      </c>
      <c r="J22" s="21" t="s">
        <v>23</v>
      </c>
      <c r="K22" s="21" t="s">
        <v>23</v>
      </c>
      <c r="L22" s="21" t="s">
        <v>23</v>
      </c>
      <c r="M22" s="54">
        <v>0.375</v>
      </c>
      <c r="N22" s="54">
        <v>0.75</v>
      </c>
      <c r="O22" s="54">
        <v>0.375</v>
      </c>
      <c r="P22" s="54">
        <v>0.75</v>
      </c>
      <c r="Q22" s="54">
        <v>0.458333333333333</v>
      </c>
      <c r="R22" s="54">
        <v>0.666666666666667</v>
      </c>
      <c r="S22" s="54">
        <v>0.458333333333333</v>
      </c>
      <c r="T22" s="54">
        <v>0.666666666666667</v>
      </c>
      <c r="U22" s="113">
        <f>IFERROR(__xludf.DUMMYFUNCTION("TO_PURE_NUMBER(SUM(FILTER(G22:T22, ISEVEN(COLUMN(G22:T22))))-SUM(FILTER(G22:T22, ISODD(COLUMN(G22:T22)))))*24"),37)</f>
        <v>37</v>
      </c>
      <c r="V22" s="17">
        <f t="array" ref="V22">_xlfn.XLOOKUP(A22,'WK 47'!A:A,'WK 47'!V:V,"")</f>
        <v>45</v>
      </c>
      <c r="W22" s="17" t="str">
        <f t="array" ref="W22">_xlfn.XLOOKUP(A22,'WK 47'!A:A,'WK 47'!AA:AA,"")</f>
        <v>early</v>
      </c>
      <c r="X22" s="7">
        <f t="shared" si="4"/>
        <v>8</v>
      </c>
      <c r="Y22" s="17" t="str">
        <f t="array" ref="Y22">_xlfn.XLOOKUP(A22,'WK 45'!A:A,'WK 45'!X:X,"")</f>
        <v/>
      </c>
      <c r="Z22" s="61"/>
      <c r="AA22" s="61"/>
      <c r="AB22" s="61"/>
      <c r="AC22" s="61"/>
      <c r="AD22" s="61"/>
      <c r="AE22" s="61"/>
      <c r="AF22" s="61"/>
      <c r="AG22" s="61"/>
    </row>
    <row r="23" customHeight="1" spans="1:33">
      <c r="A23" s="21">
        <v>10316551</v>
      </c>
      <c r="B23" s="86" t="s">
        <v>87</v>
      </c>
      <c r="C23" s="21" t="s">
        <v>20</v>
      </c>
      <c r="D23" s="21" t="s">
        <v>21</v>
      </c>
      <c r="E23" s="54" t="str">
        <f t="array" ref="E23">_xlfn.XLOOKUP(A23,'Schedule Wk 47'!A:A,'Schedule Wk 47'!E:E,"")</f>
        <v>FT</v>
      </c>
      <c r="F23" s="103">
        <f t="array" ref="F23">_xlfn.XLOOKUP(A23,'Schedule Wk 47'!A:A,'Schedule Wk 47'!F:F,"")</f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21" t="s">
        <v>23</v>
      </c>
      <c r="M23" s="21" t="s">
        <v>23</v>
      </c>
      <c r="N23" s="21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ISODD(COLUMN(G23:T23)))))*24"),37)</f>
        <v>37</v>
      </c>
      <c r="V23" s="17">
        <f t="array" ref="V23">_xlfn.XLOOKUP(A23,'WK 47'!A:A,'WK 47'!V:V,"")</f>
        <v>45</v>
      </c>
      <c r="W23" s="17" t="str">
        <f t="array" ref="W23">_xlfn.XLOOKUP(A23,'WK 47'!A:A,'WK 47'!AA:AA,"")</f>
        <v>early</v>
      </c>
      <c r="X23" s="7">
        <f t="shared" si="4"/>
        <v>8</v>
      </c>
      <c r="Y23" s="20">
        <v>0.416666666666667</v>
      </c>
      <c r="Z23" s="61"/>
      <c r="AA23" s="61"/>
      <c r="AB23" s="61"/>
      <c r="AC23" s="61"/>
      <c r="AD23" s="61"/>
      <c r="AE23" s="61"/>
      <c r="AF23" s="61"/>
      <c r="AG23" s="61"/>
    </row>
    <row r="24" customHeight="1" spans="1:33">
      <c r="A24" s="21">
        <v>10316546</v>
      </c>
      <c r="B24" s="86" t="s">
        <v>49</v>
      </c>
      <c r="C24" s="21" t="s">
        <v>20</v>
      </c>
      <c r="D24" s="21" t="s">
        <v>21</v>
      </c>
      <c r="E24" s="54" t="str">
        <f t="array" ref="E24">_xlfn.XLOOKUP(A24,'Schedule Wk 47'!A:A,'Schedule Wk 47'!E:E,"")</f>
        <v>FT</v>
      </c>
      <c r="F24" s="103">
        <f t="array" ref="F24">_xlfn.XLOOKUP(A24,'Schedule Wk 47'!A:A,'Schedule Wk 47'!F:F,"")</f>
        <v>1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21" t="s">
        <v>23</v>
      </c>
      <c r="N24" s="21" t="s">
        <v>23</v>
      </c>
      <c r="O24" s="21" t="s">
        <v>23</v>
      </c>
      <c r="P24" s="21" t="s">
        <v>23</v>
      </c>
      <c r="Q24" s="54">
        <v>0.458333333333333</v>
      </c>
      <c r="R24" s="54">
        <v>0.666666666666667</v>
      </c>
      <c r="S24" s="54">
        <v>0.458333333333333</v>
      </c>
      <c r="T24" s="54">
        <v>0.666666666666667</v>
      </c>
      <c r="U24" s="21">
        <f>IFERROR(__xludf.DUMMYFUNCTION("TO_PURE_NUMBER(SUM(FILTER(G24:T24, ISEVEN(COLUMN(G24:T24))))-SUM(FILTER(G24:T24, ISODD(COLUMN(G24:T24)))))*24"),37)</f>
        <v>37</v>
      </c>
      <c r="V24" s="17">
        <v>37</v>
      </c>
      <c r="W24" s="17" t="str">
        <f t="array" ref="W24">_xlfn.XLOOKUP(A24,'WK 47'!A:A,'WK 47'!AA:AA,"")</f>
        <v>early</v>
      </c>
      <c r="X24" s="7">
        <f t="shared" si="4"/>
        <v>0</v>
      </c>
      <c r="Y24" s="20">
        <v>0.375</v>
      </c>
      <c r="Z24" s="61"/>
      <c r="AA24" s="61"/>
      <c r="AB24" s="61"/>
      <c r="AC24" s="61"/>
      <c r="AD24" s="61"/>
      <c r="AE24" s="61"/>
      <c r="AF24" s="61"/>
      <c r="AG24" s="61"/>
    </row>
    <row r="25" customHeight="1" spans="1:33">
      <c r="A25" s="21">
        <v>10276839</v>
      </c>
      <c r="B25" s="86" t="s">
        <v>54</v>
      </c>
      <c r="C25" s="21" t="s">
        <v>20</v>
      </c>
      <c r="D25" s="21" t="s">
        <v>21</v>
      </c>
      <c r="E25" s="54" t="str">
        <f t="array" ref="E25">_xlfn.XLOOKUP(A25,'Schedule Wk 47'!A:A,'Schedule Wk 47'!E:E,"")</f>
        <v>FT</v>
      </c>
      <c r="F25" s="103">
        <f t="array" ref="F25">_xlfn.XLOOKUP(A25,'Schedule Wk 47'!A:A,'Schedule Wk 47'!F:F,"")</f>
        <v>2</v>
      </c>
      <c r="G25" s="54">
        <v>0.375</v>
      </c>
      <c r="H25" s="54">
        <v>0.791666666666667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21" t="s">
        <v>23</v>
      </c>
      <c r="P25" s="21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17" t="str">
        <f t="array" ref="W25">_xlfn.XLOOKUP(A25,'WK 47'!A:A,'WK 47'!AA:AA,"")</f>
        <v>early</v>
      </c>
      <c r="X25" s="7">
        <f t="shared" si="4"/>
        <v>9.9475983006414e-14</v>
      </c>
      <c r="Y25" s="20">
        <f t="array" ref="Y25">_xlfn.XLOOKUP(A25,'WK 45'!A:A,'WK 45'!X:X,"")</f>
        <v>0.375</v>
      </c>
      <c r="Z25" s="61"/>
      <c r="AA25" s="61"/>
      <c r="AB25" s="61"/>
      <c r="AC25" s="61"/>
      <c r="AD25" s="61"/>
      <c r="AE25" s="61"/>
      <c r="AF25" s="61"/>
      <c r="AG25" s="61"/>
    </row>
    <row r="26" customHeight="1" spans="1:33">
      <c r="A26" s="21">
        <v>10274446</v>
      </c>
      <c r="B26" s="86" t="s">
        <v>88</v>
      </c>
      <c r="C26" s="21" t="s">
        <v>20</v>
      </c>
      <c r="D26" s="21" t="s">
        <v>21</v>
      </c>
      <c r="E26" s="54" t="str">
        <f t="array" ref="E26">_xlfn.XLOOKUP(A26,'Schedule Wk 47'!A:A,'Schedule Wk 47'!E:E,"")</f>
        <v>FT</v>
      </c>
      <c r="F26" s="103">
        <f t="array" ref="F26">_xlfn.XLOOKUP(A26,'Schedule Wk 47'!A:A,'Schedule Wk 47'!F:F,"")</f>
        <v>2</v>
      </c>
      <c r="G26" s="54">
        <v>0.5</v>
      </c>
      <c r="H26" s="54">
        <v>0.875</v>
      </c>
      <c r="I26" s="21" t="s">
        <v>23</v>
      </c>
      <c r="J26" s="21" t="s">
        <v>23</v>
      </c>
      <c r="K26" s="21" t="s">
        <v>23</v>
      </c>
      <c r="L26" s="21" t="s">
        <v>23</v>
      </c>
      <c r="M26" s="54">
        <v>0.5</v>
      </c>
      <c r="N26" s="54">
        <v>0.875</v>
      </c>
      <c r="O26" s="54">
        <v>0.5</v>
      </c>
      <c r="P26" s="54">
        <v>0.875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ISODD(COLUMN(G26:T26)))))*24"),37)</f>
        <v>37</v>
      </c>
      <c r="V26" s="17">
        <v>37</v>
      </c>
      <c r="W26" s="17" t="str">
        <f t="array" ref="W26">_xlfn.XLOOKUP(A26,'WK 47'!A:A,'WK 47'!AA:AA,"")</f>
        <v>late</v>
      </c>
      <c r="X26" s="7">
        <f t="shared" si="4"/>
        <v>0</v>
      </c>
      <c r="Y26" s="20">
        <v>0.375</v>
      </c>
      <c r="Z26" s="61"/>
      <c r="AA26" s="61"/>
      <c r="AB26" s="61"/>
      <c r="AC26" s="61"/>
      <c r="AD26" s="61"/>
      <c r="AE26" s="61"/>
      <c r="AF26" s="61"/>
      <c r="AG26" s="61"/>
    </row>
    <row r="27" customHeight="1" spans="1:33">
      <c r="A27" s="21">
        <v>10316685</v>
      </c>
      <c r="B27" s="86" t="s">
        <v>47</v>
      </c>
      <c r="C27" s="21" t="s">
        <v>89</v>
      </c>
      <c r="D27" s="21" t="s">
        <v>21</v>
      </c>
      <c r="E27" s="54" t="str">
        <f t="array" ref="E27">_xlfn.XLOOKUP(A27,'Schedule Wk 47'!A:A,'Schedule Wk 47'!E:E,"")</f>
        <v>FT</v>
      </c>
      <c r="F27" s="103">
        <f t="array" ref="F27">_xlfn.XLOOKUP(A27,'Schedule Wk 47'!A:A,'Schedule Wk 47'!F:F,"")</f>
        <v>1</v>
      </c>
      <c r="G27" s="54">
        <v>0.375</v>
      </c>
      <c r="H27" s="54">
        <v>0.75</v>
      </c>
      <c r="I27" s="54">
        <v>0.375</v>
      </c>
      <c r="J27" s="54">
        <v>0.75</v>
      </c>
      <c r="K27" s="54">
        <v>0.375</v>
      </c>
      <c r="L27" s="54">
        <v>0.75</v>
      </c>
      <c r="M27" s="54">
        <v>0.375</v>
      </c>
      <c r="N27" s="54">
        <v>0.75</v>
      </c>
      <c r="O27" s="54">
        <v>0.375</v>
      </c>
      <c r="P27" s="54">
        <v>0.75</v>
      </c>
      <c r="Q27" s="115" t="s">
        <v>23</v>
      </c>
      <c r="R27" s="115" t="s">
        <v>23</v>
      </c>
      <c r="S27" s="21" t="s">
        <v>23</v>
      </c>
      <c r="T27" s="21" t="s">
        <v>23</v>
      </c>
      <c r="U27" s="21">
        <f>IFERROR(__xludf.DUMMYFUNCTION("TO_PURE_NUMBER(SUM(FILTER(G27:T27, ISEVEN(COLUMN(G27:T27))))-SUM(FILTER(G27:T27, ISODD(COLUMN(G27:T27)))))*24"),45)</f>
        <v>45</v>
      </c>
      <c r="V27" s="17">
        <f t="array" ref="V27">_xlfn.XLOOKUP(A27,'WK 47'!A:A,'WK 47'!V:V,"")</f>
        <v>45</v>
      </c>
      <c r="W27" s="17" t="str">
        <f t="array" ref="W27">_xlfn.XLOOKUP(A27,'WK 47'!A:A,'WK 47'!AA:AA,"")</f>
        <v>late</v>
      </c>
      <c r="X27" s="7">
        <f t="shared" si="4"/>
        <v>0</v>
      </c>
      <c r="Y27" s="20">
        <f t="array" ref="Y27">_xlfn.XLOOKUP(A27,'WK 45'!A:A,'WK 45'!X:X,"")</f>
        <v>0.416666666666667</v>
      </c>
      <c r="Z27" s="61"/>
      <c r="AA27" s="61"/>
      <c r="AB27" s="61"/>
      <c r="AC27" s="61"/>
      <c r="AD27" s="61"/>
      <c r="AE27" s="61"/>
      <c r="AF27" s="61"/>
      <c r="AG27" s="61"/>
    </row>
    <row r="28" customHeight="1" spans="1:33">
      <c r="A28" s="21">
        <v>10293607</v>
      </c>
      <c r="B28" s="86" t="s">
        <v>65</v>
      </c>
      <c r="C28" s="21" t="s">
        <v>20</v>
      </c>
      <c r="D28" s="21" t="s">
        <v>21</v>
      </c>
      <c r="E28" s="54" t="str">
        <f t="array" ref="E28">_xlfn.XLOOKUP(A28,'Schedule Wk 47'!A:A,'Schedule Wk 47'!E:E,"")</f>
        <v>FT</v>
      </c>
      <c r="F28" s="103">
        <f t="array" ref="F28">_xlfn.XLOOKUP(A28,'Schedule Wk 47'!A:A,'Schedule Wk 47'!F:F,"")</f>
        <v>3</v>
      </c>
      <c r="G28" s="54">
        <v>0.375</v>
      </c>
      <c r="H28" s="54">
        <v>0.75</v>
      </c>
      <c r="I28" s="54">
        <v>0.375</v>
      </c>
      <c r="J28" s="54">
        <v>0.75</v>
      </c>
      <c r="K28" s="21" t="s">
        <v>23</v>
      </c>
      <c r="L28" s="21" t="s">
        <v>23</v>
      </c>
      <c r="M28" s="21" t="s">
        <v>23</v>
      </c>
      <c r="N28" s="21" t="s">
        <v>23</v>
      </c>
      <c r="O28" s="54">
        <v>0.375</v>
      </c>
      <c r="P28" s="54">
        <v>0.75</v>
      </c>
      <c r="Q28" s="54">
        <v>0.458333333333333</v>
      </c>
      <c r="R28" s="54">
        <v>0.666666666666667</v>
      </c>
      <c r="S28" s="54">
        <v>0.458333333333333</v>
      </c>
      <c r="T28" s="54">
        <v>0.666666666666667</v>
      </c>
      <c r="U28" s="113">
        <f>IFERROR(__xludf.DUMMYFUNCTION("TO_PURE_NUMBER(SUM(FILTER(G28:T28, ISEVEN(COLUMN(G28:T28))))-SUM(FILTER(G28:T28, ISODD(COLUMN(G28:T28)))))*24"),37)</f>
        <v>37</v>
      </c>
      <c r="V28" s="17">
        <f t="array" ref="V28">_xlfn.XLOOKUP(A28,'WK 47'!A:A,'WK 47'!V:V,"")</f>
        <v>45</v>
      </c>
      <c r="W28" s="17" t="str">
        <f t="array" ref="W28">_xlfn.XLOOKUP(A28,'WK 47'!A:A,'WK 47'!AA:AA,"")</f>
        <v>early</v>
      </c>
      <c r="X28" s="7">
        <f t="shared" si="4"/>
        <v>8</v>
      </c>
      <c r="Y28" s="17" t="str">
        <f t="array" ref="Y28">_xlfn.XLOOKUP(A28,'WK 45'!A:A,'WK 45'!X:X,"")</f>
        <v/>
      </c>
      <c r="Z28" s="61"/>
      <c r="AA28" s="61"/>
      <c r="AB28" s="61"/>
      <c r="AC28" s="61"/>
      <c r="AD28" s="61"/>
      <c r="AE28" s="61"/>
      <c r="AF28" s="61"/>
      <c r="AG28" s="61"/>
    </row>
    <row r="29" customHeight="1" spans="1:33">
      <c r="A29" s="21">
        <v>10316538</v>
      </c>
      <c r="B29" s="86" t="s">
        <v>44</v>
      </c>
      <c r="C29" s="21" t="s">
        <v>20</v>
      </c>
      <c r="D29" s="21" t="s">
        <v>21</v>
      </c>
      <c r="E29" s="54" t="str">
        <f t="array" ref="E29">_xlfn.XLOOKUP(A29,'Schedule Wk 47'!A:A,'Schedule Wk 47'!E:E,"")</f>
        <v>FT</v>
      </c>
      <c r="F29" s="103">
        <f t="array" ref="F29">_xlfn.XLOOKUP(A29,'Schedule Wk 47'!A:A,'Schedule Wk 47'!F:F,"")</f>
        <v>1</v>
      </c>
      <c r="G29" s="54">
        <v>0.5</v>
      </c>
      <c r="H29" s="54">
        <v>0.875</v>
      </c>
      <c r="I29" s="54">
        <v>0.5</v>
      </c>
      <c r="J29" s="54"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f t="array" ref="V29">_xlfn.XLOOKUP(A29,'WK 47'!A:A,'WK 47'!V:V,"")</f>
        <v>37</v>
      </c>
      <c r="W29" s="17" t="str">
        <f t="array" ref="W29">_xlfn.XLOOKUP(A29,'WK 47'!A:A,'WK 47'!AA:AA,"")</f>
        <v>late</v>
      </c>
      <c r="X29" s="7">
        <f t="shared" si="4"/>
        <v>0</v>
      </c>
      <c r="Y29" s="20">
        <f t="array" ref="Y29">_xlfn.XLOOKUP(A29,'WK 45'!A:A,'WK 45'!X:X,"")</f>
        <v>0.416666666666667</v>
      </c>
      <c r="Z29" s="61"/>
      <c r="AA29" s="61"/>
      <c r="AB29" s="61"/>
      <c r="AC29" s="61"/>
      <c r="AD29" s="61"/>
      <c r="AE29" s="61"/>
      <c r="AF29" s="61"/>
      <c r="AG29" s="61"/>
    </row>
    <row r="30" customHeight="1" spans="1:33">
      <c r="A30" s="21">
        <v>10320436</v>
      </c>
      <c r="B30" s="86" t="s">
        <v>90</v>
      </c>
      <c r="C30" s="21" t="s">
        <v>20</v>
      </c>
      <c r="D30" s="21" t="s">
        <v>21</v>
      </c>
      <c r="E30" s="54" t="str">
        <f t="array" ref="E30">_xlfn.XLOOKUP(A30,'Schedule Wk 47'!A:A,'Schedule Wk 47'!E:E,"")</f>
        <v>FT</v>
      </c>
      <c r="F30" s="103">
        <f t="array" ref="F30">_xlfn.XLOOKUP(A30,'Schedule Wk 47'!A:A,'Schedule Wk 47'!F:F,"")</f>
        <v>3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17" t="str">
        <f t="array" ref="W30">_xlfn.XLOOKUP(A30,'WK 47'!A:A,'WK 47'!AA:AA,"")</f>
        <v>early</v>
      </c>
      <c r="X30" s="7">
        <f t="shared" si="4"/>
        <v>0</v>
      </c>
      <c r="Y30" s="17" t="str">
        <f t="array" ref="Y30">_xlfn.XLOOKUP(A30,'WK 45'!A:A,'WK 45'!X:X,"")</f>
        <v/>
      </c>
      <c r="Z30" s="61"/>
      <c r="AA30" s="61"/>
      <c r="AB30" s="61"/>
      <c r="AC30" s="61"/>
      <c r="AD30" s="61"/>
      <c r="AE30" s="61"/>
      <c r="AF30" s="61"/>
      <c r="AG30" s="61"/>
    </row>
    <row r="31" customHeight="1" spans="1:33">
      <c r="A31" s="21">
        <v>10317154</v>
      </c>
      <c r="B31" s="86" t="s">
        <v>70</v>
      </c>
      <c r="C31" s="21" t="s">
        <v>20</v>
      </c>
      <c r="D31" s="21" t="s">
        <v>21</v>
      </c>
      <c r="E31" s="54" t="str">
        <f t="array" ref="E31">_xlfn.XLOOKUP(A31,'Schedule Wk 47'!A:A,'Schedule Wk 47'!E:E,"")</f>
        <v>FT</v>
      </c>
      <c r="F31" s="103">
        <f t="array" ref="F31">_xlfn.XLOOKUP(A31,'Schedule Wk 47'!A:A,'Schedule Wk 47'!F:F,"")</f>
        <v>3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17" t="str">
        <f t="array" ref="W31">_xlfn.XLOOKUP(A31,'WK 47'!A:A,'WK 47'!AA:AA,"")</f>
        <v>early</v>
      </c>
      <c r="X31" s="7">
        <f t="shared" si="4"/>
        <v>0</v>
      </c>
      <c r="Y31" s="17" t="str">
        <f t="array" ref="Y31">_xlfn.XLOOKUP(A31,'WK 45'!A:A,'WK 45'!X:X,"")</f>
        <v/>
      </c>
      <c r="Z31" s="61"/>
      <c r="AA31" s="61"/>
      <c r="AB31" s="61"/>
      <c r="AC31" s="61"/>
      <c r="AD31" s="61"/>
      <c r="AE31" s="61"/>
      <c r="AF31" s="61"/>
      <c r="AG31" s="61"/>
    </row>
    <row r="32" customHeight="1" spans="1:33">
      <c r="A32" s="21">
        <v>10320417</v>
      </c>
      <c r="B32" s="86" t="s">
        <v>67</v>
      </c>
      <c r="C32" s="21" t="s">
        <v>20</v>
      </c>
      <c r="D32" s="21" t="s">
        <v>21</v>
      </c>
      <c r="E32" s="54" t="str">
        <f t="array" ref="E32">_xlfn.XLOOKUP(A32,'Schedule Wk 47'!A:A,'Schedule Wk 47'!E:E,"")</f>
        <v>FT</v>
      </c>
      <c r="F32" s="103">
        <f t="array" ref="F32">_xlfn.XLOOKUP(A32,'Schedule Wk 47'!A:A,'Schedule Wk 47'!F:F,"")</f>
        <v>3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17" t="str">
        <f t="array" ref="W32">_xlfn.XLOOKUP(A32,'WK 47'!A:A,'WK 47'!AA:AA,"")</f>
        <v>early</v>
      </c>
      <c r="X32" s="7">
        <f t="shared" si="4"/>
        <v>0</v>
      </c>
      <c r="Y32" s="20">
        <v>0.208333333333333</v>
      </c>
      <c r="Z32" s="61"/>
      <c r="AA32" s="61"/>
      <c r="AB32" s="61"/>
      <c r="AC32" s="61"/>
      <c r="AD32" s="61"/>
      <c r="AE32" s="61"/>
      <c r="AF32" s="61"/>
      <c r="AG32" s="61"/>
    </row>
    <row r="33" customHeight="1" spans="1:33">
      <c r="A33" s="21">
        <v>10320407</v>
      </c>
      <c r="B33" s="86" t="s">
        <v>55</v>
      </c>
      <c r="C33" s="21" t="s">
        <v>20</v>
      </c>
      <c r="D33" s="21" t="s">
        <v>21</v>
      </c>
      <c r="E33" s="54" t="str">
        <f t="array" ref="E33">_xlfn.XLOOKUP(A33,'Schedule Wk 47'!A:A,'Schedule Wk 47'!E:E,"")</f>
        <v>FT</v>
      </c>
      <c r="F33" s="103">
        <f t="array" ref="F33">_xlfn.XLOOKUP(A33,'Schedule Wk 47'!A:A,'Schedule 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17" t="str">
        <f t="array" ref="W33">_xlfn.XLOOKUP(A33,'WK 47'!A:A,'WK 47'!AA:AA,"")</f>
        <v>early</v>
      </c>
      <c r="X33" s="7">
        <f t="shared" si="4"/>
        <v>0</v>
      </c>
      <c r="Y33" s="17" t="str">
        <f t="array" ref="Y33">_xlfn.XLOOKUP(A33,Pref!A:A,Pref!E:E,"")</f>
        <v>10 hours (4 weekdays) + 5 hours (1 weekends) (45hrs/Week)</v>
      </c>
      <c r="Z33" s="61"/>
      <c r="AA33" s="61"/>
      <c r="AB33" s="61"/>
      <c r="AC33" s="61"/>
      <c r="AD33" s="61"/>
      <c r="AE33" s="61"/>
      <c r="AF33" s="61"/>
      <c r="AG33" s="61"/>
    </row>
    <row r="34" customHeight="1" spans="1:33">
      <c r="A34" s="21">
        <v>10252106</v>
      </c>
      <c r="B34" s="86" t="s">
        <v>43</v>
      </c>
      <c r="C34" s="21" t="s">
        <v>20</v>
      </c>
      <c r="D34" s="21" t="s">
        <v>21</v>
      </c>
      <c r="E34" s="54" t="str">
        <f t="array" ref="E34">_xlfn.XLOOKUP(A34,'Schedule Wk 47'!A:A,'Schedule Wk 47'!E:E,"")</f>
        <v>FT</v>
      </c>
      <c r="F34" s="103">
        <f t="array" ref="F34">_xlfn.XLOOKUP(A34,'Schedule Wk 47'!A:A,'Schedule Wk 47'!F:F,"")</f>
        <v>2</v>
      </c>
      <c r="G34" s="21" t="s">
        <v>23</v>
      </c>
      <c r="H34" s="21" t="s">
        <v>23</v>
      </c>
      <c r="I34" s="54">
        <v>0.375</v>
      </c>
      <c r="J34" s="54">
        <v>0.75</v>
      </c>
      <c r="K34" s="21" t="s">
        <v>23</v>
      </c>
      <c r="L34" s="21" t="s">
        <v>23</v>
      </c>
      <c r="M34" s="54">
        <v>0.375</v>
      </c>
      <c r="N34" s="54">
        <v>0.75</v>
      </c>
      <c r="O34" s="54">
        <v>0.375</v>
      </c>
      <c r="P34" s="54">
        <v>0.75</v>
      </c>
      <c r="Q34" s="54">
        <v>0.458333333333333</v>
      </c>
      <c r="R34" s="54">
        <v>0.666666666666667</v>
      </c>
      <c r="S34" s="54">
        <v>0.458333333333333</v>
      </c>
      <c r="T34" s="54">
        <v>0.666666666666667</v>
      </c>
      <c r="U34" s="21">
        <f>IFERROR(__xludf.DUMMYFUNCTION("TO_PURE_NUMBER(SUM(FILTER(G34:T34, ISEVEN(COLUMN(G34:T34))))-SUM(FILTER(G34:T34, ISODD(COLUMN(G34:T34)))))*24"),37)</f>
        <v>37</v>
      </c>
      <c r="V34" s="17">
        <f t="array" ref="V34">_xlfn.XLOOKUP(A34,'WK 47'!A:A,'WK 47'!V:V,"")</f>
        <v>37</v>
      </c>
      <c r="W34" s="17" t="str">
        <f t="array" ref="W34">_xlfn.XLOOKUP(A34,'WK 47'!A:A,'WK 47'!AA:AA,"")</f>
        <v>early</v>
      </c>
      <c r="X34" s="7">
        <f t="shared" si="4"/>
        <v>0</v>
      </c>
      <c r="Y34" s="20">
        <v>0.375</v>
      </c>
      <c r="Z34" s="61"/>
      <c r="AA34" s="61"/>
      <c r="AB34" s="61"/>
      <c r="AC34" s="61"/>
      <c r="AD34" s="61"/>
      <c r="AE34" s="61"/>
      <c r="AF34" s="61"/>
      <c r="AG34" s="61"/>
    </row>
    <row r="35" customHeight="1" spans="1:33">
      <c r="A35" s="21">
        <v>10317153</v>
      </c>
      <c r="B35" s="86" t="s">
        <v>42</v>
      </c>
      <c r="C35" s="21" t="s">
        <v>20</v>
      </c>
      <c r="D35" s="21" t="s">
        <v>21</v>
      </c>
      <c r="E35" s="54" t="str">
        <f t="array" ref="E35">_xlfn.XLOOKUP(A35,'Schedule Wk 47'!A:A,'Schedule Wk 47'!E:E,"")</f>
        <v>FT</v>
      </c>
      <c r="F35" s="103">
        <f t="array" ref="F35">_xlfn.XLOOKUP(A35,'Schedule Wk 47'!A:A,'Schedule Wk 47'!F:F,"")</f>
        <v>1</v>
      </c>
      <c r="G35" s="21" t="s">
        <v>23</v>
      </c>
      <c r="H35" s="21" t="s">
        <v>23</v>
      </c>
      <c r="I35" s="54">
        <v>0.375</v>
      </c>
      <c r="J35" s="54">
        <v>0.791666666666667</v>
      </c>
      <c r="K35" s="54">
        <v>0.375</v>
      </c>
      <c r="L35" s="54">
        <v>0.791666666666667</v>
      </c>
      <c r="M35" s="54">
        <v>0.375</v>
      </c>
      <c r="N35" s="54">
        <v>0.791666666666667</v>
      </c>
      <c r="O35" s="54">
        <v>0.375</v>
      </c>
      <c r="P35" s="54">
        <v>0.791666666666667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ISODD(COLUMN(G35:T35)))))*24"),44.9999999999999)</f>
        <v>44.9999999999999</v>
      </c>
      <c r="V35" s="17">
        <f t="array" ref="V35">_xlfn.XLOOKUP(A35,'WK 47'!A:A,'WK 47'!V:V,"")</f>
        <v>45</v>
      </c>
      <c r="W35" s="17" t="str">
        <f t="array" ref="W35">_xlfn.XLOOKUP(A35,'WK 47'!A:A,'WK 47'!AA:AA,"")</f>
        <v>early</v>
      </c>
      <c r="X35" s="7">
        <f t="shared" si="4"/>
        <v>9.9475983006414e-14</v>
      </c>
      <c r="Y35" s="20">
        <v>0.416666666666667</v>
      </c>
      <c r="Z35" s="61"/>
      <c r="AA35" s="61"/>
      <c r="AB35" s="61"/>
      <c r="AC35" s="61"/>
      <c r="AD35" s="61"/>
      <c r="AE35" s="61"/>
      <c r="AF35" s="61"/>
      <c r="AG35" s="61"/>
    </row>
    <row r="36" customHeight="1" spans="1:33">
      <c r="A36" s="21">
        <v>10316543</v>
      </c>
      <c r="B36" s="86" t="s">
        <v>41</v>
      </c>
      <c r="C36" s="21" t="s">
        <v>20</v>
      </c>
      <c r="D36" s="21" t="s">
        <v>21</v>
      </c>
      <c r="E36" s="54" t="str">
        <f t="array" ref="E36">_xlfn.XLOOKUP(A36,'Schedule Wk 47'!A:A,'Schedule Wk 47'!E:E,"")</f>
        <v>FT</v>
      </c>
      <c r="F36" s="103">
        <f t="array" ref="F36">_xlfn.XLOOKUP(A36,'Schedule Wk 47'!A:A,'Schedule Wk 47'!F:F,"")</f>
        <v>1</v>
      </c>
      <c r="G36" s="54">
        <v>0.458333333333333</v>
      </c>
      <c r="H36" s="54">
        <v>0.875</v>
      </c>
      <c r="I36" s="54">
        <v>0.458333333333333</v>
      </c>
      <c r="J36" s="54">
        <v>0.875</v>
      </c>
      <c r="K36" s="54">
        <v>0.458333333333333</v>
      </c>
      <c r="L36" s="54">
        <v>0.875</v>
      </c>
      <c r="M36" s="54">
        <v>0.458333333333333</v>
      </c>
      <c r="N36" s="54">
        <v>0.875</v>
      </c>
      <c r="O36" s="21" t="s">
        <v>23</v>
      </c>
      <c r="P36" s="21" t="s">
        <v>23</v>
      </c>
      <c r="Q36" s="21" t="s">
        <v>23</v>
      </c>
      <c r="R36" s="21" t="s">
        <v>23</v>
      </c>
      <c r="S36" s="54">
        <v>0.458333333333333</v>
      </c>
      <c r="T36" s="54">
        <v>0.666666666666667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17" t="str">
        <f t="array" ref="W36">_xlfn.XLOOKUP(A36,'WK 47'!A:A,'WK 47'!AA:AA,"")</f>
        <v>late</v>
      </c>
      <c r="X36" s="7">
        <f t="shared" si="4"/>
        <v>0</v>
      </c>
      <c r="Y36" s="20">
        <v>0.416666666666667</v>
      </c>
      <c r="Z36" s="61"/>
      <c r="AA36" s="61"/>
      <c r="AB36" s="61"/>
      <c r="AC36" s="61"/>
      <c r="AD36" s="61"/>
      <c r="AE36" s="61"/>
      <c r="AF36" s="61"/>
      <c r="AG36" s="61"/>
    </row>
    <row r="37" customHeight="1" spans="1:33">
      <c r="A37" s="21">
        <v>10250966</v>
      </c>
      <c r="B37" s="86" t="s">
        <v>61</v>
      </c>
      <c r="C37" s="21" t="s">
        <v>20</v>
      </c>
      <c r="D37" s="21" t="s">
        <v>21</v>
      </c>
      <c r="E37" s="54" t="str">
        <f t="array" ref="E37">_xlfn.XLOOKUP(A37,'Schedule Wk 47'!A:A,'Schedule Wk 47'!E:E,"")</f>
        <v>FT</v>
      </c>
      <c r="F37" s="103">
        <f t="array" ref="F37">_xlfn.XLOOKUP(A37,'Schedule Wk 47'!A:A,'Schedule Wk 47'!F:F,"")</f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17" t="str">
        <f t="array" ref="W37">_xlfn.XLOOKUP(A37,'WK 47'!A:A,'WK 47'!AA:AA,"")</f>
        <v>early</v>
      </c>
      <c r="X37" s="7">
        <f t="shared" si="4"/>
        <v>0</v>
      </c>
      <c r="Y37" s="20">
        <v>0.416666666666667</v>
      </c>
      <c r="Z37" s="61"/>
      <c r="AA37" s="61"/>
      <c r="AB37" s="61"/>
      <c r="AC37" s="61"/>
      <c r="AD37" s="61"/>
      <c r="AE37" s="61"/>
      <c r="AF37" s="61"/>
      <c r="AG37" s="61"/>
    </row>
    <row r="38" customHeight="1" spans="1:33">
      <c r="A38" s="21">
        <v>10317943</v>
      </c>
      <c r="B38" s="86" t="s">
        <v>27</v>
      </c>
      <c r="C38" s="21" t="s">
        <v>20</v>
      </c>
      <c r="D38" s="21" t="s">
        <v>21</v>
      </c>
      <c r="E38" s="54" t="str">
        <f t="array" ref="E38">_xlfn.XLOOKUP(A38,'Schedule Wk 47'!A:A,'Schedule Wk 47'!E:E,"")</f>
        <v>FT</v>
      </c>
      <c r="F38" s="103">
        <f t="array" ref="F38">_xlfn.XLOOKUP(A38,'Schedule Wk 47'!A:A,'Schedule Wk 47'!F:F,"")</f>
        <v>2</v>
      </c>
      <c r="G38" s="54">
        <v>0.458333333333333</v>
      </c>
      <c r="H38" s="54">
        <v>0.875</v>
      </c>
      <c r="I38" s="54">
        <v>0.458333333333333</v>
      </c>
      <c r="J38" s="54">
        <v>0.875</v>
      </c>
      <c r="K38" s="54">
        <v>0.458333333333333</v>
      </c>
      <c r="L38" s="54">
        <v>0.875</v>
      </c>
      <c r="M38" s="54">
        <v>0.458333333333333</v>
      </c>
      <c r="N38" s="54">
        <v>0.875</v>
      </c>
      <c r="O38" s="21" t="s">
        <v>23</v>
      </c>
      <c r="P38" s="21" t="s">
        <v>23</v>
      </c>
      <c r="Q38" s="21" t="s">
        <v>23</v>
      </c>
      <c r="R38" s="21" t="s">
        <v>23</v>
      </c>
      <c r="S38" s="54">
        <v>0.458333333333333</v>
      </c>
      <c r="T38" s="54">
        <v>0.666666666666667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17" t="str">
        <f t="array" ref="W38">_xlfn.XLOOKUP(A38,'WK 47'!A:A,'WK 47'!AA:AA,"")</f>
        <v>early</v>
      </c>
      <c r="X38" s="7">
        <f t="shared" si="4"/>
        <v>0</v>
      </c>
      <c r="Y38" s="20">
        <v>0.416666666666667</v>
      </c>
      <c r="Z38" s="61"/>
      <c r="AA38" s="61"/>
      <c r="AB38" s="61"/>
      <c r="AC38" s="61"/>
      <c r="AD38" s="61"/>
      <c r="AE38" s="61"/>
      <c r="AF38" s="61"/>
      <c r="AG38" s="61"/>
    </row>
    <row r="39" customHeight="1" spans="1:33">
      <c r="A39" s="21">
        <v>10316530</v>
      </c>
      <c r="B39" s="86" t="s">
        <v>26</v>
      </c>
      <c r="C39" s="21" t="s">
        <v>20</v>
      </c>
      <c r="D39" s="21" t="s">
        <v>21</v>
      </c>
      <c r="E39" s="54" t="str">
        <f t="array" ref="E39">_xlfn.XLOOKUP(A39,'Schedule Wk 47'!A:A,'Schedule Wk 47'!E:E,"")</f>
        <v>FT</v>
      </c>
      <c r="F39" s="103">
        <f t="array" ref="F39">_xlfn.XLOOKUP(A39,'Schedule Wk 47'!A:A,'Schedule Wk 47'!F:F,"")</f>
        <v>1</v>
      </c>
      <c r="G39" s="21" t="s">
        <v>23</v>
      </c>
      <c r="H39" s="21" t="s">
        <v>23</v>
      </c>
      <c r="I39" s="54">
        <v>0.458333333333333</v>
      </c>
      <c r="J39" s="54">
        <v>0.875</v>
      </c>
      <c r="K39" s="54">
        <v>0.458333333333333</v>
      </c>
      <c r="L39" s="54">
        <v>0.875</v>
      </c>
      <c r="M39" s="54">
        <v>0.458333333333333</v>
      </c>
      <c r="N39" s="54">
        <v>0.875</v>
      </c>
      <c r="O39" s="54">
        <v>0.458333333333333</v>
      </c>
      <c r="P39" s="54"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17" t="str">
        <f t="array" ref="W39">_xlfn.XLOOKUP(A39,'WK 47'!A:A,'WK 47'!AA:AA,"")</f>
        <v>late</v>
      </c>
      <c r="X39" s="7">
        <f t="shared" si="4"/>
        <v>0</v>
      </c>
      <c r="Y39" s="20">
        <v>0.416666666666667</v>
      </c>
      <c r="Z39" s="61"/>
      <c r="AA39" s="61"/>
      <c r="AB39" s="61"/>
      <c r="AC39" s="61"/>
      <c r="AD39" s="61"/>
      <c r="AE39" s="61"/>
      <c r="AF39" s="61"/>
      <c r="AG39" s="61"/>
    </row>
    <row r="40" customHeight="1" spans="1:33">
      <c r="A40" s="21">
        <v>10316681</v>
      </c>
      <c r="B40" s="86" t="s">
        <v>38</v>
      </c>
      <c r="C40" s="21" t="s">
        <v>89</v>
      </c>
      <c r="D40" s="21" t="s">
        <v>21</v>
      </c>
      <c r="E40" s="54" t="str">
        <f t="array" ref="E40">_xlfn.XLOOKUP(A40,'Schedule Wk 47'!A:A,'Schedule Wk 47'!E:E,"")</f>
        <v>FT</v>
      </c>
      <c r="F40" s="103">
        <f t="array" ref="F40">_xlfn.XLOOKUP(A40,'Schedule Wk 47'!A:A,'Schedule Wk 47'!F:F,"")</f>
        <v>1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17" t="str">
        <f t="array" ref="W40">_xlfn.XLOOKUP(A40,'WK 47'!A:A,'WK 47'!AA:AA,"")</f>
        <v>early</v>
      </c>
      <c r="X40" s="7">
        <f t="shared" si="4"/>
        <v>0</v>
      </c>
      <c r="Y40" s="20">
        <f t="array" ref="Y40">_xlfn.XLOOKUP(A40,'WK 45'!A:A,'WK 45'!X:X,"")</f>
        <v>0.375</v>
      </c>
      <c r="Z40" s="61"/>
      <c r="AA40" s="61"/>
      <c r="AB40" s="61"/>
      <c r="AC40" s="61"/>
      <c r="AD40" s="61"/>
      <c r="AE40" s="61"/>
      <c r="AF40" s="61"/>
      <c r="AG40" s="61"/>
    </row>
    <row r="41" customHeight="1" spans="1:33">
      <c r="A41" s="21">
        <v>10320414</v>
      </c>
      <c r="B41" s="86" t="s">
        <v>62</v>
      </c>
      <c r="C41" s="21" t="s">
        <v>20</v>
      </c>
      <c r="D41" s="21" t="s">
        <v>21</v>
      </c>
      <c r="E41" s="54" t="str">
        <f t="array" ref="E41">_xlfn.XLOOKUP(A41,'Schedule Wk 47'!A:A,'Schedule Wk 47'!E:E,"")</f>
        <v>FT</v>
      </c>
      <c r="F41" s="103">
        <f t="array" ref="F41">_xlfn.XLOOKUP(A41,'Schedule Wk 47'!A:A,'Schedule Wk 47'!F:F,"")</f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f>IFERROR(__xludf.DUMMYFUNCTION("TO_PURE_NUMBER(SUM(FILTER(G41:T41, ISEVEN(COLUMN(G41:T41))))-SUM(FILTER(G41:T41, ISODD(COLUMN(G41:T41)))))*24"),45)</f>
        <v>45</v>
      </c>
      <c r="V41" s="17">
        <f t="array" ref="V41">_xlfn.XLOOKUP(A41,'WK 47'!A:A,'WK 47'!V:V,"")</f>
        <v>45</v>
      </c>
      <c r="W41" s="17" t="str">
        <f t="array" ref="W41">_xlfn.XLOOKUP(A41,'WK 47'!A:A,'WK 47'!AA:AA,"")</f>
        <v>early</v>
      </c>
      <c r="X41" s="7">
        <f t="shared" si="4"/>
        <v>0</v>
      </c>
      <c r="Y41" s="20">
        <v>0.416666666666667</v>
      </c>
      <c r="Z41" s="61"/>
      <c r="AA41" s="61"/>
      <c r="AB41" s="61"/>
      <c r="AC41" s="61"/>
      <c r="AD41" s="61"/>
      <c r="AE41" s="61"/>
      <c r="AF41" s="61"/>
      <c r="AG41" s="61"/>
    </row>
    <row r="42" customHeight="1" spans="1:33">
      <c r="A42" s="21">
        <v>10295555</v>
      </c>
      <c r="B42" s="86" t="s">
        <v>34</v>
      </c>
      <c r="C42" s="21" t="s">
        <v>20</v>
      </c>
      <c r="D42" s="21" t="s">
        <v>21</v>
      </c>
      <c r="E42" s="54" t="str">
        <f t="array" ref="E42">_xlfn.XLOOKUP(A42,'Schedule Wk 47'!A:A,'Schedule Wk 47'!E:E,"")</f>
        <v>PT</v>
      </c>
      <c r="F42" s="103">
        <f t="array" ref="F42">_xlfn.XLOOKUP(A42,'Schedule Wk 47'!A:A,'Schedule Wk 47'!F:F,"")</f>
        <v>2</v>
      </c>
      <c r="G42" s="54">
        <v>0.375</v>
      </c>
      <c r="H42" s="54">
        <v>0.583333333333333</v>
      </c>
      <c r="I42" s="54">
        <v>0.375</v>
      </c>
      <c r="J42" s="54">
        <v>0.583333333333333</v>
      </c>
      <c r="K42" s="54">
        <v>0.375</v>
      </c>
      <c r="L42" s="54">
        <v>0.583333333333333</v>
      </c>
      <c r="M42" s="21" t="s">
        <v>23</v>
      </c>
      <c r="N42" s="21" t="s">
        <v>23</v>
      </c>
      <c r="O42" s="21" t="s">
        <v>23</v>
      </c>
      <c r="P42" s="21" t="s">
        <v>23</v>
      </c>
      <c r="Q42" s="54">
        <v>0.458333333333333</v>
      </c>
      <c r="R42" s="54">
        <v>0.666666666666667</v>
      </c>
      <c r="S42" s="54">
        <v>0.458333333333333</v>
      </c>
      <c r="T42" s="54">
        <v>0.666666666666667</v>
      </c>
      <c r="U42" s="21">
        <f>IFERROR(__xludf.DUMMYFUNCTION("TO_PURE_NUMBER(SUM(FILTER(G42:T42, ISEVEN(COLUMN(G42:T42))))-SUM(FILTER(G42:T42, ISODD(COLUMN(G42:T42)))))*24"),24.9999999999999)</f>
        <v>24.9999999999999</v>
      </c>
      <c r="V42" s="17">
        <f t="array" ref="V42">_xlfn.XLOOKUP(A42,'WK 47'!A:A,'WK 47'!V:V,"")</f>
        <v>25</v>
      </c>
      <c r="W42" s="17" t="str">
        <f t="array" ref="W42">_xlfn.XLOOKUP(A42,'WK 47'!A:A,'WK 47'!AA:AA,"")</f>
        <v/>
      </c>
      <c r="X42" s="17">
        <f t="shared" si="4"/>
        <v>9.9475983006414e-14</v>
      </c>
      <c r="Y42" s="20">
        <f t="array" ref="Y42">_xlfn.XLOOKUP(A42,'WK 45'!A:A,'WK 45'!X:X,"")</f>
        <v>0.208333333333333</v>
      </c>
      <c r="Z42" s="61"/>
      <c r="AA42" s="61"/>
      <c r="AB42" s="61"/>
      <c r="AC42" s="61"/>
      <c r="AD42" s="61"/>
      <c r="AE42" s="61"/>
      <c r="AF42" s="61"/>
      <c r="AG42" s="61"/>
    </row>
    <row r="43" customHeight="1" spans="1:33">
      <c r="A43" s="21">
        <v>10250963</v>
      </c>
      <c r="B43" s="86" t="s">
        <v>25</v>
      </c>
      <c r="C43" s="21" t="s">
        <v>20</v>
      </c>
      <c r="D43" s="21" t="s">
        <v>21</v>
      </c>
      <c r="E43" s="54" t="str">
        <f t="array" ref="E43">_xlfn.XLOOKUP(A43,'Schedule Wk 47'!A:A,'Schedule Wk 47'!E:E,"")</f>
        <v>FT</v>
      </c>
      <c r="F43" s="103">
        <f t="array" ref="F43">_xlfn.XLOOKUP(A43,'Schedule Wk 47'!A:A,'Schedule Wk 47'!F:F,"")</f>
        <v>1</v>
      </c>
      <c r="G43" s="21" t="s">
        <v>23</v>
      </c>
      <c r="H43" s="21" t="s">
        <v>23</v>
      </c>
      <c r="I43" s="54">
        <v>0.458333333333333</v>
      </c>
      <c r="J43" s="54">
        <v>0.875</v>
      </c>
      <c r="K43" s="54">
        <v>0.458333333333333</v>
      </c>
      <c r="L43" s="54">
        <v>0.875</v>
      </c>
      <c r="M43" s="54">
        <v>0.458333333333333</v>
      </c>
      <c r="N43" s="54">
        <v>0.875</v>
      </c>
      <c r="O43" s="54">
        <v>0.458333333333333</v>
      </c>
      <c r="P43" s="54"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17" t="str">
        <f t="array" ref="W43">_xlfn.XLOOKUP(A43,'WK 47'!A:A,'WK 47'!AA:AA,"")</f>
        <v>late</v>
      </c>
      <c r="X43" s="7">
        <f t="shared" si="4"/>
        <v>0</v>
      </c>
      <c r="Y43" s="20">
        <v>0.416666666666667</v>
      </c>
      <c r="Z43" s="61"/>
      <c r="AA43" s="61"/>
      <c r="AB43" s="61"/>
      <c r="AC43" s="61"/>
      <c r="AD43" s="61"/>
      <c r="AE43" s="61"/>
      <c r="AF43" s="61"/>
      <c r="AG43" s="61"/>
    </row>
    <row r="44" customHeight="1" spans="1:33">
      <c r="A44" s="21">
        <v>10316618</v>
      </c>
      <c r="B44" s="86" t="s">
        <v>33</v>
      </c>
      <c r="C44" s="21" t="s">
        <v>20</v>
      </c>
      <c r="D44" s="21" t="s">
        <v>86</v>
      </c>
      <c r="E44" s="54" t="str">
        <f t="array" ref="E44">_xlfn.XLOOKUP(A44,'Schedule Wk 47'!A:A,'Schedule Wk 47'!E:E,"")</f>
        <v>FT</v>
      </c>
      <c r="F44" s="103">
        <f t="array" ref="F44">_xlfn.XLOOKUP(A44,'Schedule Wk 47'!A:A,'Schedule Wk 47'!F:F,"")</f>
        <v>1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114" t="s">
        <v>23</v>
      </c>
      <c r="R44" s="114" t="s">
        <v>23</v>
      </c>
      <c r="S44" s="114" t="s">
        <v>23</v>
      </c>
      <c r="T44" s="114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17" t="str">
        <f t="array" ref="W44">_xlfn.XLOOKUP(A44,'WK 47'!A:A,'WK 47'!AA:AA,"")</f>
        <v>late</v>
      </c>
      <c r="X44" s="7">
        <f t="shared" si="4"/>
        <v>0</v>
      </c>
      <c r="Y44" s="20">
        <f t="array" ref="Y44">_xlfn.XLOOKUP(A44,'WK 45'!A:A,'WK 45'!X:X,"")</f>
        <v>0.416666666666667</v>
      </c>
      <c r="Z44" s="61"/>
      <c r="AA44" s="61"/>
      <c r="AB44" s="61"/>
      <c r="AC44" s="61"/>
      <c r="AD44" s="61"/>
      <c r="AE44" s="61"/>
      <c r="AF44" s="61"/>
      <c r="AG44" s="61"/>
    </row>
    <row r="45" customHeight="1" spans="1:33">
      <c r="A45" s="21">
        <v>10320418</v>
      </c>
      <c r="B45" s="86" t="s">
        <v>68</v>
      </c>
      <c r="C45" s="21" t="s">
        <v>20</v>
      </c>
      <c r="D45" s="21" t="s">
        <v>21</v>
      </c>
      <c r="E45" s="54" t="str">
        <f t="array" ref="E45">_xlfn.XLOOKUP(A45,'Schedule Wk 47'!A:A,'Schedule Wk 47'!E:E,"")</f>
        <v>FT</v>
      </c>
      <c r="F45" s="103">
        <f t="array" ref="F45">_xlfn.XLOOKUP(A45,'Schedule Wk 47'!A:A,'Schedule Wk 47'!F:F,"")</f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17" t="str">
        <f t="array" ref="W45">_xlfn.XLOOKUP(A45,'WK 47'!A:A,'WK 47'!AA:AA,"")</f>
        <v>early</v>
      </c>
      <c r="X45" s="7">
        <f t="shared" si="4"/>
        <v>0</v>
      </c>
      <c r="Y45" s="20">
        <v>0.416666666666667</v>
      </c>
      <c r="Z45" s="61"/>
      <c r="AA45" s="61"/>
      <c r="AB45" s="61"/>
      <c r="AC45" s="61"/>
      <c r="AD45" s="61"/>
      <c r="AE45" s="61"/>
      <c r="AF45" s="61"/>
      <c r="AG45" s="61"/>
    </row>
    <row r="46" customHeight="1" spans="1:33">
      <c r="A46" s="21">
        <v>10320412</v>
      </c>
      <c r="B46" s="86" t="s">
        <v>59</v>
      </c>
      <c r="C46" s="21" t="s">
        <v>20</v>
      </c>
      <c r="D46" s="21" t="s">
        <v>21</v>
      </c>
      <c r="E46" s="54" t="str">
        <f t="array" ref="E46">_xlfn.XLOOKUP(A46,'Schedule Wk 47'!A:A,'Schedule Wk 47'!E:E,"")</f>
        <v>FT</v>
      </c>
      <c r="F46" s="103">
        <f t="array" ref="F46">_xlfn.XLOOKUP(A46,'Schedule Wk 47'!A:A,'Schedule Wk 47'!F:F,"")</f>
        <v>3</v>
      </c>
      <c r="G46" s="54">
        <v>0.5</v>
      </c>
      <c r="H46" s="54">
        <v>0.875</v>
      </c>
      <c r="I46" s="54">
        <v>0.5</v>
      </c>
      <c r="J46" s="54">
        <v>0.875</v>
      </c>
      <c r="K46" s="54">
        <v>0.5</v>
      </c>
      <c r="L46" s="54">
        <v>0.875</v>
      </c>
      <c r="M46" s="54">
        <v>0.5</v>
      </c>
      <c r="N46" s="54">
        <v>0.875</v>
      </c>
      <c r="O46" s="54">
        <v>0.5</v>
      </c>
      <c r="P46" s="54">
        <v>0.875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17" t="str">
        <f t="array" ref="W46">_xlfn.XLOOKUP(A46,'WK 47'!A:A,'WK 47'!AA:AA,"")</f>
        <v>early</v>
      </c>
      <c r="X46" s="7">
        <f t="shared" si="4"/>
        <v>0</v>
      </c>
      <c r="Y46" s="20">
        <v>0.375</v>
      </c>
      <c r="Z46" s="61"/>
      <c r="AA46" s="61"/>
      <c r="AB46" s="61"/>
      <c r="AC46" s="61"/>
      <c r="AD46" s="61"/>
      <c r="AE46" s="61"/>
      <c r="AF46" s="61"/>
      <c r="AG46" s="61"/>
    </row>
    <row r="47" customHeight="1" spans="1:33">
      <c r="A47" s="21">
        <v>10272259</v>
      </c>
      <c r="B47" s="86" t="s">
        <v>32</v>
      </c>
      <c r="C47" s="21" t="s">
        <v>20</v>
      </c>
      <c r="D47" s="21" t="s">
        <v>21</v>
      </c>
      <c r="E47" s="54" t="str">
        <f t="array" ref="E47">_xlfn.XLOOKUP(A47,'Schedule Wk 47'!A:A,'Schedule Wk 47'!E:E,"")</f>
        <v>FT</v>
      </c>
      <c r="F47" s="103">
        <f t="array" ref="F47">_xlfn.XLOOKUP(A47,'Schedule Wk 47'!A:A,'Schedule Wk 47'!F:F,"")</f>
        <v>2</v>
      </c>
      <c r="G47" s="54">
        <v>0.5</v>
      </c>
      <c r="H47" s="54">
        <v>0.875</v>
      </c>
      <c r="I47" s="21" t="s">
        <v>23</v>
      </c>
      <c r="J47" s="21" t="s">
        <v>23</v>
      </c>
      <c r="K47" s="21" t="s">
        <v>23</v>
      </c>
      <c r="L47" s="21" t="s">
        <v>23</v>
      </c>
      <c r="M47" s="54">
        <v>0.5</v>
      </c>
      <c r="N47" s="54">
        <v>0.875</v>
      </c>
      <c r="O47" s="54">
        <v>0.5</v>
      </c>
      <c r="P47" s="54">
        <v>0.875</v>
      </c>
      <c r="Q47" s="54">
        <v>0.458333333333333</v>
      </c>
      <c r="R47" s="54">
        <v>0.666666666666667</v>
      </c>
      <c r="S47" s="54">
        <v>0.458333333333333</v>
      </c>
      <c r="T47" s="54">
        <v>0.666666666666667</v>
      </c>
      <c r="U47" s="21">
        <f>IFERROR(__xludf.DUMMYFUNCTION("TO_PURE_NUMBER(SUM(FILTER(G47:T47, ISEVEN(COLUMN(G47:T47))))-SUM(FILTER(G47:T47, ISODD(COLUMN(G47:T47)))))*24"),37)</f>
        <v>37</v>
      </c>
      <c r="V47" s="17">
        <f t="array" ref="V47">_xlfn.XLOOKUP(A47,'WK 47'!A:A,'WK 47'!V:V,"")</f>
        <v>37</v>
      </c>
      <c r="W47" s="17" t="str">
        <f t="array" ref="W47">_xlfn.XLOOKUP(A47,'WK 47'!A:A,'WK 47'!AA:AA,"")</f>
        <v/>
      </c>
      <c r="X47" s="7">
        <f t="shared" si="4"/>
        <v>0</v>
      </c>
      <c r="Y47" s="20">
        <v>0.416666666666667</v>
      </c>
      <c r="Z47" s="61"/>
      <c r="AA47" s="61"/>
      <c r="AB47" s="61"/>
      <c r="AC47" s="61"/>
      <c r="AD47" s="61"/>
      <c r="AE47" s="61"/>
      <c r="AF47" s="61"/>
      <c r="AG47" s="61"/>
    </row>
    <row r="48" customHeight="1" spans="1:33">
      <c r="A48" s="21">
        <v>10320408</v>
      </c>
      <c r="B48" s="86" t="s">
        <v>56</v>
      </c>
      <c r="C48" s="21" t="s">
        <v>20</v>
      </c>
      <c r="D48" s="21" t="s">
        <v>21</v>
      </c>
      <c r="E48" s="54" t="str">
        <f t="array" ref="E48">_xlfn.XLOOKUP(A48,'Schedule Wk 47'!A:A,'Schedule Wk 47'!E:E,"")</f>
        <v>FT</v>
      </c>
      <c r="F48" s="103">
        <f t="array" ref="F48">_xlfn.XLOOKUP(A48,'Schedule Wk 47'!A:A,'Schedule Wk 47'!F:F,"")</f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f>IFERROR(__xludf.DUMMYFUNCTION("TO_PURE_NUMBER(SUM(FILTER(G48:T48, ISEVEN(COLUMN(G48:T48))))-SUM(FILTER(G48:T48, ISODD(COLUMN(G48:T48)))))*24"),45)</f>
        <v>45</v>
      </c>
      <c r="V48" s="17">
        <f t="array" ref="V48">_xlfn.XLOOKUP(A48,'WK 47'!A:A,'WK 47'!V:V,"")</f>
        <v>45</v>
      </c>
      <c r="W48" s="17" t="str">
        <f t="array" ref="W48">_xlfn.XLOOKUP(A48,'WK 47'!A:A,'WK 47'!AA:AA,"")</f>
        <v>early</v>
      </c>
      <c r="X48" s="7">
        <f t="shared" si="4"/>
        <v>0</v>
      </c>
      <c r="Y48" s="20">
        <v>0.416666666666667</v>
      </c>
      <c r="Z48" s="61"/>
      <c r="AA48" s="61"/>
      <c r="AB48" s="61"/>
      <c r="AC48" s="61"/>
      <c r="AD48" s="61"/>
      <c r="AE48" s="61"/>
      <c r="AF48" s="61"/>
      <c r="AG48" s="61"/>
    </row>
    <row r="49" customHeight="1" spans="1:33">
      <c r="A49" s="21">
        <v>10316549</v>
      </c>
      <c r="B49" s="86" t="s">
        <v>19</v>
      </c>
      <c r="C49" s="21" t="s">
        <v>20</v>
      </c>
      <c r="D49" s="21" t="s">
        <v>86</v>
      </c>
      <c r="E49" s="54" t="str">
        <f t="array" ref="E49">_xlfn.XLOOKUP(A49,'Schedule Wk 47'!A:A,'Schedule Wk 47'!E:E,"")</f>
        <v>FT</v>
      </c>
      <c r="F49" s="103">
        <f t="array" ref="F49">_xlfn.XLOOKUP(A49,'Schedule Wk 47'!A:A,'Schedule Wk 47'!F:F,"")</f>
        <v>1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114" t="s">
        <v>23</v>
      </c>
      <c r="R49" s="114" t="s">
        <v>23</v>
      </c>
      <c r="S49" s="114" t="s">
        <v>23</v>
      </c>
      <c r="T49" s="114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17" t="str">
        <f t="array" ref="W49">_xlfn.XLOOKUP(A49,'WK 47'!A:A,'WK 47'!AA:AA,"")</f>
        <v>late</v>
      </c>
      <c r="X49" s="7">
        <f t="shared" si="4"/>
        <v>0</v>
      </c>
      <c r="Y49" s="20">
        <f t="array" ref="Y49">_xlfn.XLOOKUP(A49,'WK 45'!A:A,'WK 45'!X:X,"")</f>
        <v>0.416666666666667</v>
      </c>
      <c r="Z49" s="61"/>
      <c r="AA49" s="61"/>
      <c r="AB49" s="61"/>
      <c r="AC49" s="61"/>
      <c r="AD49" s="61"/>
      <c r="AE49" s="61"/>
      <c r="AF49" s="61"/>
      <c r="AG49" s="61"/>
    </row>
    <row r="50" customHeight="1" spans="1:33">
      <c r="A50" s="21">
        <v>10320415</v>
      </c>
      <c r="B50" s="86" t="s">
        <v>63</v>
      </c>
      <c r="C50" s="21" t="s">
        <v>20</v>
      </c>
      <c r="D50" s="21" t="s">
        <v>21</v>
      </c>
      <c r="E50" s="54" t="str">
        <f t="array" ref="E50">_xlfn.XLOOKUP(A50,'Schedule Wk 47'!A:A,'Schedule Wk 47'!E:E,"")</f>
        <v>FT</v>
      </c>
      <c r="F50" s="103">
        <f t="array" ref="F50">_xlfn.XLOOKUP(A50,'Schedule Wk 47'!A:A,'Schedule Wk 47'!F:F,"")</f>
        <v>3</v>
      </c>
      <c r="G50" s="54">
        <v>0.5</v>
      </c>
      <c r="H50" s="54">
        <v>0.875</v>
      </c>
      <c r="I50" s="54">
        <v>0.5</v>
      </c>
      <c r="J50" s="54">
        <v>0.875</v>
      </c>
      <c r="K50" s="54">
        <v>0.5</v>
      </c>
      <c r="L50" s="54">
        <v>0.875</v>
      </c>
      <c r="M50" s="54">
        <v>0.5</v>
      </c>
      <c r="N50" s="54">
        <v>0.875</v>
      </c>
      <c r="O50" s="54">
        <v>0.5</v>
      </c>
      <c r="P50" s="54">
        <v>0.875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17" t="str">
        <f t="array" ref="W50">_xlfn.XLOOKUP(A50,'WK 47'!A:A,'WK 47'!AA:AA,"")</f>
        <v>early</v>
      </c>
      <c r="X50" s="7">
        <f t="shared" si="4"/>
        <v>0</v>
      </c>
      <c r="Y50" s="20">
        <v>0.416666666666667</v>
      </c>
      <c r="Z50" s="61"/>
      <c r="AA50" s="61"/>
      <c r="AB50" s="61"/>
      <c r="AC50" s="61"/>
      <c r="AD50" s="61"/>
      <c r="AE50" s="61"/>
      <c r="AF50" s="61"/>
      <c r="AG50" s="61"/>
    </row>
    <row r="51" customHeight="1" spans="1:33">
      <c r="A51" s="21">
        <v>10320410</v>
      </c>
      <c r="B51" s="86" t="s">
        <v>58</v>
      </c>
      <c r="C51" s="21" t="s">
        <v>20</v>
      </c>
      <c r="D51" s="21" t="s">
        <v>21</v>
      </c>
      <c r="E51" s="54" t="str">
        <f t="array" ref="E51">_xlfn.XLOOKUP(A51,'Schedule Wk 47'!A:A,'Schedule Wk 47'!E:E,"")</f>
        <v>FT</v>
      </c>
      <c r="F51" s="103">
        <f t="array" ref="F51">_xlfn.XLOOKUP(A51,'Schedule Wk 47'!A:A,'Schedule Wk 47'!F:F,"")</f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f>IFERROR(__xludf.DUMMYFUNCTION("TO_PURE_NUMBER(SUM(FILTER(G51:T51, ISEVEN(COLUMN(G51:T51))))-SUM(FILTER(G51:T51, ISODD(COLUMN(G51:T51)))))*24"),45)</f>
        <v>45</v>
      </c>
      <c r="V51" s="17">
        <f t="array" ref="V51">_xlfn.XLOOKUP(A51,'WK 47'!A:A,'WK 47'!V:V,"")</f>
        <v>45</v>
      </c>
      <c r="W51" s="17" t="str">
        <f t="array" ref="W51">_xlfn.XLOOKUP(A51,'WK 47'!A:A,'WK 47'!AA:AA,"")</f>
        <v>early</v>
      </c>
      <c r="X51" s="7">
        <f t="shared" si="4"/>
        <v>0</v>
      </c>
      <c r="Y51" s="17" t="str">
        <f t="array" ref="Y51">_xlfn.XLOOKUP(A51,'WK 45'!A:A,'WK 45'!X:X,"")</f>
        <v/>
      </c>
      <c r="Z51" s="61"/>
      <c r="AA51" s="61"/>
      <c r="AB51" s="61"/>
      <c r="AC51" s="61"/>
      <c r="AD51" s="61"/>
      <c r="AE51" s="61"/>
      <c r="AF51" s="61"/>
      <c r="AG51" s="61"/>
    </row>
    <row r="52" hidden="1" customHeight="1" spans="1:33">
      <c r="A52" s="2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hidden="1" customHeight="1" spans="1:33">
      <c r="A53" s="2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hidden="1" customHeight="1" spans="1:33">
      <c r="A54" s="21"/>
      <c r="B54" s="61"/>
      <c r="C54" s="61"/>
      <c r="D54" s="61"/>
      <c r="E54" s="7"/>
      <c r="F54" s="50" t="s">
        <v>6</v>
      </c>
      <c r="G54" s="50" t="s">
        <v>7</v>
      </c>
      <c r="H54" s="50" t="s">
        <v>8</v>
      </c>
      <c r="I54" s="50" t="s">
        <v>9</v>
      </c>
      <c r="J54" s="50" t="s">
        <v>10</v>
      </c>
      <c r="K54" s="50" t="s">
        <v>11</v>
      </c>
      <c r="L54" s="50" t="s">
        <v>12</v>
      </c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hidden="1" customHeight="1" spans="1:33">
      <c r="A55" s="21"/>
      <c r="B55" s="61"/>
      <c r="C55" s="61"/>
      <c r="D55" s="61"/>
      <c r="E55" s="7" t="s">
        <v>73</v>
      </c>
      <c r="F55" s="88">
        <v>309.9</v>
      </c>
      <c r="G55" s="88">
        <v>260.8</v>
      </c>
      <c r="H55" s="88">
        <v>254.7</v>
      </c>
      <c r="I55" s="88">
        <v>233.8</v>
      </c>
      <c r="J55" s="88">
        <v>251.8</v>
      </c>
      <c r="K55" s="88">
        <v>112</v>
      </c>
      <c r="L55" s="88">
        <v>69.8</v>
      </c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hidden="1" customHeight="1" spans="1:33">
      <c r="A56" s="21"/>
      <c r="B56" s="61"/>
      <c r="C56" s="61"/>
      <c r="D56" s="61"/>
      <c r="E56" s="7" t="s">
        <v>74</v>
      </c>
      <c r="F56" s="7">
        <f>F58*8</f>
        <v>312</v>
      </c>
      <c r="G56" s="7">
        <f t="shared" ref="G56:J56" si="6">G58*7.5</f>
        <v>292.5</v>
      </c>
      <c r="H56" s="7">
        <f t="shared" si="6"/>
        <v>255</v>
      </c>
      <c r="I56" s="7">
        <f t="shared" si="6"/>
        <v>300</v>
      </c>
      <c r="J56" s="7">
        <f t="shared" si="6"/>
        <v>292.5</v>
      </c>
      <c r="K56" s="7">
        <f t="shared" ref="K56:L56" si="7">K58*4.5</f>
        <v>90</v>
      </c>
      <c r="L56" s="7">
        <f t="shared" si="7"/>
        <v>85.5</v>
      </c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hidden="1" customHeight="1" spans="1:33">
      <c r="A57" s="21"/>
      <c r="B57" s="61"/>
      <c r="C57" s="61"/>
      <c r="D57" s="61"/>
      <c r="E57" s="7" t="s">
        <v>75</v>
      </c>
      <c r="F57" s="57">
        <f t="shared" ref="F57:L57" si="8">F56-F55</f>
        <v>2.10000000000002</v>
      </c>
      <c r="G57" s="57">
        <f t="shared" si="8"/>
        <v>31.7</v>
      </c>
      <c r="H57" s="57">
        <f t="shared" si="8"/>
        <v>0.300000000000011</v>
      </c>
      <c r="I57" s="57">
        <f t="shared" si="8"/>
        <v>66.2</v>
      </c>
      <c r="J57" s="57">
        <f t="shared" si="8"/>
        <v>40.7</v>
      </c>
      <c r="K57" s="57">
        <f t="shared" si="8"/>
        <v>-22</v>
      </c>
      <c r="L57" s="57">
        <f t="shared" si="8"/>
        <v>15.7</v>
      </c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hidden="1" customHeight="1" spans="1:33">
      <c r="A58" s="21"/>
      <c r="B58" s="61"/>
      <c r="C58" s="61"/>
      <c r="D58" s="61"/>
      <c r="E58" s="7" t="s">
        <v>76</v>
      </c>
      <c r="F58" s="7">
        <f>IFERROR(__xludf.DUMMYFUNCTION("COUNTA(FILTER($C$4:$C$51, $C$4:$C$51=""CSR"", G4:G51&lt;&gt;"""", NOT(ISTEXT(G4:G51))))"),39)</f>
        <v>39</v>
      </c>
      <c r="G58" s="7">
        <f>IFERROR(__xludf.DUMMYFUNCTION("COUNTA(FILTER($C$4:$C$51, $C$4:$C$51=""CSR"", I4:I51&lt;&gt;"""", NOT(ISTEXT(I4:I51))))"),39)</f>
        <v>39</v>
      </c>
      <c r="H58" s="7">
        <f>IFERROR(__xludf.DUMMYFUNCTION("COUNTA(FILTER($C$4:$C$51, $C$4:$C$51=""CSR"", K4:K51&lt;&gt;"""", NOT(ISTEXT(K4:K51))))"),34)</f>
        <v>34</v>
      </c>
      <c r="I58" s="7">
        <f>IFERROR(__xludf.DUMMYFUNCTION("COUNTA(FILTER($C$4:$C$51, $C$4:$C$51=""CSR"", M4:M51&lt;&gt;"""", NOT(ISTEXT(M4:M51))))"),40)</f>
        <v>40</v>
      </c>
      <c r="J58" s="7">
        <f>IFERROR(__xludf.DUMMYFUNCTION("COUNTA(FILTER($C$4:$C$51, $C$4:$C$51=""CSR"", O4:O51&lt;&gt;"""", NOT(ISTEXT(O4:O51))))"),39)</f>
        <v>39</v>
      </c>
      <c r="K58" s="7">
        <f>IFERROR(__xludf.DUMMYFUNCTION("COUNTA(FILTER($C$4:$C$51, $C$4:$C$51=""CSR"", Q4:Q51&lt;&gt;"""", NOT(ISTEXT(Q4:Q51))))"),20)</f>
        <v>20</v>
      </c>
      <c r="L58" s="7">
        <f>IFERROR(__xludf.DUMMYFUNCTION("COUNTA(FILTER($C$4:$C$51, $C$4:$C$51=""CSR"", S4:S51&lt;&gt;"""", NOT(ISTEXT(S4:S51))))"),19)</f>
        <v>19</v>
      </c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hidden="1" customHeight="1" spans="1:33">
      <c r="A59" s="21"/>
      <c r="B59" s="61"/>
      <c r="C59" s="61"/>
      <c r="D59" s="61"/>
      <c r="E59" s="7" t="s">
        <v>77</v>
      </c>
      <c r="F59" s="56">
        <f t="shared" ref="F59:J59" si="9">F55/8</f>
        <v>38.7375</v>
      </c>
      <c r="G59" s="56">
        <f t="shared" si="9"/>
        <v>32.6</v>
      </c>
      <c r="H59" s="56">
        <f t="shared" si="9"/>
        <v>31.8375</v>
      </c>
      <c r="I59" s="56">
        <f t="shared" si="9"/>
        <v>29.225</v>
      </c>
      <c r="J59" s="56">
        <f t="shared" si="9"/>
        <v>31.475</v>
      </c>
      <c r="K59" s="56">
        <f t="shared" ref="K59:L59" si="10">K55/4.5</f>
        <v>24.8888888888889</v>
      </c>
      <c r="L59" s="56">
        <f t="shared" si="10"/>
        <v>15.5111111111111</v>
      </c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 hidden="1" customHeight="1" spans="1:33">
      <c r="A60" s="21"/>
      <c r="B60" s="61"/>
      <c r="C60" s="61"/>
      <c r="D60" s="61"/>
      <c r="E60" s="7" t="s">
        <v>78</v>
      </c>
      <c r="F60" s="57">
        <f t="shared" ref="F60:L60" si="11">F58-F59</f>
        <v>0.262500000000003</v>
      </c>
      <c r="G60" s="57">
        <f t="shared" si="11"/>
        <v>6.4</v>
      </c>
      <c r="H60" s="57">
        <f t="shared" si="11"/>
        <v>2.1625</v>
      </c>
      <c r="I60" s="57">
        <f t="shared" si="11"/>
        <v>10.775</v>
      </c>
      <c r="J60" s="57">
        <f t="shared" si="11"/>
        <v>7.525</v>
      </c>
      <c r="K60" s="57">
        <f t="shared" si="11"/>
        <v>-4.88888888888889</v>
      </c>
      <c r="L60" s="57">
        <f t="shared" si="11"/>
        <v>3.48888888888889</v>
      </c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 hidden="1" customHeight="1" spans="1:33">
      <c r="A61" s="21"/>
      <c r="B61" s="61"/>
      <c r="C61" s="61"/>
      <c r="D61" s="61"/>
      <c r="E61" s="7" t="s">
        <v>79</v>
      </c>
      <c r="F61" s="107">
        <f t="shared" ref="F61:L61" si="12">F60/F59</f>
        <v>0.0067763794772508</v>
      </c>
      <c r="G61" s="107">
        <f t="shared" si="12"/>
        <v>0.196319018404908</v>
      </c>
      <c r="H61" s="107">
        <f t="shared" si="12"/>
        <v>0.0679230467216333</v>
      </c>
      <c r="I61" s="107">
        <f t="shared" si="12"/>
        <v>0.36869118905047</v>
      </c>
      <c r="J61" s="107">
        <f t="shared" si="12"/>
        <v>0.239078633836378</v>
      </c>
      <c r="K61" s="107">
        <f t="shared" si="12"/>
        <v>-0.196428571428571</v>
      </c>
      <c r="L61" s="107">
        <f t="shared" si="12"/>
        <v>0.224928366762178</v>
      </c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 customHeight="1" spans="1:33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customHeight="1" spans="1:3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 customHeight="1" spans="1:33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 customHeight="1" spans="1:33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 customHeight="1" spans="1:33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 customHeight="1" spans="1:33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 customHeight="1" spans="1:33">
      <c r="A68" s="22" t="s">
        <v>0</v>
      </c>
      <c r="B68" s="67" t="s">
        <v>98</v>
      </c>
      <c r="C68" s="67" t="s">
        <v>2</v>
      </c>
      <c r="D68" s="68">
        <v>45621</v>
      </c>
      <c r="E68" s="14"/>
      <c r="F68" s="68">
        <v>45622</v>
      </c>
      <c r="G68" s="14"/>
      <c r="H68" s="68">
        <v>45623</v>
      </c>
      <c r="I68" s="14"/>
      <c r="J68" s="68">
        <v>45624</v>
      </c>
      <c r="K68" s="14"/>
      <c r="L68" s="68">
        <v>45625</v>
      </c>
      <c r="M68" s="14"/>
      <c r="N68" s="68">
        <v>45626</v>
      </c>
      <c r="O68" s="14"/>
      <c r="P68" s="68">
        <v>45627</v>
      </c>
      <c r="Q68" s="14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 customHeight="1" spans="1:33">
      <c r="A69" s="15"/>
      <c r="B69" s="69"/>
      <c r="C69" s="69"/>
      <c r="D69" s="70" t="s">
        <v>6</v>
      </c>
      <c r="E69" s="71"/>
      <c r="F69" s="70" t="s">
        <v>7</v>
      </c>
      <c r="G69" s="71"/>
      <c r="H69" s="70" t="s">
        <v>8</v>
      </c>
      <c r="I69" s="71"/>
      <c r="J69" s="70" t="s">
        <v>9</v>
      </c>
      <c r="K69" s="71"/>
      <c r="L69" s="70" t="s">
        <v>10</v>
      </c>
      <c r="M69" s="71"/>
      <c r="N69" s="70" t="s">
        <v>11</v>
      </c>
      <c r="O69" s="71"/>
      <c r="P69" s="70" t="s">
        <v>12</v>
      </c>
      <c r="Q69" s="7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 customHeight="1" spans="1:33">
      <c r="A70" s="5"/>
      <c r="B70" s="71"/>
      <c r="C70" s="71"/>
      <c r="D70" s="73" t="s">
        <v>13</v>
      </c>
      <c r="E70" s="73" t="s">
        <v>14</v>
      </c>
      <c r="F70" s="73" t="s">
        <v>13</v>
      </c>
      <c r="G70" s="73" t="s">
        <v>14</v>
      </c>
      <c r="H70" s="73" t="s">
        <v>13</v>
      </c>
      <c r="I70" s="73" t="s">
        <v>14</v>
      </c>
      <c r="J70" s="73" t="s">
        <v>13</v>
      </c>
      <c r="K70" s="73" t="s">
        <v>14</v>
      </c>
      <c r="L70" s="73" t="s">
        <v>13</v>
      </c>
      <c r="M70" s="73" t="s">
        <v>14</v>
      </c>
      <c r="N70" s="73" t="s">
        <v>13</v>
      </c>
      <c r="O70" s="73" t="s">
        <v>14</v>
      </c>
      <c r="P70" s="73" t="s">
        <v>13</v>
      </c>
      <c r="Q70" s="73" t="s">
        <v>14</v>
      </c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 customHeight="1" spans="1:33">
      <c r="A71" s="75">
        <v>10316835</v>
      </c>
      <c r="B71" s="76" t="s">
        <v>171</v>
      </c>
      <c r="C71" s="76" t="s">
        <v>172</v>
      </c>
      <c r="D71" s="77">
        <v>0.458333333333333</v>
      </c>
      <c r="E71" s="78">
        <v>0.875</v>
      </c>
      <c r="F71" s="77">
        <v>0.458333333333333</v>
      </c>
      <c r="G71" s="78">
        <v>0.875</v>
      </c>
      <c r="H71" s="77">
        <v>0.458333333333333</v>
      </c>
      <c r="I71" s="78">
        <v>0.875</v>
      </c>
      <c r="J71" s="77">
        <v>0.458333333333333</v>
      </c>
      <c r="K71" s="78">
        <v>0.875</v>
      </c>
      <c r="L71" s="79" t="s">
        <v>23</v>
      </c>
      <c r="M71" s="79" t="s">
        <v>23</v>
      </c>
      <c r="N71" s="81" t="s">
        <v>23</v>
      </c>
      <c r="O71" s="81" t="s">
        <v>23</v>
      </c>
      <c r="P71" s="82">
        <v>0.458333333333333</v>
      </c>
      <c r="Q71" s="83">
        <v>0.666666666666667</v>
      </c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 customHeight="1" spans="1:33">
      <c r="A72" s="75">
        <v>10225640</v>
      </c>
      <c r="B72" s="76" t="s">
        <v>100</v>
      </c>
      <c r="C72" s="76" t="s">
        <v>172</v>
      </c>
      <c r="D72" s="79" t="s">
        <v>23</v>
      </c>
      <c r="E72" s="79" t="s">
        <v>23</v>
      </c>
      <c r="F72" s="77">
        <v>0.458333333333333</v>
      </c>
      <c r="G72" s="78">
        <v>0.875</v>
      </c>
      <c r="H72" s="77">
        <v>0.458333333333333</v>
      </c>
      <c r="I72" s="78">
        <v>0.875</v>
      </c>
      <c r="J72" s="77">
        <v>0.458333333333333</v>
      </c>
      <c r="K72" s="78">
        <v>0.875</v>
      </c>
      <c r="L72" s="77">
        <v>0.458333333333333</v>
      </c>
      <c r="M72" s="78">
        <v>0.875</v>
      </c>
      <c r="N72" s="82">
        <v>0.458333333333333</v>
      </c>
      <c r="O72" s="83">
        <v>0.666666666666667</v>
      </c>
      <c r="P72" s="81" t="s">
        <v>23</v>
      </c>
      <c r="Q72" s="81" t="s">
        <v>23</v>
      </c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 customHeight="1" spans="1:33">
      <c r="A73" s="75">
        <v>10303312</v>
      </c>
      <c r="B73" s="76" t="s">
        <v>173</v>
      </c>
      <c r="C73" s="76" t="s">
        <v>174</v>
      </c>
      <c r="D73" s="78">
        <v>0.375</v>
      </c>
      <c r="E73" s="77">
        <v>0.75</v>
      </c>
      <c r="F73" s="78">
        <v>0.375</v>
      </c>
      <c r="G73" s="77">
        <v>0.75</v>
      </c>
      <c r="H73" s="78">
        <v>0.375</v>
      </c>
      <c r="I73" s="77">
        <v>0.75</v>
      </c>
      <c r="J73" s="78">
        <v>0.375</v>
      </c>
      <c r="K73" s="77">
        <v>0.75</v>
      </c>
      <c r="L73" s="78">
        <v>0.375</v>
      </c>
      <c r="M73" s="77">
        <v>0.75</v>
      </c>
      <c r="N73" s="79" t="s">
        <v>23</v>
      </c>
      <c r="O73" s="79" t="s">
        <v>23</v>
      </c>
      <c r="P73" s="79" t="s">
        <v>23</v>
      </c>
      <c r="Q73" s="79" t="s">
        <v>23</v>
      </c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 customHeight="1" spans="1:33">
      <c r="A74" s="75">
        <v>10306591</v>
      </c>
      <c r="B74" s="76" t="s">
        <v>107</v>
      </c>
      <c r="C74" s="76" t="s">
        <v>174</v>
      </c>
      <c r="D74" s="78">
        <v>0.375</v>
      </c>
      <c r="E74" s="77">
        <v>0.75</v>
      </c>
      <c r="F74" s="78">
        <v>0.375</v>
      </c>
      <c r="G74" s="77">
        <v>0.75</v>
      </c>
      <c r="H74" s="78">
        <v>0.375</v>
      </c>
      <c r="I74" s="77">
        <v>0.75</v>
      </c>
      <c r="J74" s="78">
        <v>0.375</v>
      </c>
      <c r="K74" s="77">
        <v>0.75</v>
      </c>
      <c r="L74" s="78">
        <v>0.375</v>
      </c>
      <c r="M74" s="77">
        <v>0.75</v>
      </c>
      <c r="N74" s="79" t="s">
        <v>23</v>
      </c>
      <c r="O74" s="79" t="s">
        <v>23</v>
      </c>
      <c r="P74" s="79" t="s">
        <v>23</v>
      </c>
      <c r="Q74" s="79" t="s">
        <v>23</v>
      </c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 customHeight="1" spans="1:33">
      <c r="A75" s="75">
        <v>10271545</v>
      </c>
      <c r="B75" s="76" t="s">
        <v>175</v>
      </c>
      <c r="C75" s="76" t="s">
        <v>176</v>
      </c>
      <c r="D75" s="78">
        <v>0.375</v>
      </c>
      <c r="E75" s="77">
        <v>0.75</v>
      </c>
      <c r="F75" s="78">
        <v>0.375</v>
      </c>
      <c r="G75" s="77">
        <v>0.75</v>
      </c>
      <c r="H75" s="78">
        <v>0.375</v>
      </c>
      <c r="I75" s="77">
        <v>0.75</v>
      </c>
      <c r="J75" s="78">
        <v>0.375</v>
      </c>
      <c r="K75" s="77">
        <v>0.75</v>
      </c>
      <c r="L75" s="78">
        <v>0.375</v>
      </c>
      <c r="M75" s="77">
        <v>0.75</v>
      </c>
      <c r="N75" s="79" t="s">
        <v>23</v>
      </c>
      <c r="O75" s="79" t="s">
        <v>23</v>
      </c>
      <c r="P75" s="79" t="s">
        <v>23</v>
      </c>
      <c r="Q75" s="79" t="s">
        <v>23</v>
      </c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 customHeight="1" spans="1:3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 customHeight="1" spans="1:3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 customHeight="1" spans="1:3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 customHeight="1" spans="1:3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 customHeight="1" spans="1:3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 customHeight="1" spans="1:3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customHeight="1" spans="1:3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 customHeight="1" spans="1:3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customHeight="1" spans="1:3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customHeight="1" spans="1:3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customHeight="1" spans="1:3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customHeight="1" spans="1:3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customHeight="1" spans="1:3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customHeight="1" spans="1:3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customHeight="1" spans="1:3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customHeight="1" spans="1:3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customHeight="1" spans="1:3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customHeight="1" spans="1:3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customHeight="1" spans="1:3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customHeight="1" spans="1:3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customHeight="1" spans="1:3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customHeight="1" spans="1:3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customHeight="1" spans="1:3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customHeight="1" spans="1:3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customHeight="1" spans="1:3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customHeight="1" spans="1:3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customHeight="1" spans="1:3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customHeight="1" spans="1:3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customHeight="1" spans="1:3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customHeight="1" spans="1:3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customHeight="1" spans="1:3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customHeight="1" spans="1:3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customHeight="1" spans="1:3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customHeight="1" spans="1:3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customHeight="1" spans="1:3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customHeight="1" spans="1:3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customHeight="1" spans="1:3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customHeight="1" spans="1:3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customHeight="1" spans="1:3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customHeight="1" spans="1:3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customHeight="1" spans="1:3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customHeight="1" spans="1:3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customHeight="1" spans="1:3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customHeight="1" spans="1:3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customHeight="1" spans="1:3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customHeight="1" spans="1:3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customHeight="1" spans="1:3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customHeight="1" spans="1:3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customHeight="1" spans="1:3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customHeight="1" spans="1:3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customHeight="1" spans="1:3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customHeight="1" spans="1:3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customHeight="1" spans="1:3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customHeight="1" spans="1:3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customHeight="1" spans="1:3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customHeight="1" spans="1:3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customHeight="1" spans="1:3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customHeight="1" spans="1: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customHeight="1" spans="1:3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customHeight="1" spans="1:3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customHeight="1" spans="1:3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customHeight="1" spans="1:3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customHeight="1" spans="1:3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customHeight="1" spans="1:3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customHeight="1" spans="1:3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customHeight="1" spans="1:3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customHeight="1" spans="1:3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customHeight="1" spans="1:3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customHeight="1" spans="1:3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customHeight="1" spans="1:3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customHeight="1" spans="1:3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customHeight="1" spans="1:3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customHeight="1" spans="1:3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customHeight="1" spans="1:3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customHeight="1" spans="1:3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customHeight="1" spans="1:3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customHeight="1" spans="1:3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customHeight="1" spans="1:3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customHeight="1" spans="1:3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customHeight="1" spans="1:3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customHeight="1" spans="1:3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customHeight="1" spans="1:3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customHeight="1" spans="1:3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customHeight="1" spans="1:3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customHeight="1" spans="1:3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customHeight="1" spans="1:3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customHeight="1" spans="1:3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customHeight="1" spans="1:3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customHeight="1" spans="1:3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customHeight="1" spans="1:3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customHeight="1" spans="1:3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customHeight="1" spans="1:3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customHeight="1" spans="1:3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customHeight="1" spans="1:3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customHeight="1" spans="1:3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customHeight="1" spans="1:3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customHeight="1" spans="1:3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customHeight="1" spans="1:3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customHeight="1" spans="1:3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customHeight="1" spans="1:3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customHeight="1" spans="1:3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customHeight="1" spans="1:3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customHeight="1" spans="1:3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customHeight="1" spans="1:3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customHeight="1" spans="1:3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customHeight="1" spans="1:3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customHeight="1" spans="1:3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customHeight="1" spans="1:3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customHeight="1" spans="1:3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customHeight="1" spans="1:3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customHeight="1" spans="1:3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customHeight="1" spans="1:3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customHeight="1" spans="1:3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customHeight="1" spans="1:3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customHeight="1" spans="1:3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customHeight="1" spans="1:3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customHeight="1" spans="1:3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customHeight="1" spans="1:3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customHeight="1" spans="1:3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customHeight="1" spans="1:3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customHeight="1" spans="1:3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customHeight="1" spans="1:3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customHeight="1" spans="1:3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customHeight="1" spans="1:3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customHeight="1" spans="1:3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customHeight="1" spans="1:3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customHeight="1" spans="1:3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customHeight="1" spans="1:3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customHeight="1" spans="1:3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customHeight="1" spans="1:3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customHeight="1" spans="1:3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customHeight="1" spans="1:3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customHeight="1" spans="1:3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customHeight="1" spans="1:3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customHeight="1" spans="1:3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customHeight="1" spans="1:3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customHeight="1" spans="1:3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customHeight="1" spans="1:3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customHeight="1" spans="1:3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customHeight="1" spans="1:3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customHeight="1" spans="1:3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customHeight="1" spans="1:3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customHeight="1" spans="1:3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customHeight="1" spans="1:3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customHeight="1" spans="1:3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customHeight="1" spans="1:3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customHeight="1" spans="1:3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customHeight="1" spans="1:3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customHeight="1" spans="1:3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customHeight="1" spans="1:3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customHeight="1" spans="1:3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customHeight="1" spans="1:3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customHeight="1" spans="1:3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customHeight="1" spans="1:3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customHeight="1" spans="1:3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customHeight="1" spans="1:3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customHeight="1" spans="1:3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customHeight="1" spans="1: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customHeight="1" spans="1:3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customHeight="1" spans="1:3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customHeight="1" spans="1:3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customHeight="1" spans="1:3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customHeight="1" spans="1:3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customHeight="1" spans="1:3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customHeight="1" spans="1:3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customHeight="1" spans="1:3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customHeight="1" spans="1:3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customHeight="1" spans="1:3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customHeight="1" spans="1:3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customHeight="1" spans="1:3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customHeight="1" spans="1:3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customHeight="1" spans="1:3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customHeight="1" spans="1:3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customHeight="1" spans="1:3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customHeight="1" spans="1:3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customHeight="1" spans="1:3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customHeight="1" spans="1:3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customHeight="1" spans="1:3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customHeight="1" spans="1:3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customHeight="1" spans="1:3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customHeight="1" spans="1:3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customHeight="1" spans="1:3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customHeight="1" spans="1:3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customHeight="1" spans="1:3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customHeight="1" spans="1:3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customHeight="1" spans="1:3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customHeight="1" spans="1:3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customHeight="1" spans="1:3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customHeight="1" spans="1:3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customHeight="1" spans="1:3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customHeight="1" spans="1:3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customHeight="1" spans="1:3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customHeight="1" spans="1:3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customHeight="1" spans="1:3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customHeight="1" spans="1:3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customHeight="1" spans="1:3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customHeight="1" spans="1:3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customHeight="1" spans="1:3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customHeight="1" spans="1:3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customHeight="1" spans="1:3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customHeight="1" spans="1:3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customHeight="1" spans="1:3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customHeight="1" spans="1:3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customHeight="1" spans="1:3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customHeight="1" spans="1:3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customHeight="1" spans="1:3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customHeight="1" spans="1:3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customHeight="1" spans="1:3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customHeight="1" spans="1:3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customHeight="1" spans="1:3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customHeight="1" spans="1:3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customHeight="1" spans="1:3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customHeight="1" spans="1:3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customHeight="1" spans="1:3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customHeight="1" spans="1:3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customHeight="1" spans="1:3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customHeight="1" spans="1:3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customHeight="1" spans="1:3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customHeight="1" spans="1:3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customHeight="1" spans="1:3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customHeight="1" spans="1:3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customHeight="1" spans="1:3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customHeight="1" spans="1:3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customHeight="1" spans="1:3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customHeight="1" spans="1:3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customHeight="1" spans="1:3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customHeight="1" spans="1:3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customHeight="1" spans="1:3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customHeight="1" spans="1:3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customHeight="1" spans="1:3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customHeight="1" spans="1:3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customHeight="1" spans="1:3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customHeight="1" spans="1:3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customHeight="1" spans="1:3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customHeight="1" spans="1:3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customHeight="1" spans="1:3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customHeight="1" spans="1:3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customHeight="1" spans="1:3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customHeight="1" spans="1:3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customHeight="1" spans="1:3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customHeight="1" spans="1:3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customHeight="1" spans="1:3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customHeight="1" spans="1:3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customHeight="1" spans="1:3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customHeight="1" spans="1:3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customHeight="1" spans="1:3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customHeight="1" spans="1:3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customHeight="1" spans="1:3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customHeight="1" spans="1:3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customHeight="1" spans="1:3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customHeight="1" spans="1:3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customHeight="1" spans="1:3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customHeight="1" spans="1:3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customHeight="1" spans="1:3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customHeight="1" spans="1:3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customHeight="1" spans="1:3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customHeight="1" spans="1:3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customHeight="1" spans="1: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customHeight="1" spans="1:3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customHeight="1" spans="1:3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customHeight="1" spans="1:3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customHeight="1" spans="1:3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customHeight="1" spans="1:3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customHeight="1" spans="1:3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customHeight="1" spans="1:3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customHeight="1" spans="1:3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customHeight="1" spans="1:3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customHeight="1" spans="1:3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customHeight="1" spans="1:3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customHeight="1" spans="1:3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customHeight="1" spans="1:3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customHeight="1" spans="1:3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customHeight="1" spans="1:3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customHeight="1" spans="1:3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customHeight="1" spans="1:3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customHeight="1" spans="1:3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customHeight="1" spans="1:3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customHeight="1" spans="1:3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customHeight="1" spans="1:3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customHeight="1" spans="1:3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customHeight="1" spans="1:3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customHeight="1" spans="1:3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customHeight="1" spans="1:3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customHeight="1" spans="1:3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customHeight="1" spans="1:3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customHeight="1" spans="1:3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customHeight="1" spans="1:3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customHeight="1" spans="1:3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customHeight="1" spans="1:3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customHeight="1" spans="1:3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customHeight="1" spans="1:3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customHeight="1" spans="1:3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customHeight="1" spans="1:3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customHeight="1" spans="1:3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customHeight="1" spans="1:3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customHeight="1" spans="1:3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customHeight="1" spans="1:3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customHeight="1" spans="1:3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customHeight="1" spans="1:3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customHeight="1" spans="1:3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customHeight="1" spans="1:3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customHeight="1" spans="1:3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customHeight="1" spans="1:3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customHeight="1" spans="1:3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customHeight="1" spans="1:3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customHeight="1" spans="1:3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customHeight="1" spans="1:3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customHeight="1" spans="1:3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customHeight="1" spans="1:3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customHeight="1" spans="1:3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customHeight="1" spans="1:3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customHeight="1" spans="1:3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customHeight="1" spans="1:3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customHeight="1" spans="1:3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customHeight="1" spans="1:3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customHeight="1" spans="1:3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customHeight="1" spans="1:3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customHeight="1" spans="1:3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customHeight="1" spans="1:3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customHeight="1" spans="1:3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customHeight="1" spans="1:3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customHeight="1" spans="1:3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customHeight="1" spans="1:3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customHeight="1" spans="1:3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customHeight="1" spans="1:3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customHeight="1" spans="1:3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customHeight="1" spans="1:3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customHeight="1" spans="1:3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customHeight="1" spans="1:3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customHeight="1" spans="1:3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customHeight="1" spans="1:3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customHeight="1" spans="1:3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customHeight="1" spans="1:3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customHeight="1" spans="1:3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customHeight="1" spans="1:3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customHeight="1" spans="1:3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customHeight="1" spans="1:3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customHeight="1" spans="1:3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customHeight="1" spans="1:3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customHeight="1" spans="1:3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customHeight="1" spans="1:3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customHeight="1" spans="1:3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customHeight="1" spans="1:3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customHeight="1" spans="1:3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customHeight="1" spans="1:3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customHeight="1" spans="1:3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customHeight="1" spans="1:3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customHeight="1" spans="1:3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customHeight="1" spans="1:3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customHeight="1" spans="1:3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customHeight="1" spans="1:3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customHeight="1" spans="1:3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customHeight="1" spans="1:3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customHeight="1" spans="1:3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customHeight="1" spans="1:3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customHeight="1" spans="1:3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customHeight="1" spans="1:3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customHeight="1" spans="1: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customHeight="1" spans="1:3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customHeight="1" spans="1:3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customHeight="1" spans="1:3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customHeight="1" spans="1:3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customHeight="1" spans="1:3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customHeight="1" spans="1:3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customHeight="1" spans="1:3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customHeight="1" spans="1:3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customHeight="1" spans="1:3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customHeight="1" spans="1:3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customHeight="1" spans="1:3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customHeight="1" spans="1:3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customHeight="1" spans="1:3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customHeight="1" spans="1:3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customHeight="1" spans="1:3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customHeight="1" spans="1:3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customHeight="1" spans="1:3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customHeight="1" spans="1:3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customHeight="1" spans="1:3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customHeight="1" spans="1:3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customHeight="1" spans="1:3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customHeight="1" spans="1:3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customHeight="1" spans="1:3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customHeight="1" spans="1:3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customHeight="1" spans="1:3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customHeight="1" spans="1:3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customHeight="1" spans="1:3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customHeight="1" spans="1:3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customHeight="1" spans="1:3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customHeight="1" spans="1:3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customHeight="1" spans="1:3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customHeight="1" spans="1:3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customHeight="1" spans="1:3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customHeight="1" spans="1:3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customHeight="1" spans="1:3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customHeight="1" spans="1:3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customHeight="1" spans="1:3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customHeight="1" spans="1:3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customHeight="1" spans="1:3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customHeight="1" spans="1:3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customHeight="1" spans="1:3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customHeight="1" spans="1:3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customHeight="1" spans="1:3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customHeight="1" spans="1:3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customHeight="1" spans="1:3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customHeight="1" spans="1:3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customHeight="1" spans="1:3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customHeight="1" spans="1:3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customHeight="1" spans="1:3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customHeight="1" spans="1:3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customHeight="1" spans="1:3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customHeight="1" spans="1:3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customHeight="1" spans="1:3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customHeight="1" spans="1:3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customHeight="1" spans="1:3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customHeight="1" spans="1:3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customHeight="1" spans="1:3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customHeight="1" spans="1:3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customHeight="1" spans="1:3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customHeight="1" spans="1:3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customHeight="1" spans="1:3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customHeight="1" spans="1:3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customHeight="1" spans="1:3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customHeight="1" spans="1:3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customHeight="1" spans="1:3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customHeight="1" spans="1:3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customHeight="1" spans="1:3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customHeight="1" spans="1:3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customHeight="1" spans="1:3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customHeight="1" spans="1:3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customHeight="1" spans="1:3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customHeight="1" spans="1:3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customHeight="1" spans="1:3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customHeight="1" spans="1:3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customHeight="1" spans="1:3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customHeight="1" spans="1:3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customHeight="1" spans="1:3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customHeight="1" spans="1:3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customHeight="1" spans="1:3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customHeight="1" spans="1:3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customHeight="1" spans="1:3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customHeight="1" spans="1:3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customHeight="1" spans="1:3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customHeight="1" spans="1:3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customHeight="1" spans="1:3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customHeight="1" spans="1:3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customHeight="1" spans="1:3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customHeight="1" spans="1:3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customHeight="1" spans="1:3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customHeight="1" spans="1:3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customHeight="1" spans="1:3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customHeight="1" spans="1:3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customHeight="1" spans="1:3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customHeight="1" spans="1:3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customHeight="1" spans="1:3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customHeight="1" spans="1:3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customHeight="1" spans="1:3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customHeight="1" spans="1:3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customHeight="1" spans="1:3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customHeight="1" spans="1: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customHeight="1" spans="1:3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customHeight="1" spans="1:3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customHeight="1" spans="1:3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customHeight="1" spans="1:3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customHeight="1" spans="1:3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customHeight="1" spans="1:3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customHeight="1" spans="1:3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customHeight="1" spans="1:3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customHeight="1" spans="1:3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customHeight="1" spans="1:3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customHeight="1" spans="1:3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customHeight="1" spans="1:3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customHeight="1" spans="1:3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customHeight="1" spans="1:3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customHeight="1" spans="1:3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customHeight="1" spans="1:3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customHeight="1" spans="1:3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customHeight="1" spans="1:3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customHeight="1" spans="1:3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customHeight="1" spans="1:3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customHeight="1" spans="1:3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customHeight="1" spans="1:3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customHeight="1" spans="1:3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customHeight="1" spans="1:3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customHeight="1" spans="1:3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customHeight="1" spans="1:3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customHeight="1" spans="1:3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customHeight="1" spans="1:3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customHeight="1" spans="1:3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customHeight="1" spans="1:3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customHeight="1" spans="1:3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customHeight="1" spans="1:3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customHeight="1" spans="1:3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customHeight="1" spans="1:3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customHeight="1" spans="1:3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customHeight="1" spans="1:3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customHeight="1" spans="1:3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customHeight="1" spans="1:3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customHeight="1" spans="1:3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customHeight="1" spans="1:3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customHeight="1" spans="1:3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customHeight="1" spans="1:3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customHeight="1" spans="1:3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customHeight="1" spans="1:3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customHeight="1" spans="1:3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customHeight="1" spans="1:3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customHeight="1" spans="1:3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customHeight="1" spans="1:3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customHeight="1" spans="1:3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customHeight="1" spans="1:3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customHeight="1" spans="1:3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customHeight="1" spans="1:3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customHeight="1" spans="1:3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customHeight="1" spans="1:3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customHeight="1" spans="1:3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customHeight="1" spans="1:3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customHeight="1" spans="1:3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customHeight="1" spans="1:3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customHeight="1" spans="1:3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customHeight="1" spans="1:3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customHeight="1" spans="1:3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customHeight="1" spans="1:3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customHeight="1" spans="1:3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customHeight="1" spans="1:3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customHeight="1" spans="1:3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customHeight="1" spans="1:3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customHeight="1" spans="1:3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customHeight="1" spans="1:3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customHeight="1" spans="1:3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customHeight="1" spans="1:3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customHeight="1" spans="1:3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customHeight="1" spans="1:3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customHeight="1" spans="1:3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customHeight="1" spans="1:3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customHeight="1" spans="1:3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customHeight="1" spans="1:3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customHeight="1" spans="1:3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customHeight="1" spans="1:3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customHeight="1" spans="1:3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customHeight="1" spans="1:3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customHeight="1" spans="1:3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customHeight="1" spans="1:3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customHeight="1" spans="1:3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customHeight="1" spans="1:3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customHeight="1" spans="1:3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customHeight="1" spans="1:3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customHeight="1" spans="1:3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customHeight="1" spans="1:3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customHeight="1" spans="1:3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customHeight="1" spans="1:3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customHeight="1" spans="1:3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customHeight="1" spans="1:3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customHeight="1" spans="1:3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customHeight="1" spans="1:3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customHeight="1" spans="1:3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customHeight="1" spans="1:3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customHeight="1" spans="1:3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customHeight="1" spans="1:3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customHeight="1" spans="1:3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customHeight="1" spans="1: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customHeight="1" spans="1:3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customHeight="1" spans="1:3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customHeight="1" spans="1:3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customHeight="1" spans="1:3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customHeight="1" spans="1:3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customHeight="1" spans="1:3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customHeight="1" spans="1:3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customHeight="1" spans="1:3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customHeight="1" spans="1:3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customHeight="1" spans="1:3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customHeight="1" spans="1:3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customHeight="1" spans="1:3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customHeight="1" spans="1:3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customHeight="1" spans="1:3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customHeight="1" spans="1:3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customHeight="1" spans="1:3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customHeight="1" spans="1:3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customHeight="1" spans="1:3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customHeight="1" spans="1:3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customHeight="1" spans="1:3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customHeight="1" spans="1:3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customHeight="1" spans="1:3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customHeight="1" spans="1:3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customHeight="1" spans="1:3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customHeight="1" spans="1:3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customHeight="1" spans="1:3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customHeight="1" spans="1:3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customHeight="1" spans="1:3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customHeight="1" spans="1:3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customHeight="1" spans="1:3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customHeight="1" spans="1:3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customHeight="1" spans="1:3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customHeight="1" spans="1:3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customHeight="1" spans="1:3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customHeight="1" spans="1:3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customHeight="1" spans="1:3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customHeight="1" spans="1:3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customHeight="1" spans="1:3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customHeight="1" spans="1:3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customHeight="1" spans="1:3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customHeight="1" spans="1:3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customHeight="1" spans="1:3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customHeight="1" spans="1:3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customHeight="1" spans="1:3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customHeight="1" spans="1:3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customHeight="1" spans="1:3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customHeight="1" spans="1:3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customHeight="1" spans="1:3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customHeight="1" spans="1:3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customHeight="1" spans="1:3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customHeight="1" spans="1:3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customHeight="1" spans="1:3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customHeight="1" spans="1:3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customHeight="1" spans="1:3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customHeight="1" spans="1:3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customHeight="1" spans="1:3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customHeight="1" spans="1:3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customHeight="1" spans="1:3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customHeight="1" spans="1:3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customHeight="1" spans="1:3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customHeight="1" spans="1:3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customHeight="1" spans="1:3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customHeight="1" spans="1:3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customHeight="1" spans="1:3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customHeight="1" spans="1:3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customHeight="1" spans="1:3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customHeight="1" spans="1:3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customHeight="1" spans="1:3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customHeight="1" spans="1:3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customHeight="1" spans="1:3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customHeight="1" spans="1:3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customHeight="1" spans="1:3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customHeight="1" spans="1:3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customHeight="1" spans="1:3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customHeight="1" spans="1:3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customHeight="1" spans="1:3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customHeight="1" spans="1:3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customHeight="1" spans="1:3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customHeight="1" spans="1:3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customHeight="1" spans="1:3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customHeight="1" spans="1:3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customHeight="1" spans="1:3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customHeight="1" spans="1:3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customHeight="1" spans="1:3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customHeight="1" spans="1:3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customHeight="1" spans="1:3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customHeight="1" spans="1:3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customHeight="1" spans="1:3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customHeight="1" spans="1:3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customHeight="1" spans="1:3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customHeight="1" spans="1:3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customHeight="1" spans="1:3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customHeight="1" spans="1:3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customHeight="1" spans="1:3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customHeight="1" spans="1:3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customHeight="1" spans="1:3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customHeight="1" spans="1:3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customHeight="1" spans="1:3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customHeight="1" spans="1:3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customHeight="1" spans="1: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customHeight="1" spans="1:3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customHeight="1" spans="1:3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customHeight="1" spans="1:3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customHeight="1" spans="1:3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customHeight="1" spans="1:3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customHeight="1" spans="1:3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customHeight="1" spans="1:3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customHeight="1" spans="1:3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customHeight="1" spans="1:3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customHeight="1" spans="1:3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customHeight="1" spans="1:3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customHeight="1" spans="1:3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customHeight="1" spans="1:3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customHeight="1" spans="1:3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customHeight="1" spans="1:3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customHeight="1" spans="1:3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customHeight="1" spans="1:3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customHeight="1" spans="1:3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customHeight="1" spans="1:3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customHeight="1" spans="1:3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customHeight="1" spans="1:3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customHeight="1" spans="1:3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customHeight="1" spans="1:3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customHeight="1" spans="1:3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customHeight="1" spans="1:3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customHeight="1" spans="1:3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customHeight="1" spans="1:3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customHeight="1" spans="1:3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customHeight="1" spans="1:3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customHeight="1" spans="1:3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customHeight="1" spans="1:3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customHeight="1" spans="1:3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customHeight="1" spans="1:3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customHeight="1" spans="1:3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customHeight="1" spans="1:3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customHeight="1" spans="1:3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customHeight="1" spans="1:3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customHeight="1" spans="1:3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customHeight="1" spans="1:3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customHeight="1" spans="1:3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customHeight="1" spans="1:3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customHeight="1" spans="1:3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customHeight="1" spans="1:3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customHeight="1" spans="1:3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customHeight="1" spans="1:3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customHeight="1" spans="1:3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customHeight="1" spans="1:3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customHeight="1" spans="1:3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customHeight="1" spans="1:3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customHeight="1" spans="1:3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customHeight="1" spans="1:3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customHeight="1" spans="1:3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customHeight="1" spans="1:3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customHeight="1" spans="1:3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customHeight="1" spans="1:3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customHeight="1" spans="1:3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customHeight="1" spans="1:3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customHeight="1" spans="1:3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customHeight="1" spans="1:3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customHeight="1" spans="1:3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customHeight="1" spans="1:3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customHeight="1" spans="1:3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customHeight="1" spans="1:3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customHeight="1" spans="1:3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customHeight="1" spans="1:3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customHeight="1" spans="1:3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customHeight="1" spans="1:3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customHeight="1" spans="1:3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customHeight="1" spans="1:3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customHeight="1" spans="1:3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customHeight="1" spans="1:3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customHeight="1" spans="1:3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customHeight="1" spans="1:3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customHeight="1" spans="1:3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customHeight="1" spans="1:3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customHeight="1" spans="1:3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customHeight="1" spans="1:3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customHeight="1" spans="1:3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customHeight="1" spans="1:3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customHeight="1" spans="1:3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customHeight="1" spans="1:3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customHeight="1" spans="1:3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customHeight="1" spans="1:3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customHeight="1" spans="1:3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customHeight="1" spans="1:3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customHeight="1" spans="1:3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customHeight="1" spans="1:3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customHeight="1" spans="1:3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customHeight="1" spans="1:3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customHeight="1" spans="1:3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customHeight="1" spans="1:3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customHeight="1" spans="1:3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customHeight="1" spans="1:3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customHeight="1" spans="1:3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customHeight="1" spans="1:3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customHeight="1" spans="1:3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customHeight="1" spans="1:3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customHeight="1" spans="1:3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customHeight="1" spans="1:3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customHeight="1" spans="1: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customHeight="1" spans="1:3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customHeight="1" spans="1:3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customHeight="1" spans="1:3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customHeight="1" spans="1:3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customHeight="1" spans="1:3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customHeight="1" spans="1:3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customHeight="1" spans="1:3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customHeight="1" spans="1:3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customHeight="1" spans="1:3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customHeight="1" spans="1:3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customHeight="1" spans="1:3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customHeight="1" spans="1:3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customHeight="1" spans="1:3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customHeight="1" spans="1:3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customHeight="1" spans="1:3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customHeight="1" spans="1:3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customHeight="1" spans="1:3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customHeight="1" spans="1:3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customHeight="1" spans="1:3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customHeight="1" spans="1:3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customHeight="1" spans="1:3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customHeight="1" spans="1:3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customHeight="1" spans="1:3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customHeight="1" spans="1:3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customHeight="1" spans="1:3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customHeight="1" spans="1:3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customHeight="1" spans="1:3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customHeight="1" spans="1:3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customHeight="1" spans="1:3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customHeight="1" spans="1:3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customHeight="1" spans="1:3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customHeight="1" spans="1:3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customHeight="1" spans="1:3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customHeight="1" spans="1:3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customHeight="1" spans="1:3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customHeight="1" spans="1:3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customHeight="1" spans="1:3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customHeight="1" spans="1:3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customHeight="1" spans="1:3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customHeight="1" spans="1:3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customHeight="1" spans="1:3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customHeight="1" spans="1:3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customHeight="1" spans="1:3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customHeight="1" spans="1:3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customHeight="1" spans="1:3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customHeight="1" spans="1:3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customHeight="1" spans="1:3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customHeight="1" spans="1:3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customHeight="1" spans="1:3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customHeight="1" spans="1:3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customHeight="1" spans="1:3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customHeight="1" spans="1:3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customHeight="1" spans="1:3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customHeight="1" spans="1:3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customHeight="1" spans="1:3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customHeight="1" spans="1:3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customHeight="1" spans="1:3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customHeight="1" spans="1:3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customHeight="1" spans="1:3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customHeight="1" spans="1:3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customHeight="1" spans="1:3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customHeight="1" spans="1:3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customHeight="1" spans="1:3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customHeight="1" spans="1:3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customHeight="1" spans="1:3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customHeight="1" spans="1:3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customHeight="1" spans="1:3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customHeight="1" spans="1:3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customHeight="1" spans="1:3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customHeight="1" spans="1:3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customHeight="1" spans="1:3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customHeight="1" spans="1:3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customHeight="1" spans="1:3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customHeight="1" spans="1:3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customHeight="1" spans="1:3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customHeight="1" spans="1:3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customHeight="1" spans="1:3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customHeight="1" spans="1:3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customHeight="1" spans="1:3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customHeight="1" spans="1:3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customHeight="1" spans="1:3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customHeight="1" spans="1:3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customHeight="1" spans="1:3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customHeight="1" spans="1:3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customHeight="1" spans="1:3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customHeight="1" spans="1:3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customHeight="1" spans="1:3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customHeight="1" spans="1:3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customHeight="1" spans="1:3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customHeight="1" spans="1:3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customHeight="1" spans="1:3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customHeight="1" spans="1:3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customHeight="1" spans="1:3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customHeight="1" spans="1:3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customHeight="1" spans="1:3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customHeight="1" spans="1:3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customHeight="1" spans="1:3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customHeight="1" spans="1:3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customHeight="1" spans="1:3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customHeight="1" spans="1: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customHeight="1" spans="1:3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customHeight="1" spans="1:3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customHeight="1" spans="1:3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customHeight="1" spans="1:3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customHeight="1" spans="1:3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customHeight="1" spans="1:3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customHeight="1" spans="1:3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customHeight="1" spans="1:3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customHeight="1" spans="1:3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customHeight="1" spans="1:3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customHeight="1" spans="1:3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customHeight="1" spans="1:3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customHeight="1" spans="1:3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customHeight="1" spans="1:3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customHeight="1" spans="1:3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customHeight="1" spans="1:3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customHeight="1" spans="1:3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customHeight="1" spans="1:3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customHeight="1" spans="1:3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customHeight="1" spans="1:3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customHeight="1" spans="1:3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customHeight="1" spans="1:3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customHeight="1" spans="1:3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customHeight="1" spans="1:3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customHeight="1" spans="1:3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customHeight="1" spans="1:3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customHeight="1" spans="1:3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customHeight="1" spans="1:3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customHeight="1" spans="1:3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customHeight="1" spans="1:3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customHeight="1" spans="1:3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customHeight="1" spans="1:3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customHeight="1" spans="1:3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customHeight="1" spans="1:3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customHeight="1" spans="1:3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customHeight="1" spans="1:3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customHeight="1" spans="1:3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customHeight="1" spans="1:3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customHeight="1" spans="1:3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customHeight="1" spans="1:3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customHeight="1" spans="1:3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customHeight="1" spans="1:3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customHeight="1" spans="1:3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customHeight="1" spans="1:3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customHeight="1" spans="1:3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customHeight="1" spans="1:3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customHeight="1" spans="1:3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customHeight="1" spans="1:3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customHeight="1" spans="1:3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customHeight="1" spans="1:3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customHeight="1" spans="1:3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customHeight="1" spans="1:3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customHeight="1" spans="1:3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customHeight="1" spans="1:3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customHeight="1" spans="1:3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customHeight="1" spans="1:3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customHeight="1" spans="1:3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customHeight="1" spans="1:3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customHeight="1" spans="1:3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customHeight="1" spans="1:3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customHeight="1" spans="1:3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customHeight="1" spans="1:3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customHeight="1" spans="1:3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customHeight="1" spans="1:3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customHeight="1" spans="1:3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</sheetData>
  <customSheetViews>
    <customSheetView guid="{1AE8F616-6DF1-4BE7-ABB8-842FEECB574A}" filter="1" showAutoFilter="1">
      <autoFilter ref="Q1:R51"/>
    </customSheetView>
    <customSheetView guid="{DCE95A5E-FF37-4E04-937B-25E48CB5870C}" filter="1" showAutoFilter="1">
      <autoFilter ref="S1:T51">
        <filterColumn colId="1">
          <filters blank="1">
            <filter val="16:00"/>
            <filter val="To"/>
          </filters>
        </filterColumn>
      </autoFilter>
    </customSheetView>
  </customSheetViews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68:E68"/>
    <mergeCell ref="F68:G68"/>
    <mergeCell ref="H68:I68"/>
    <mergeCell ref="J68:K68"/>
    <mergeCell ref="L68:M68"/>
    <mergeCell ref="N68:O68"/>
    <mergeCell ref="P68:Q68"/>
    <mergeCell ref="D69:E69"/>
    <mergeCell ref="F69:G69"/>
    <mergeCell ref="H69:I69"/>
    <mergeCell ref="J69:K69"/>
    <mergeCell ref="L69:M69"/>
    <mergeCell ref="N69:O69"/>
    <mergeCell ref="P69:Q69"/>
    <mergeCell ref="A1:A3"/>
    <mergeCell ref="A68:A70"/>
    <mergeCell ref="B1:B3"/>
    <mergeCell ref="B68:B70"/>
    <mergeCell ref="C1:C3"/>
    <mergeCell ref="C68:C70"/>
    <mergeCell ref="D1:D3"/>
    <mergeCell ref="E1:E3"/>
    <mergeCell ref="F1:F3"/>
  </mergeCells>
  <conditionalFormatting sqref="F57:S57">
    <cfRule type="cellIs" dxfId="0" priority="4" operator="lessThan">
      <formula>0</formula>
    </cfRule>
  </conditionalFormatting>
  <conditionalFormatting sqref="A4:A61 A68:A75">
    <cfRule type="expression" dxfId="1" priority="1">
      <formula>COUNTIF(A:A,A49)&gt;1</formula>
    </cfRule>
  </conditionalFormatting>
  <conditionalFormatting sqref="C4:C51 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X4:X41 X43:X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000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6.5" customWidth="1"/>
    <col min="4" max="4" width="9" customWidth="1"/>
    <col min="5" max="5" width="4.75454545454545" customWidth="1"/>
    <col min="6" max="6" width="13.3818181818182" customWidth="1"/>
    <col min="7" max="7" width="9.25454545454545" customWidth="1"/>
    <col min="8" max="8" width="6.62727272727273" customWidth="1"/>
    <col min="9" max="9" width="9.25454545454545" customWidth="1"/>
    <col min="10" max="10" width="7.12727272727273" customWidth="1"/>
    <col min="11" max="11" width="9.25454545454545" customWidth="1"/>
    <col min="12" max="12" width="7.25454545454545" customWidth="1"/>
    <col min="13" max="13" width="8.38181818181818" customWidth="1"/>
    <col min="14" max="14" width="5.12727272727273" customWidth="1"/>
    <col min="15" max="15" width="9.38181818181818" customWidth="1"/>
    <col min="16" max="16" width="5.12727272727273" customWidth="1"/>
    <col min="17" max="17" width="9.38181818181818" customWidth="1"/>
    <col min="18" max="18" width="5.12727272727273" customWidth="1"/>
    <col min="19" max="19" width="9.38181818181818" customWidth="1"/>
    <col min="20" max="20" width="5.12727272727273" customWidth="1"/>
    <col min="21" max="21" width="11.7545454545455" customWidth="1"/>
    <col min="22" max="22" width="8" customWidth="1"/>
    <col min="23" max="23" width="4.88181818181818" customWidth="1"/>
    <col min="24" max="24" width="6.38181818181818" customWidth="1"/>
    <col min="25" max="25" width="8" customWidth="1"/>
    <col min="26" max="26" width="8.5" customWidth="1"/>
    <col min="27" max="37" width="8.62727272727273" customWidth="1"/>
  </cols>
  <sheetData>
    <row r="1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02">
        <v>45614</v>
      </c>
      <c r="H1" s="14"/>
      <c r="I1" s="102">
        <f>G1+1</f>
        <v>45615</v>
      </c>
      <c r="J1" s="14"/>
      <c r="K1" s="102">
        <f>I1+7</f>
        <v>45622</v>
      </c>
      <c r="L1" s="14"/>
      <c r="M1" s="102">
        <f>K1+7</f>
        <v>45629</v>
      </c>
      <c r="N1" s="14"/>
      <c r="O1" s="102">
        <f>M1+7</f>
        <v>45636</v>
      </c>
      <c r="P1" s="14"/>
      <c r="Q1" s="102">
        <f>O1+7</f>
        <v>45643</v>
      </c>
      <c r="R1" s="14"/>
      <c r="S1" s="102">
        <f>Q1+7</f>
        <v>45650</v>
      </c>
      <c r="T1" s="14"/>
      <c r="U1" s="61"/>
      <c r="V1" s="61"/>
      <c r="W1" s="61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customHeight="1" spans="1:37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customHeight="1" spans="1:37">
      <c r="A3" s="5"/>
      <c r="B3" s="5"/>
      <c r="C3" s="5"/>
      <c r="D3" s="5"/>
      <c r="E3" s="5"/>
      <c r="F3" s="5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85</v>
      </c>
      <c r="X3" s="17" t="s">
        <v>18</v>
      </c>
      <c r="Y3" s="17" t="s">
        <v>84</v>
      </c>
      <c r="Z3" s="61" t="s">
        <v>177</v>
      </c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customHeight="1" spans="1:37">
      <c r="A4" s="21">
        <v>10316530</v>
      </c>
      <c r="B4" s="86" t="s">
        <v>26</v>
      </c>
      <c r="C4" s="21" t="s">
        <v>20</v>
      </c>
      <c r="D4" s="21" t="s">
        <v>21</v>
      </c>
      <c r="E4" s="54" t="str">
        <f t="array" ref="E4">_xlfn.XLOOKUP(A4,'WK 47'!A:A,'WK 47'!E:E,"")</f>
        <v>FT</v>
      </c>
      <c r="F4" s="103">
        <f t="array" ref="F4">_xlfn.XLOOKUP(A4,'WK 47'!A:A,'WK 47'!F:F,"")</f>
        <v>1</v>
      </c>
      <c r="G4" s="21" t="s">
        <v>23</v>
      </c>
      <c r="H4" s="21" t="s">
        <v>23</v>
      </c>
      <c r="I4" s="54">
        <v>0.375</v>
      </c>
      <c r="J4" s="54">
        <v>0.791666666666667</v>
      </c>
      <c r="K4" s="54">
        <v>0.375</v>
      </c>
      <c r="L4" s="54">
        <v>0.791666666666667</v>
      </c>
      <c r="M4" s="54">
        <v>0.375</v>
      </c>
      <c r="N4" s="54">
        <v>0.791666666666667</v>
      </c>
      <c r="O4" s="54">
        <v>0.375</v>
      </c>
      <c r="P4" s="54">
        <v>0.791666666666667</v>
      </c>
      <c r="Q4" s="54">
        <v>0.458333333333333</v>
      </c>
      <c r="R4" s="54">
        <v>0.666666666666667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ISODD(COLUMN(G4:T4)))))*24"),44.9999999999999)</f>
        <v>44.9999999999999</v>
      </c>
      <c r="V4" s="17">
        <f t="array" ref="V4">_xlfn.XLOOKUP(A4,'WK 47'!A:A,'WK 47'!V:V,"")</f>
        <v>45</v>
      </c>
      <c r="W4" s="7">
        <f t="shared" ref="W4:W51" si="0">V4-U4</f>
        <v>9.9475983006414e-14</v>
      </c>
      <c r="X4" s="20">
        <f t="array" ref="X4">_xlfn.XLOOKUP(A4,'WK 45'!A:A,'WK 45'!X:X,"")</f>
        <v>0.416666666666667</v>
      </c>
      <c r="Y4" s="17" t="str">
        <f t="array" ref="Y4">_xlfn.XLOOKUP(A4,'WK 47'!A:A,'WK 47'!AA:AA,"")</f>
        <v>late</v>
      </c>
      <c r="Z4" s="61" t="str">
        <f t="shared" ref="Z4:Z51" si="1">IF(Y4="early","late"," early")</f>
        <v> early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</row>
    <row r="5" customHeight="1" spans="1:37">
      <c r="A5" s="21">
        <v>10316680</v>
      </c>
      <c r="B5" s="86" t="s">
        <v>40</v>
      </c>
      <c r="C5" s="21" t="s">
        <v>20</v>
      </c>
      <c r="D5" s="21" t="s">
        <v>21</v>
      </c>
      <c r="E5" s="54" t="str">
        <f t="array" ref="E5">_xlfn.XLOOKUP(A5,'WK 47'!A:A,'WK 47'!E:E,"")</f>
        <v>FT</v>
      </c>
      <c r="F5" s="103">
        <f t="array" ref="F5">_xlfn.XLOOKUP(A5,'WK 47'!A:A,'WK 47'!F:F,"")</f>
        <v>1</v>
      </c>
      <c r="G5" s="21" t="s">
        <v>23</v>
      </c>
      <c r="H5" s="21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7">
        <f t="shared" si="0"/>
        <v>9.9475983006414e-14</v>
      </c>
      <c r="X5" s="20">
        <f t="array" ref="X5">_xlfn.XLOOKUP(A5,'WK 45'!A:A,'WK 45'!X:X,"")</f>
        <v>0.416666666666667</v>
      </c>
      <c r="Y5" s="17" t="str">
        <f t="array" ref="Y5">_xlfn.XLOOKUP(A5,'WK 47'!A:A,'WK 47'!AA:AA,"")</f>
        <v>late</v>
      </c>
      <c r="Z5" s="61" t="str">
        <f t="shared" si="1"/>
        <v> early</v>
      </c>
      <c r="AA5" s="106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customHeight="1" spans="1:37">
      <c r="A6" s="21">
        <v>10317147</v>
      </c>
      <c r="B6" s="86" t="s">
        <v>24</v>
      </c>
      <c r="C6" s="21" t="s">
        <v>20</v>
      </c>
      <c r="D6" s="21" t="s">
        <v>21</v>
      </c>
      <c r="E6" s="54" t="str">
        <f t="array" ref="E6">_xlfn.XLOOKUP(A6,'WK 47'!A:A,'WK 47'!E:E,"")</f>
        <v>FT</v>
      </c>
      <c r="F6" s="103">
        <f t="array" ref="F6">_xlfn.XLOOKUP(A6,'WK 47'!A:A,'WK 47'!F:F,"")</f>
        <v>1</v>
      </c>
      <c r="G6" s="21" t="s">
        <v>23</v>
      </c>
      <c r="H6" s="21" t="s">
        <v>23</v>
      </c>
      <c r="I6" s="54">
        <v>0.375</v>
      </c>
      <c r="J6" s="54">
        <v>0.791666666666667</v>
      </c>
      <c r="K6" s="54">
        <v>0.375</v>
      </c>
      <c r="L6" s="54">
        <v>0.791666666666667</v>
      </c>
      <c r="M6" s="54">
        <v>0.375</v>
      </c>
      <c r="N6" s="54">
        <v>0.791666666666667</v>
      </c>
      <c r="O6" s="54">
        <v>0.375</v>
      </c>
      <c r="P6" s="54">
        <v>0.791666666666667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ISODD(COLUMN(G6:T6)))))*24"),44.9999999999999)</f>
        <v>44.9999999999999</v>
      </c>
      <c r="V6" s="17">
        <f t="array" ref="V6">_xlfn.XLOOKUP(A6,'WK 47'!A:A,'WK 47'!V:V,"")</f>
        <v>45</v>
      </c>
      <c r="W6" s="7">
        <f t="shared" si="0"/>
        <v>9.9475983006414e-14</v>
      </c>
      <c r="X6" s="20">
        <f t="array" ref="X6">_xlfn.XLOOKUP(A6,'WK 45'!A:A,'WK 45'!X:X,"")</f>
        <v>0.416666666666667</v>
      </c>
      <c r="Y6" s="17" t="str">
        <f t="array" ref="Y6">_xlfn.XLOOKUP(A6,'WK 47'!A:A,'WK 47'!AA:AA,"")</f>
        <v>early</v>
      </c>
      <c r="Z6" s="61" t="str">
        <f t="shared" si="1"/>
        <v>late</v>
      </c>
      <c r="AA6" s="106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customHeight="1" spans="1:37">
      <c r="A7" s="21">
        <v>10250963</v>
      </c>
      <c r="B7" s="86" t="s">
        <v>25</v>
      </c>
      <c r="C7" s="21" t="s">
        <v>20</v>
      </c>
      <c r="D7" s="21" t="s">
        <v>21</v>
      </c>
      <c r="E7" s="54" t="str">
        <f t="array" ref="E7">_xlfn.XLOOKUP(A7,'WK 47'!A:A,'WK 47'!E:E,"")</f>
        <v>FT</v>
      </c>
      <c r="F7" s="103">
        <f t="array" ref="F7">_xlfn.XLOOKUP(A7,'WK 47'!A:A,'WK 47'!F:F,"")</f>
        <v>1</v>
      </c>
      <c r="G7" s="21" t="s">
        <v>23</v>
      </c>
      <c r="H7" s="21" t="s">
        <v>23</v>
      </c>
      <c r="I7" s="54">
        <v>0.375</v>
      </c>
      <c r="J7" s="54">
        <v>0.791666666666667</v>
      </c>
      <c r="K7" s="54">
        <v>0.375</v>
      </c>
      <c r="L7" s="54">
        <v>0.791666666666667</v>
      </c>
      <c r="M7" s="54">
        <v>0.375</v>
      </c>
      <c r="N7" s="54">
        <v>0.791666666666667</v>
      </c>
      <c r="O7" s="54">
        <v>0.375</v>
      </c>
      <c r="P7" s="54">
        <v>0.791666666666667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ISODD(COLUMN(G7:T7)))))*24"),44.9999999999999)</f>
        <v>44.9999999999999</v>
      </c>
      <c r="V7" s="17">
        <f t="array" ref="V7">_xlfn.XLOOKUP(A7,'WK 47'!A:A,'WK 47'!V:V,"")</f>
        <v>45</v>
      </c>
      <c r="W7" s="7">
        <f t="shared" si="0"/>
        <v>9.9475983006414e-14</v>
      </c>
      <c r="X7" s="20">
        <f t="array" ref="X7">_xlfn.XLOOKUP(A7,'WK 45'!A:A,'WK 45'!X:X,"")</f>
        <v>0.416666666666667</v>
      </c>
      <c r="Y7" s="17" t="str">
        <f t="array" ref="Y7">_xlfn.XLOOKUP(A7,'WK 47'!A:A,'WK 47'!AA:AA,"")</f>
        <v>late</v>
      </c>
      <c r="Z7" s="61" t="str">
        <f t="shared" si="1"/>
        <v> early</v>
      </c>
      <c r="AA7" s="106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customHeight="1" spans="1:37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_xlfn.XLOOKUP(A8,'WK 47'!A:A,'WK 47'!E:E,"")</f>
        <v>FT</v>
      </c>
      <c r="F8" s="103">
        <f t="array" ref="F8">_xlfn.XLOOKUP(A8,'WK 47'!A:A,'WK 47'!F:F,"")</f>
        <v>1</v>
      </c>
      <c r="G8" s="54">
        <v>0.5</v>
      </c>
      <c r="H8" s="54">
        <v>0.875</v>
      </c>
      <c r="I8" s="54">
        <v>0.5</v>
      </c>
      <c r="J8" s="54">
        <v>0.875</v>
      </c>
      <c r="K8" s="54">
        <v>0.5</v>
      </c>
      <c r="L8" s="54">
        <v>0.875</v>
      </c>
      <c r="M8" s="54">
        <v>0.5</v>
      </c>
      <c r="N8" s="54">
        <v>0.875</v>
      </c>
      <c r="O8" s="54">
        <v>0.5</v>
      </c>
      <c r="P8" s="54"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7">
        <f t="shared" si="0"/>
        <v>0</v>
      </c>
      <c r="X8" s="20">
        <f t="array" ref="X8">_xlfn.XLOOKUP(A8,'WK 45'!A:A,'WK 45'!X:X,"")</f>
        <v>0.416666666666667</v>
      </c>
      <c r="Y8" s="17" t="str">
        <f t="array" ref="Y8">_xlfn.XLOOKUP(A8,'WK 47'!A:A,'WK 47'!AA:AA,"")</f>
        <v>early</v>
      </c>
      <c r="Z8" s="61" t="str">
        <f t="shared" si="1"/>
        <v>late</v>
      </c>
      <c r="AA8" s="106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customHeight="1" spans="1:37">
      <c r="A9" s="21">
        <v>10317153</v>
      </c>
      <c r="B9" s="86" t="s">
        <v>42</v>
      </c>
      <c r="C9" s="21" t="s">
        <v>20</v>
      </c>
      <c r="D9" s="21" t="s">
        <v>21</v>
      </c>
      <c r="E9" s="54" t="str">
        <f t="array" ref="E9">_xlfn.XLOOKUP(A9,'WK 47'!A:A,'WK 47'!E:E,"")</f>
        <v>FT</v>
      </c>
      <c r="F9" s="103">
        <f t="array" ref="F9">_xlfn.XLOOKUP(A9,'WK 47'!A:A,'WK 47'!F:F,"")</f>
        <v>1</v>
      </c>
      <c r="G9" s="54">
        <v>0.5</v>
      </c>
      <c r="H9" s="54">
        <v>0.875</v>
      </c>
      <c r="I9" s="54">
        <v>0.5</v>
      </c>
      <c r="J9" s="54">
        <v>0.875</v>
      </c>
      <c r="K9" s="54">
        <v>0.5</v>
      </c>
      <c r="L9" s="54">
        <v>0.875</v>
      </c>
      <c r="M9" s="54">
        <v>0.5</v>
      </c>
      <c r="N9" s="54">
        <v>0.875</v>
      </c>
      <c r="O9" s="54">
        <v>0.5</v>
      </c>
      <c r="P9" s="54"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17">
        <f t="array" ref="V9">_xlfn.XLOOKUP(A9,'WK 47'!A:A,'WK 47'!V:V,"")</f>
        <v>45</v>
      </c>
      <c r="W9" s="7">
        <f t="shared" si="0"/>
        <v>0</v>
      </c>
      <c r="X9" s="20">
        <f t="array" ref="X9">_xlfn.XLOOKUP(A9,'WK 45'!A:A,'WK 45'!X:X,"")</f>
        <v>0.416666666666667</v>
      </c>
      <c r="Y9" s="17" t="str">
        <f t="array" ref="Y9">_xlfn.XLOOKUP(A9,'WK 47'!A:A,'WK 47'!AA:AA,"")</f>
        <v>early</v>
      </c>
      <c r="Z9" s="61" t="str">
        <f t="shared" si="1"/>
        <v>late</v>
      </c>
      <c r="AA9" s="20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customHeight="1" spans="1:37">
      <c r="A10" s="21">
        <v>10252106</v>
      </c>
      <c r="B10" s="86" t="s">
        <v>43</v>
      </c>
      <c r="C10" s="21" t="s">
        <v>20</v>
      </c>
      <c r="D10" s="21" t="s">
        <v>21</v>
      </c>
      <c r="E10" s="54" t="str">
        <f t="array" ref="E10">_xlfn.XLOOKUP(A10,'WK 47'!A:A,'WK 47'!E:E,"")</f>
        <v>FT</v>
      </c>
      <c r="F10" s="103">
        <f t="array" ref="F10">_xlfn.XLOOKUP(A10,'WK 47'!A:A,'WK 47'!F:F,"")</f>
        <v>2</v>
      </c>
      <c r="G10" s="21" t="s">
        <v>23</v>
      </c>
      <c r="H10" s="54" t="str">
        <f>IFERROR(G10+$X10,"OFF")</f>
        <v>OFF</v>
      </c>
      <c r="I10" s="54">
        <v>0.5</v>
      </c>
      <c r="J10" s="54">
        <v>0.875</v>
      </c>
      <c r="K10" s="21" t="s">
        <v>23</v>
      </c>
      <c r="L10" s="54" t="str">
        <f>IFERROR(K10+$X10,"OFF")</f>
        <v>OFF</v>
      </c>
      <c r="M10" s="54">
        <v>0.5</v>
      </c>
      <c r="N10" s="54">
        <f>IFERROR(M10+$X10,"OFF")</f>
        <v>0.875</v>
      </c>
      <c r="O10" s="54">
        <v>0.5</v>
      </c>
      <c r="P10" s="54">
        <f>IFERROR(O10+$X10,"OFF")</f>
        <v>0.875</v>
      </c>
      <c r="Q10" s="54">
        <v>0.458333333333333</v>
      </c>
      <c r="R10" s="54">
        <v>0.666666666666667</v>
      </c>
      <c r="S10" s="54">
        <v>0.458333333333333</v>
      </c>
      <c r="T10" s="54">
        <v>0.666666666666667</v>
      </c>
      <c r="U10" s="21">
        <f>IFERROR(__xludf.DUMMYFUNCTION("TO_PURE_NUMBER(SUM(FILTER(G10:T10, ISEVEN(COLUMN(G10:T10))))-SUM(FILTER(G10:T10, ISODD(COLUMN(G10:T10)))))*24"),37)</f>
        <v>37</v>
      </c>
      <c r="V10" s="17">
        <f t="array" ref="V10">_xlfn.XLOOKUP(A10,'WK 47'!A:A,'WK 47'!V:V,"")</f>
        <v>37</v>
      </c>
      <c r="W10" s="7">
        <f t="shared" si="0"/>
        <v>0</v>
      </c>
      <c r="X10" s="20">
        <f t="array" ref="X10">_xlfn.XLOOKUP(A10,'WK 45'!A:A,'WK 45'!X:X,"")</f>
        <v>0.375</v>
      </c>
      <c r="Y10" s="17" t="str">
        <f t="array" ref="Y10">_xlfn.XLOOKUP(A10,'WK 47'!A:A,'WK 47'!AA:AA,"")</f>
        <v>early</v>
      </c>
      <c r="Z10" s="61" t="str">
        <f t="shared" si="1"/>
        <v>late</v>
      </c>
      <c r="AA10" s="20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customHeight="1" spans="1:37">
      <c r="A11" s="21">
        <v>10316681</v>
      </c>
      <c r="B11" s="86" t="s">
        <v>38</v>
      </c>
      <c r="C11" s="21" t="s">
        <v>20</v>
      </c>
      <c r="D11" s="21" t="s">
        <v>21</v>
      </c>
      <c r="E11" s="54" t="str">
        <f t="array" ref="E11">_xlfn.XLOOKUP(A11,'WK 47'!A:A,'WK 47'!E:E,"")</f>
        <v>FT</v>
      </c>
      <c r="F11" s="103">
        <f t="array" ref="F11">_xlfn.XLOOKUP(A11,'WK 47'!A:A,'WK 47'!F:F,"")</f>
        <v>1</v>
      </c>
      <c r="G11" s="54">
        <v>0.5</v>
      </c>
      <c r="H11" s="54">
        <v>0.875</v>
      </c>
      <c r="I11" s="54">
        <v>0.5</v>
      </c>
      <c r="J11" s="54">
        <v>0.875</v>
      </c>
      <c r="K11" s="54">
        <v>0.5</v>
      </c>
      <c r="L11" s="54">
        <v>0.875</v>
      </c>
      <c r="M11" s="54">
        <v>0.5</v>
      </c>
      <c r="N11" s="54">
        <v>0.875</v>
      </c>
      <c r="O11" s="54">
        <v>0.5</v>
      </c>
      <c r="P11" s="54"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7">
        <f t="shared" si="0"/>
        <v>0</v>
      </c>
      <c r="X11" s="20">
        <f t="array" ref="X11">_xlfn.XLOOKUP(A11,'WK 45'!A:A,'WK 45'!X:X,"")</f>
        <v>0.375</v>
      </c>
      <c r="Y11" s="17" t="str">
        <f t="array" ref="Y11">_xlfn.XLOOKUP(A11,'WK 47'!A:A,'WK 47'!AA:AA,"")</f>
        <v>early</v>
      </c>
      <c r="Z11" s="61" t="str">
        <f t="shared" si="1"/>
        <v>late</v>
      </c>
      <c r="AA11" s="17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customHeight="1" spans="1:37">
      <c r="A12" s="21">
        <v>10316683</v>
      </c>
      <c r="B12" s="86" t="s">
        <v>51</v>
      </c>
      <c r="C12" s="21" t="s">
        <v>20</v>
      </c>
      <c r="D12" s="21" t="s">
        <v>21</v>
      </c>
      <c r="E12" s="54" t="str">
        <f t="array" ref="E12">_xlfn.XLOOKUP(A12,'WK 47'!A:A,'WK 47'!E:E,"")</f>
        <v>FT</v>
      </c>
      <c r="F12" s="103">
        <f t="array" ref="F12">_xlfn.XLOOKUP(A12,'WK 47'!A:A,'WK 47'!F:F,"")</f>
        <v>1</v>
      </c>
      <c r="G12" s="54">
        <v>0.458333333333333</v>
      </c>
      <c r="H12" s="54">
        <f t="shared" ref="H12:H14" si="2">IFERROR(G12+$X12,"OFF")</f>
        <v>0.875</v>
      </c>
      <c r="I12" s="54">
        <v>0.458333333333333</v>
      </c>
      <c r="J12" s="54">
        <f t="shared" ref="J12:J14" si="3">IFERROR(I12+$X12,"OFF")</f>
        <v>0.875</v>
      </c>
      <c r="K12" s="54">
        <v>0.458333333333333</v>
      </c>
      <c r="L12" s="54">
        <f t="shared" ref="L12:L14" si="4">IFERROR(K12+$X12,"OFF")</f>
        <v>0.875</v>
      </c>
      <c r="M12" s="54">
        <v>0.458333333333333</v>
      </c>
      <c r="N12" s="54">
        <f t="shared" ref="N12:N14" si="5">IFERROR(M12+$X12,"OFF")</f>
        <v>0.875</v>
      </c>
      <c r="O12" s="21" t="s">
        <v>23</v>
      </c>
      <c r="P12" s="21" t="s">
        <v>23</v>
      </c>
      <c r="Q12" s="21" t="s">
        <v>23</v>
      </c>
      <c r="R12" s="21" t="s">
        <v>23</v>
      </c>
      <c r="S12" s="54">
        <v>0.458333333333333</v>
      </c>
      <c r="T12" s="54">
        <v>0.666666666666667</v>
      </c>
      <c r="U12" s="21">
        <f>IFERROR(__xludf.DUMMYFUNCTION("TO_PURE_NUMBER(SUM(FILTER(G12:T12, ISEVEN(COLUMN(G12:T12))))-SUM(FILTER(G12:T12, ISODD(COLUMN(G12:T12)))))*24"),44.9999999999999)</f>
        <v>44.9999999999999</v>
      </c>
      <c r="V12" s="17">
        <f t="array" ref="V12">_xlfn.XLOOKUP(A12,'WK 47'!A:A,'WK 47'!V:V,"")</f>
        <v>45</v>
      </c>
      <c r="W12" s="7">
        <f t="shared" si="0"/>
        <v>9.9475983006414e-14</v>
      </c>
      <c r="X12" s="20">
        <f t="array" ref="X12">_xlfn.XLOOKUP(A12,'WK 45'!A:A,'WK 45'!X:X,"")</f>
        <v>0.416666666666667</v>
      </c>
      <c r="Y12" s="17" t="str">
        <f t="array" ref="Y12">_xlfn.XLOOKUP(A12,'WK 47'!A:A,'WK 47'!AA:AA,"")</f>
        <v>early</v>
      </c>
      <c r="Z12" s="61" t="str">
        <f t="shared" si="1"/>
        <v>late</v>
      </c>
      <c r="AA12" s="106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customHeight="1" spans="1:37">
      <c r="A13" s="21">
        <v>10316546</v>
      </c>
      <c r="B13" s="86" t="s">
        <v>49</v>
      </c>
      <c r="C13" s="21" t="s">
        <v>20</v>
      </c>
      <c r="D13" s="21" t="s">
        <v>21</v>
      </c>
      <c r="E13" s="54" t="str">
        <f t="array" ref="E13">_xlfn.XLOOKUP(A13,'WK 47'!A:A,'WK 47'!E:E,"")</f>
        <v>FT</v>
      </c>
      <c r="F13" s="103">
        <f t="array" ref="F13">_xlfn.XLOOKUP(A13,'WK 47'!A:A,'WK 47'!F:F,"")</f>
        <v>1</v>
      </c>
      <c r="G13" s="54">
        <v>0.458333333333333</v>
      </c>
      <c r="H13" s="54">
        <f t="shared" si="2"/>
        <v>0.875</v>
      </c>
      <c r="I13" s="54">
        <v>0.458333333333333</v>
      </c>
      <c r="J13" s="54">
        <f t="shared" si="3"/>
        <v>0.875</v>
      </c>
      <c r="K13" s="54">
        <v>0.458333333333333</v>
      </c>
      <c r="L13" s="54">
        <f t="shared" si="4"/>
        <v>0.875</v>
      </c>
      <c r="M13" s="54">
        <v>0.458333333333333</v>
      </c>
      <c r="N13" s="54">
        <f t="shared" si="5"/>
        <v>0.875</v>
      </c>
      <c r="O13" s="21" t="s">
        <v>23</v>
      </c>
      <c r="P13" s="21" t="s">
        <v>23</v>
      </c>
      <c r="Q13" s="21" t="s">
        <v>23</v>
      </c>
      <c r="R13" s="21" t="s">
        <v>23</v>
      </c>
      <c r="S13" s="54">
        <v>0.458333333333333</v>
      </c>
      <c r="T13" s="54">
        <v>0.666666666666667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7">
        <f t="shared" si="0"/>
        <v>0</v>
      </c>
      <c r="X13" s="20">
        <f t="array" ref="X13">_xlfn.XLOOKUP(A13,'WK 45'!A:A,'WK 45'!X:X,"")</f>
        <v>0.416666666666667</v>
      </c>
      <c r="Y13" s="17" t="str">
        <f t="array" ref="Y13">_xlfn.XLOOKUP(A13,'WK 47'!A:A,'WK 47'!AA:AA,"")</f>
        <v>early</v>
      </c>
      <c r="Z13" s="61" t="str">
        <f t="shared" si="1"/>
        <v>late</v>
      </c>
      <c r="AA13" s="106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customHeight="1" spans="1:37">
      <c r="A14" s="21">
        <v>10317151</v>
      </c>
      <c r="B14" s="86" t="s">
        <v>52</v>
      </c>
      <c r="C14" s="21" t="s">
        <v>20</v>
      </c>
      <c r="D14" s="21" t="s">
        <v>21</v>
      </c>
      <c r="E14" s="54" t="str">
        <f t="array" ref="E14">_xlfn.XLOOKUP(A14,'WK 47'!A:A,'WK 47'!E:E,"")</f>
        <v>FT</v>
      </c>
      <c r="F14" s="103">
        <f t="array" ref="F14">_xlfn.XLOOKUP(A14,'WK 47'!A:A,'WK 47'!F:F,"")</f>
        <v>1</v>
      </c>
      <c r="G14" s="54">
        <v>0.458333333333333</v>
      </c>
      <c r="H14" s="54">
        <f t="shared" si="2"/>
        <v>0.875</v>
      </c>
      <c r="I14" s="54">
        <v>0.458333333333333</v>
      </c>
      <c r="J14" s="54">
        <f t="shared" si="3"/>
        <v>0.875</v>
      </c>
      <c r="K14" s="54">
        <v>0.458333333333333</v>
      </c>
      <c r="L14" s="54">
        <f t="shared" si="4"/>
        <v>0.875</v>
      </c>
      <c r="M14" s="54">
        <v>0.458333333333333</v>
      </c>
      <c r="N14" s="54">
        <f t="shared" si="5"/>
        <v>0.875</v>
      </c>
      <c r="O14" s="21" t="s">
        <v>23</v>
      </c>
      <c r="P14" s="21" t="s">
        <v>23</v>
      </c>
      <c r="Q14" s="21" t="s">
        <v>23</v>
      </c>
      <c r="R14" s="21" t="s">
        <v>23</v>
      </c>
      <c r="S14" s="54">
        <v>0.458333333333333</v>
      </c>
      <c r="T14" s="54">
        <v>0.666666666666667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7">
        <f t="shared" si="0"/>
        <v>0</v>
      </c>
      <c r="X14" s="20">
        <f t="array" ref="X14">_xlfn.XLOOKUP(A14,'WK 45'!A:A,'WK 45'!X:X,"")</f>
        <v>0.416666666666667</v>
      </c>
      <c r="Y14" s="17" t="str">
        <f t="array" ref="Y14">_xlfn.XLOOKUP(A14,'WK 47'!A:A,'WK 47'!AA:AA,"")</f>
        <v>early</v>
      </c>
      <c r="Z14" s="61" t="str">
        <f t="shared" si="1"/>
        <v>late</v>
      </c>
      <c r="AA14" s="106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customHeight="1" spans="1:37">
      <c r="A15" s="21">
        <v>10316618</v>
      </c>
      <c r="B15" s="86" t="s">
        <v>33</v>
      </c>
      <c r="C15" s="21" t="s">
        <v>20</v>
      </c>
      <c r="D15" s="21" t="s">
        <v>21</v>
      </c>
      <c r="E15" s="54" t="str">
        <f t="array" ref="E15">_xlfn.XLOOKUP(A15,'WK 47'!A:A,'WK 47'!E:E,"")</f>
        <v>FT</v>
      </c>
      <c r="F15" s="103">
        <f t="array" ref="F15">_xlfn.XLOOKUP(A15,'WK 47'!A:A,'WK 47'!F:F,"")</f>
        <v>1</v>
      </c>
      <c r="G15" s="54">
        <v>0.375</v>
      </c>
      <c r="H15" s="54">
        <v>0.791666666666667</v>
      </c>
      <c r="I15" s="54">
        <v>0.375</v>
      </c>
      <c r="J15" s="54">
        <v>0.791666666666667</v>
      </c>
      <c r="K15" s="54">
        <v>0.375</v>
      </c>
      <c r="L15" s="54">
        <v>0.791666666666667</v>
      </c>
      <c r="M15" s="54">
        <v>0.375</v>
      </c>
      <c r="N15" s="54">
        <v>0.791666666666667</v>
      </c>
      <c r="O15" s="21" t="s">
        <v>23</v>
      </c>
      <c r="P15" s="21" t="s">
        <v>23</v>
      </c>
      <c r="Q15" s="21" t="s">
        <v>23</v>
      </c>
      <c r="R15" s="21" t="s">
        <v>23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ISODD(COLUMN(G15:T15)))))*24"),44.9999999999999)</f>
        <v>44.9999999999999</v>
      </c>
      <c r="V15" s="17">
        <f t="array" ref="V15">_xlfn.XLOOKUP(A15,'WK 47'!A:A,'WK 47'!V:V,"")</f>
        <v>45</v>
      </c>
      <c r="W15" s="7">
        <f t="shared" si="0"/>
        <v>9.9475983006414e-14</v>
      </c>
      <c r="X15" s="20">
        <f t="array" ref="X15">_xlfn.XLOOKUP(A15,'WK 45'!A:A,'WK 45'!X:X,"")</f>
        <v>0.416666666666667</v>
      </c>
      <c r="Y15" s="17" t="str">
        <f t="array" ref="Y15">_xlfn.XLOOKUP(A15,'WK 47'!A:A,'WK 47'!AA:AA,"")</f>
        <v>late</v>
      </c>
      <c r="Z15" s="61" t="str">
        <f t="shared" si="1"/>
        <v> early</v>
      </c>
      <c r="AA15" s="106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customHeight="1" spans="1:37">
      <c r="A16" s="21">
        <v>10316685</v>
      </c>
      <c r="B16" s="86" t="s">
        <v>47</v>
      </c>
      <c r="C16" s="21" t="s">
        <v>20</v>
      </c>
      <c r="D16" s="21" t="s">
        <v>21</v>
      </c>
      <c r="E16" s="54" t="str">
        <f t="array" ref="E16">_xlfn.XLOOKUP(A16,'WK 47'!A:A,'WK 47'!E:E,"")</f>
        <v>FT</v>
      </c>
      <c r="F16" s="103">
        <f t="array" ref="F16">_xlfn.XLOOKUP(A16,'WK 47'!A:A,'WK 47'!F:F,"")</f>
        <v>1</v>
      </c>
      <c r="G16" s="54">
        <v>0.375</v>
      </c>
      <c r="H16" s="54">
        <v>0.75</v>
      </c>
      <c r="I16" s="54">
        <v>0.375</v>
      </c>
      <c r="J16" s="54">
        <v>0.75</v>
      </c>
      <c r="K16" s="54">
        <v>0.375</v>
      </c>
      <c r="L16" s="54">
        <v>0.75</v>
      </c>
      <c r="M16" s="54">
        <v>0.375</v>
      </c>
      <c r="N16" s="54">
        <v>0.75</v>
      </c>
      <c r="O16" s="54">
        <v>0.375</v>
      </c>
      <c r="P16" s="54">
        <v>0.75</v>
      </c>
      <c r="Q16" s="21" t="s">
        <v>23</v>
      </c>
      <c r="R16" s="21" t="s">
        <v>23</v>
      </c>
      <c r="S16" s="21" t="s">
        <v>23</v>
      </c>
      <c r="T16" s="21" t="s">
        <v>23</v>
      </c>
      <c r="U16" s="21">
        <f>IFERROR(__xludf.DUMMYFUNCTION("TO_PURE_NUMBER(SUM(FILTER(G16:T16, ISEVEN(COLUMN(G16:T16))))-SUM(FILTER(G16:T16, ISODD(COLUMN(G16:T16)))))*24"),45)</f>
        <v>45</v>
      </c>
      <c r="V16" s="17">
        <f t="array" ref="V16">_xlfn.XLOOKUP(A16,'WK 47'!A:A,'WK 47'!V:V,"")</f>
        <v>45</v>
      </c>
      <c r="W16" s="7">
        <f t="shared" si="0"/>
        <v>0</v>
      </c>
      <c r="X16" s="20">
        <f t="array" ref="X16">_xlfn.XLOOKUP(A16,'WK 45'!A:A,'WK 45'!X:X,"")</f>
        <v>0.416666666666667</v>
      </c>
      <c r="Y16" s="17" t="str">
        <f t="array" ref="Y16">_xlfn.XLOOKUP(A16,'WK 47'!A:A,'WK 47'!AA:AA,"")</f>
        <v>late</v>
      </c>
      <c r="Z16" s="61" t="str">
        <f t="shared" si="1"/>
        <v> early</v>
      </c>
      <c r="AA16" s="106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customHeight="1" spans="1:37">
      <c r="A17" s="21">
        <v>10316549</v>
      </c>
      <c r="B17" s="86" t="s">
        <v>19</v>
      </c>
      <c r="C17" s="21" t="s">
        <v>20</v>
      </c>
      <c r="D17" s="21" t="s">
        <v>21</v>
      </c>
      <c r="E17" s="54" t="str">
        <f t="array" ref="E17">_xlfn.XLOOKUP(A17,'WK 47'!A:A,'WK 47'!E:E,"")</f>
        <v>FT</v>
      </c>
      <c r="F17" s="103">
        <f t="array" ref="F17">_xlfn.XLOOKUP(A17,'WK 47'!A:A,'WK 47'!F:F,"")</f>
        <v>1</v>
      </c>
      <c r="G17" s="54">
        <v>0.375</v>
      </c>
      <c r="H17" s="54">
        <v>0.791666666666667</v>
      </c>
      <c r="I17" s="54">
        <v>0.375</v>
      </c>
      <c r="J17" s="54">
        <v>0.791666666666667</v>
      </c>
      <c r="K17" s="54">
        <v>0.375</v>
      </c>
      <c r="L17" s="54">
        <v>0.791666666666667</v>
      </c>
      <c r="M17" s="54">
        <v>0.375</v>
      </c>
      <c r="N17" s="54">
        <v>0.791666666666667</v>
      </c>
      <c r="O17" s="21" t="s">
        <v>23</v>
      </c>
      <c r="P17" s="21" t="s">
        <v>23</v>
      </c>
      <c r="Q17" s="21" t="s">
        <v>23</v>
      </c>
      <c r="R17" s="21" t="s">
        <v>23</v>
      </c>
      <c r="S17" s="54">
        <v>0.458333333333333</v>
      </c>
      <c r="T17" s="54">
        <v>0.666666666666667</v>
      </c>
      <c r="U17" s="21">
        <f>IFERROR(__xludf.DUMMYFUNCTION("TO_PURE_NUMBER(SUM(FILTER(G17:T17, ISEVEN(COLUMN(G17:T17))))-SUM(FILTER(G17:T17, ISODD(COLUMN(G17:T17)))))*24"),44.9999999999999)</f>
        <v>44.9999999999999</v>
      </c>
      <c r="V17" s="17">
        <f t="array" ref="V17">_xlfn.XLOOKUP(A17,'WK 47'!A:A,'WK 47'!V:V,"")</f>
        <v>45</v>
      </c>
      <c r="W17" s="7">
        <f t="shared" si="0"/>
        <v>9.9475983006414e-14</v>
      </c>
      <c r="X17" s="20">
        <f t="array" ref="X17">_xlfn.XLOOKUP(A17,'WK 45'!A:A,'WK 45'!X:X,"")</f>
        <v>0.416666666666667</v>
      </c>
      <c r="Y17" s="17" t="str">
        <f t="array" ref="Y17">_xlfn.XLOOKUP(A17,'WK 47'!A:A,'WK 47'!AA:AA,"")</f>
        <v>late</v>
      </c>
      <c r="Z17" s="61" t="str">
        <f t="shared" si="1"/>
        <v> early</v>
      </c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customHeight="1" spans="1:37">
      <c r="A18" s="21">
        <v>10316543</v>
      </c>
      <c r="B18" s="86" t="s">
        <v>41</v>
      </c>
      <c r="C18" s="21" t="s">
        <v>20</v>
      </c>
      <c r="D18" s="21" t="s">
        <v>21</v>
      </c>
      <c r="E18" s="54" t="str">
        <f t="array" ref="E18">_xlfn.XLOOKUP(A18,'WK 47'!A:A,'WK 47'!E:E,"")</f>
        <v>FT</v>
      </c>
      <c r="F18" s="103">
        <f t="array" ref="F18">_xlfn.XLOOKUP(A18,'WK 47'!A:A,'WK 47'!F:F,"")</f>
        <v>1</v>
      </c>
      <c r="G18" s="54">
        <v>0.375</v>
      </c>
      <c r="H18" s="54">
        <v>0.791666666666667</v>
      </c>
      <c r="I18" s="54">
        <v>0.375</v>
      </c>
      <c r="J18" s="54">
        <v>0.791666666666667</v>
      </c>
      <c r="K18" s="54">
        <v>0.375</v>
      </c>
      <c r="L18" s="54">
        <v>0.791666666666667</v>
      </c>
      <c r="M18" s="54">
        <v>0.375</v>
      </c>
      <c r="N18" s="54">
        <v>0.791666666666667</v>
      </c>
      <c r="O18" s="21" t="s">
        <v>23</v>
      </c>
      <c r="P18" s="21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ISODD(COLUMN(G18:T18)))))*24"),44.9999999999999)</f>
        <v>44.9999999999999</v>
      </c>
      <c r="V18" s="17">
        <f t="array" ref="V18">_xlfn.XLOOKUP(A18,'WK 47'!A:A,'WK 47'!V:V,"")</f>
        <v>45</v>
      </c>
      <c r="W18" s="7">
        <f t="shared" si="0"/>
        <v>9.9475983006414e-14</v>
      </c>
      <c r="X18" s="20">
        <f t="array" ref="X18">_xlfn.XLOOKUP(A18,'WK 45'!A:A,'WK 45'!X:X,"")</f>
        <v>0.416666666666667</v>
      </c>
      <c r="Y18" s="17" t="str">
        <f t="array" ref="Y18">_xlfn.XLOOKUP(A18,'WK 47'!A:A,'WK 47'!AA:AA,"")</f>
        <v>late</v>
      </c>
      <c r="Z18" s="61" t="str">
        <f t="shared" si="1"/>
        <v> early</v>
      </c>
      <c r="AA18" s="106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customHeight="1" spans="1:37">
      <c r="A19" s="21">
        <v>10316551</v>
      </c>
      <c r="B19" s="86" t="s">
        <v>87</v>
      </c>
      <c r="C19" s="21" t="s">
        <v>20</v>
      </c>
      <c r="D19" s="21" t="s">
        <v>21</v>
      </c>
      <c r="E19" s="54" t="str">
        <f t="array" ref="E19">_xlfn.XLOOKUP(A19,'WK 47'!A:A,'WK 47'!E:E,"")</f>
        <v>FT</v>
      </c>
      <c r="F19" s="103">
        <f t="array" ref="F19">_xlfn.XLOOKUP(A19,'WK 47'!A:A,'WK 47'!F:F,"")</f>
        <v>1</v>
      </c>
      <c r="G19" s="54">
        <v>0.375</v>
      </c>
      <c r="H19" s="54">
        <v>0.75</v>
      </c>
      <c r="I19" s="54">
        <v>0.375</v>
      </c>
      <c r="J19" s="54">
        <v>0.75</v>
      </c>
      <c r="K19" s="54">
        <v>0.375</v>
      </c>
      <c r="L19" s="54">
        <v>0.75</v>
      </c>
      <c r="M19" s="54">
        <v>0.375</v>
      </c>
      <c r="N19" s="54">
        <v>0.75</v>
      </c>
      <c r="O19" s="54">
        <v>0.375</v>
      </c>
      <c r="P19" s="54">
        <v>0.75</v>
      </c>
      <c r="Q19" s="21" t="s">
        <v>23</v>
      </c>
      <c r="R19" s="21" t="s">
        <v>23</v>
      </c>
      <c r="S19" s="21" t="s">
        <v>23</v>
      </c>
      <c r="T19" s="21" t="s">
        <v>23</v>
      </c>
      <c r="U19" s="21">
        <f>IFERROR(__xludf.DUMMYFUNCTION("TO_PURE_NUMBER(SUM(FILTER(G19:T19, ISEVEN(COLUMN(G19:T19))))-SUM(FILTER(G19:T19, ISODD(COLUMN(G19:T19)))))*24"),45)</f>
        <v>45</v>
      </c>
      <c r="V19" s="17">
        <f t="array" ref="V19">_xlfn.XLOOKUP(A19,'WK 47'!A:A,'WK 47'!V:V,"")</f>
        <v>45</v>
      </c>
      <c r="W19" s="7">
        <f t="shared" si="0"/>
        <v>0</v>
      </c>
      <c r="X19" s="20">
        <f t="array" ref="X19">_xlfn.XLOOKUP(A19,'WK 45'!A:A,'WK 45'!X:X,"")</f>
        <v>0.375</v>
      </c>
      <c r="Y19" s="17" t="str">
        <f t="array" ref="Y19">_xlfn.XLOOKUP(A19,'WK 47'!A:A,'WK 47'!AA:AA,"")</f>
        <v>early</v>
      </c>
      <c r="Z19" s="61" t="str">
        <f t="shared" si="1"/>
        <v>late</v>
      </c>
      <c r="AA19" s="106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customHeight="1" spans="1:37">
      <c r="A20" s="21">
        <v>10316540</v>
      </c>
      <c r="B20" s="86" t="s">
        <v>30</v>
      </c>
      <c r="C20" s="21" t="s">
        <v>20</v>
      </c>
      <c r="D20" s="21" t="s">
        <v>21</v>
      </c>
      <c r="E20" s="54" t="str">
        <f t="array" ref="E20">_xlfn.XLOOKUP(A20,'WK 47'!A:A,'WK 47'!E:E,"")</f>
        <v>FT</v>
      </c>
      <c r="F20" s="103">
        <f t="array" ref="F20">_xlfn.XLOOKUP(A20,'WK 47'!A:A,'WK 47'!F:F,"")</f>
        <v>1</v>
      </c>
      <c r="G20" s="54">
        <v>0.375</v>
      </c>
      <c r="H20" s="54">
        <v>0.75</v>
      </c>
      <c r="I20" s="54">
        <v>0.375</v>
      </c>
      <c r="J20" s="54">
        <v>0.75</v>
      </c>
      <c r="K20" s="54">
        <v>0.375</v>
      </c>
      <c r="L20" s="54">
        <v>0.75</v>
      </c>
      <c r="M20" s="54">
        <v>0.375</v>
      </c>
      <c r="N20" s="54">
        <v>0.75</v>
      </c>
      <c r="O20" s="54">
        <v>0.375</v>
      </c>
      <c r="P20" s="54">
        <v>0.75</v>
      </c>
      <c r="Q20" s="21" t="s">
        <v>23</v>
      </c>
      <c r="R20" s="21" t="s">
        <v>23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17">
        <f t="array" ref="V20">_xlfn.XLOOKUP(A20,'WK 47'!A:A,'WK 47'!V:V,"")</f>
        <v>45</v>
      </c>
      <c r="W20" s="7">
        <f t="shared" si="0"/>
        <v>0</v>
      </c>
      <c r="X20" s="20">
        <f t="array" ref="X20">_xlfn.XLOOKUP(A20,'WK 45'!A:A,'WK 45'!X:X,"")</f>
        <v>0.416666666666667</v>
      </c>
      <c r="Y20" s="17" t="str">
        <f t="array" ref="Y20">_xlfn.XLOOKUP(A20,'WK 47'!A:A,'WK 47'!AA:AA,"")</f>
        <v>late</v>
      </c>
      <c r="Z20" s="61" t="str">
        <f t="shared" si="1"/>
        <v> early</v>
      </c>
      <c r="AA20" s="106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customHeight="1" spans="1:37">
      <c r="A21" s="21">
        <v>10295555</v>
      </c>
      <c r="B21" s="86" t="s">
        <v>34</v>
      </c>
      <c r="C21" s="21" t="s">
        <v>20</v>
      </c>
      <c r="D21" s="21" t="s">
        <v>21</v>
      </c>
      <c r="E21" s="54" t="str">
        <f t="array" ref="E21">_xlfn.XLOOKUP(A21,'WK 47'!A:A,'WK 47'!E:E,"")</f>
        <v>PT</v>
      </c>
      <c r="F21" s="103">
        <f t="array" ref="F21">_xlfn.XLOOKUP(A21,'WK 47'!A:A,'WK 47'!F:F,"")</f>
        <v>2</v>
      </c>
      <c r="G21" s="104" t="s">
        <v>36</v>
      </c>
      <c r="H21" s="104" t="s">
        <v>36</v>
      </c>
      <c r="I21" s="104" t="s">
        <v>36</v>
      </c>
      <c r="J21" s="104" t="s">
        <v>36</v>
      </c>
      <c r="K21" s="54">
        <v>0.666666666666667</v>
      </c>
      <c r="L21" s="54">
        <v>0.875</v>
      </c>
      <c r="M21" s="21" t="s">
        <v>23</v>
      </c>
      <c r="N21" s="21" t="s">
        <v>23</v>
      </c>
      <c r="O21" s="21" t="s">
        <v>23</v>
      </c>
      <c r="P21" s="21" t="s">
        <v>23</v>
      </c>
      <c r="Q21" s="54">
        <v>0.458333333333333</v>
      </c>
      <c r="R21" s="54">
        <v>0.666666666666667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ISODD(COLUMN(G21:T21)))))*24"),14.9999999999999)</f>
        <v>14.9999999999999</v>
      </c>
      <c r="V21" s="17">
        <f t="array" ref="V21">_xlfn.XLOOKUP(A21,'WK 47'!A:A,'WK 47'!V:V,"")</f>
        <v>25</v>
      </c>
      <c r="W21" s="7">
        <f t="shared" si="0"/>
        <v>10.0000000000001</v>
      </c>
      <c r="X21" s="20">
        <f t="array" ref="X21">_xlfn.XLOOKUP(A21,'WK 45'!A:A,'WK 45'!X:X,"")</f>
        <v>0.208333333333333</v>
      </c>
      <c r="Y21" s="17" t="str">
        <f t="array" ref="Y21">_xlfn.XLOOKUP(A21,'WK 47'!A:A,'WK 47'!AA:AA,"")</f>
        <v/>
      </c>
      <c r="Z21" s="61" t="str">
        <f t="shared" si="1"/>
        <v> early</v>
      </c>
      <c r="AA21" s="106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customHeight="1" spans="1:37">
      <c r="A22" s="21">
        <v>10317520</v>
      </c>
      <c r="B22" s="86" t="s">
        <v>37</v>
      </c>
      <c r="C22" s="21" t="s">
        <v>20</v>
      </c>
      <c r="D22" s="21" t="s">
        <v>21</v>
      </c>
      <c r="E22" s="54" t="str">
        <f t="array" ref="E22">_xlfn.XLOOKUP(A22,'WK 47'!A:A,'WK 47'!E:E,"")</f>
        <v>FT</v>
      </c>
      <c r="F22" s="103">
        <f t="array" ref="F22">_xlfn.XLOOKUP(A22,'WK 47'!A:A,'WK 47'!F:F,"")</f>
        <v>2</v>
      </c>
      <c r="G22" s="54">
        <v>0.5</v>
      </c>
      <c r="H22" s="54">
        <f t="shared" ref="H22:H23" si="6">IFERROR(G22+$X22,"OFF")</f>
        <v>0.875</v>
      </c>
      <c r="I22" s="54">
        <v>0.5</v>
      </c>
      <c r="J22" s="54">
        <f t="shared" ref="J22:J23" si="7">IFERROR(I22+$X22,"OFF")</f>
        <v>0.875</v>
      </c>
      <c r="K22" s="54">
        <v>0.5</v>
      </c>
      <c r="L22" s="54">
        <f t="shared" ref="L22:L23" si="8">IFERROR(K22+$X22,"OFF")</f>
        <v>0.875</v>
      </c>
      <c r="M22" s="54">
        <v>0.5</v>
      </c>
      <c r="N22" s="54">
        <f t="shared" ref="N22:N23" si="9">IFERROR(M22+$X22,"OFF")</f>
        <v>0.875</v>
      </c>
      <c r="O22" s="54">
        <v>0.5</v>
      </c>
      <c r="P22" s="54">
        <f t="shared" ref="P22:P23" si="10">IFERROR(O22+$X22,"OFF")</f>
        <v>0.875</v>
      </c>
      <c r="Q22" s="21" t="s">
        <v>23</v>
      </c>
      <c r="R22" s="21" t="s">
        <v>23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17">
        <f t="array" ref="V22">_xlfn.XLOOKUP(A22,'WK 47'!A:A,'WK 47'!V:V,"")</f>
        <v>45</v>
      </c>
      <c r="W22" s="7">
        <f t="shared" si="0"/>
        <v>0</v>
      </c>
      <c r="X22" s="20">
        <f t="array" ref="X22">_xlfn.XLOOKUP(A22,'WK 45'!A:A,'WK 45'!X:X,"")</f>
        <v>0.375</v>
      </c>
      <c r="Y22" s="17" t="str">
        <f t="array" ref="Y22">_xlfn.XLOOKUP(A22,'WK 47'!A:A,'WK 47'!AA:AA,"")</f>
        <v>early</v>
      </c>
      <c r="Z22" s="61" t="str">
        <f t="shared" si="1"/>
        <v>late</v>
      </c>
      <c r="AA22" s="106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customHeight="1" spans="1:37">
      <c r="A23" s="21">
        <v>10317521</v>
      </c>
      <c r="B23" s="86" t="s">
        <v>28</v>
      </c>
      <c r="C23" s="21" t="s">
        <v>20</v>
      </c>
      <c r="D23" s="21" t="s">
        <v>21</v>
      </c>
      <c r="E23" s="54" t="str">
        <f t="array" ref="E23">_xlfn.XLOOKUP(A23,'WK 47'!A:A,'WK 47'!E:E,"")</f>
        <v>FT</v>
      </c>
      <c r="F23" s="103">
        <f t="array" ref="F23">_xlfn.XLOOKUP(A23,'WK 47'!A:A,'WK 47'!F:F,"")</f>
        <v>2</v>
      </c>
      <c r="G23" s="54">
        <v>0.5</v>
      </c>
      <c r="H23" s="54">
        <f t="shared" si="6"/>
        <v>0.875</v>
      </c>
      <c r="I23" s="54">
        <v>0.5</v>
      </c>
      <c r="J23" s="54">
        <f t="shared" si="7"/>
        <v>0.875</v>
      </c>
      <c r="K23" s="54">
        <v>0.5</v>
      </c>
      <c r="L23" s="54">
        <f t="shared" si="8"/>
        <v>0.875</v>
      </c>
      <c r="M23" s="54">
        <v>0.5</v>
      </c>
      <c r="N23" s="54">
        <f t="shared" si="9"/>
        <v>0.875</v>
      </c>
      <c r="O23" s="54">
        <v>0.5</v>
      </c>
      <c r="P23" s="54">
        <f t="shared" si="10"/>
        <v>0.875</v>
      </c>
      <c r="Q23" s="21" t="s">
        <v>23</v>
      </c>
      <c r="R23" s="21" t="s">
        <v>23</v>
      </c>
      <c r="S23" s="21" t="s">
        <v>23</v>
      </c>
      <c r="T23" s="21" t="s">
        <v>23</v>
      </c>
      <c r="U23" s="21">
        <f>IFERROR(__xludf.DUMMYFUNCTION("TO_PURE_NUMBER(SUM(FILTER(G23:T23, ISEVEN(COLUMN(G23:T23))))-SUM(FILTER(G23:T23, ISODD(COLUMN(G23:T23)))))*24"),45)</f>
        <v>45</v>
      </c>
      <c r="V23" s="17">
        <f t="array" ref="V23">_xlfn.XLOOKUP(A23,'WK 47'!A:A,'WK 47'!V:V,"")</f>
        <v>45</v>
      </c>
      <c r="W23" s="7">
        <f t="shared" si="0"/>
        <v>0</v>
      </c>
      <c r="X23" s="20">
        <f t="array" ref="X23">_xlfn.XLOOKUP(A23,'WK 45'!A:A,'WK 45'!X:X,"")</f>
        <v>0.375</v>
      </c>
      <c r="Y23" s="17" t="str">
        <f t="array" ref="Y23">_xlfn.XLOOKUP(A23,'WK 47'!A:A,'WK 47'!AA:AA,"")</f>
        <v>early</v>
      </c>
      <c r="Z23" s="61" t="str">
        <f t="shared" si="1"/>
        <v>late</v>
      </c>
      <c r="AA23" s="106"/>
      <c r="AB23" s="61"/>
      <c r="AC23" s="61"/>
      <c r="AD23" s="61"/>
      <c r="AE23" s="61"/>
      <c r="AF23" s="61"/>
      <c r="AG23" s="61"/>
      <c r="AH23" s="61"/>
      <c r="AI23" s="61"/>
      <c r="AJ23" s="61"/>
      <c r="AK23" s="61"/>
    </row>
    <row r="24" customHeight="1" spans="1:37">
      <c r="A24" s="21">
        <v>10276839</v>
      </c>
      <c r="B24" s="86" t="s">
        <v>54</v>
      </c>
      <c r="C24" s="21" t="s">
        <v>20</v>
      </c>
      <c r="D24" s="21" t="s">
        <v>21</v>
      </c>
      <c r="E24" s="54" t="str">
        <f t="array" ref="E24">_xlfn.XLOOKUP(A24,'WK 47'!A:A,'WK 47'!E:E,"")</f>
        <v>FT</v>
      </c>
      <c r="F24" s="103">
        <f t="array" ref="F24">_xlfn.XLOOKUP(A24,'WK 47'!A:A,'WK 47'!F:F,"")</f>
        <v>2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54">
        <v>0.5</v>
      </c>
      <c r="N24" s="54">
        <v>0.875</v>
      </c>
      <c r="O24" s="54">
        <v>0.5</v>
      </c>
      <c r="P24" s="54">
        <v>0.875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17">
        <f t="array" ref="V24">_xlfn.XLOOKUP(A24,'WK 47'!A:A,'WK 47'!V:V,"")</f>
        <v>45</v>
      </c>
      <c r="W24" s="7">
        <f t="shared" si="0"/>
        <v>0</v>
      </c>
      <c r="X24" s="20">
        <f t="array" ref="X24">_xlfn.XLOOKUP(A24,'WK 45'!A:A,'WK 45'!X:X,"")</f>
        <v>0.375</v>
      </c>
      <c r="Y24" s="17" t="str">
        <f t="array" ref="Y24">_xlfn.XLOOKUP(A24,'WK 47'!A:A,'WK 47'!AA:AA,"")</f>
        <v>early</v>
      </c>
      <c r="Z24" s="61" t="str">
        <f t="shared" si="1"/>
        <v>late</v>
      </c>
      <c r="AA24" s="106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customHeight="1" spans="1:37">
      <c r="A25" s="21">
        <v>10317524</v>
      </c>
      <c r="B25" s="86" t="s">
        <v>53</v>
      </c>
      <c r="C25" s="21" t="s">
        <v>20</v>
      </c>
      <c r="D25" s="21" t="s">
        <v>21</v>
      </c>
      <c r="E25" s="54" t="str">
        <f t="array" ref="E25">_xlfn.XLOOKUP(A25,'WK 47'!A:A,'WK 47'!E:E,"")</f>
        <v>FT</v>
      </c>
      <c r="F25" s="103">
        <f t="array" ref="F25">_xlfn.XLOOKUP(A25,'WK 47'!A:A,'WK 47'!F:F,"")</f>
        <v>2</v>
      </c>
      <c r="G25" s="54">
        <v>0.458333333333333</v>
      </c>
      <c r="H25" s="54">
        <f t="shared" ref="H25:H27" si="11">IFERROR(G25+$X25,"OFF")</f>
        <v>0.833333333333333</v>
      </c>
      <c r="I25" s="54">
        <v>0.458333333333333</v>
      </c>
      <c r="J25" s="54">
        <f t="shared" ref="J25:J27" si="12">IFERROR(I25+$X25,"OFF")</f>
        <v>0.833333333333333</v>
      </c>
      <c r="K25" s="54">
        <v>0.458333333333333</v>
      </c>
      <c r="L25" s="54">
        <f t="shared" ref="L25:L27" si="13">IFERROR(K25+$X25,"OFF")</f>
        <v>0.833333333333333</v>
      </c>
      <c r="M25" s="54">
        <v>0.458333333333333</v>
      </c>
      <c r="N25" s="54">
        <f t="shared" ref="N25:N27" si="14">IFERROR(M25+$X25,"OFF")</f>
        <v>0.833333333333333</v>
      </c>
      <c r="O25" s="54">
        <v>0.458333333333333</v>
      </c>
      <c r="P25" s="54">
        <f>IFERROR(O25+$X25,"OFF")</f>
        <v>0.833333333333333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7">
        <f t="shared" si="0"/>
        <v>9.9475983006414e-14</v>
      </c>
      <c r="X25" s="20">
        <f t="array" ref="X25">_xlfn.XLOOKUP(A25,'WK 45'!A:A,'WK 45'!X:X,"")</f>
        <v>0.375</v>
      </c>
      <c r="Y25" s="17" t="str">
        <f t="array" ref="Y25">_xlfn.XLOOKUP(A25,'WK 47'!A:A,'WK 47'!AA:AA,"")</f>
        <v>early</v>
      </c>
      <c r="Z25" s="61" t="str">
        <f t="shared" si="1"/>
        <v>late</v>
      </c>
      <c r="AA25" s="106"/>
      <c r="AB25" s="61"/>
      <c r="AC25" s="61"/>
      <c r="AD25" s="61"/>
      <c r="AE25" s="61"/>
      <c r="AF25" s="61"/>
      <c r="AG25" s="61"/>
      <c r="AH25" s="61"/>
      <c r="AI25" s="61"/>
      <c r="AJ25" s="61"/>
      <c r="AK25" s="61"/>
    </row>
    <row r="26" customHeight="1" spans="1:37">
      <c r="A26" s="21">
        <v>10317517</v>
      </c>
      <c r="B26" s="86" t="s">
        <v>29</v>
      </c>
      <c r="C26" s="21" t="s">
        <v>20</v>
      </c>
      <c r="D26" s="21" t="s">
        <v>21</v>
      </c>
      <c r="E26" s="54" t="str">
        <f t="array" ref="E26">_xlfn.XLOOKUP(A26,'WK 47'!A:A,'WK 47'!E:E,"")</f>
        <v>FT</v>
      </c>
      <c r="F26" s="103">
        <f t="array" ref="F26">_xlfn.XLOOKUP(A26,'WK 47'!A:A,'WK 47'!F:F,"")</f>
        <v>2</v>
      </c>
      <c r="G26" s="54">
        <v>0.458333333333333</v>
      </c>
      <c r="H26" s="54">
        <f t="shared" si="11"/>
        <v>0.875</v>
      </c>
      <c r="I26" s="54">
        <v>0.458333333333333</v>
      </c>
      <c r="J26" s="54">
        <f t="shared" si="12"/>
        <v>0.875</v>
      </c>
      <c r="K26" s="54">
        <v>0.458333333333333</v>
      </c>
      <c r="L26" s="54">
        <f t="shared" si="13"/>
        <v>0.875</v>
      </c>
      <c r="M26" s="54">
        <v>0.458333333333333</v>
      </c>
      <c r="N26" s="54">
        <f t="shared" si="14"/>
        <v>0.875</v>
      </c>
      <c r="O26" s="21" t="s">
        <v>23</v>
      </c>
      <c r="P26" s="21" t="s">
        <v>23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ISODD(COLUMN(G26:T26)))))*24"),45)</f>
        <v>45</v>
      </c>
      <c r="V26" s="17">
        <f t="array" ref="V26">_xlfn.XLOOKUP(A26,'WK 47'!A:A,'WK 47'!V:V,"")</f>
        <v>45</v>
      </c>
      <c r="W26" s="7">
        <f t="shared" si="0"/>
        <v>0</v>
      </c>
      <c r="X26" s="20">
        <v>0.416666666666667</v>
      </c>
      <c r="Y26" s="17" t="str">
        <f t="array" ref="Y26">_xlfn.XLOOKUP(A26,'WK 47'!A:A,'WK 47'!AA:AA,"")</f>
        <v>early</v>
      </c>
      <c r="Z26" s="61" t="str">
        <f t="shared" si="1"/>
        <v>late</v>
      </c>
      <c r="AA26" s="106"/>
      <c r="AB26" s="61"/>
      <c r="AC26" s="61"/>
      <c r="AD26" s="61"/>
      <c r="AE26" s="61"/>
      <c r="AF26" s="61"/>
      <c r="AG26" s="61"/>
      <c r="AH26" s="61"/>
      <c r="AI26" s="61"/>
      <c r="AJ26" s="61"/>
      <c r="AK26" s="61"/>
    </row>
    <row r="27" customHeight="1" spans="1:37">
      <c r="A27" s="21">
        <v>10320418</v>
      </c>
      <c r="B27" s="86" t="s">
        <v>68</v>
      </c>
      <c r="C27" s="21" t="s">
        <v>20</v>
      </c>
      <c r="D27" s="21" t="s">
        <v>21</v>
      </c>
      <c r="E27" s="54" t="str">
        <f t="array" ref="E27">_xlfn.XLOOKUP(A27,'WK 47'!A:A,'WK 47'!E:E,"")</f>
        <v>FT</v>
      </c>
      <c r="F27" s="103">
        <f t="array" ref="F27">_xlfn.XLOOKUP(A27,'WK 47'!A:A,'WK 47'!F:F,"")</f>
        <v>3</v>
      </c>
      <c r="G27" s="54">
        <v>0.5</v>
      </c>
      <c r="H27" s="54">
        <f t="shared" si="11"/>
        <v>0.875</v>
      </c>
      <c r="I27" s="54">
        <v>0.5</v>
      </c>
      <c r="J27" s="54">
        <f t="shared" si="12"/>
        <v>0.875</v>
      </c>
      <c r="K27" s="54">
        <v>0.5</v>
      </c>
      <c r="L27" s="54">
        <f t="shared" si="13"/>
        <v>0.875</v>
      </c>
      <c r="M27" s="54">
        <v>0.5</v>
      </c>
      <c r="N27" s="54">
        <f t="shared" si="14"/>
        <v>0.875</v>
      </c>
      <c r="O27" s="21" t="s">
        <v>23</v>
      </c>
      <c r="P27" s="21" t="s">
        <v>23</v>
      </c>
      <c r="Q27" s="21" t="s">
        <v>23</v>
      </c>
      <c r="R27" s="21" t="s">
        <v>23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17">
        <v>41</v>
      </c>
      <c r="W27" s="7">
        <f t="shared" si="0"/>
        <v>0</v>
      </c>
      <c r="X27" s="20">
        <v>0.375</v>
      </c>
      <c r="Y27" s="17" t="str">
        <f t="array" ref="Y27">_xlfn.XLOOKUP(A27,'WK 47'!A:A,'WK 47'!AA:AA,"")</f>
        <v>early</v>
      </c>
      <c r="Z27" s="61" t="str">
        <f t="shared" si="1"/>
        <v>late</v>
      </c>
      <c r="AA27" s="106"/>
      <c r="AB27" s="61"/>
      <c r="AC27" s="61"/>
      <c r="AD27" s="61"/>
      <c r="AE27" s="61"/>
      <c r="AF27" s="61"/>
      <c r="AG27" s="61"/>
      <c r="AH27" s="61"/>
      <c r="AI27" s="61"/>
      <c r="AJ27" s="61"/>
      <c r="AK27" s="61"/>
    </row>
    <row r="28" customHeight="1" spans="1:37">
      <c r="A28" s="21">
        <v>10317522</v>
      </c>
      <c r="B28" s="86" t="s">
        <v>31</v>
      </c>
      <c r="C28" s="21" t="s">
        <v>20</v>
      </c>
      <c r="D28" s="21" t="s">
        <v>21</v>
      </c>
      <c r="E28" s="54" t="str">
        <f t="array" ref="E28">_xlfn.XLOOKUP(A28,'WK 47'!A:A,'WK 47'!E:E,"")</f>
        <v>FT</v>
      </c>
      <c r="F28" s="103">
        <f t="array" ref="F28">_xlfn.XLOOKUP(A28,'WK 47'!A:A,'WK 47'!F:F,"")</f>
        <v>2</v>
      </c>
      <c r="G28" s="54">
        <v>0.375</v>
      </c>
      <c r="H28" s="54">
        <v>0.75</v>
      </c>
      <c r="I28" s="54">
        <v>0.375</v>
      </c>
      <c r="J28" s="54">
        <v>0.75</v>
      </c>
      <c r="K28" s="54">
        <v>0.375</v>
      </c>
      <c r="L28" s="54">
        <v>0.75</v>
      </c>
      <c r="M28" s="54">
        <v>0.375</v>
      </c>
      <c r="N28" s="54">
        <v>0.75</v>
      </c>
      <c r="O28" s="54">
        <v>0.375</v>
      </c>
      <c r="P28" s="54"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17">
        <f t="array" ref="V28">_xlfn.XLOOKUP(A28,'WK 47'!A:A,'WK 47'!V:V,"")</f>
        <v>45</v>
      </c>
      <c r="W28" s="7">
        <f t="shared" si="0"/>
        <v>0</v>
      </c>
      <c r="X28" s="20">
        <f t="array" ref="X28">_xlfn.XLOOKUP(A28,'WK 45'!A:A,'WK 45'!X:X,"")</f>
        <v>0.375</v>
      </c>
      <c r="Y28" s="17" t="str">
        <f t="array" ref="Y28">_xlfn.XLOOKUP(A28,'WK 47'!A:A,'WK 47'!AA:AA,"")</f>
        <v>late</v>
      </c>
      <c r="Z28" s="61" t="str">
        <f t="shared" si="1"/>
        <v> early</v>
      </c>
      <c r="AA28" s="106"/>
      <c r="AB28" s="61"/>
      <c r="AC28" s="61"/>
      <c r="AD28" s="61"/>
      <c r="AE28" s="61"/>
      <c r="AF28" s="61"/>
      <c r="AG28" s="61"/>
      <c r="AH28" s="61"/>
      <c r="AI28" s="61"/>
      <c r="AJ28" s="61"/>
      <c r="AK28" s="61"/>
    </row>
    <row r="29" customHeight="1" spans="1:37">
      <c r="A29" s="21">
        <v>10320409</v>
      </c>
      <c r="B29" s="86" t="s">
        <v>57</v>
      </c>
      <c r="C29" s="21" t="s">
        <v>20</v>
      </c>
      <c r="D29" s="21" t="s">
        <v>21</v>
      </c>
      <c r="E29" s="54" t="str">
        <f t="array" ref="E29">_xlfn.XLOOKUP(A29,'WK 47'!A:A,'WK 47'!E:E,"")</f>
        <v>FT</v>
      </c>
      <c r="F29" s="103">
        <f t="array" ref="F29">_xlfn.XLOOKUP(A29,'WK 47'!A:A,'WK 47'!F:F,"")</f>
        <v>3</v>
      </c>
      <c r="G29" s="54">
        <v>0.5</v>
      </c>
      <c r="H29" s="54">
        <f>IFERROR(G29+$X29,"OFF")</f>
        <v>0.875</v>
      </c>
      <c r="I29" s="54">
        <v>0.5</v>
      </c>
      <c r="J29" s="54">
        <f>IFERROR(I29+$X29,"OFF")</f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f>IFERROR(O29+$X29,"OFF")</f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v>37</v>
      </c>
      <c r="W29" s="7">
        <f t="shared" si="0"/>
        <v>0</v>
      </c>
      <c r="X29" s="20">
        <v>0.375</v>
      </c>
      <c r="Y29" s="17" t="str">
        <f t="array" ref="Y29">_xlfn.XLOOKUP(A29,'WK 47'!A:A,'WK 47'!AA:AA,"")</f>
        <v>early</v>
      </c>
      <c r="Z29" s="61" t="str">
        <f t="shared" si="1"/>
        <v>late</v>
      </c>
      <c r="AA29" s="106"/>
      <c r="AB29" s="61"/>
      <c r="AC29" s="61"/>
      <c r="AD29" s="61"/>
      <c r="AE29" s="61"/>
      <c r="AF29" s="61"/>
      <c r="AG29" s="61"/>
      <c r="AH29" s="61"/>
      <c r="AI29" s="61"/>
      <c r="AJ29" s="61"/>
      <c r="AK29" s="61"/>
    </row>
    <row r="30" customHeight="1" spans="1:37">
      <c r="A30" s="21">
        <v>10316650</v>
      </c>
      <c r="B30" s="86" t="s">
        <v>39</v>
      </c>
      <c r="C30" s="21" t="s">
        <v>20</v>
      </c>
      <c r="D30" s="21" t="s">
        <v>21</v>
      </c>
      <c r="E30" s="54" t="str">
        <f t="array" ref="E30">_xlfn.XLOOKUP(A30,'WK 47'!A:A,'WK 47'!E:E,"")</f>
        <v>FT</v>
      </c>
      <c r="F30" s="103">
        <f t="array" ref="F30">_xlfn.XLOOKUP(A30,'WK 47'!A:A,'WK 47'!F:F,"")</f>
        <v>2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7">
        <f t="shared" si="0"/>
        <v>0</v>
      </c>
      <c r="X30" s="20">
        <f t="array" ref="X30">_xlfn.XLOOKUP(A30,'WK 45'!A:A,'WK 45'!X:X,"")</f>
        <v>0.375</v>
      </c>
      <c r="Y30" s="17" t="str">
        <f t="array" ref="Y30">_xlfn.XLOOKUP(A30,'WK 47'!A:A,'WK 47'!AA:AA,"")</f>
        <v>early</v>
      </c>
      <c r="Z30" s="61" t="str">
        <f t="shared" si="1"/>
        <v>late</v>
      </c>
      <c r="AA30" s="106"/>
      <c r="AB30" s="61"/>
      <c r="AC30" s="61"/>
      <c r="AD30" s="61"/>
      <c r="AE30" s="61"/>
      <c r="AF30" s="61"/>
      <c r="AG30" s="61"/>
      <c r="AH30" s="61"/>
      <c r="AI30" s="61"/>
      <c r="AJ30" s="61"/>
      <c r="AK30" s="61"/>
    </row>
    <row r="31" customHeight="1" spans="1:37">
      <c r="A31" s="21">
        <v>10317943</v>
      </c>
      <c r="B31" s="86" t="s">
        <v>27</v>
      </c>
      <c r="C31" s="21" t="s">
        <v>20</v>
      </c>
      <c r="D31" s="21" t="s">
        <v>21</v>
      </c>
      <c r="E31" s="54" t="str">
        <f t="array" ref="E31">_xlfn.XLOOKUP(A31,'WK 47'!A:A,'WK 47'!E:E,"")</f>
        <v>FT</v>
      </c>
      <c r="F31" s="103">
        <f t="array" ref="F31">_xlfn.XLOOKUP(A31,'WK 47'!A:A,'WK 47'!F:F,"")</f>
        <v>2</v>
      </c>
      <c r="G31" s="54">
        <v>0.375</v>
      </c>
      <c r="H31" s="54">
        <f>IFERROR(G31+$X31,"OFF")</f>
        <v>0.75</v>
      </c>
      <c r="I31" s="54">
        <v>0.375</v>
      </c>
      <c r="J31" s="54">
        <f>IFERROR(I31+$X31,"OFF")</f>
        <v>0.75</v>
      </c>
      <c r="K31" s="54">
        <v>0.375</v>
      </c>
      <c r="L31" s="54">
        <f>IFERROR(K31+$X31,"OFF")</f>
        <v>0.75</v>
      </c>
      <c r="M31" s="54">
        <v>0.375</v>
      </c>
      <c r="N31" s="54">
        <f>IFERROR(M31+$X31,"OFF")</f>
        <v>0.75</v>
      </c>
      <c r="O31" s="54">
        <v>0.375</v>
      </c>
      <c r="P31" s="54">
        <f>IFERROR(O31+$X31,"OFF")</f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7">
        <f t="shared" si="0"/>
        <v>0</v>
      </c>
      <c r="X31" s="20">
        <f t="array" ref="X31">_xlfn.XLOOKUP(A31,'WK 45'!A:A,'WK 45'!X:X,"")</f>
        <v>0.375</v>
      </c>
      <c r="Y31" s="17" t="str">
        <f t="array" ref="Y31">_xlfn.XLOOKUP(A31,'WK 47'!A:A,'WK 47'!AA:AA,"")</f>
        <v>early</v>
      </c>
      <c r="Z31" s="61" t="str">
        <f t="shared" si="1"/>
        <v>late</v>
      </c>
      <c r="AA31" s="106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customHeight="1" spans="1:37">
      <c r="A32" s="21">
        <v>10316572</v>
      </c>
      <c r="B32" s="86" t="s">
        <v>46</v>
      </c>
      <c r="C32" s="21" t="s">
        <v>20</v>
      </c>
      <c r="D32" s="21" t="s">
        <v>21</v>
      </c>
      <c r="E32" s="54" t="str">
        <f t="array" ref="E32">_xlfn.XLOOKUP(A32,'WK 47'!A:A,'WK 47'!E:E,"")</f>
        <v>FT</v>
      </c>
      <c r="F32" s="103">
        <f t="array" ref="F32">_xlfn.XLOOKUP(A32,'WK 47'!A:A,'WK 47'!F:F,"")</f>
        <v>2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7">
        <f t="shared" si="0"/>
        <v>0</v>
      </c>
      <c r="X32" s="20">
        <f t="array" ref="X32">_xlfn.XLOOKUP(A32,'WK 45'!A:A,'WK 45'!X:X,"")</f>
        <v>0.375</v>
      </c>
      <c r="Y32" s="17" t="str">
        <f t="array" ref="Y32">_xlfn.XLOOKUP(A32,'WK 47'!A:A,'WK 47'!AA:AA,"")</f>
        <v>late</v>
      </c>
      <c r="Z32" s="61" t="str">
        <f t="shared" si="1"/>
        <v> early</v>
      </c>
      <c r="AA32" s="106"/>
      <c r="AB32" s="61"/>
      <c r="AC32" s="61"/>
      <c r="AD32" s="61"/>
      <c r="AE32" s="61"/>
      <c r="AF32" s="61"/>
      <c r="AG32" s="61"/>
      <c r="AH32" s="61"/>
      <c r="AI32" s="61"/>
      <c r="AJ32" s="61"/>
      <c r="AK32" s="61"/>
    </row>
    <row r="33" customHeight="1" spans="1:37">
      <c r="A33" s="21">
        <v>10320408</v>
      </c>
      <c r="B33" s="86" t="s">
        <v>56</v>
      </c>
      <c r="C33" s="21" t="s">
        <v>20</v>
      </c>
      <c r="D33" s="21" t="s">
        <v>21</v>
      </c>
      <c r="E33" s="54" t="str">
        <f t="array" ref="E33">_xlfn.XLOOKUP(A33,'WK 47'!A:A,'WK 47'!E:E,"")</f>
        <v>FT</v>
      </c>
      <c r="F33" s="103">
        <f t="array" ref="F33">_xlfn.XLOOKUP(A33,'WK 47'!A:A,'WK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7">
        <f t="shared" si="0"/>
        <v>0</v>
      </c>
      <c r="X33" s="20">
        <v>0.208333333333333</v>
      </c>
      <c r="Y33" s="17" t="str">
        <f t="array" ref="Y33">_xlfn.XLOOKUP(A33,'WK 47'!A:A,'WK 47'!AA:AA,"")</f>
        <v>early</v>
      </c>
      <c r="Z33" s="61" t="str">
        <f t="shared" si="1"/>
        <v>late</v>
      </c>
      <c r="AA33" s="106"/>
      <c r="AB33" s="61"/>
      <c r="AC33" s="61"/>
      <c r="AD33" s="61"/>
      <c r="AE33" s="61"/>
      <c r="AF33" s="61"/>
      <c r="AG33" s="61"/>
      <c r="AH33" s="61"/>
      <c r="AI33" s="61"/>
      <c r="AJ33" s="61"/>
      <c r="AK33" s="61"/>
    </row>
    <row r="34" customHeight="1" spans="1:37">
      <c r="A34" s="21">
        <v>10320417</v>
      </c>
      <c r="B34" s="86" t="s">
        <v>67</v>
      </c>
      <c r="C34" s="21" t="s">
        <v>20</v>
      </c>
      <c r="D34" s="21" t="s">
        <v>21</v>
      </c>
      <c r="E34" s="54" t="str">
        <f t="array" ref="E34">_xlfn.XLOOKUP(A34,'WK 47'!A:A,'WK 47'!E:E,"")</f>
        <v>FT</v>
      </c>
      <c r="F34" s="103">
        <f t="array" ref="F34">_xlfn.XLOOKUP(A34,'WK 47'!A:A,'WK 47'!F:F,"")</f>
        <v>3</v>
      </c>
      <c r="G34" s="54">
        <v>0.375</v>
      </c>
      <c r="H34" s="54">
        <v>0.75</v>
      </c>
      <c r="I34" s="54">
        <v>0.375</v>
      </c>
      <c r="J34" s="54">
        <v>0.75</v>
      </c>
      <c r="K34" s="54">
        <v>0.375</v>
      </c>
      <c r="L34" s="54">
        <v>0.75</v>
      </c>
      <c r="M34" s="54">
        <v>0.375</v>
      </c>
      <c r="N34" s="54">
        <v>0.75</v>
      </c>
      <c r="O34" s="54">
        <v>0.375</v>
      </c>
      <c r="P34" s="54">
        <v>0.75</v>
      </c>
      <c r="Q34" s="21" t="s">
        <v>23</v>
      </c>
      <c r="R34" s="21" t="s">
        <v>23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17">
        <f t="array" ref="V34">_xlfn.XLOOKUP(A34,'WK 47'!A:A,'WK 47'!V:V,"")</f>
        <v>45</v>
      </c>
      <c r="W34" s="7">
        <f t="shared" si="0"/>
        <v>0</v>
      </c>
      <c r="X34" s="17" t="str">
        <f t="array" ref="X34">_xlfn.XLOOKUP(A34,Pref!A:A,Pref!E:E,"")</f>
        <v/>
      </c>
      <c r="Y34" s="17" t="str">
        <f t="array" ref="Y34">_xlfn.XLOOKUP(A34,'WK 47'!A:A,'WK 47'!AA:AA,"")</f>
        <v>early</v>
      </c>
      <c r="Z34" s="61" t="str">
        <f t="shared" si="1"/>
        <v>late</v>
      </c>
      <c r="AA34" s="106"/>
      <c r="AB34" s="61"/>
      <c r="AC34" s="61"/>
      <c r="AD34" s="61"/>
      <c r="AE34" s="61"/>
      <c r="AF34" s="61"/>
      <c r="AG34" s="61"/>
      <c r="AH34" s="61"/>
      <c r="AI34" s="61"/>
      <c r="AJ34" s="61"/>
      <c r="AK34" s="61"/>
    </row>
    <row r="35" customHeight="1" spans="1:37">
      <c r="A35" s="21">
        <v>10320412</v>
      </c>
      <c r="B35" s="86" t="s">
        <v>59</v>
      </c>
      <c r="C35" s="21" t="s">
        <v>20</v>
      </c>
      <c r="D35" s="21" t="s">
        <v>21</v>
      </c>
      <c r="E35" s="54" t="str">
        <f t="array" ref="E35">_xlfn.XLOOKUP(A35,'WK 47'!A:A,'WK 47'!E:E,"")</f>
        <v>FT</v>
      </c>
      <c r="F35" s="103">
        <f t="array" ref="F35">_xlfn.XLOOKUP(A35,'WK 47'!A:A,'WK 47'!F:F,"")</f>
        <v>3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17">
        <f t="array" ref="V35">_xlfn.XLOOKUP(A35,'WK 47'!A:A,'WK 47'!V:V,"")</f>
        <v>45</v>
      </c>
      <c r="W35" s="7">
        <f t="shared" si="0"/>
        <v>0</v>
      </c>
      <c r="X35" s="20">
        <v>0.375</v>
      </c>
      <c r="Y35" s="17" t="str">
        <f t="array" ref="Y35">_xlfn.XLOOKUP(A35,'WK 47'!A:A,'WK 47'!AA:AA,"")</f>
        <v>early</v>
      </c>
      <c r="Z35" s="61" t="str">
        <f t="shared" si="1"/>
        <v>late</v>
      </c>
      <c r="AA35" s="106"/>
      <c r="AB35" s="61"/>
      <c r="AC35" s="61"/>
      <c r="AD35" s="61"/>
      <c r="AE35" s="61"/>
      <c r="AF35" s="61"/>
      <c r="AG35" s="61"/>
      <c r="AH35" s="61"/>
      <c r="AI35" s="61"/>
      <c r="AJ35" s="61"/>
      <c r="AK35" s="61"/>
    </row>
    <row r="36" customHeight="1" spans="1:37">
      <c r="A36" s="21">
        <v>10320410</v>
      </c>
      <c r="B36" s="86" t="s">
        <v>58</v>
      </c>
      <c r="C36" s="21" t="s">
        <v>20</v>
      </c>
      <c r="D36" s="21" t="s">
        <v>21</v>
      </c>
      <c r="E36" s="54" t="str">
        <f t="array" ref="E36">_xlfn.XLOOKUP(A36,'WK 47'!A:A,'WK 47'!E:E,"")</f>
        <v>FT</v>
      </c>
      <c r="F36" s="103">
        <f t="array" ref="F36">_xlfn.XLOOKUP(A36,'WK 47'!A:A,'WK 47'!F:F,"")</f>
        <v>3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21" t="s">
        <v>23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7">
        <f t="shared" si="0"/>
        <v>0</v>
      </c>
      <c r="X36" s="20">
        <v>0.416666666666667</v>
      </c>
      <c r="Y36" s="17" t="str">
        <f t="array" ref="Y36">_xlfn.XLOOKUP(A36,'WK 47'!A:A,'WK 47'!AA:AA,"")</f>
        <v>early</v>
      </c>
      <c r="Z36" s="61" t="str">
        <f t="shared" si="1"/>
        <v>late</v>
      </c>
      <c r="AA36" s="106"/>
      <c r="AB36" s="61"/>
      <c r="AC36" s="61"/>
      <c r="AD36" s="61"/>
      <c r="AE36" s="61"/>
      <c r="AF36" s="61"/>
      <c r="AG36" s="61"/>
      <c r="AH36" s="61"/>
      <c r="AI36" s="61"/>
      <c r="AJ36" s="61"/>
      <c r="AK36" s="61"/>
    </row>
    <row r="37" customHeight="1" spans="1:37">
      <c r="A37" s="21">
        <v>10320415</v>
      </c>
      <c r="B37" s="86" t="s">
        <v>63</v>
      </c>
      <c r="C37" s="21" t="s">
        <v>20</v>
      </c>
      <c r="D37" s="21" t="s">
        <v>21</v>
      </c>
      <c r="E37" s="54" t="str">
        <f t="array" ref="E37">_xlfn.XLOOKUP(A37,'WK 47'!A:A,'WK 47'!E:E,"")</f>
        <v>FT</v>
      </c>
      <c r="F37" s="103">
        <f t="array" ref="F37">_xlfn.XLOOKUP(A37,'WK 47'!A:A,'WK 47'!F:F,"")</f>
        <v>3</v>
      </c>
      <c r="G37" s="21" t="s">
        <v>23</v>
      </c>
      <c r="H37" s="21" t="s">
        <v>23</v>
      </c>
      <c r="I37" s="54">
        <v>0.458333333333333</v>
      </c>
      <c r="J37" s="54">
        <v>0.875</v>
      </c>
      <c r="K37" s="54">
        <v>0.458333333333333</v>
      </c>
      <c r="L37" s="54">
        <v>0.875</v>
      </c>
      <c r="M37" s="54">
        <v>0.458333333333333</v>
      </c>
      <c r="N37" s="54">
        <v>0.875</v>
      </c>
      <c r="O37" s="54">
        <v>0.458333333333333</v>
      </c>
      <c r="P37" s="54">
        <v>0.875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7">
        <f t="shared" si="0"/>
        <v>0</v>
      </c>
      <c r="X37" s="20">
        <v>0.416666666666667</v>
      </c>
      <c r="Y37" s="17" t="str">
        <f t="array" ref="Y37">_xlfn.XLOOKUP(A37,'WK 47'!A:A,'WK 47'!AA:AA,"")</f>
        <v>early</v>
      </c>
      <c r="Z37" s="61" t="str">
        <f t="shared" si="1"/>
        <v>late</v>
      </c>
      <c r="AA37" s="106"/>
      <c r="AB37" s="61"/>
      <c r="AC37" s="61"/>
      <c r="AD37" s="61"/>
      <c r="AE37" s="61"/>
      <c r="AF37" s="61"/>
      <c r="AG37" s="61"/>
      <c r="AH37" s="61"/>
      <c r="AI37" s="61"/>
      <c r="AJ37" s="61"/>
      <c r="AK37" s="61"/>
    </row>
    <row r="38" customHeight="1" spans="1:37">
      <c r="A38" s="21">
        <v>10320413</v>
      </c>
      <c r="B38" s="86" t="s">
        <v>60</v>
      </c>
      <c r="C38" s="21" t="s">
        <v>20</v>
      </c>
      <c r="D38" s="21" t="s">
        <v>21</v>
      </c>
      <c r="E38" s="54" t="str">
        <f t="array" ref="E38">_xlfn.XLOOKUP(A38,'WK 47'!A:A,'WK 47'!E:E,"")</f>
        <v>FT</v>
      </c>
      <c r="F38" s="103">
        <f t="array" ref="F38">_xlfn.XLOOKUP(A38,'WK 47'!A:A,'WK 47'!F:F,"")</f>
        <v>3</v>
      </c>
      <c r="G38" s="21" t="s">
        <v>23</v>
      </c>
      <c r="H38" s="21" t="s">
        <v>23</v>
      </c>
      <c r="I38" s="54">
        <v>0.458333333333333</v>
      </c>
      <c r="J38" s="54">
        <f t="shared" ref="J38:J40" si="15">IFERROR(I38+$X38,"OFF")</f>
        <v>0.875</v>
      </c>
      <c r="K38" s="54">
        <v>0.458333333333333</v>
      </c>
      <c r="L38" s="54">
        <f t="shared" ref="L38:L40" si="16">IFERROR(K38+$X38,"OFF")</f>
        <v>0.875</v>
      </c>
      <c r="M38" s="54">
        <v>0.458333333333333</v>
      </c>
      <c r="N38" s="54">
        <f t="shared" ref="N38:N40" si="17">IFERROR(M38+$X38,"OFF")</f>
        <v>0.875</v>
      </c>
      <c r="O38" s="54">
        <v>0.458333333333333</v>
      </c>
      <c r="P38" s="54">
        <f t="shared" ref="P38:P40" si="18">IFERROR(O38+$X38,"OFF")</f>
        <v>0.875</v>
      </c>
      <c r="Q38" s="54">
        <v>0.458333333333333</v>
      </c>
      <c r="R38" s="54">
        <v>0.666666666666667</v>
      </c>
      <c r="S38" s="21" t="s">
        <v>23</v>
      </c>
      <c r="T38" s="21" t="s">
        <v>23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7">
        <f t="shared" si="0"/>
        <v>0</v>
      </c>
      <c r="X38" s="20">
        <v>0.416666666666667</v>
      </c>
      <c r="Y38" s="17" t="str">
        <f t="array" ref="Y38">_xlfn.XLOOKUP(A38,'WK 47'!A:A,'WK 47'!AA:AA,"")</f>
        <v>early</v>
      </c>
      <c r="Z38" s="61" t="str">
        <f t="shared" si="1"/>
        <v>late</v>
      </c>
      <c r="AA38" s="106"/>
      <c r="AB38" s="61"/>
      <c r="AC38" s="61"/>
      <c r="AD38" s="61"/>
      <c r="AE38" s="61"/>
      <c r="AF38" s="61"/>
      <c r="AG38" s="61"/>
      <c r="AH38" s="61"/>
      <c r="AI38" s="61"/>
      <c r="AJ38" s="61"/>
      <c r="AK38" s="61"/>
    </row>
    <row r="39" customHeight="1" spans="1:37">
      <c r="A39" s="21">
        <v>10320414</v>
      </c>
      <c r="B39" s="86" t="s">
        <v>62</v>
      </c>
      <c r="C39" s="21" t="s">
        <v>20</v>
      </c>
      <c r="D39" s="21" t="s">
        <v>21</v>
      </c>
      <c r="E39" s="54" t="str">
        <f t="array" ref="E39">_xlfn.XLOOKUP(A39,'WK 47'!A:A,'WK 47'!E:E,"")</f>
        <v>FT</v>
      </c>
      <c r="F39" s="103">
        <f t="array" ref="F39">_xlfn.XLOOKUP(A39,'WK 47'!A:A,'WK 47'!F:F,"")</f>
        <v>3</v>
      </c>
      <c r="G39" s="21" t="s">
        <v>23</v>
      </c>
      <c r="H39" s="21" t="s">
        <v>23</v>
      </c>
      <c r="I39" s="54">
        <v>0.458333333333333</v>
      </c>
      <c r="J39" s="54">
        <f t="shared" si="15"/>
        <v>0.875</v>
      </c>
      <c r="K39" s="54">
        <v>0.458333333333333</v>
      </c>
      <c r="L39" s="54">
        <f t="shared" si="16"/>
        <v>0.875</v>
      </c>
      <c r="M39" s="54">
        <v>0.458333333333333</v>
      </c>
      <c r="N39" s="54">
        <f t="shared" si="17"/>
        <v>0.875</v>
      </c>
      <c r="O39" s="54">
        <v>0.458333333333333</v>
      </c>
      <c r="P39" s="54">
        <f t="shared" si="18"/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7">
        <f t="shared" si="0"/>
        <v>0</v>
      </c>
      <c r="X39" s="20">
        <v>0.416666666666667</v>
      </c>
      <c r="Y39" s="17" t="str">
        <f t="array" ref="Y39">_xlfn.XLOOKUP(A39,'WK 47'!A:A,'WK 47'!AA:AA,"")</f>
        <v>early</v>
      </c>
      <c r="Z39" s="61" t="str">
        <f t="shared" si="1"/>
        <v>late</v>
      </c>
      <c r="AA39" s="106"/>
      <c r="AB39" s="61"/>
      <c r="AC39" s="17"/>
      <c r="AD39" s="61"/>
      <c r="AE39" s="61"/>
      <c r="AF39" s="61"/>
      <c r="AG39" s="61"/>
      <c r="AH39" s="61"/>
      <c r="AI39" s="61"/>
      <c r="AJ39" s="61"/>
      <c r="AK39" s="61"/>
    </row>
    <row r="40" customHeight="1" spans="1:37">
      <c r="A40" s="105">
        <v>10250966</v>
      </c>
      <c r="B40" s="86" t="s">
        <v>61</v>
      </c>
      <c r="C40" s="21" t="s">
        <v>20</v>
      </c>
      <c r="D40" s="21" t="s">
        <v>21</v>
      </c>
      <c r="E40" s="54" t="str">
        <f t="array" ref="E40">_xlfn.XLOOKUP(A40,'WK 47'!A:A,'WK 47'!E:E,"")</f>
        <v>FT</v>
      </c>
      <c r="F40" s="103">
        <f t="array" ref="F40">_xlfn.XLOOKUP(A40,'WK 47'!A:A,'WK 47'!F:F,"")</f>
        <v>3</v>
      </c>
      <c r="G40" s="21" t="s">
        <v>23</v>
      </c>
      <c r="H40" s="21" t="s">
        <v>23</v>
      </c>
      <c r="I40" s="54">
        <v>0.458333333333333</v>
      </c>
      <c r="J40" s="54">
        <f t="shared" si="15"/>
        <v>0.875</v>
      </c>
      <c r="K40" s="54">
        <v>0.458333333333333</v>
      </c>
      <c r="L40" s="54">
        <f t="shared" si="16"/>
        <v>0.875</v>
      </c>
      <c r="M40" s="54">
        <v>0.458333333333333</v>
      </c>
      <c r="N40" s="54">
        <f t="shared" si="17"/>
        <v>0.875</v>
      </c>
      <c r="O40" s="54">
        <v>0.458333333333333</v>
      </c>
      <c r="P40" s="54">
        <f t="shared" si="18"/>
        <v>0.875</v>
      </c>
      <c r="Q40" s="54">
        <v>0.458333333333333</v>
      </c>
      <c r="R40" s="54">
        <v>0.666666666666667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7">
        <f t="shared" si="0"/>
        <v>0</v>
      </c>
      <c r="X40" s="20">
        <v>0.416666666666667</v>
      </c>
      <c r="Y40" s="17" t="str">
        <f t="array" ref="Y40">_xlfn.XLOOKUP(A40,'WK 47'!A:A,'WK 47'!AA:AA,"")</f>
        <v>early</v>
      </c>
      <c r="Z40" s="61" t="str">
        <f t="shared" si="1"/>
        <v>late</v>
      </c>
      <c r="AA40" s="106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customHeight="1" spans="1:37">
      <c r="A41" s="21">
        <v>10316538</v>
      </c>
      <c r="B41" s="86" t="s">
        <v>44</v>
      </c>
      <c r="C41" s="21" t="s">
        <v>20</v>
      </c>
      <c r="D41" s="21" t="s">
        <v>21</v>
      </c>
      <c r="E41" s="54" t="str">
        <f t="array" ref="E41">_xlfn.XLOOKUP(A41,'WK 47'!A:A,'WK 47'!E:E,"")</f>
        <v>FT</v>
      </c>
      <c r="F41" s="103">
        <f t="array" ref="F41">_xlfn.XLOOKUP(A41,'WK 47'!A:A,'WK 47'!F:F,"")</f>
        <v>1</v>
      </c>
      <c r="G41" s="54">
        <v>0.375</v>
      </c>
      <c r="H41" s="54">
        <v>0.75</v>
      </c>
      <c r="I41" s="54">
        <v>0.375</v>
      </c>
      <c r="J41" s="54">
        <v>0.75</v>
      </c>
      <c r="K41" s="21" t="s">
        <v>23</v>
      </c>
      <c r="L41" s="21" t="s">
        <v>23</v>
      </c>
      <c r="M41" s="21" t="s">
        <v>23</v>
      </c>
      <c r="N41" s="21" t="s">
        <v>23</v>
      </c>
      <c r="O41" s="54">
        <v>0.375</v>
      </c>
      <c r="P41" s="54">
        <v>0.75</v>
      </c>
      <c r="Q41" s="54">
        <v>0.458333333333333</v>
      </c>
      <c r="R41" s="54">
        <v>0.666666666666667</v>
      </c>
      <c r="S41" s="54">
        <v>0.458333333333333</v>
      </c>
      <c r="T41" s="54">
        <v>0.666666666666667</v>
      </c>
      <c r="U41" s="21">
        <f>IFERROR(__xludf.DUMMYFUNCTION("TO_PURE_NUMBER(SUM(FILTER(G41:T41, ISEVEN(COLUMN(G41:T41))))-SUM(FILTER(G41:T41, ISODD(COLUMN(G41:T41)))))*24"),37)</f>
        <v>37</v>
      </c>
      <c r="V41" s="17">
        <f t="array" ref="V41">_xlfn.XLOOKUP(A41,'WK 47'!A:A,'WK 47'!V:V,"")</f>
        <v>37</v>
      </c>
      <c r="W41" s="7">
        <f t="shared" si="0"/>
        <v>0</v>
      </c>
      <c r="X41" s="20">
        <f t="array" ref="X41">_xlfn.XLOOKUP(A41,'WK 45'!A:A,'WK 45'!X:X,"")</f>
        <v>0.416666666666667</v>
      </c>
      <c r="Y41" s="17" t="str">
        <f t="array" ref="Y41">_xlfn.XLOOKUP(A41,'WK 47'!A:A,'WK 47'!AA:AA,"")</f>
        <v>late</v>
      </c>
      <c r="Z41" s="61" t="str">
        <f t="shared" si="1"/>
        <v> early</v>
      </c>
      <c r="AA41" s="106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customHeight="1" spans="1:37">
      <c r="A42" s="105">
        <v>10293627</v>
      </c>
      <c r="B42" s="86" t="s">
        <v>64</v>
      </c>
      <c r="C42" s="21" t="s">
        <v>20</v>
      </c>
      <c r="D42" s="21" t="s">
        <v>21</v>
      </c>
      <c r="E42" s="54" t="str">
        <f t="array" ref="E42">_xlfn.XLOOKUP(A42,'WK 47'!A:A,'WK 47'!E:E,"")</f>
        <v>FT</v>
      </c>
      <c r="F42" s="103">
        <f t="array" ref="F42">_xlfn.XLOOKUP(A42,'WK 47'!A:A,'WK 47'!F:F,"")</f>
        <v>3</v>
      </c>
      <c r="G42" s="21" t="s">
        <v>23</v>
      </c>
      <c r="H42" s="21" t="s">
        <v>23</v>
      </c>
      <c r="I42" s="54">
        <v>0.458333333333333</v>
      </c>
      <c r="J42" s="54">
        <f t="shared" ref="J42:J47" si="19">IFERROR(I42+$X42,"OFF")</f>
        <v>0.875</v>
      </c>
      <c r="K42" s="54">
        <v>0.458333333333333</v>
      </c>
      <c r="L42" s="54">
        <f t="shared" ref="L42:L47" si="20">IFERROR(K42+$X42,"OFF")</f>
        <v>0.875</v>
      </c>
      <c r="M42" s="54">
        <v>0.458333333333333</v>
      </c>
      <c r="N42" s="54">
        <f t="shared" ref="N42:N47" si="21">IFERROR(M42+$X42,"OFF")</f>
        <v>0.875</v>
      </c>
      <c r="O42" s="54">
        <v>0.458333333333333</v>
      </c>
      <c r="P42" s="54">
        <f t="shared" ref="P42:P44" si="22">IFERROR(O42+$X42,"OFF")</f>
        <v>0.875</v>
      </c>
      <c r="Q42" s="54">
        <v>0.458333333333333</v>
      </c>
      <c r="R42" s="54">
        <v>0.666666666666667</v>
      </c>
      <c r="S42" s="21" t="s">
        <v>23</v>
      </c>
      <c r="T42" s="21" t="s">
        <v>23</v>
      </c>
      <c r="U42" s="21">
        <f>IFERROR(__xludf.DUMMYFUNCTION("TO_PURE_NUMBER(SUM(FILTER(G42:T42, ISEVEN(COLUMN(G42:T42))))-SUM(FILTER(G42:T42, ISODD(COLUMN(G42:T42)))))*24"),45)</f>
        <v>45</v>
      </c>
      <c r="V42" s="17">
        <f t="array" ref="V42">_xlfn.XLOOKUP(A42,'WK 47'!A:A,'WK 47'!V:V,"")</f>
        <v>45</v>
      </c>
      <c r="W42" s="17">
        <f t="shared" si="0"/>
        <v>0</v>
      </c>
      <c r="X42" s="20">
        <v>0.416666666666667</v>
      </c>
      <c r="Y42" s="17" t="str">
        <f t="array" ref="Y42">_xlfn.XLOOKUP(A42,'WK 47'!A:A,'WK 47'!AA:AA,"")</f>
        <v>early</v>
      </c>
      <c r="Z42" s="61" t="str">
        <f t="shared" si="1"/>
        <v>late</v>
      </c>
      <c r="AA42" s="106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customHeight="1" spans="1:37">
      <c r="A43" s="105">
        <v>10293607</v>
      </c>
      <c r="B43" s="86" t="s">
        <v>65</v>
      </c>
      <c r="C43" s="21" t="s">
        <v>20</v>
      </c>
      <c r="D43" s="21" t="s">
        <v>21</v>
      </c>
      <c r="E43" s="54" t="str">
        <f t="array" ref="E43">_xlfn.XLOOKUP(A43,'WK 47'!A:A,'WK 47'!E:E,"")</f>
        <v>FT</v>
      </c>
      <c r="F43" s="103">
        <f t="array" ref="F43">_xlfn.XLOOKUP(A43,'WK 47'!A:A,'WK 47'!F:F,"")</f>
        <v>3</v>
      </c>
      <c r="G43" s="21" t="s">
        <v>23</v>
      </c>
      <c r="H43" s="21" t="s">
        <v>23</v>
      </c>
      <c r="I43" s="54">
        <v>0.458333333333333</v>
      </c>
      <c r="J43" s="54">
        <f t="shared" si="19"/>
        <v>0.875</v>
      </c>
      <c r="K43" s="54">
        <v>0.458333333333333</v>
      </c>
      <c r="L43" s="54">
        <f t="shared" si="20"/>
        <v>0.875</v>
      </c>
      <c r="M43" s="54">
        <v>0.458333333333333</v>
      </c>
      <c r="N43" s="54">
        <f t="shared" si="21"/>
        <v>0.875</v>
      </c>
      <c r="O43" s="54">
        <v>0.458333333333333</v>
      </c>
      <c r="P43" s="54">
        <f t="shared" si="22"/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7">
        <f t="shared" si="0"/>
        <v>0</v>
      </c>
      <c r="X43" s="20">
        <v>0.416666666666667</v>
      </c>
      <c r="Y43" s="17" t="str">
        <f t="array" ref="Y43">_xlfn.XLOOKUP(A43,'WK 47'!A:A,'WK 47'!AA:AA,"")</f>
        <v>early</v>
      </c>
      <c r="Z43" s="61" t="str">
        <f t="shared" si="1"/>
        <v>late</v>
      </c>
      <c r="AA43" s="106"/>
      <c r="AB43" s="61"/>
      <c r="AC43" s="17"/>
      <c r="AD43" s="61"/>
      <c r="AE43" s="61"/>
      <c r="AF43" s="61"/>
      <c r="AG43" s="61"/>
      <c r="AH43" s="61"/>
      <c r="AI43" s="61"/>
      <c r="AJ43" s="61"/>
      <c r="AK43" s="61"/>
    </row>
    <row r="44" customHeight="1" spans="1:37">
      <c r="A44" s="21">
        <v>10320435</v>
      </c>
      <c r="B44" s="86" t="s">
        <v>71</v>
      </c>
      <c r="C44" s="21" t="s">
        <v>20</v>
      </c>
      <c r="D44" s="21" t="s">
        <v>21</v>
      </c>
      <c r="E44" s="54" t="str">
        <f t="array" ref="E44">_xlfn.XLOOKUP(A44,'WK 47'!A:A,'WK 47'!E:E,"")</f>
        <v>FT</v>
      </c>
      <c r="F44" s="103">
        <f t="array" ref="F44">_xlfn.XLOOKUP(A44,'WK 47'!A:A,'WK 47'!F:F,"")</f>
        <v>3</v>
      </c>
      <c r="G44" s="54">
        <v>0.5</v>
      </c>
      <c r="H44" s="54">
        <f t="shared" ref="H44:H45" si="23">IFERROR(G44+$X44,"OFF")</f>
        <v>0.875</v>
      </c>
      <c r="I44" s="54">
        <v>0.5</v>
      </c>
      <c r="J44" s="54">
        <f t="shared" si="19"/>
        <v>0.875</v>
      </c>
      <c r="K44" s="54">
        <v>0.5</v>
      </c>
      <c r="L44" s="54">
        <f t="shared" si="20"/>
        <v>0.875</v>
      </c>
      <c r="M44" s="54">
        <v>0.5</v>
      </c>
      <c r="N44" s="54">
        <f t="shared" si="21"/>
        <v>0.875</v>
      </c>
      <c r="O44" s="54">
        <v>0.5</v>
      </c>
      <c r="P44" s="54">
        <f t="shared" si="22"/>
        <v>0.875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7">
        <f t="shared" si="0"/>
        <v>0</v>
      </c>
      <c r="X44" s="20">
        <v>0.375</v>
      </c>
      <c r="Y44" s="17" t="str">
        <f t="array" ref="Y44">_xlfn.XLOOKUP(A44,'WK 47'!A:A,'WK 47'!AA:AA,"")</f>
        <v>early</v>
      </c>
      <c r="Z44" s="61" t="str">
        <f t="shared" si="1"/>
        <v>late</v>
      </c>
      <c r="AA44" s="106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customHeight="1" spans="1:37">
      <c r="A45" s="21">
        <v>10320407</v>
      </c>
      <c r="B45" s="86" t="s">
        <v>55</v>
      </c>
      <c r="C45" s="21" t="s">
        <v>20</v>
      </c>
      <c r="D45" s="21" t="s">
        <v>21</v>
      </c>
      <c r="E45" s="54" t="str">
        <f t="array" ref="E45">_xlfn.XLOOKUP(A45,'WK 47'!A:A,'WK 47'!E:E,"")</f>
        <v>FT</v>
      </c>
      <c r="F45" s="103">
        <f t="array" ref="F45">_xlfn.XLOOKUP(A45,'WK 47'!A:A,'WK 47'!F:F,"")</f>
        <v>3</v>
      </c>
      <c r="G45" s="54">
        <v>0.5</v>
      </c>
      <c r="H45" s="54">
        <f t="shared" si="23"/>
        <v>0.916666666666667</v>
      </c>
      <c r="I45" s="54">
        <v>0.5</v>
      </c>
      <c r="J45" s="54">
        <f t="shared" si="19"/>
        <v>0.916666666666667</v>
      </c>
      <c r="K45" s="54">
        <v>0.5</v>
      </c>
      <c r="L45" s="54">
        <f t="shared" si="20"/>
        <v>0.916666666666667</v>
      </c>
      <c r="M45" s="54">
        <v>0.5</v>
      </c>
      <c r="N45" s="54">
        <f t="shared" si="21"/>
        <v>0.916666666666667</v>
      </c>
      <c r="O45" s="21" t="s">
        <v>23</v>
      </c>
      <c r="P45" s="21" t="s">
        <v>23</v>
      </c>
      <c r="Q45" s="21" t="s">
        <v>23</v>
      </c>
      <c r="R45" s="21" t="s">
        <v>23</v>
      </c>
      <c r="S45" s="54">
        <v>0.458333333333333</v>
      </c>
      <c r="T45" s="54">
        <v>0.666666666666667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7">
        <f t="shared" si="0"/>
        <v>0</v>
      </c>
      <c r="X45" s="20">
        <v>0.416666666666667</v>
      </c>
      <c r="Y45" s="17" t="str">
        <f t="array" ref="Y45">_xlfn.XLOOKUP(A45,'WK 47'!A:A,'WK 47'!AA:AA,"")</f>
        <v>early</v>
      </c>
      <c r="Z45" s="61" t="str">
        <f t="shared" si="1"/>
        <v>late</v>
      </c>
      <c r="AA45" s="106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customHeight="1" spans="1:37">
      <c r="A46" s="21">
        <v>10320416</v>
      </c>
      <c r="B46" s="86" t="s">
        <v>66</v>
      </c>
      <c r="C46" s="21" t="s">
        <v>20</v>
      </c>
      <c r="D46" s="21" t="s">
        <v>21</v>
      </c>
      <c r="E46" s="54" t="str">
        <f t="array" ref="E46">_xlfn.XLOOKUP(A46,'WK 47'!A:A,'WK 47'!E:E,"")</f>
        <v>FT</v>
      </c>
      <c r="F46" s="103">
        <f t="array" ref="F46">_xlfn.XLOOKUP(A46,'WK 47'!A:A,'WK 47'!F:F,"")</f>
        <v>3</v>
      </c>
      <c r="G46" s="21" t="s">
        <v>23</v>
      </c>
      <c r="H46" s="21" t="s">
        <v>23</v>
      </c>
      <c r="I46" s="54">
        <v>0.458333333333333</v>
      </c>
      <c r="J46" s="54">
        <f t="shared" si="19"/>
        <v>0.875</v>
      </c>
      <c r="K46" s="54">
        <v>0.458333333333333</v>
      </c>
      <c r="L46" s="54">
        <f t="shared" si="20"/>
        <v>0.875</v>
      </c>
      <c r="M46" s="54">
        <v>0.458333333333333</v>
      </c>
      <c r="N46" s="54">
        <f t="shared" si="21"/>
        <v>0.875</v>
      </c>
      <c r="O46" s="54">
        <v>0.458333333333333</v>
      </c>
      <c r="P46" s="54">
        <f t="shared" ref="P46:P47" si="24">IFERROR(O46+$X46,"OFF")</f>
        <v>0.875</v>
      </c>
      <c r="Q46" s="54">
        <v>0.458333333333333</v>
      </c>
      <c r="R46" s="54">
        <v>0.666666666666667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7">
        <f t="shared" si="0"/>
        <v>0</v>
      </c>
      <c r="X46" s="20">
        <v>0.416666666666667</v>
      </c>
      <c r="Y46" s="17" t="str">
        <f t="array" ref="Y46">_xlfn.XLOOKUP(A46,'WK 47'!A:A,'WK 47'!AA:AA,"")</f>
        <v>early</v>
      </c>
      <c r="Z46" s="61" t="str">
        <f t="shared" si="1"/>
        <v>late</v>
      </c>
      <c r="AA46" s="106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customHeight="1" spans="1:37">
      <c r="A47" s="21">
        <v>10317154</v>
      </c>
      <c r="B47" s="86" t="s">
        <v>70</v>
      </c>
      <c r="C47" s="21" t="s">
        <v>20</v>
      </c>
      <c r="D47" s="21" t="s">
        <v>21</v>
      </c>
      <c r="E47" s="54" t="str">
        <f t="array" ref="E47">_xlfn.XLOOKUP(A47,'WK 47'!A:A,'WK 47'!E:E,"")</f>
        <v>FT</v>
      </c>
      <c r="F47" s="103">
        <f t="array" ref="F47">_xlfn.XLOOKUP(A47,'WK 47'!A:A,'WK 47'!F:F,"")</f>
        <v>3</v>
      </c>
      <c r="G47" s="21" t="s">
        <v>23</v>
      </c>
      <c r="H47" s="21" t="s">
        <v>23</v>
      </c>
      <c r="I47" s="54">
        <v>0.458333333333333</v>
      </c>
      <c r="J47" s="54">
        <f t="shared" si="19"/>
        <v>0.875</v>
      </c>
      <c r="K47" s="54">
        <v>0.458333333333333</v>
      </c>
      <c r="L47" s="54">
        <f t="shared" si="20"/>
        <v>0.875</v>
      </c>
      <c r="M47" s="54">
        <v>0.458333333333333</v>
      </c>
      <c r="N47" s="54">
        <f t="shared" si="21"/>
        <v>0.875</v>
      </c>
      <c r="O47" s="54">
        <v>0.458333333333333</v>
      </c>
      <c r="P47" s="54">
        <f t="shared" si="24"/>
        <v>0.875</v>
      </c>
      <c r="Q47" s="54">
        <v>0.458333333333333</v>
      </c>
      <c r="R47" s="54">
        <v>0.666666666666667</v>
      </c>
      <c r="S47" s="21" t="s">
        <v>23</v>
      </c>
      <c r="T47" s="21" t="s">
        <v>23</v>
      </c>
      <c r="U47" s="21">
        <f>IFERROR(__xludf.DUMMYFUNCTION("TO_PURE_NUMBER(SUM(FILTER(G47:T47, ISEVEN(COLUMN(G47:T47))))-SUM(FILTER(G47:T47, ISODD(COLUMN(G47:T47)))))*24"),45)</f>
        <v>45</v>
      </c>
      <c r="V47" s="17">
        <f t="array" ref="V47">_xlfn.XLOOKUP(A47,'WK 47'!A:A,'WK 47'!V:V,"")</f>
        <v>45</v>
      </c>
      <c r="W47" s="7">
        <f t="shared" si="0"/>
        <v>0</v>
      </c>
      <c r="X47" s="20">
        <v>0.416666666666667</v>
      </c>
      <c r="Y47" s="17" t="str">
        <f t="array" ref="Y47">_xlfn.XLOOKUP(A47,'WK 47'!A:A,'WK 47'!AA:AA,"")</f>
        <v>early</v>
      </c>
      <c r="Z47" s="61" t="str">
        <f t="shared" si="1"/>
        <v>late</v>
      </c>
      <c r="AA47" s="106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customHeight="1" spans="1:37">
      <c r="A48" s="21">
        <v>10272259</v>
      </c>
      <c r="B48" s="86" t="s">
        <v>32</v>
      </c>
      <c r="C48" s="21" t="s">
        <v>20</v>
      </c>
      <c r="D48" s="21" t="s">
        <v>21</v>
      </c>
      <c r="E48" s="54" t="str">
        <f t="array" ref="E48">_xlfn.XLOOKUP(A48,'WK 47'!A:A,'WK 47'!E:E,"")</f>
        <v>FT</v>
      </c>
      <c r="F48" s="103">
        <f t="array" ref="F48">_xlfn.XLOOKUP(A48,'WK 47'!A:A,'WK 47'!F:F,"")</f>
        <v>2</v>
      </c>
      <c r="G48" s="54">
        <v>0.375</v>
      </c>
      <c r="H48" s="54">
        <v>0.75</v>
      </c>
      <c r="I48" s="21" t="s">
        <v>23</v>
      </c>
      <c r="J48" s="21" t="s">
        <v>23</v>
      </c>
      <c r="K48" s="21" t="s">
        <v>23</v>
      </c>
      <c r="L48" s="21" t="s">
        <v>23</v>
      </c>
      <c r="M48" s="54">
        <v>0.375</v>
      </c>
      <c r="N48" s="54">
        <v>0.75</v>
      </c>
      <c r="O48" s="54">
        <v>0.375</v>
      </c>
      <c r="P48" s="54">
        <v>0.75</v>
      </c>
      <c r="Q48" s="54">
        <v>0.458333333333333</v>
      </c>
      <c r="R48" s="54">
        <v>0.666666666666667</v>
      </c>
      <c r="S48" s="54">
        <v>0.458333333333333</v>
      </c>
      <c r="T48" s="54">
        <v>0.666666666666667</v>
      </c>
      <c r="U48" s="21">
        <f>IFERROR(__xludf.DUMMYFUNCTION("TO_PURE_NUMBER(SUM(FILTER(G48:T48, ISEVEN(COLUMN(G48:T48))))-SUM(FILTER(G48:T48, ISODD(COLUMN(G48:T48)))))*24"),37)</f>
        <v>37</v>
      </c>
      <c r="V48" s="17">
        <f t="array" ref="V48">_xlfn.XLOOKUP(A48,'WK 47'!A:A,'WK 47'!V:V,"")</f>
        <v>37</v>
      </c>
      <c r="W48" s="7">
        <f t="shared" si="0"/>
        <v>0</v>
      </c>
      <c r="X48" s="20">
        <f t="array" ref="X48">_xlfn.XLOOKUP(A48,'WK 45'!A:A,'WK 45'!X:X,"")</f>
        <v>0.375</v>
      </c>
      <c r="Y48" s="17" t="str">
        <f t="array" ref="Y48">_xlfn.XLOOKUP(A48,'WK 47'!A:A,'WK 47'!AA:AA,"")</f>
        <v/>
      </c>
      <c r="Z48" s="61" t="str">
        <f t="shared" si="1"/>
        <v> early</v>
      </c>
      <c r="AA48" s="106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customHeight="1" spans="1:37">
      <c r="A49" s="21">
        <v>10320419</v>
      </c>
      <c r="B49" s="86" t="s">
        <v>69</v>
      </c>
      <c r="C49" s="21" t="s">
        <v>20</v>
      </c>
      <c r="D49" s="21" t="s">
        <v>21</v>
      </c>
      <c r="E49" s="54" t="str">
        <f t="array" ref="E49">_xlfn.XLOOKUP(A49,'WK 47'!A:A,'WK 47'!E:E,"")</f>
        <v>FT</v>
      </c>
      <c r="F49" s="103">
        <f t="array" ref="F49">_xlfn.XLOOKUP(A49,'WK 47'!A:A,'WK 47'!F:F,"")</f>
        <v>3</v>
      </c>
      <c r="G49" s="21" t="s">
        <v>23</v>
      </c>
      <c r="H49" s="21" t="s">
        <v>23</v>
      </c>
      <c r="I49" s="54">
        <v>0.458333333333333</v>
      </c>
      <c r="J49" s="54">
        <f t="shared" ref="J49:J50" si="25">IFERROR(I49+$X49,"OFF")</f>
        <v>0.875</v>
      </c>
      <c r="K49" s="54">
        <v>0.458333333333333</v>
      </c>
      <c r="L49" s="54">
        <f t="shared" ref="L49:L50" si="26">IFERROR(K49+$X49,"OFF")</f>
        <v>0.875</v>
      </c>
      <c r="M49" s="54">
        <v>0.458333333333333</v>
      </c>
      <c r="N49" s="54">
        <f t="shared" ref="N49:N50" si="27">IFERROR(M49+$X49,"OFF")</f>
        <v>0.875</v>
      </c>
      <c r="O49" s="54">
        <v>0.458333333333333</v>
      </c>
      <c r="P49" s="54">
        <f t="shared" ref="P49:P50" si="28">IFERROR(O49+$X49,"OFF")</f>
        <v>0.875</v>
      </c>
      <c r="Q49" s="54">
        <v>0.458333333333333</v>
      </c>
      <c r="R49" s="54">
        <v>0.666666666666667</v>
      </c>
      <c r="S49" s="21" t="s">
        <v>23</v>
      </c>
      <c r="T49" s="21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7">
        <f t="shared" si="0"/>
        <v>0</v>
      </c>
      <c r="X49" s="20">
        <v>0.416666666666667</v>
      </c>
      <c r="Y49" s="17" t="str">
        <f t="array" ref="Y49">_xlfn.XLOOKUP(A49,'WK 47'!A:A,'WK 47'!AA:AA,"")</f>
        <v>early</v>
      </c>
      <c r="Z49" s="61" t="str">
        <f t="shared" si="1"/>
        <v>late</v>
      </c>
      <c r="AA49" s="106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customHeight="1" spans="1:37">
      <c r="A50" s="21">
        <v>10320436</v>
      </c>
      <c r="B50" s="86" t="s">
        <v>90</v>
      </c>
      <c r="C50" s="21" t="s">
        <v>20</v>
      </c>
      <c r="D50" s="21" t="s">
        <v>21</v>
      </c>
      <c r="E50" s="54" t="str">
        <f t="array" ref="E50">_xlfn.XLOOKUP(A50,'WK 47'!A:A,'WK 47'!E:E,"")</f>
        <v>FT</v>
      </c>
      <c r="F50" s="103">
        <f t="array" ref="F50">_xlfn.XLOOKUP(A50,'WK 47'!A:A,'WK 47'!F:F,"")</f>
        <v>3</v>
      </c>
      <c r="G50" s="21" t="s">
        <v>23</v>
      </c>
      <c r="H50" s="21" t="s">
        <v>23</v>
      </c>
      <c r="I50" s="54">
        <v>0.458333333333333</v>
      </c>
      <c r="J50" s="54">
        <f t="shared" si="25"/>
        <v>0.875</v>
      </c>
      <c r="K50" s="54">
        <v>0.458333333333333</v>
      </c>
      <c r="L50" s="54">
        <f t="shared" si="26"/>
        <v>0.875</v>
      </c>
      <c r="M50" s="54">
        <v>0.458333333333333</v>
      </c>
      <c r="N50" s="54">
        <f t="shared" si="27"/>
        <v>0.875</v>
      </c>
      <c r="O50" s="54">
        <v>0.458333333333333</v>
      </c>
      <c r="P50" s="54">
        <f t="shared" si="28"/>
        <v>0.875</v>
      </c>
      <c r="Q50" s="54">
        <v>0.458333333333333</v>
      </c>
      <c r="R50" s="54">
        <v>0.666666666666667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7">
        <f t="shared" si="0"/>
        <v>0</v>
      </c>
      <c r="X50" s="20">
        <v>0.416666666666667</v>
      </c>
      <c r="Y50" s="17" t="str">
        <f t="array" ref="Y50">_xlfn.XLOOKUP(A50,'WK 47'!A:A,'WK 47'!AA:AA,"")</f>
        <v>early</v>
      </c>
      <c r="Z50" s="61" t="str">
        <f t="shared" si="1"/>
        <v>late</v>
      </c>
      <c r="AA50" s="106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customHeight="1" spans="1:37">
      <c r="A51" s="21">
        <v>10274446</v>
      </c>
      <c r="B51" s="86" t="s">
        <v>88</v>
      </c>
      <c r="C51" s="21" t="s">
        <v>20</v>
      </c>
      <c r="D51" s="21" t="s">
        <v>21</v>
      </c>
      <c r="E51" s="54" t="str">
        <f t="array" ref="E51">_xlfn.XLOOKUP(A51,'WK 47'!A:A,'WK 47'!E:E,"")</f>
        <v>FT</v>
      </c>
      <c r="F51" s="103">
        <f t="array" ref="F51">_xlfn.XLOOKUP(A51,'WK 47'!A:A,'WK 47'!F:F,"")</f>
        <v>2</v>
      </c>
      <c r="G51" s="54">
        <v>0.375</v>
      </c>
      <c r="H51" s="54">
        <v>0.75</v>
      </c>
      <c r="I51" s="54">
        <v>0.375</v>
      </c>
      <c r="J51" s="54">
        <v>0.75</v>
      </c>
      <c r="K51" s="21" t="s">
        <v>23</v>
      </c>
      <c r="L51" s="21" t="s">
        <v>23</v>
      </c>
      <c r="M51" s="21" t="s">
        <v>23</v>
      </c>
      <c r="N51" s="21" t="s">
        <v>23</v>
      </c>
      <c r="O51" s="54">
        <v>0.375</v>
      </c>
      <c r="P51" s="54">
        <v>0.75</v>
      </c>
      <c r="Q51" s="54">
        <v>0.458333333333333</v>
      </c>
      <c r="R51" s="54">
        <v>0.666666666666667</v>
      </c>
      <c r="S51" s="54">
        <v>0.458333333333333</v>
      </c>
      <c r="T51" s="54">
        <v>0.666666666666667</v>
      </c>
      <c r="U51" s="21">
        <f>IFERROR(__xludf.DUMMYFUNCTION("TO_PURE_NUMBER(SUM(FILTER(G51:T51, ISEVEN(COLUMN(G51:T51))))-SUM(FILTER(G51:T51, ISODD(COLUMN(G51:T51)))))*24"),37)</f>
        <v>37</v>
      </c>
      <c r="V51" s="17">
        <f t="array" ref="V51">_xlfn.XLOOKUP(A51,'WK 47'!A:A,'WK 47'!V:V,"")</f>
        <v>37</v>
      </c>
      <c r="W51" s="7">
        <f t="shared" si="0"/>
        <v>0</v>
      </c>
      <c r="X51" s="20">
        <f t="array" ref="X51">_xlfn.XLOOKUP(A51,'WK 45'!A:A,'WK 45'!X:X,"")</f>
        <v>0.375</v>
      </c>
      <c r="Y51" s="17" t="str">
        <f t="array" ref="Y51">_xlfn.XLOOKUP(A51,'WK 47'!A:A,'WK 47'!AA:AA,"")</f>
        <v>late</v>
      </c>
      <c r="Z51" s="61" t="str">
        <f t="shared" si="1"/>
        <v> early</v>
      </c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customHeight="1" spans="1:37">
      <c r="A52" s="86"/>
      <c r="B52" s="51"/>
      <c r="C52" s="106"/>
      <c r="D52" s="106"/>
      <c r="E52" s="106"/>
      <c r="F52" s="20">
        <f t="array" ref="F52">_xlfn.XLOOKUP(A52,'WK 47'!A:A,'WK 47'!F:F,"")</f>
        <v>0</v>
      </c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customHeight="1" spans="1:37">
      <c r="A53" s="86"/>
      <c r="B53" s="51"/>
      <c r="C53" s="106"/>
      <c r="D53" s="106"/>
      <c r="E53" s="106"/>
      <c r="F53" s="20">
        <f t="array" ref="F53">_xlfn.XLOOKUP(A53,'WK 47'!A:A,'WK 47'!F:F,"")</f>
        <v>0</v>
      </c>
      <c r="G53" s="106"/>
      <c r="H53" s="106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customHeight="1" spans="1:37">
      <c r="A54" s="86"/>
      <c r="B54" s="51"/>
      <c r="C54" s="106"/>
      <c r="D54" s="106"/>
      <c r="E54" s="106"/>
      <c r="F54" s="7"/>
      <c r="G54" s="50" t="s">
        <v>6</v>
      </c>
      <c r="H54" s="50" t="s">
        <v>7</v>
      </c>
      <c r="I54" s="50" t="s">
        <v>8</v>
      </c>
      <c r="J54" s="50" t="s">
        <v>9</v>
      </c>
      <c r="K54" s="50" t="s">
        <v>10</v>
      </c>
      <c r="L54" s="50" t="s">
        <v>11</v>
      </c>
      <c r="M54" s="50" t="s">
        <v>12</v>
      </c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customHeight="1" spans="1:37">
      <c r="A55" s="86"/>
      <c r="B55" s="51"/>
      <c r="C55" s="106"/>
      <c r="D55" s="106"/>
      <c r="E55" s="106"/>
      <c r="F55" s="7" t="s">
        <v>73</v>
      </c>
      <c r="G55" s="88">
        <v>251.4</v>
      </c>
      <c r="H55" s="88">
        <v>212.1</v>
      </c>
      <c r="I55" s="88">
        <v>205.7</v>
      </c>
      <c r="J55" s="88">
        <v>187.9</v>
      </c>
      <c r="K55" s="88">
        <v>203.7</v>
      </c>
      <c r="L55" s="88">
        <v>115.9</v>
      </c>
      <c r="M55" s="88">
        <v>84.7</v>
      </c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customHeight="1" spans="1:37">
      <c r="A56" s="86"/>
      <c r="B56" s="51"/>
      <c r="C56" s="106"/>
      <c r="D56" s="106"/>
      <c r="E56" s="106"/>
      <c r="F56" s="7" t="s">
        <v>74</v>
      </c>
      <c r="G56" s="7">
        <f t="shared" ref="G56:J56" si="29">G58*8</f>
        <v>256</v>
      </c>
      <c r="H56" s="7">
        <f t="shared" si="29"/>
        <v>368</v>
      </c>
      <c r="I56" s="7">
        <f t="shared" si="29"/>
        <v>344</v>
      </c>
      <c r="J56" s="7">
        <f t="shared" si="29"/>
        <v>352</v>
      </c>
      <c r="K56" s="7">
        <f>K58*7.5</f>
        <v>285</v>
      </c>
      <c r="L56" s="7">
        <f t="shared" ref="L56:M56" si="30">L58*4.5</f>
        <v>90</v>
      </c>
      <c r="M56" s="7">
        <f t="shared" si="30"/>
        <v>67.5</v>
      </c>
      <c r="N56" s="17"/>
      <c r="O56" s="17"/>
      <c r="P56" s="17"/>
      <c r="Q56" s="17"/>
      <c r="R56" s="17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customHeight="1" spans="1:37">
      <c r="A57" s="86"/>
      <c r="B57" s="51"/>
      <c r="C57" s="106"/>
      <c r="D57" s="106"/>
      <c r="E57" s="106"/>
      <c r="F57" s="7" t="s">
        <v>75</v>
      </c>
      <c r="G57" s="57">
        <f t="shared" ref="G57:M57" si="31">G56-G55</f>
        <v>4.59999999999999</v>
      </c>
      <c r="H57" s="57">
        <f t="shared" si="31"/>
        <v>155.9</v>
      </c>
      <c r="I57" s="57">
        <f t="shared" si="31"/>
        <v>138.3</v>
      </c>
      <c r="J57" s="57">
        <f t="shared" si="31"/>
        <v>164.1</v>
      </c>
      <c r="K57" s="57">
        <f t="shared" si="31"/>
        <v>81.3</v>
      </c>
      <c r="L57" s="57">
        <f t="shared" si="31"/>
        <v>-25.9</v>
      </c>
      <c r="M57" s="57">
        <f t="shared" si="31"/>
        <v>-17.2</v>
      </c>
      <c r="N57" s="17"/>
      <c r="O57" s="17"/>
      <c r="P57" s="17"/>
      <c r="Q57" s="17"/>
      <c r="R57" s="17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customHeight="1" spans="1:37">
      <c r="A58" s="86"/>
      <c r="B58" s="51"/>
      <c r="C58" s="106"/>
      <c r="D58" s="106"/>
      <c r="E58" s="106"/>
      <c r="F58" s="7" t="s">
        <v>76</v>
      </c>
      <c r="G58" s="7">
        <f>IFERROR(__xludf.DUMMYFUNCTION("COUNTA(FILTER($C$4:$C$51, $C$4:$C$51=""CSR"", G4:G51&lt;&gt;"""", NOT(ISTEXT(G4:G51))))"),32)</f>
        <v>32</v>
      </c>
      <c r="H58" s="7">
        <f>IFERROR(__xludf.DUMMYFUNCTION("COUNTA(FILTER($C$4:$C$51, $C$4:$C$51=""CSR"", I4:I51&lt;&gt;"""", NOT(ISTEXT(I4:I51))))"),46)</f>
        <v>46</v>
      </c>
      <c r="I58" s="7">
        <f>IFERROR(__xludf.DUMMYFUNCTION("COUNTA(FILTER($C$4:$C$51, $C$4:$C$51=""CSR"", K4:K51&lt;&gt;"""", NOT(ISTEXT(K4:K51))))"),43)</f>
        <v>43</v>
      </c>
      <c r="J58" s="7">
        <f>IFERROR(__xludf.DUMMYFUNCTION("COUNTA(FILTER($C$4:$C$51, $C$4:$C$51=""CSR"", M4:M51&lt;&gt;"""", NOT(ISTEXT(M4:M51))))"),44)</f>
        <v>44</v>
      </c>
      <c r="K58" s="7">
        <f>IFERROR(__xludf.DUMMYFUNCTION("COUNTA(FILTER($C$4:$C$51, $C$4:$C$51=""CSR"", O4:O51&lt;&gt;"""", NOT(ISTEXT(O4:O51))))"),38)</f>
        <v>38</v>
      </c>
      <c r="L58" s="7">
        <f>IFERROR(__xludf.DUMMYFUNCTION("COUNTA(FILTER($C$4:$C$51, $C$4:$C$51=""CSR"", Q4:Q51&lt;&gt;"""", NOT(ISTEXT(Q4:Q51))))"),20)</f>
        <v>20</v>
      </c>
      <c r="M58" s="7">
        <f>IFERROR(__xludf.DUMMYFUNCTION("COUNTA(FILTER($C$4:$C$51, $C$4:$C$51=""CSR"", S4:S51&lt;&gt;"""", NOT(ISTEXT(S4:S51))))"),15)</f>
        <v>15</v>
      </c>
      <c r="N58" s="17"/>
      <c r="O58" s="17"/>
      <c r="P58" s="17"/>
      <c r="Q58" s="17"/>
      <c r="R58" s="17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  <row r="59" customHeight="1" spans="1:37">
      <c r="A59" s="86"/>
      <c r="B59" s="51"/>
      <c r="C59" s="106"/>
      <c r="D59" s="106"/>
      <c r="E59" s="106"/>
      <c r="F59" s="7" t="s">
        <v>77</v>
      </c>
      <c r="G59" s="56">
        <f t="shared" ref="G59:K59" si="32">G55/8</f>
        <v>31.425</v>
      </c>
      <c r="H59" s="56">
        <f t="shared" si="32"/>
        <v>26.5125</v>
      </c>
      <c r="I59" s="56">
        <f t="shared" si="32"/>
        <v>25.7125</v>
      </c>
      <c r="J59" s="56">
        <f t="shared" si="32"/>
        <v>23.4875</v>
      </c>
      <c r="K59" s="56">
        <f t="shared" si="32"/>
        <v>25.4625</v>
      </c>
      <c r="L59" s="56">
        <f t="shared" ref="L59:M59" si="33">L55/4.5</f>
        <v>25.7555555555556</v>
      </c>
      <c r="M59" s="56">
        <f t="shared" si="33"/>
        <v>18.8222222222222</v>
      </c>
      <c r="N59" s="17"/>
      <c r="O59" s="17"/>
      <c r="P59" s="17"/>
      <c r="Q59" s="17"/>
      <c r="R59" s="17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</row>
    <row r="60" customHeight="1" spans="1:37">
      <c r="A60" s="86"/>
      <c r="B60" s="51"/>
      <c r="C60" s="106"/>
      <c r="D60" s="106"/>
      <c r="E60" s="106"/>
      <c r="F60" s="7" t="s">
        <v>78</v>
      </c>
      <c r="G60" s="57">
        <f t="shared" ref="G60:M60" si="34">G58-G59</f>
        <v>0.574999999999999</v>
      </c>
      <c r="H60" s="57">
        <f t="shared" si="34"/>
        <v>19.4875</v>
      </c>
      <c r="I60" s="57">
        <f t="shared" si="34"/>
        <v>17.2875</v>
      </c>
      <c r="J60" s="57">
        <f t="shared" si="34"/>
        <v>20.5125</v>
      </c>
      <c r="K60" s="57">
        <f t="shared" si="34"/>
        <v>12.5375</v>
      </c>
      <c r="L60" s="57">
        <f t="shared" si="34"/>
        <v>-5.75555555555556</v>
      </c>
      <c r="M60" s="57">
        <f t="shared" si="34"/>
        <v>-3.82222222222222</v>
      </c>
      <c r="N60" s="17"/>
      <c r="O60" s="17"/>
      <c r="P60" s="17"/>
      <c r="Q60" s="17"/>
      <c r="R60" s="17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customHeight="1" spans="1:37">
      <c r="A61" s="86"/>
      <c r="B61" s="51"/>
      <c r="C61" s="106"/>
      <c r="D61" s="106"/>
      <c r="E61" s="106"/>
      <c r="F61" s="7" t="s">
        <v>79</v>
      </c>
      <c r="G61" s="107">
        <f t="shared" ref="G61:M61" si="35">G60/G59</f>
        <v>0.0182975338106603</v>
      </c>
      <c r="H61" s="108">
        <f t="shared" si="35"/>
        <v>0.735030645921735</v>
      </c>
      <c r="I61" s="108">
        <f t="shared" si="35"/>
        <v>0.672338356830335</v>
      </c>
      <c r="J61" s="108">
        <f t="shared" si="35"/>
        <v>0.873336881319851</v>
      </c>
      <c r="K61" s="108">
        <f t="shared" si="35"/>
        <v>0.492390770741286</v>
      </c>
      <c r="L61" s="107">
        <f t="shared" si="35"/>
        <v>-0.223468507333909</v>
      </c>
      <c r="M61" s="107">
        <f t="shared" si="35"/>
        <v>-0.203069657615112</v>
      </c>
      <c r="N61" s="17"/>
      <c r="O61" s="17"/>
      <c r="P61" s="17"/>
      <c r="Q61" s="17"/>
      <c r="R61" s="17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customHeight="1" spans="1:37">
      <c r="A62" s="86"/>
      <c r="B62" s="51"/>
      <c r="C62" s="106"/>
      <c r="D62" s="106"/>
      <c r="E62" s="106"/>
      <c r="F62" s="20">
        <f t="array" ref="F62">_xlfn.XLOOKUP(A62,'WK 47'!A:A,'WK 47'!F:F,"")</f>
        <v>0</v>
      </c>
      <c r="G62" s="106"/>
      <c r="H62" s="106"/>
      <c r="I62" s="61"/>
      <c r="J62" s="61"/>
      <c r="K62" s="17"/>
      <c r="L62" s="17"/>
      <c r="M62" s="17"/>
      <c r="N62" s="17"/>
      <c r="O62" s="17"/>
      <c r="P62" s="17"/>
      <c r="Q62" s="17"/>
      <c r="R62" s="17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customHeight="1" spans="1:37">
      <c r="A63" s="86"/>
      <c r="B63" s="51"/>
      <c r="C63" s="61"/>
      <c r="D63" s="61"/>
      <c r="E63" s="61"/>
      <c r="F63" s="20"/>
      <c r="G63" s="61">
        <f t="shared" ref="G63:M63" si="36">G58-6</f>
        <v>26</v>
      </c>
      <c r="H63" s="61">
        <f t="shared" si="36"/>
        <v>40</v>
      </c>
      <c r="I63" s="61">
        <f t="shared" si="36"/>
        <v>37</v>
      </c>
      <c r="J63" s="61">
        <f t="shared" si="36"/>
        <v>38</v>
      </c>
      <c r="K63" s="61">
        <f t="shared" si="36"/>
        <v>32</v>
      </c>
      <c r="L63" s="61">
        <f t="shared" si="36"/>
        <v>14</v>
      </c>
      <c r="M63" s="61">
        <f t="shared" si="36"/>
        <v>9</v>
      </c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customHeight="1" spans="1:37">
      <c r="A64" s="86"/>
      <c r="B64" s="51"/>
      <c r="C64" s="61"/>
      <c r="D64" s="61"/>
      <c r="E64" s="61"/>
      <c r="F64" s="20"/>
      <c r="G64" s="61">
        <f t="shared" ref="G64:M64" si="37">G63*15</f>
        <v>390</v>
      </c>
      <c r="H64" s="61">
        <f t="shared" si="37"/>
        <v>600</v>
      </c>
      <c r="I64" s="61">
        <f t="shared" si="37"/>
        <v>555</v>
      </c>
      <c r="J64" s="61">
        <f t="shared" si="37"/>
        <v>570</v>
      </c>
      <c r="K64" s="61">
        <f t="shared" si="37"/>
        <v>480</v>
      </c>
      <c r="L64" s="61">
        <f t="shared" si="37"/>
        <v>210</v>
      </c>
      <c r="M64" s="61">
        <f t="shared" si="37"/>
        <v>135</v>
      </c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customHeight="1" spans="1:37">
      <c r="A65" s="86"/>
      <c r="B65" s="51"/>
      <c r="C65" s="106"/>
      <c r="D65" s="106"/>
      <c r="E65" s="106"/>
      <c r="F65" s="20"/>
      <c r="G65" s="106"/>
      <c r="H65" s="106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customHeight="1" spans="1:37">
      <c r="A66" s="86"/>
      <c r="B66" s="51"/>
      <c r="C66" s="106"/>
      <c r="D66" s="106"/>
      <c r="E66" s="106"/>
      <c r="F66" s="20"/>
      <c r="G66" s="106"/>
      <c r="H66" s="106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customHeight="1" spans="1:37">
      <c r="A67" s="61"/>
      <c r="B67" s="109"/>
      <c r="C67" s="106"/>
      <c r="D67" s="106"/>
      <c r="E67" s="106"/>
      <c r="F67" s="20"/>
      <c r="G67" s="106"/>
      <c r="H67" s="106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customHeight="1" spans="1:37">
      <c r="A68" s="61"/>
      <c r="B68" s="109"/>
      <c r="C68" s="106"/>
      <c r="D68" s="106"/>
      <c r="E68" s="106"/>
      <c r="F68" s="20"/>
      <c r="G68" s="106"/>
      <c r="H68" s="106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customHeight="1" spans="1:37">
      <c r="A69" s="61"/>
      <c r="B69" s="109"/>
      <c r="C69" s="106"/>
      <c r="D69" s="106"/>
      <c r="E69" s="106"/>
      <c r="F69" s="20"/>
      <c r="G69" s="106"/>
      <c r="H69" s="106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customHeight="1" spans="1:37">
      <c r="A70" s="10"/>
      <c r="B70" s="109"/>
      <c r="C70" s="106"/>
      <c r="D70" s="106"/>
      <c r="E70" s="106"/>
      <c r="F70" s="20">
        <f t="array" ref="F70">_xlfn.XLOOKUP(A70,'WK 47'!A:A,'WK 47'!F:F,"")</f>
        <v>0</v>
      </c>
      <c r="G70" s="106"/>
      <c r="H70" s="106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customHeight="1" spans="1:37">
      <c r="A71" s="22" t="s">
        <v>0</v>
      </c>
      <c r="B71" s="67" t="s">
        <v>98</v>
      </c>
      <c r="C71" s="67" t="s">
        <v>2</v>
      </c>
      <c r="D71" s="68">
        <v>45614</v>
      </c>
      <c r="E71" s="14"/>
      <c r="F71" s="68">
        <v>45615</v>
      </c>
      <c r="G71" s="14"/>
      <c r="H71" s="68">
        <v>45616</v>
      </c>
      <c r="I71" s="14"/>
      <c r="J71" s="68">
        <v>45617</v>
      </c>
      <c r="K71" s="14"/>
      <c r="L71" s="68">
        <v>45618</v>
      </c>
      <c r="M71" s="14"/>
      <c r="N71" s="68">
        <v>45619</v>
      </c>
      <c r="O71" s="14"/>
      <c r="P71" s="68">
        <v>45620</v>
      </c>
      <c r="Q71" s="14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customHeight="1" spans="1:37">
      <c r="A72" s="15"/>
      <c r="B72" s="69"/>
      <c r="C72" s="69"/>
      <c r="D72" s="70" t="s">
        <v>6</v>
      </c>
      <c r="E72" s="71"/>
      <c r="F72" s="70" t="s">
        <v>7</v>
      </c>
      <c r="G72" s="71"/>
      <c r="H72" s="70" t="s">
        <v>8</v>
      </c>
      <c r="I72" s="71"/>
      <c r="J72" s="70" t="s">
        <v>9</v>
      </c>
      <c r="K72" s="71"/>
      <c r="L72" s="70" t="s">
        <v>10</v>
      </c>
      <c r="M72" s="71"/>
      <c r="N72" s="70" t="s">
        <v>11</v>
      </c>
      <c r="O72" s="71"/>
      <c r="P72" s="70" t="s">
        <v>12</v>
      </c>
      <c r="Q72" s="7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</row>
    <row r="73" customHeight="1" spans="1:37">
      <c r="A73" s="5"/>
      <c r="B73" s="71"/>
      <c r="C73" s="71"/>
      <c r="D73" s="73" t="s">
        <v>13</v>
      </c>
      <c r="E73" s="73" t="s">
        <v>14</v>
      </c>
      <c r="F73" s="73" t="s">
        <v>13</v>
      </c>
      <c r="G73" s="73" t="s">
        <v>14</v>
      </c>
      <c r="H73" s="73" t="s">
        <v>13</v>
      </c>
      <c r="I73" s="73" t="s">
        <v>14</v>
      </c>
      <c r="J73" s="73" t="s">
        <v>13</v>
      </c>
      <c r="K73" s="73" t="s">
        <v>14</v>
      </c>
      <c r="L73" s="73" t="s">
        <v>13</v>
      </c>
      <c r="M73" s="73" t="s">
        <v>14</v>
      </c>
      <c r="N73" s="73" t="s">
        <v>13</v>
      </c>
      <c r="O73" s="73" t="s">
        <v>14</v>
      </c>
      <c r="P73" s="73" t="s">
        <v>13</v>
      </c>
      <c r="Q73" s="73" t="s">
        <v>14</v>
      </c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</row>
    <row r="74" customHeight="1" spans="1:37">
      <c r="A74" s="75">
        <v>10316835</v>
      </c>
      <c r="B74" s="76" t="s">
        <v>171</v>
      </c>
      <c r="C74" s="76" t="s">
        <v>172</v>
      </c>
      <c r="D74" s="110">
        <v>0.458333333333333</v>
      </c>
      <c r="E74" s="111">
        <v>0.875</v>
      </c>
      <c r="F74" s="110">
        <v>0.458333333333333</v>
      </c>
      <c r="G74" s="111">
        <v>0.875</v>
      </c>
      <c r="H74" s="110">
        <v>0.458333333333333</v>
      </c>
      <c r="I74" s="78">
        <v>0.875</v>
      </c>
      <c r="J74" s="77">
        <v>0.458333333333333</v>
      </c>
      <c r="K74" s="78">
        <v>0.875</v>
      </c>
      <c r="L74" s="79" t="s">
        <v>23</v>
      </c>
      <c r="M74" s="79" t="s">
        <v>23</v>
      </c>
      <c r="N74" s="81" t="s">
        <v>23</v>
      </c>
      <c r="O74" s="81" t="s">
        <v>23</v>
      </c>
      <c r="P74" s="82">
        <v>0.458333333333333</v>
      </c>
      <c r="Q74" s="83">
        <v>0.666666666666667</v>
      </c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</row>
    <row r="75" customHeight="1" spans="1:37">
      <c r="A75" s="75">
        <v>10225640</v>
      </c>
      <c r="B75" s="76" t="s">
        <v>100</v>
      </c>
      <c r="C75" s="76" t="s">
        <v>172</v>
      </c>
      <c r="D75" s="79" t="s">
        <v>23</v>
      </c>
      <c r="E75" s="79" t="s">
        <v>23</v>
      </c>
      <c r="F75" s="110">
        <v>0.458333333333333</v>
      </c>
      <c r="G75" s="111">
        <v>0.875</v>
      </c>
      <c r="H75" s="110">
        <v>0.458333333333333</v>
      </c>
      <c r="I75" s="78">
        <v>0.875</v>
      </c>
      <c r="J75" s="77">
        <v>0.458333333333333</v>
      </c>
      <c r="K75" s="78">
        <v>0.875</v>
      </c>
      <c r="L75" s="77">
        <v>0.458333333333333</v>
      </c>
      <c r="M75" s="78">
        <v>0.875</v>
      </c>
      <c r="N75" s="82">
        <v>0.458333333333333</v>
      </c>
      <c r="O75" s="83">
        <v>0.666666666666667</v>
      </c>
      <c r="P75" s="81" t="s">
        <v>23</v>
      </c>
      <c r="Q75" s="81" t="s">
        <v>23</v>
      </c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</row>
    <row r="76" customHeight="1" spans="1:37">
      <c r="A76" s="75">
        <v>10303312</v>
      </c>
      <c r="B76" s="76" t="s">
        <v>173</v>
      </c>
      <c r="C76" s="76" t="s">
        <v>174</v>
      </c>
      <c r="D76" s="111">
        <v>0.375</v>
      </c>
      <c r="E76" s="110">
        <v>0.75</v>
      </c>
      <c r="F76" s="111">
        <v>0.375</v>
      </c>
      <c r="G76" s="110">
        <v>0.75</v>
      </c>
      <c r="H76" s="111">
        <v>0.375</v>
      </c>
      <c r="I76" s="77">
        <v>0.75</v>
      </c>
      <c r="J76" s="78">
        <v>0.375</v>
      </c>
      <c r="K76" s="77">
        <v>0.75</v>
      </c>
      <c r="L76" s="78">
        <v>0.375</v>
      </c>
      <c r="M76" s="77">
        <v>0.75</v>
      </c>
      <c r="N76" s="79" t="s">
        <v>23</v>
      </c>
      <c r="O76" s="79" t="s">
        <v>23</v>
      </c>
      <c r="P76" s="79" t="s">
        <v>23</v>
      </c>
      <c r="Q76" s="79" t="s">
        <v>23</v>
      </c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</row>
    <row r="77" customHeight="1" spans="1:37">
      <c r="A77" s="75">
        <v>10306591</v>
      </c>
      <c r="B77" s="76" t="s">
        <v>107</v>
      </c>
      <c r="C77" s="76" t="s">
        <v>174</v>
      </c>
      <c r="D77" s="111">
        <v>0.375</v>
      </c>
      <c r="E77" s="110">
        <v>0.75</v>
      </c>
      <c r="F77" s="111">
        <v>0.375</v>
      </c>
      <c r="G77" s="110">
        <v>0.75</v>
      </c>
      <c r="H77" s="111">
        <v>0.375</v>
      </c>
      <c r="I77" s="77">
        <v>0.75</v>
      </c>
      <c r="J77" s="78">
        <v>0.375</v>
      </c>
      <c r="K77" s="77">
        <v>0.75</v>
      </c>
      <c r="L77" s="78">
        <v>0.375</v>
      </c>
      <c r="M77" s="77">
        <v>0.75</v>
      </c>
      <c r="N77" s="79" t="s">
        <v>23</v>
      </c>
      <c r="O77" s="79" t="s">
        <v>23</v>
      </c>
      <c r="P77" s="79" t="s">
        <v>23</v>
      </c>
      <c r="Q77" s="79" t="s">
        <v>23</v>
      </c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</row>
    <row r="78" customHeight="1" spans="1:37">
      <c r="A78" s="75">
        <v>10271545</v>
      </c>
      <c r="B78" s="76" t="s">
        <v>175</v>
      </c>
      <c r="C78" s="76" t="s">
        <v>176</v>
      </c>
      <c r="D78" s="111">
        <v>0.375</v>
      </c>
      <c r="E78" s="110">
        <v>0.75</v>
      </c>
      <c r="F78" s="111">
        <v>0.375</v>
      </c>
      <c r="G78" s="110">
        <v>0.75</v>
      </c>
      <c r="H78" s="111">
        <v>0.375</v>
      </c>
      <c r="I78" s="77">
        <v>0.75</v>
      </c>
      <c r="J78" s="78">
        <v>0.375</v>
      </c>
      <c r="K78" s="77">
        <v>0.75</v>
      </c>
      <c r="L78" s="78">
        <v>0.375</v>
      </c>
      <c r="M78" s="77">
        <v>0.75</v>
      </c>
      <c r="N78" s="79" t="s">
        <v>23</v>
      </c>
      <c r="O78" s="79" t="s">
        <v>23</v>
      </c>
      <c r="P78" s="79" t="s">
        <v>23</v>
      </c>
      <c r="Q78" s="79" t="s">
        <v>23</v>
      </c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</row>
    <row r="79" customHeight="1" spans="1:37">
      <c r="A79" s="61"/>
      <c r="B79" s="109"/>
      <c r="C79" s="106"/>
      <c r="D79" s="106"/>
      <c r="E79" s="106"/>
      <c r="F79" s="20">
        <f t="array" ref="F79">_xlfn.XLOOKUP(A79,'WK 47'!A:A,'WK 47'!F:F,"")</f>
        <v>0</v>
      </c>
      <c r="G79" s="106"/>
      <c r="H79" s="106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</row>
    <row r="80" customHeight="1" spans="1:37">
      <c r="A80" s="61"/>
      <c r="B80" s="109"/>
      <c r="C80" s="106"/>
      <c r="D80" s="106"/>
      <c r="E80" s="106"/>
      <c r="F80" s="20">
        <f t="array" ref="F80">_xlfn.XLOOKUP(A80,'WK 47'!A:A,'WK 47'!F:F,"")</f>
        <v>0</v>
      </c>
      <c r="G80" s="106"/>
      <c r="H80" s="106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</row>
    <row r="81" customHeight="1" spans="1:37">
      <c r="A81" s="61"/>
      <c r="B81" s="109"/>
      <c r="C81" s="106"/>
      <c r="D81" s="106"/>
      <c r="E81" s="106"/>
      <c r="F81" s="20">
        <f t="array" ref="F81">_xlfn.XLOOKUP(A81,'WK 47'!A:A,'WK 47'!F:F,"")</f>
        <v>0</v>
      </c>
      <c r="G81" s="106"/>
      <c r="H81" s="106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</row>
    <row r="82" customHeight="1" spans="1:37">
      <c r="A82" s="61"/>
      <c r="B82" s="109"/>
      <c r="C82" s="106"/>
      <c r="D82" s="106"/>
      <c r="E82" s="106"/>
      <c r="F82" s="20">
        <f t="array" ref="F82">_xlfn.XLOOKUP(A82,'WK 47'!A:A,'WK 47'!F:F,"")</f>
        <v>0</v>
      </c>
      <c r="G82" s="106"/>
      <c r="H82" s="106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</row>
    <row r="83" customHeight="1" spans="1:37">
      <c r="A83" s="61"/>
      <c r="B83" s="109"/>
      <c r="C83" s="106"/>
      <c r="D83" s="106"/>
      <c r="E83" s="106"/>
      <c r="F83" s="20">
        <f t="array" ref="F83">_xlfn.XLOOKUP(A83,'WK 47'!A:A,'WK 47'!F:F,"")</f>
        <v>0</v>
      </c>
      <c r="G83" s="106"/>
      <c r="H83" s="106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</row>
    <row r="84" customHeight="1" spans="1:37">
      <c r="A84" s="61"/>
      <c r="B84" s="109"/>
      <c r="C84" s="106"/>
      <c r="D84" s="106"/>
      <c r="E84" s="106"/>
      <c r="F84" s="20">
        <f t="array" ref="F84">_xlfn.XLOOKUP(A84,'WK 47'!A:A,'WK 47'!F:F,"")</f>
        <v>0</v>
      </c>
      <c r="G84" s="106"/>
      <c r="H84" s="106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</row>
    <row r="85" customHeight="1" spans="1:37">
      <c r="A85" s="61"/>
      <c r="B85" s="109"/>
      <c r="C85" s="106"/>
      <c r="D85" s="106"/>
      <c r="E85" s="106"/>
      <c r="F85" s="20">
        <f t="array" ref="F85">_xlfn.XLOOKUP(A85,'WK 47'!A:A,'WK 47'!F:F,"")</f>
        <v>0</v>
      </c>
      <c r="G85" s="106"/>
      <c r="H85" s="106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</row>
    <row r="86" customHeight="1" spans="1:37">
      <c r="A86" s="61"/>
      <c r="B86" s="109"/>
      <c r="C86" s="106"/>
      <c r="D86" s="106"/>
      <c r="E86" s="106"/>
      <c r="F86" s="20">
        <f t="array" ref="F86">_xlfn.XLOOKUP(A86,'WK 47'!A:A,'WK 47'!F:F,"")</f>
        <v>0</v>
      </c>
      <c r="G86" s="106"/>
      <c r="H86" s="106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</row>
    <row r="87" customHeight="1" spans="1:37">
      <c r="A87" s="61"/>
      <c r="B87" s="109"/>
      <c r="C87" s="106"/>
      <c r="D87" s="106"/>
      <c r="E87" s="106"/>
      <c r="F87" s="20">
        <f t="array" ref="F87">_xlfn.XLOOKUP(A87,'WK 47'!A:A,'WK 47'!F:F,"")</f>
        <v>0</v>
      </c>
      <c r="G87" s="106"/>
      <c r="H87" s="106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</row>
    <row r="88" customHeight="1" spans="1:37">
      <c r="A88" s="61"/>
      <c r="B88" s="109"/>
      <c r="C88" s="106"/>
      <c r="D88" s="106"/>
      <c r="E88" s="106"/>
      <c r="F88" s="20">
        <f t="array" ref="F88">_xlfn.XLOOKUP(A88,'WK 47'!A:A,'WK 47'!F:F,"")</f>
        <v>0</v>
      </c>
      <c r="G88" s="106"/>
      <c r="H88" s="106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</row>
    <row r="89" customHeight="1" spans="1:37">
      <c r="A89" s="61"/>
      <c r="B89" s="109"/>
      <c r="C89" s="106"/>
      <c r="D89" s="106"/>
      <c r="E89" s="106"/>
      <c r="F89" s="20">
        <f t="array" ref="F89">_xlfn.XLOOKUP(A89,'WK 47'!A:A,'WK 47'!F:F,"")</f>
        <v>0</v>
      </c>
      <c r="G89" s="106"/>
      <c r="H89" s="106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</row>
    <row r="90" customHeight="1" spans="1:37">
      <c r="A90" s="61"/>
      <c r="B90" s="109"/>
      <c r="C90" s="106"/>
      <c r="D90" s="106"/>
      <c r="E90" s="106"/>
      <c r="F90" s="20">
        <f t="array" ref="F90">_xlfn.XLOOKUP(A90,'WK 47'!A:A,'WK 47'!F:F,"")</f>
        <v>0</v>
      </c>
      <c r="G90" s="106"/>
      <c r="H90" s="106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</row>
    <row r="91" customHeight="1" spans="1:37">
      <c r="A91" s="61"/>
      <c r="B91" s="109"/>
      <c r="C91" s="106"/>
      <c r="D91" s="106"/>
      <c r="E91" s="106"/>
      <c r="F91" s="20">
        <f t="array" ref="F91">_xlfn.XLOOKUP(A91,'WK 47'!A:A,'WK 47'!F:F,"")</f>
        <v>0</v>
      </c>
      <c r="G91" s="106"/>
      <c r="H91" s="106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</row>
    <row r="92" customHeight="1" spans="1:37">
      <c r="A92" s="61"/>
      <c r="B92" s="109"/>
      <c r="C92" s="106"/>
      <c r="D92" s="106"/>
      <c r="E92" s="106"/>
      <c r="F92" s="20">
        <f t="array" ref="F92">_xlfn.XLOOKUP(A92,'WK 47'!A:A,'WK 47'!F:F,"")</f>
        <v>0</v>
      </c>
      <c r="G92" s="106"/>
      <c r="H92" s="106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</row>
    <row r="93" customHeight="1" spans="1:37">
      <c r="A93" s="61"/>
      <c r="B93" s="109"/>
      <c r="C93" s="106"/>
      <c r="D93" s="106"/>
      <c r="E93" s="106"/>
      <c r="F93" s="20">
        <f t="array" ref="F93">_xlfn.XLOOKUP(A93,'WK 47'!A:A,'WK 47'!F:F,"")</f>
        <v>0</v>
      </c>
      <c r="G93" s="106"/>
      <c r="H93" s="106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</row>
    <row r="94" customHeight="1" spans="1:37">
      <c r="A94" s="61"/>
      <c r="B94" s="109"/>
      <c r="C94" s="106"/>
      <c r="D94" s="106"/>
      <c r="E94" s="106"/>
      <c r="F94" s="20">
        <f t="array" ref="F94">_xlfn.XLOOKUP(A94,'WK 47'!A:A,'WK 47'!F:F,"")</f>
        <v>0</v>
      </c>
      <c r="G94" s="106"/>
      <c r="H94" s="106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</row>
    <row r="95" customHeight="1" spans="1:37">
      <c r="A95" s="61"/>
      <c r="B95" s="109"/>
      <c r="C95" s="106"/>
      <c r="D95" s="106"/>
      <c r="E95" s="106"/>
      <c r="F95" s="20">
        <f t="array" ref="F95">_xlfn.XLOOKUP(A95,'WK 47'!A:A,'WK 47'!F:F,"")</f>
        <v>0</v>
      </c>
      <c r="G95" s="106"/>
      <c r="H95" s="106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</row>
    <row r="96" customHeight="1" spans="1:37">
      <c r="A96" s="61"/>
      <c r="B96" s="109"/>
      <c r="C96" s="106"/>
      <c r="D96" s="106"/>
      <c r="E96" s="106"/>
      <c r="F96" s="20">
        <f t="array" ref="F96">_xlfn.XLOOKUP(A96,'WK 47'!A:A,'WK 47'!F:F,"")</f>
        <v>0</v>
      </c>
      <c r="G96" s="106"/>
      <c r="H96" s="106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</row>
    <row r="97" customHeight="1" spans="1:37">
      <c r="A97" s="61"/>
      <c r="B97" s="109"/>
      <c r="C97" s="106"/>
      <c r="D97" s="106"/>
      <c r="E97" s="106"/>
      <c r="F97" s="20">
        <f t="array" ref="F97">_xlfn.XLOOKUP(A97,'WK 47'!A:A,'WK 47'!F:F,"")</f>
        <v>0</v>
      </c>
      <c r="G97" s="106"/>
      <c r="H97" s="106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</row>
    <row r="98" customHeight="1" spans="1:37">
      <c r="A98" s="61"/>
      <c r="B98" s="109"/>
      <c r="C98" s="106"/>
      <c r="D98" s="106"/>
      <c r="E98" s="106"/>
      <c r="F98" s="20">
        <f t="array" ref="F98">_xlfn.XLOOKUP(A98,'WK 47'!A:A,'WK 47'!F:F,"")</f>
        <v>0</v>
      </c>
      <c r="G98" s="106"/>
      <c r="H98" s="106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</row>
    <row r="99" customHeight="1" spans="1:37">
      <c r="A99" s="61"/>
      <c r="B99" s="109"/>
      <c r="C99" s="106"/>
      <c r="D99" s="106"/>
      <c r="E99" s="106"/>
      <c r="F99" s="20">
        <f t="array" ref="F99">_xlfn.XLOOKUP(A99,'WK 47'!A:A,'WK 47'!F:F,"")</f>
        <v>0</v>
      </c>
      <c r="G99" s="106"/>
      <c r="H99" s="106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</row>
    <row r="100" customHeight="1" spans="1:37">
      <c r="A100" s="61"/>
      <c r="B100" s="109"/>
      <c r="C100" s="106"/>
      <c r="D100" s="106"/>
      <c r="E100" s="106"/>
      <c r="F100" s="20">
        <f t="array" ref="F100">_xlfn.XLOOKUP(A100,'WK 47'!A:A,'WK 47'!F:F,"")</f>
        <v>0</v>
      </c>
      <c r="G100" s="106"/>
      <c r="H100" s="106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</row>
    <row r="101" customHeight="1" spans="1:37">
      <c r="A101" s="61"/>
      <c r="B101" s="109"/>
      <c r="C101" s="106"/>
      <c r="D101" s="106"/>
      <c r="E101" s="106"/>
      <c r="F101" s="20">
        <f t="array" ref="F101">_xlfn.XLOOKUP(A101,'WK 47'!A:A,'WK 47'!F:F,"")</f>
        <v>0</v>
      </c>
      <c r="G101" s="106"/>
      <c r="H101" s="106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</row>
    <row r="102" customHeight="1" spans="1:37">
      <c r="A102" s="61"/>
      <c r="B102" s="109"/>
      <c r="C102" s="106"/>
      <c r="D102" s="106"/>
      <c r="E102" s="106"/>
      <c r="F102" s="20">
        <f t="array" ref="F102">_xlfn.XLOOKUP(A102,'WK 47'!A:A,'WK 47'!F:F,"")</f>
        <v>0</v>
      </c>
      <c r="G102" s="106"/>
      <c r="H102" s="106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</row>
    <row r="103" customHeight="1" spans="1:37">
      <c r="A103" s="61"/>
      <c r="B103" s="109"/>
      <c r="C103" s="106"/>
      <c r="D103" s="106"/>
      <c r="E103" s="106"/>
      <c r="F103" s="20">
        <f t="array" ref="F103">_xlfn.XLOOKUP(A103,'WK 47'!A:A,'WK 47'!F:F,"")</f>
        <v>0</v>
      </c>
      <c r="G103" s="106"/>
      <c r="H103" s="106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</row>
    <row r="104" customHeight="1" spans="1:37">
      <c r="A104" s="61"/>
      <c r="B104" s="109"/>
      <c r="C104" s="106"/>
      <c r="D104" s="106"/>
      <c r="E104" s="106"/>
      <c r="F104" s="20">
        <f t="array" ref="F104">_xlfn.XLOOKUP(A104,'WK 47'!A:A,'WK 47'!F:F,"")</f>
        <v>0</v>
      </c>
      <c r="G104" s="106"/>
      <c r="H104" s="106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</row>
    <row r="105" customHeight="1" spans="1:37">
      <c r="A105" s="61"/>
      <c r="B105" s="109"/>
      <c r="C105" s="106"/>
      <c r="D105" s="106"/>
      <c r="E105" s="106"/>
      <c r="F105" s="20">
        <f t="array" ref="F105">_xlfn.XLOOKUP(A105,'WK 47'!A:A,'WK 47'!F:F,"")</f>
        <v>0</v>
      </c>
      <c r="G105" s="106"/>
      <c r="H105" s="106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</row>
    <row r="106" customHeight="1" spans="1:37">
      <c r="A106" s="61"/>
      <c r="B106" s="109"/>
      <c r="C106" s="106"/>
      <c r="D106" s="106"/>
      <c r="E106" s="106"/>
      <c r="F106" s="20">
        <f t="array" ref="F106">_xlfn.XLOOKUP(A106,'WK 47'!A:A,'WK 47'!F:F,"")</f>
        <v>0</v>
      </c>
      <c r="G106" s="106"/>
      <c r="H106" s="106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</row>
    <row r="107" customHeight="1" spans="1:37">
      <c r="A107" s="61"/>
      <c r="B107" s="109"/>
      <c r="C107" s="106"/>
      <c r="D107" s="106"/>
      <c r="E107" s="106"/>
      <c r="F107" s="20">
        <f t="array" ref="F107">_xlfn.XLOOKUP(A107,'WK 47'!A:A,'WK 47'!F:F,"")</f>
        <v>0</v>
      </c>
      <c r="G107" s="106"/>
      <c r="H107" s="106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</row>
    <row r="108" customHeight="1" spans="1:37">
      <c r="A108" s="61"/>
      <c r="B108" s="109"/>
      <c r="C108" s="106"/>
      <c r="D108" s="106"/>
      <c r="E108" s="106"/>
      <c r="F108" s="20">
        <f t="array" ref="F108">_xlfn.XLOOKUP(A108,'WK 47'!A:A,'WK 47'!F:F,"")</f>
        <v>0</v>
      </c>
      <c r="G108" s="106"/>
      <c r="H108" s="106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</row>
    <row r="109" customHeight="1" spans="1:37">
      <c r="A109" s="61"/>
      <c r="B109" s="109"/>
      <c r="C109" s="106"/>
      <c r="D109" s="106"/>
      <c r="E109" s="106"/>
      <c r="F109" s="20">
        <f t="array" ref="F109">_xlfn.XLOOKUP(A109,'WK 47'!A:A,'WK 47'!F:F,"")</f>
        <v>0</v>
      </c>
      <c r="G109" s="106"/>
      <c r="H109" s="106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</row>
    <row r="110" customHeight="1" spans="1:37">
      <c r="A110" s="61"/>
      <c r="B110" s="109"/>
      <c r="C110" s="106"/>
      <c r="D110" s="106"/>
      <c r="E110" s="106"/>
      <c r="F110" s="20">
        <f t="array" ref="F110">_xlfn.XLOOKUP(A110,'WK 47'!A:A,'WK 47'!F:F,"")</f>
        <v>0</v>
      </c>
      <c r="G110" s="106"/>
      <c r="H110" s="106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</row>
    <row r="111" customHeight="1" spans="1:37">
      <c r="A111" s="61"/>
      <c r="B111" s="109"/>
      <c r="C111" s="106"/>
      <c r="D111" s="106"/>
      <c r="E111" s="106"/>
      <c r="F111" s="20">
        <f t="array" ref="F111">_xlfn.XLOOKUP(A111,'WK 47'!A:A,'WK 47'!F:F,"")</f>
        <v>0</v>
      </c>
      <c r="G111" s="106"/>
      <c r="H111" s="106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</row>
    <row r="112" customHeight="1" spans="1:37">
      <c r="A112" s="61"/>
      <c r="B112" s="109"/>
      <c r="C112" s="106"/>
      <c r="D112" s="106"/>
      <c r="E112" s="106"/>
      <c r="F112" s="20">
        <f t="array" ref="F112">_xlfn.XLOOKUP(A112,'WK 47'!A:A,'WK 47'!F:F,"")</f>
        <v>0</v>
      </c>
      <c r="G112" s="106"/>
      <c r="H112" s="106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</row>
    <row r="113" customHeight="1" spans="1:37">
      <c r="A113" s="61"/>
      <c r="B113" s="109"/>
      <c r="C113" s="106"/>
      <c r="D113" s="106"/>
      <c r="E113" s="106"/>
      <c r="F113" s="20">
        <f t="array" ref="F113">_xlfn.XLOOKUP(A113,'WK 47'!A:A,'WK 47'!F:F,"")</f>
        <v>0</v>
      </c>
      <c r="G113" s="106"/>
      <c r="H113" s="106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</row>
    <row r="114" customHeight="1" spans="1:37">
      <c r="A114" s="61"/>
      <c r="B114" s="109"/>
      <c r="C114" s="106"/>
      <c r="D114" s="106"/>
      <c r="E114" s="106"/>
      <c r="F114" s="20">
        <f t="array" ref="F114">_xlfn.XLOOKUP(A114,'WK 47'!A:A,'WK 47'!F:F,"")</f>
        <v>0</v>
      </c>
      <c r="G114" s="106"/>
      <c r="H114" s="106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</row>
    <row r="115" customHeight="1" spans="1:37">
      <c r="A115" s="61"/>
      <c r="B115" s="109"/>
      <c r="C115" s="106"/>
      <c r="D115" s="106"/>
      <c r="E115" s="106"/>
      <c r="F115" s="20">
        <f t="array" ref="F115">_xlfn.XLOOKUP(A115,'WK 47'!A:A,'WK 47'!F:F,"")</f>
        <v>0</v>
      </c>
      <c r="G115" s="106"/>
      <c r="H115" s="106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</row>
    <row r="116" customHeight="1" spans="1:37">
      <c r="A116" s="61"/>
      <c r="B116" s="109"/>
      <c r="C116" s="106"/>
      <c r="D116" s="106"/>
      <c r="E116" s="106"/>
      <c r="F116" s="20">
        <f t="array" ref="F116">_xlfn.XLOOKUP(A116,'WK 47'!A:A,'WK 47'!F:F,"")</f>
        <v>0</v>
      </c>
      <c r="G116" s="106"/>
      <c r="H116" s="106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</row>
    <row r="117" customHeight="1" spans="1:37">
      <c r="A117" s="61"/>
      <c r="B117" s="109"/>
      <c r="C117" s="106"/>
      <c r="D117" s="106"/>
      <c r="E117" s="106"/>
      <c r="F117" s="20">
        <f t="array" ref="F117">_xlfn.XLOOKUP(A117,'WK 47'!A:A,'WK 47'!F:F,"")</f>
        <v>0</v>
      </c>
      <c r="G117" s="106"/>
      <c r="H117" s="106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</row>
    <row r="118" customHeight="1" spans="1:37">
      <c r="A118" s="61"/>
      <c r="B118" s="109"/>
      <c r="C118" s="106"/>
      <c r="D118" s="106"/>
      <c r="E118" s="106"/>
      <c r="F118" s="20">
        <f t="array" ref="F118">_xlfn.XLOOKUP(A118,'WK 47'!A:A,'WK 47'!F:F,"")</f>
        <v>0</v>
      </c>
      <c r="G118" s="106"/>
      <c r="H118" s="106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</row>
    <row r="119" customHeight="1" spans="1:37">
      <c r="A119" s="61"/>
      <c r="B119" s="109"/>
      <c r="C119" s="106"/>
      <c r="D119" s="106"/>
      <c r="E119" s="106"/>
      <c r="F119" s="20">
        <f t="array" ref="F119">_xlfn.XLOOKUP(A119,'WK 47'!A:A,'WK 47'!F:F,"")</f>
        <v>0</v>
      </c>
      <c r="G119" s="106"/>
      <c r="H119" s="106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</row>
    <row r="120" customHeight="1" spans="1:37">
      <c r="A120" s="61"/>
      <c r="B120" s="109"/>
      <c r="C120" s="106"/>
      <c r="D120" s="106"/>
      <c r="E120" s="106"/>
      <c r="F120" s="20">
        <f t="array" ref="F120">_xlfn.XLOOKUP(A120,'WK 47'!A:A,'WK 47'!F:F,"")</f>
        <v>0</v>
      </c>
      <c r="G120" s="106"/>
      <c r="H120" s="106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</row>
    <row r="121" customHeight="1" spans="1:37">
      <c r="A121" s="61"/>
      <c r="B121" s="109"/>
      <c r="C121" s="106"/>
      <c r="D121" s="106"/>
      <c r="E121" s="106"/>
      <c r="F121" s="20">
        <f t="array" ref="F121">_xlfn.XLOOKUP(A121,'WK 47'!A:A,'WK 47'!F:F,"")</f>
        <v>0</v>
      </c>
      <c r="G121" s="106"/>
      <c r="H121" s="106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</row>
    <row r="122" customHeight="1" spans="1:37">
      <c r="A122" s="61"/>
      <c r="B122" s="109"/>
      <c r="C122" s="106"/>
      <c r="D122" s="106"/>
      <c r="E122" s="106"/>
      <c r="F122" s="20">
        <f t="array" ref="F122">_xlfn.XLOOKUP(A122,'WK 47'!A:A,'WK 47'!F:F,"")</f>
        <v>0</v>
      </c>
      <c r="G122" s="106"/>
      <c r="H122" s="106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</row>
    <row r="123" customHeight="1" spans="1:37">
      <c r="A123" s="61"/>
      <c r="B123" s="109"/>
      <c r="C123" s="106"/>
      <c r="D123" s="106"/>
      <c r="E123" s="106"/>
      <c r="F123" s="20">
        <f t="array" ref="F123">_xlfn.XLOOKUP(A123,'WK 47'!A:A,'WK 47'!F:F,"")</f>
        <v>0</v>
      </c>
      <c r="G123" s="106"/>
      <c r="H123" s="106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</row>
    <row r="124" customHeight="1" spans="1:37">
      <c r="A124" s="61"/>
      <c r="B124" s="109"/>
      <c r="C124" s="106"/>
      <c r="D124" s="106"/>
      <c r="E124" s="106"/>
      <c r="F124" s="20">
        <f t="array" ref="F124">_xlfn.XLOOKUP(A124,'WK 47'!A:A,'WK 47'!F:F,"")</f>
        <v>0</v>
      </c>
      <c r="G124" s="106"/>
      <c r="H124" s="106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</row>
    <row r="125" customHeight="1" spans="1:37">
      <c r="A125" s="61"/>
      <c r="B125" s="109"/>
      <c r="C125" s="106"/>
      <c r="D125" s="106"/>
      <c r="E125" s="106"/>
      <c r="F125" s="20">
        <f t="array" ref="F125">_xlfn.XLOOKUP(A125,'WK 47'!A:A,'WK 47'!F:F,"")</f>
        <v>0</v>
      </c>
      <c r="G125" s="106"/>
      <c r="H125" s="106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</row>
    <row r="126" customHeight="1" spans="1:37">
      <c r="A126" s="61"/>
      <c r="B126" s="109"/>
      <c r="C126" s="106"/>
      <c r="D126" s="106"/>
      <c r="E126" s="106"/>
      <c r="F126" s="20">
        <f t="array" ref="F126">_xlfn.XLOOKUP(A126,'WK 47'!A:A,'WK 47'!F:F,"")</f>
        <v>0</v>
      </c>
      <c r="G126" s="106"/>
      <c r="H126" s="106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</row>
    <row r="127" customHeight="1" spans="1:37">
      <c r="A127" s="61"/>
      <c r="B127" s="109"/>
      <c r="C127" s="106"/>
      <c r="D127" s="106"/>
      <c r="E127" s="106"/>
      <c r="F127" s="20">
        <f t="array" ref="F127">_xlfn.XLOOKUP(A127,'WK 47'!A:A,'WK 47'!F:F,"")</f>
        <v>0</v>
      </c>
      <c r="G127" s="106"/>
      <c r="H127" s="106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</row>
    <row r="128" customHeight="1" spans="1:37">
      <c r="A128" s="61"/>
      <c r="B128" s="109"/>
      <c r="C128" s="106"/>
      <c r="D128" s="106"/>
      <c r="E128" s="106"/>
      <c r="F128" s="20">
        <f t="array" ref="F128">_xlfn.XLOOKUP(A128,'WK 47'!A:A,'WK 47'!F:F,"")</f>
        <v>0</v>
      </c>
      <c r="G128" s="106"/>
      <c r="H128" s="106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</row>
    <row r="129" customHeight="1" spans="1:37">
      <c r="A129" s="61"/>
      <c r="B129" s="109"/>
      <c r="C129" s="106"/>
      <c r="D129" s="106"/>
      <c r="E129" s="106"/>
      <c r="F129" s="20">
        <f t="array" ref="F129">_xlfn.XLOOKUP(A129,'WK 47'!A:A,'WK 47'!F:F,"")</f>
        <v>0</v>
      </c>
      <c r="G129" s="106"/>
      <c r="H129" s="106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</row>
    <row r="130" customHeight="1" spans="1:37">
      <c r="A130" s="61"/>
      <c r="B130" s="109"/>
      <c r="C130" s="106"/>
      <c r="D130" s="106"/>
      <c r="E130" s="106"/>
      <c r="F130" s="20">
        <f t="array" ref="F130">_xlfn.XLOOKUP(A130,'WK 47'!A:A,'WK 47'!F:F,"")</f>
        <v>0</v>
      </c>
      <c r="G130" s="106"/>
      <c r="H130" s="106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</row>
    <row r="131" customHeight="1" spans="1:37">
      <c r="A131" s="61"/>
      <c r="B131" s="109"/>
      <c r="C131" s="106"/>
      <c r="D131" s="106"/>
      <c r="E131" s="106"/>
      <c r="F131" s="20">
        <f t="array" ref="F131">_xlfn.XLOOKUP(A131,'WK 47'!A:A,'WK 47'!F:F,"")</f>
        <v>0</v>
      </c>
      <c r="G131" s="106"/>
      <c r="H131" s="106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</row>
    <row r="132" customHeight="1" spans="1:37">
      <c r="A132" s="61"/>
      <c r="B132" s="109"/>
      <c r="C132" s="106"/>
      <c r="D132" s="106"/>
      <c r="E132" s="106"/>
      <c r="F132" s="20">
        <f t="array" ref="F132">_xlfn.XLOOKUP(A132,'WK 47'!A:A,'WK 47'!F:F,"")</f>
        <v>0</v>
      </c>
      <c r="G132" s="106"/>
      <c r="H132" s="106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</row>
    <row r="133" customHeight="1" spans="1:37">
      <c r="A133" s="61"/>
      <c r="B133" s="109"/>
      <c r="C133" s="106"/>
      <c r="D133" s="106"/>
      <c r="E133" s="106"/>
      <c r="F133" s="20">
        <f t="array" ref="F133">_xlfn.XLOOKUP(A133,'WK 47'!A:A,'WK 47'!F:F,"")</f>
        <v>0</v>
      </c>
      <c r="G133" s="106"/>
      <c r="H133" s="106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</row>
    <row r="134" customHeight="1" spans="1:37">
      <c r="A134" s="61"/>
      <c r="B134" s="109"/>
      <c r="C134" s="106"/>
      <c r="D134" s="106"/>
      <c r="E134" s="106"/>
      <c r="F134" s="20">
        <f t="array" ref="F134">_xlfn.XLOOKUP(A134,'WK 47'!A:A,'WK 47'!F:F,"")</f>
        <v>0</v>
      </c>
      <c r="G134" s="106"/>
      <c r="H134" s="106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</row>
    <row r="135" customHeight="1" spans="1:37">
      <c r="A135" s="61"/>
      <c r="B135" s="109"/>
      <c r="C135" s="106"/>
      <c r="D135" s="106"/>
      <c r="E135" s="106"/>
      <c r="F135" s="20">
        <f t="array" ref="F135">_xlfn.XLOOKUP(A135,'WK 47'!A:A,'WK 47'!F:F,"")</f>
        <v>0</v>
      </c>
      <c r="G135" s="106"/>
      <c r="H135" s="106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</row>
    <row r="136" customHeight="1" spans="1:37">
      <c r="A136" s="61"/>
      <c r="B136" s="109"/>
      <c r="C136" s="106"/>
      <c r="D136" s="106"/>
      <c r="E136" s="106"/>
      <c r="F136" s="20">
        <f t="array" ref="F136">_xlfn.XLOOKUP(A136,'WK 47'!A:A,'WK 47'!F:F,"")</f>
        <v>0</v>
      </c>
      <c r="G136" s="106"/>
      <c r="H136" s="106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</row>
    <row r="137" customHeight="1" spans="1:37">
      <c r="A137" s="61"/>
      <c r="B137" s="109"/>
      <c r="C137" s="106"/>
      <c r="D137" s="106"/>
      <c r="E137" s="106"/>
      <c r="F137" s="20">
        <f t="array" ref="F137">_xlfn.XLOOKUP(A137,'WK 47'!A:A,'WK 47'!F:F,"")</f>
        <v>0</v>
      </c>
      <c r="G137" s="106"/>
      <c r="H137" s="106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</row>
    <row r="138" customHeight="1" spans="1:37">
      <c r="A138" s="61"/>
      <c r="B138" s="109"/>
      <c r="C138" s="106"/>
      <c r="D138" s="106"/>
      <c r="E138" s="106"/>
      <c r="F138" s="20">
        <f t="array" ref="F138">_xlfn.XLOOKUP(A138,'WK 47'!A:A,'WK 47'!F:F,"")</f>
        <v>0</v>
      </c>
      <c r="G138" s="106"/>
      <c r="H138" s="106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</row>
    <row r="139" customHeight="1" spans="1:37">
      <c r="A139" s="61"/>
      <c r="B139" s="109"/>
      <c r="C139" s="106"/>
      <c r="D139" s="106"/>
      <c r="E139" s="106"/>
      <c r="F139" s="20">
        <f t="array" ref="F139">_xlfn.XLOOKUP(A139,'WK 47'!A:A,'WK 47'!F:F,"")</f>
        <v>0</v>
      </c>
      <c r="G139" s="106"/>
      <c r="H139" s="106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</row>
    <row r="140" customHeight="1" spans="1:37">
      <c r="A140" s="61"/>
      <c r="B140" s="109"/>
      <c r="C140" s="106"/>
      <c r="D140" s="106"/>
      <c r="E140" s="106"/>
      <c r="F140" s="20">
        <f t="array" ref="F140">_xlfn.XLOOKUP(A140,'WK 47'!A:A,'WK 47'!F:F,"")</f>
        <v>0</v>
      </c>
      <c r="G140" s="106"/>
      <c r="H140" s="106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</row>
    <row r="141" customHeight="1" spans="1:37">
      <c r="A141" s="61"/>
      <c r="B141" s="109"/>
      <c r="C141" s="106"/>
      <c r="D141" s="106"/>
      <c r="E141" s="106"/>
      <c r="F141" s="20">
        <f t="array" ref="F141">_xlfn.XLOOKUP(A141,'WK 47'!A:A,'WK 47'!F:F,"")</f>
        <v>0</v>
      </c>
      <c r="G141" s="106"/>
      <c r="H141" s="106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</row>
    <row r="142" customHeight="1" spans="1:37">
      <c r="A142" s="61"/>
      <c r="B142" s="109"/>
      <c r="C142" s="106"/>
      <c r="D142" s="106"/>
      <c r="E142" s="106"/>
      <c r="F142" s="20">
        <f t="array" ref="F142">_xlfn.XLOOKUP(A142,'WK 47'!A:A,'WK 47'!F:F,"")</f>
        <v>0</v>
      </c>
      <c r="G142" s="106"/>
      <c r="H142" s="106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</row>
    <row r="143" customHeight="1" spans="1:37">
      <c r="A143" s="61"/>
      <c r="B143" s="109"/>
      <c r="C143" s="106"/>
      <c r="D143" s="106"/>
      <c r="E143" s="106"/>
      <c r="F143" s="20">
        <f t="array" ref="F143">_xlfn.XLOOKUP(A143,'WK 47'!A:A,'WK 47'!F:F,"")</f>
        <v>0</v>
      </c>
      <c r="G143" s="106"/>
      <c r="H143" s="106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</row>
    <row r="144" customHeight="1" spans="1:37">
      <c r="A144" s="61"/>
      <c r="B144" s="109"/>
      <c r="C144" s="106"/>
      <c r="D144" s="106"/>
      <c r="E144" s="106"/>
      <c r="F144" s="20">
        <f t="array" ref="F144">_xlfn.XLOOKUP(A144,'WK 47'!A:A,'WK 47'!F:F,"")</f>
        <v>0</v>
      </c>
      <c r="G144" s="106"/>
      <c r="H144" s="106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</row>
    <row r="145" customHeight="1" spans="1:37">
      <c r="A145" s="61"/>
      <c r="B145" s="109"/>
      <c r="C145" s="106"/>
      <c r="D145" s="106"/>
      <c r="E145" s="106"/>
      <c r="F145" s="20">
        <f t="array" ref="F145">_xlfn.XLOOKUP(A145,'WK 47'!A:A,'WK 47'!F:F,"")</f>
        <v>0</v>
      </c>
      <c r="G145" s="106"/>
      <c r="H145" s="106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</row>
    <row r="146" customHeight="1" spans="1:37">
      <c r="A146" s="61"/>
      <c r="B146" s="109"/>
      <c r="C146" s="106"/>
      <c r="D146" s="106"/>
      <c r="E146" s="106"/>
      <c r="F146" s="20">
        <f t="array" ref="F146">_xlfn.XLOOKUP(A146,'WK 47'!A:A,'WK 47'!F:F,"")</f>
        <v>0</v>
      </c>
      <c r="G146" s="106"/>
      <c r="H146" s="106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</row>
    <row r="147" customHeight="1" spans="1:37">
      <c r="A147" s="61"/>
      <c r="B147" s="109"/>
      <c r="C147" s="106"/>
      <c r="D147" s="106"/>
      <c r="E147" s="106"/>
      <c r="F147" s="20">
        <f t="array" ref="F147">_xlfn.XLOOKUP(A147,'WK 47'!A:A,'WK 47'!F:F,"")</f>
        <v>0</v>
      </c>
      <c r="G147" s="106"/>
      <c r="H147" s="106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</row>
    <row r="148" customHeight="1" spans="1:37">
      <c r="A148" s="61"/>
      <c r="B148" s="109"/>
      <c r="C148" s="106"/>
      <c r="D148" s="106"/>
      <c r="E148" s="106"/>
      <c r="F148" s="20">
        <f t="array" ref="F148">_xlfn.XLOOKUP(A148,'WK 47'!A:A,'WK 47'!F:F,"")</f>
        <v>0</v>
      </c>
      <c r="G148" s="106"/>
      <c r="H148" s="106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</row>
    <row r="149" customHeight="1" spans="1:37">
      <c r="A149" s="61"/>
      <c r="B149" s="109"/>
      <c r="C149" s="106"/>
      <c r="D149" s="106"/>
      <c r="E149" s="106"/>
      <c r="F149" s="20">
        <f t="array" ref="F149">_xlfn.XLOOKUP(A149,'WK 47'!A:A,'WK 47'!F:F,"")</f>
        <v>0</v>
      </c>
      <c r="G149" s="106"/>
      <c r="H149" s="106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</row>
    <row r="150" customHeight="1" spans="1:37">
      <c r="A150" s="61"/>
      <c r="B150" s="109"/>
      <c r="C150" s="106"/>
      <c r="D150" s="106"/>
      <c r="E150" s="106"/>
      <c r="F150" s="20">
        <f t="array" ref="F150">_xlfn.XLOOKUP(A150,'WK 47'!A:A,'WK 47'!F:F,"")</f>
        <v>0</v>
      </c>
      <c r="G150" s="106"/>
      <c r="H150" s="106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</row>
    <row r="151" customHeight="1" spans="1:37">
      <c r="A151" s="61"/>
      <c r="B151" s="109"/>
      <c r="C151" s="106"/>
      <c r="D151" s="106"/>
      <c r="E151" s="106"/>
      <c r="F151" s="20">
        <f t="array" ref="F151">_xlfn.XLOOKUP(A151,'WK 47'!A:A,'WK 47'!F:F,"")</f>
        <v>0</v>
      </c>
      <c r="G151" s="106"/>
      <c r="H151" s="106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</row>
    <row r="152" customHeight="1" spans="1:37">
      <c r="A152" s="61"/>
      <c r="B152" s="109"/>
      <c r="C152" s="106"/>
      <c r="D152" s="106"/>
      <c r="E152" s="106"/>
      <c r="F152" s="20">
        <f t="array" ref="F152">_xlfn.XLOOKUP(A152,'WK 47'!A:A,'WK 47'!F:F,"")</f>
        <v>0</v>
      </c>
      <c r="G152" s="106"/>
      <c r="H152" s="106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</row>
    <row r="153" customHeight="1" spans="1:37">
      <c r="A153" s="61"/>
      <c r="B153" s="109"/>
      <c r="C153" s="106"/>
      <c r="D153" s="106"/>
      <c r="E153" s="106"/>
      <c r="F153" s="20">
        <f t="array" ref="F153">_xlfn.XLOOKUP(A153,'WK 47'!A:A,'WK 47'!F:F,"")</f>
        <v>0</v>
      </c>
      <c r="G153" s="106"/>
      <c r="H153" s="106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</row>
    <row r="154" customHeight="1" spans="1:37">
      <c r="A154" s="61"/>
      <c r="B154" s="109"/>
      <c r="C154" s="106"/>
      <c r="D154" s="106"/>
      <c r="E154" s="106"/>
      <c r="F154" s="20">
        <f t="array" ref="F154">_xlfn.XLOOKUP(A154,'WK 47'!A:A,'WK 47'!F:F,"")</f>
        <v>0</v>
      </c>
      <c r="G154" s="106"/>
      <c r="H154" s="106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</row>
    <row r="155" customHeight="1" spans="1:37">
      <c r="A155" s="61"/>
      <c r="B155" s="109"/>
      <c r="C155" s="106"/>
      <c r="D155" s="106"/>
      <c r="E155" s="106"/>
      <c r="F155" s="20">
        <f t="array" ref="F155">_xlfn.XLOOKUP(A155,'WK 47'!A:A,'WK 47'!F:F,"")</f>
        <v>0</v>
      </c>
      <c r="G155" s="106"/>
      <c r="H155" s="106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</row>
    <row r="156" customHeight="1" spans="1:37">
      <c r="A156" s="61"/>
      <c r="B156" s="109"/>
      <c r="C156" s="106"/>
      <c r="D156" s="106"/>
      <c r="E156" s="106"/>
      <c r="F156" s="20">
        <f t="array" ref="F156">_xlfn.XLOOKUP(A156,'WK 47'!A:A,'WK 47'!F:F,"")</f>
        <v>0</v>
      </c>
      <c r="G156" s="106"/>
      <c r="H156" s="106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</row>
    <row r="157" customHeight="1" spans="1:37">
      <c r="A157" s="61"/>
      <c r="B157" s="109"/>
      <c r="C157" s="106"/>
      <c r="D157" s="106"/>
      <c r="E157" s="106"/>
      <c r="F157" s="20">
        <f t="array" ref="F157">_xlfn.XLOOKUP(A157,'WK 47'!A:A,'WK 47'!F:F,"")</f>
        <v>0</v>
      </c>
      <c r="G157" s="106"/>
      <c r="H157" s="106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</row>
    <row r="158" customHeight="1" spans="1:37">
      <c r="A158" s="61"/>
      <c r="B158" s="109"/>
      <c r="C158" s="106"/>
      <c r="D158" s="106"/>
      <c r="E158" s="106"/>
      <c r="F158" s="20">
        <f t="array" ref="F158">_xlfn.XLOOKUP(A158,'WK 47'!A:A,'WK 47'!F:F,"")</f>
        <v>0</v>
      </c>
      <c r="G158" s="106"/>
      <c r="H158" s="106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</row>
    <row r="159" customHeight="1" spans="1:37">
      <c r="A159" s="61"/>
      <c r="B159" s="109"/>
      <c r="C159" s="106"/>
      <c r="D159" s="106"/>
      <c r="E159" s="106"/>
      <c r="F159" s="20">
        <f t="array" ref="F159">_xlfn.XLOOKUP(A159,'WK 47'!A:A,'WK 47'!F:F,"")</f>
        <v>0</v>
      </c>
      <c r="G159" s="106"/>
      <c r="H159" s="106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</row>
    <row r="160" customHeight="1" spans="1:37">
      <c r="A160" s="61"/>
      <c r="B160" s="109"/>
      <c r="C160" s="106"/>
      <c r="D160" s="106"/>
      <c r="E160" s="106"/>
      <c r="F160" s="20">
        <f t="array" ref="F160">_xlfn.XLOOKUP(A160,'WK 47'!A:A,'WK 47'!F:F,"")</f>
        <v>0</v>
      </c>
      <c r="G160" s="106"/>
      <c r="H160" s="106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</row>
    <row r="161" customHeight="1" spans="1:37">
      <c r="A161" s="61"/>
      <c r="B161" s="109"/>
      <c r="C161" s="106"/>
      <c r="D161" s="106"/>
      <c r="E161" s="106"/>
      <c r="F161" s="20">
        <f t="array" ref="F161">_xlfn.XLOOKUP(A161,'WK 47'!A:A,'WK 47'!F:F,"")</f>
        <v>0</v>
      </c>
      <c r="G161" s="106"/>
      <c r="H161" s="106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</row>
    <row r="162" customHeight="1" spans="1:37">
      <c r="A162" s="61"/>
      <c r="B162" s="109"/>
      <c r="C162" s="106"/>
      <c r="D162" s="106"/>
      <c r="E162" s="106"/>
      <c r="F162" s="20">
        <f t="array" ref="F162">_xlfn.XLOOKUP(A162,'WK 47'!A:A,'WK 47'!F:F,"")</f>
        <v>0</v>
      </c>
      <c r="G162" s="106"/>
      <c r="H162" s="106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</row>
    <row r="163" customHeight="1" spans="1:37">
      <c r="A163" s="61"/>
      <c r="B163" s="109"/>
      <c r="C163" s="106"/>
      <c r="D163" s="106"/>
      <c r="E163" s="106"/>
      <c r="F163" s="20">
        <f t="array" ref="F163">_xlfn.XLOOKUP(A163,'WK 47'!A:A,'WK 47'!F:F,"")</f>
        <v>0</v>
      </c>
      <c r="G163" s="106"/>
      <c r="H163" s="106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</row>
    <row r="164" customHeight="1" spans="1:37">
      <c r="A164" s="61"/>
      <c r="B164" s="109"/>
      <c r="C164" s="106"/>
      <c r="D164" s="106"/>
      <c r="E164" s="106"/>
      <c r="F164" s="20">
        <f t="array" ref="F164">_xlfn.XLOOKUP(A164,'WK 47'!A:A,'WK 47'!F:F,"")</f>
        <v>0</v>
      </c>
      <c r="G164" s="106"/>
      <c r="H164" s="106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</row>
    <row r="165" customHeight="1" spans="1:37">
      <c r="A165" s="61"/>
      <c r="B165" s="109"/>
      <c r="C165" s="106"/>
      <c r="D165" s="106"/>
      <c r="E165" s="106"/>
      <c r="F165" s="20">
        <f t="array" ref="F165">_xlfn.XLOOKUP(A165,'WK 47'!A:A,'WK 47'!F:F,"")</f>
        <v>0</v>
      </c>
      <c r="G165" s="106"/>
      <c r="H165" s="106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</row>
    <row r="166" customHeight="1" spans="1:37">
      <c r="A166" s="61"/>
      <c r="B166" s="109"/>
      <c r="C166" s="106"/>
      <c r="D166" s="106"/>
      <c r="E166" s="106"/>
      <c r="F166" s="20">
        <f t="array" ref="F166">_xlfn.XLOOKUP(A166,'WK 47'!A:A,'WK 47'!F:F,"")</f>
        <v>0</v>
      </c>
      <c r="G166" s="106"/>
      <c r="H166" s="106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</row>
    <row r="167" customHeight="1" spans="1:37">
      <c r="A167" s="61"/>
      <c r="B167" s="109"/>
      <c r="C167" s="106"/>
      <c r="D167" s="106"/>
      <c r="E167" s="106"/>
      <c r="F167" s="20">
        <f t="array" ref="F167">_xlfn.XLOOKUP(A167,'WK 47'!A:A,'WK 47'!F:F,"")</f>
        <v>0</v>
      </c>
      <c r="G167" s="106"/>
      <c r="H167" s="106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</row>
    <row r="168" customHeight="1" spans="1:37">
      <c r="A168" s="61"/>
      <c r="B168" s="109"/>
      <c r="C168" s="106"/>
      <c r="D168" s="106"/>
      <c r="E168" s="106"/>
      <c r="F168" s="20">
        <f t="array" ref="F168">_xlfn.XLOOKUP(A168,'WK 47'!A:A,'WK 47'!F:F,"")</f>
        <v>0</v>
      </c>
      <c r="G168" s="106"/>
      <c r="H168" s="106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</row>
    <row r="169" customHeight="1" spans="1:37">
      <c r="A169" s="61"/>
      <c r="B169" s="109"/>
      <c r="C169" s="106"/>
      <c r="D169" s="106"/>
      <c r="E169" s="106"/>
      <c r="F169" s="20">
        <f t="array" ref="F169">_xlfn.XLOOKUP(A169,'WK 47'!A:A,'WK 47'!F:F,"")</f>
        <v>0</v>
      </c>
      <c r="G169" s="106"/>
      <c r="H169" s="106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</row>
    <row r="170" customHeight="1" spans="1:37">
      <c r="A170" s="61"/>
      <c r="B170" s="109"/>
      <c r="C170" s="106"/>
      <c r="D170" s="106"/>
      <c r="E170" s="106"/>
      <c r="F170" s="20">
        <f t="array" ref="F170">_xlfn.XLOOKUP(A170,'WK 47'!A:A,'WK 47'!F:F,"")</f>
        <v>0</v>
      </c>
      <c r="G170" s="106"/>
      <c r="H170" s="106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</row>
    <row r="171" customHeight="1" spans="1:37">
      <c r="A171" s="61"/>
      <c r="B171" s="109"/>
      <c r="C171" s="106"/>
      <c r="D171" s="106"/>
      <c r="E171" s="106"/>
      <c r="F171" s="20">
        <f t="array" ref="F171">_xlfn.XLOOKUP(A171,'WK 47'!A:A,'WK 47'!F:F,"")</f>
        <v>0</v>
      </c>
      <c r="G171" s="106"/>
      <c r="H171" s="106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</row>
    <row r="172" customHeight="1" spans="1:37">
      <c r="A172" s="61"/>
      <c r="B172" s="109"/>
      <c r="C172" s="106"/>
      <c r="D172" s="106"/>
      <c r="E172" s="106"/>
      <c r="F172" s="20">
        <f t="array" ref="F172">_xlfn.XLOOKUP(A172,'WK 47'!A:A,'WK 47'!F:F,"")</f>
        <v>0</v>
      </c>
      <c r="G172" s="106"/>
      <c r="H172" s="106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</row>
    <row r="173" customHeight="1" spans="1:37">
      <c r="A173" s="61"/>
      <c r="B173" s="109"/>
      <c r="C173" s="106"/>
      <c r="D173" s="106"/>
      <c r="E173" s="106"/>
      <c r="F173" s="20">
        <f t="array" ref="F173">_xlfn.XLOOKUP(A173,'WK 47'!A:A,'WK 47'!F:F,"")</f>
        <v>0</v>
      </c>
      <c r="G173" s="106"/>
      <c r="H173" s="106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</row>
    <row r="174" customHeight="1" spans="1:37">
      <c r="A174" s="61"/>
      <c r="B174" s="109"/>
      <c r="C174" s="106"/>
      <c r="D174" s="106"/>
      <c r="E174" s="106"/>
      <c r="F174" s="20">
        <f t="array" ref="F174">_xlfn.XLOOKUP(A174,'WK 47'!A:A,'WK 47'!F:F,"")</f>
        <v>0</v>
      </c>
      <c r="G174" s="106"/>
      <c r="H174" s="106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</row>
    <row r="175" customHeight="1" spans="1:37">
      <c r="A175" s="61"/>
      <c r="B175" s="109"/>
      <c r="C175" s="106"/>
      <c r="D175" s="106"/>
      <c r="E175" s="106"/>
      <c r="F175" s="20">
        <f t="array" ref="F175">_xlfn.XLOOKUP(A175,'WK 47'!A:A,'WK 47'!F:F,"")</f>
        <v>0</v>
      </c>
      <c r="G175" s="106"/>
      <c r="H175" s="106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</row>
    <row r="176" customHeight="1" spans="1:37">
      <c r="A176" s="61"/>
      <c r="B176" s="109"/>
      <c r="C176" s="106"/>
      <c r="D176" s="106"/>
      <c r="E176" s="106"/>
      <c r="F176" s="20">
        <f t="array" ref="F176">_xlfn.XLOOKUP(A176,'WK 47'!A:A,'WK 47'!F:F,"")</f>
        <v>0</v>
      </c>
      <c r="G176" s="106"/>
      <c r="H176" s="106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</row>
    <row r="177" customHeight="1" spans="1:37">
      <c r="A177" s="61"/>
      <c r="B177" s="109"/>
      <c r="C177" s="106"/>
      <c r="D177" s="106"/>
      <c r="E177" s="106"/>
      <c r="F177" s="20">
        <f t="array" ref="F177">_xlfn.XLOOKUP(A177,'WK 47'!A:A,'WK 47'!F:F,"")</f>
        <v>0</v>
      </c>
      <c r="G177" s="106"/>
      <c r="H177" s="106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</row>
    <row r="178" customHeight="1" spans="1:37">
      <c r="A178" s="61"/>
      <c r="B178" s="109"/>
      <c r="C178" s="106"/>
      <c r="D178" s="106"/>
      <c r="E178" s="106"/>
      <c r="F178" s="20">
        <f t="array" ref="F178">_xlfn.XLOOKUP(A178,'WK 47'!A:A,'WK 47'!F:F,"")</f>
        <v>0</v>
      </c>
      <c r="G178" s="106"/>
      <c r="H178" s="106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</row>
    <row r="179" customHeight="1" spans="1:37">
      <c r="A179" s="61"/>
      <c r="B179" s="109"/>
      <c r="C179" s="106"/>
      <c r="D179" s="106"/>
      <c r="E179" s="106"/>
      <c r="F179" s="20">
        <f t="array" ref="F179">_xlfn.XLOOKUP(A179,'WK 47'!A:A,'WK 47'!F:F,"")</f>
        <v>0</v>
      </c>
      <c r="G179" s="106"/>
      <c r="H179" s="106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</row>
    <row r="180" customHeight="1" spans="1:37">
      <c r="A180" s="61"/>
      <c r="B180" s="109"/>
      <c r="C180" s="106"/>
      <c r="D180" s="106"/>
      <c r="E180" s="106"/>
      <c r="F180" s="20">
        <f t="array" ref="F180">_xlfn.XLOOKUP(A180,'WK 47'!A:A,'WK 47'!F:F,"")</f>
        <v>0</v>
      </c>
      <c r="G180" s="106"/>
      <c r="H180" s="106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</row>
    <row r="181" customHeight="1" spans="1:37">
      <c r="A181" s="61"/>
      <c r="B181" s="109"/>
      <c r="C181" s="106"/>
      <c r="D181" s="106"/>
      <c r="E181" s="106"/>
      <c r="F181" s="20">
        <f t="array" ref="F181">_xlfn.XLOOKUP(A181,'WK 47'!A:A,'WK 47'!F:F,"")</f>
        <v>0</v>
      </c>
      <c r="G181" s="106"/>
      <c r="H181" s="106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</row>
    <row r="182" customHeight="1" spans="1:37">
      <c r="A182" s="61"/>
      <c r="B182" s="109"/>
      <c r="C182" s="106"/>
      <c r="D182" s="106"/>
      <c r="E182" s="106"/>
      <c r="F182" s="20">
        <f t="array" ref="F182">_xlfn.XLOOKUP(A182,'WK 47'!A:A,'WK 47'!F:F,"")</f>
        <v>0</v>
      </c>
      <c r="G182" s="106"/>
      <c r="H182" s="106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</row>
    <row r="183" customHeight="1" spans="1:37">
      <c r="A183" s="61"/>
      <c r="B183" s="109"/>
      <c r="C183" s="106"/>
      <c r="D183" s="106"/>
      <c r="E183" s="106"/>
      <c r="F183" s="20">
        <f t="array" ref="F183">_xlfn.XLOOKUP(A183,'WK 47'!A:A,'WK 47'!F:F,"")</f>
        <v>0</v>
      </c>
      <c r="G183" s="106"/>
      <c r="H183" s="106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</row>
    <row r="184" customHeight="1" spans="1:37">
      <c r="A184" s="61"/>
      <c r="B184" s="109"/>
      <c r="C184" s="106"/>
      <c r="D184" s="106"/>
      <c r="E184" s="106"/>
      <c r="F184" s="20">
        <f t="array" ref="F184">_xlfn.XLOOKUP(A184,'WK 47'!A:A,'WK 47'!F:F,"")</f>
        <v>0</v>
      </c>
      <c r="G184" s="106"/>
      <c r="H184" s="106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</row>
    <row r="185" customHeight="1" spans="1:37">
      <c r="A185" s="61"/>
      <c r="B185" s="109"/>
      <c r="C185" s="106"/>
      <c r="D185" s="106"/>
      <c r="E185" s="106"/>
      <c r="F185" s="20">
        <f t="array" ref="F185">_xlfn.XLOOKUP(A185,'WK 47'!A:A,'WK 47'!F:F,"")</f>
        <v>0</v>
      </c>
      <c r="G185" s="106"/>
      <c r="H185" s="106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</row>
    <row r="186" customHeight="1" spans="1:37">
      <c r="A186" s="61"/>
      <c r="B186" s="109"/>
      <c r="C186" s="106"/>
      <c r="D186" s="106"/>
      <c r="E186" s="106"/>
      <c r="F186" s="20">
        <f t="array" ref="F186">_xlfn.XLOOKUP(A186,'WK 47'!A:A,'WK 47'!F:F,"")</f>
        <v>0</v>
      </c>
      <c r="G186" s="106"/>
      <c r="H186" s="106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</row>
    <row r="187" customHeight="1" spans="1:37">
      <c r="A187" s="61"/>
      <c r="B187" s="109"/>
      <c r="C187" s="106"/>
      <c r="D187" s="106"/>
      <c r="E187" s="106"/>
      <c r="F187" s="20">
        <f t="array" ref="F187">_xlfn.XLOOKUP(A187,'WK 47'!A:A,'WK 47'!F:F,"")</f>
        <v>0</v>
      </c>
      <c r="G187" s="106"/>
      <c r="H187" s="106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</row>
    <row r="188" customHeight="1" spans="1:37">
      <c r="A188" s="61"/>
      <c r="B188" s="109"/>
      <c r="C188" s="106"/>
      <c r="D188" s="106"/>
      <c r="E188" s="106"/>
      <c r="F188" s="20">
        <f t="array" ref="F188">_xlfn.XLOOKUP(A188,'WK 47'!A:A,'WK 47'!F:F,"")</f>
        <v>0</v>
      </c>
      <c r="G188" s="106"/>
      <c r="H188" s="106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</row>
    <row r="189" customHeight="1" spans="1:37">
      <c r="A189" s="61"/>
      <c r="B189" s="109"/>
      <c r="C189" s="106"/>
      <c r="D189" s="106"/>
      <c r="E189" s="106"/>
      <c r="F189" s="20">
        <f t="array" ref="F189">_xlfn.XLOOKUP(A189,'WK 47'!A:A,'WK 47'!F:F,"")</f>
        <v>0</v>
      </c>
      <c r="G189" s="106"/>
      <c r="H189" s="106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</row>
    <row r="190" customHeight="1" spans="1:37">
      <c r="A190" s="61"/>
      <c r="B190" s="109"/>
      <c r="C190" s="106"/>
      <c r="D190" s="106"/>
      <c r="E190" s="106"/>
      <c r="F190" s="20">
        <f t="array" ref="F190">_xlfn.XLOOKUP(A190,'WK 47'!A:A,'WK 47'!F:F,"")</f>
        <v>0</v>
      </c>
      <c r="G190" s="106"/>
      <c r="H190" s="106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</row>
    <row r="191" customHeight="1" spans="1:37">
      <c r="A191" s="61"/>
      <c r="B191" s="109"/>
      <c r="C191" s="106"/>
      <c r="D191" s="106"/>
      <c r="E191" s="106"/>
      <c r="F191" s="20">
        <f t="array" ref="F191">_xlfn.XLOOKUP(A191,'WK 47'!A:A,'WK 47'!F:F,"")</f>
        <v>0</v>
      </c>
      <c r="G191" s="106"/>
      <c r="H191" s="106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</row>
    <row r="192" customHeight="1" spans="1:37">
      <c r="A192" s="61"/>
      <c r="B192" s="109"/>
      <c r="C192" s="106"/>
      <c r="D192" s="106"/>
      <c r="E192" s="106"/>
      <c r="F192" s="20">
        <f t="array" ref="F192">_xlfn.XLOOKUP(A192,'WK 47'!A:A,'WK 47'!F:F,"")</f>
        <v>0</v>
      </c>
      <c r="G192" s="106"/>
      <c r="H192" s="106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</row>
    <row r="193" customHeight="1" spans="1:37">
      <c r="A193" s="61"/>
      <c r="B193" s="109"/>
      <c r="C193" s="106"/>
      <c r="D193" s="106"/>
      <c r="E193" s="106"/>
      <c r="F193" s="20">
        <f t="array" ref="F193">_xlfn.XLOOKUP(A193,'WK 47'!A:A,'WK 47'!F:F,"")</f>
        <v>0</v>
      </c>
      <c r="G193" s="106"/>
      <c r="H193" s="106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</row>
    <row r="194" customHeight="1" spans="1:37">
      <c r="A194" s="61"/>
      <c r="B194" s="109"/>
      <c r="C194" s="106"/>
      <c r="D194" s="106"/>
      <c r="E194" s="106"/>
      <c r="F194" s="20">
        <f t="array" ref="F194">_xlfn.XLOOKUP(A194,'WK 47'!A:A,'WK 47'!F:F,"")</f>
        <v>0</v>
      </c>
      <c r="G194" s="106"/>
      <c r="H194" s="106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</row>
    <row r="195" customHeight="1" spans="1:37">
      <c r="A195" s="61"/>
      <c r="B195" s="109"/>
      <c r="C195" s="106"/>
      <c r="D195" s="106"/>
      <c r="E195" s="106"/>
      <c r="F195" s="20">
        <f t="array" ref="F195">_xlfn.XLOOKUP(A195,'WK 47'!A:A,'WK 47'!F:F,"")</f>
        <v>0</v>
      </c>
      <c r="G195" s="106"/>
      <c r="H195" s="106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</row>
    <row r="196" customHeight="1" spans="1:37">
      <c r="A196" s="61"/>
      <c r="B196" s="109"/>
      <c r="C196" s="106"/>
      <c r="D196" s="106"/>
      <c r="E196" s="106"/>
      <c r="F196" s="20">
        <f t="array" ref="F196">_xlfn.XLOOKUP(A196,'WK 47'!A:A,'WK 47'!F:F,"")</f>
        <v>0</v>
      </c>
      <c r="G196" s="106"/>
      <c r="H196" s="106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</row>
    <row r="197" customHeight="1" spans="1:37">
      <c r="A197" s="61"/>
      <c r="B197" s="109"/>
      <c r="C197" s="106"/>
      <c r="D197" s="106"/>
      <c r="E197" s="106"/>
      <c r="F197" s="20">
        <f t="array" ref="F197">_xlfn.XLOOKUP(A197,'WK 47'!A:A,'WK 47'!F:F,"")</f>
        <v>0</v>
      </c>
      <c r="G197" s="106"/>
      <c r="H197" s="106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</row>
    <row r="198" customHeight="1" spans="1:37">
      <c r="A198" s="61"/>
      <c r="B198" s="109"/>
      <c r="C198" s="106"/>
      <c r="D198" s="106"/>
      <c r="E198" s="106"/>
      <c r="F198" s="20">
        <f t="array" ref="F198">_xlfn.XLOOKUP(A198,'WK 47'!A:A,'WK 47'!F:F,"")</f>
        <v>0</v>
      </c>
      <c r="G198" s="106"/>
      <c r="H198" s="106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</row>
    <row r="199" customHeight="1" spans="1:37">
      <c r="A199" s="61"/>
      <c r="B199" s="109"/>
      <c r="C199" s="106"/>
      <c r="D199" s="106"/>
      <c r="E199" s="106"/>
      <c r="F199" s="20">
        <f t="array" ref="F199">_xlfn.XLOOKUP(A199,'WK 47'!A:A,'WK 47'!F:F,"")</f>
        <v>0</v>
      </c>
      <c r="G199" s="106"/>
      <c r="H199" s="106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</row>
    <row r="200" customHeight="1" spans="1:37">
      <c r="A200" s="61"/>
      <c r="B200" s="109"/>
      <c r="C200" s="106"/>
      <c r="D200" s="106"/>
      <c r="E200" s="106"/>
      <c r="F200" s="20">
        <f t="array" ref="F200">_xlfn.XLOOKUP(A200,'WK 47'!A:A,'WK 47'!F:F,"")</f>
        <v>0</v>
      </c>
      <c r="G200" s="106"/>
      <c r="H200" s="106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</row>
    <row r="201" customHeight="1" spans="1:37">
      <c r="A201" s="61"/>
      <c r="B201" s="109"/>
      <c r="C201" s="106"/>
      <c r="D201" s="106"/>
      <c r="E201" s="106"/>
      <c r="F201" s="20">
        <f t="array" ref="F201">_xlfn.XLOOKUP(A201,'WK 47'!A:A,'WK 47'!F:F,"")</f>
        <v>0</v>
      </c>
      <c r="G201" s="106"/>
      <c r="H201" s="106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</row>
    <row r="202" customHeight="1" spans="1:37">
      <c r="A202" s="61"/>
      <c r="B202" s="109"/>
      <c r="C202" s="106"/>
      <c r="D202" s="106"/>
      <c r="E202" s="106"/>
      <c r="F202" s="20">
        <f t="array" ref="F202">_xlfn.XLOOKUP(A202,'WK 47'!A:A,'WK 47'!F:F,"")</f>
        <v>0</v>
      </c>
      <c r="G202" s="106"/>
      <c r="H202" s="106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</row>
    <row r="203" customHeight="1" spans="1:37">
      <c r="A203" s="61"/>
      <c r="B203" s="109"/>
      <c r="C203" s="106"/>
      <c r="D203" s="106"/>
      <c r="E203" s="106"/>
      <c r="F203" s="20">
        <f t="array" ref="F203">_xlfn.XLOOKUP(A203,'WK 47'!A:A,'WK 47'!F:F,"")</f>
        <v>0</v>
      </c>
      <c r="G203" s="106"/>
      <c r="H203" s="106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</row>
    <row r="204" customHeight="1" spans="1:37">
      <c r="A204" s="61"/>
      <c r="B204" s="109"/>
      <c r="C204" s="106"/>
      <c r="D204" s="106"/>
      <c r="E204" s="106"/>
      <c r="F204" s="20">
        <f t="array" ref="F204">_xlfn.XLOOKUP(A204,'WK 47'!A:A,'WK 47'!F:F,"")</f>
        <v>0</v>
      </c>
      <c r="G204" s="106"/>
      <c r="H204" s="106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</row>
    <row r="205" customHeight="1" spans="1:37">
      <c r="A205" s="61"/>
      <c r="B205" s="109"/>
      <c r="C205" s="106"/>
      <c r="D205" s="106"/>
      <c r="E205" s="106"/>
      <c r="F205" s="20">
        <f t="array" ref="F205">_xlfn.XLOOKUP(A205,'WK 47'!A:A,'WK 47'!F:F,"")</f>
        <v>0</v>
      </c>
      <c r="G205" s="106"/>
      <c r="H205" s="106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</row>
    <row r="206" customHeight="1" spans="1:37">
      <c r="A206" s="61"/>
      <c r="B206" s="109"/>
      <c r="C206" s="106"/>
      <c r="D206" s="106"/>
      <c r="E206" s="106"/>
      <c r="F206" s="20">
        <f t="array" ref="F206">_xlfn.XLOOKUP(A206,'WK 47'!A:A,'WK 47'!F:F,"")</f>
        <v>0</v>
      </c>
      <c r="G206" s="106"/>
      <c r="H206" s="106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</row>
    <row r="207" customHeight="1" spans="1:37">
      <c r="A207" s="61"/>
      <c r="B207" s="109"/>
      <c r="C207" s="106"/>
      <c r="D207" s="106"/>
      <c r="E207" s="106"/>
      <c r="F207" s="20">
        <f t="array" ref="F207">_xlfn.XLOOKUP(A207,'WK 47'!A:A,'WK 47'!F:F,"")</f>
        <v>0</v>
      </c>
      <c r="G207" s="106"/>
      <c r="H207" s="106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</row>
    <row r="208" customHeight="1" spans="1:37">
      <c r="A208" s="61"/>
      <c r="B208" s="109"/>
      <c r="C208" s="106"/>
      <c r="D208" s="106"/>
      <c r="E208" s="106"/>
      <c r="F208" s="20">
        <f t="array" ref="F208">_xlfn.XLOOKUP(A208,'WK 47'!A:A,'WK 47'!F:F,"")</f>
        <v>0</v>
      </c>
      <c r="G208" s="106"/>
      <c r="H208" s="106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</row>
    <row r="209" customHeight="1" spans="1:37">
      <c r="A209" s="61"/>
      <c r="B209" s="109"/>
      <c r="C209" s="106"/>
      <c r="D209" s="106"/>
      <c r="E209" s="106"/>
      <c r="F209" s="20">
        <f t="array" ref="F209">_xlfn.XLOOKUP(A209,'WK 47'!A:A,'WK 47'!F:F,"")</f>
        <v>0</v>
      </c>
      <c r="G209" s="106"/>
      <c r="H209" s="106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</row>
    <row r="210" customHeight="1" spans="1:37">
      <c r="A210" s="61"/>
      <c r="B210" s="109"/>
      <c r="C210" s="106"/>
      <c r="D210" s="106"/>
      <c r="E210" s="106"/>
      <c r="F210" s="20">
        <f t="array" ref="F210">_xlfn.XLOOKUP(A210,'WK 47'!A:A,'WK 47'!F:F,"")</f>
        <v>0</v>
      </c>
      <c r="G210" s="106"/>
      <c r="H210" s="106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</row>
    <row r="211" customHeight="1" spans="1:37">
      <c r="A211" s="61"/>
      <c r="B211" s="109"/>
      <c r="C211" s="106"/>
      <c r="D211" s="106"/>
      <c r="E211" s="106"/>
      <c r="F211" s="20">
        <f t="array" ref="F211">_xlfn.XLOOKUP(A211,'WK 47'!A:A,'WK 47'!F:F,"")</f>
        <v>0</v>
      </c>
      <c r="G211" s="106"/>
      <c r="H211" s="106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</row>
    <row r="212" customHeight="1" spans="1:37">
      <c r="A212" s="61"/>
      <c r="B212" s="109"/>
      <c r="C212" s="106"/>
      <c r="D212" s="106"/>
      <c r="E212" s="106"/>
      <c r="F212" s="20">
        <f t="array" ref="F212">_xlfn.XLOOKUP(A212,'WK 47'!A:A,'WK 47'!F:F,"")</f>
        <v>0</v>
      </c>
      <c r="G212" s="106"/>
      <c r="H212" s="106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</row>
    <row r="213" customHeight="1" spans="1:37">
      <c r="A213" s="61"/>
      <c r="B213" s="109"/>
      <c r="C213" s="106"/>
      <c r="D213" s="106"/>
      <c r="E213" s="106"/>
      <c r="F213" s="20">
        <f t="array" ref="F213">_xlfn.XLOOKUP(A213,'WK 47'!A:A,'WK 47'!F:F,"")</f>
        <v>0</v>
      </c>
      <c r="G213" s="106"/>
      <c r="H213" s="106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</row>
    <row r="214" customHeight="1" spans="1:37">
      <c r="A214" s="61"/>
      <c r="B214" s="109"/>
      <c r="C214" s="106"/>
      <c r="D214" s="106"/>
      <c r="E214" s="106"/>
      <c r="F214" s="20">
        <f t="array" ref="F214">_xlfn.XLOOKUP(A214,'WK 47'!A:A,'WK 47'!F:F,"")</f>
        <v>0</v>
      </c>
      <c r="G214" s="106"/>
      <c r="H214" s="106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</row>
    <row r="215" customHeight="1" spans="1:37">
      <c r="A215" s="61"/>
      <c r="B215" s="109"/>
      <c r="C215" s="106"/>
      <c r="D215" s="106"/>
      <c r="E215" s="106"/>
      <c r="F215" s="20">
        <f t="array" ref="F215">_xlfn.XLOOKUP(A215,'WK 47'!A:A,'WK 47'!F:F,"")</f>
        <v>0</v>
      </c>
      <c r="G215" s="106"/>
      <c r="H215" s="106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</row>
    <row r="216" customHeight="1" spans="1:37">
      <c r="A216" s="61"/>
      <c r="B216" s="109"/>
      <c r="C216" s="106"/>
      <c r="D216" s="106"/>
      <c r="E216" s="106"/>
      <c r="F216" s="20">
        <f t="array" ref="F216">_xlfn.XLOOKUP(A216,'WK 47'!A:A,'WK 47'!F:F,"")</f>
        <v>0</v>
      </c>
      <c r="G216" s="106"/>
      <c r="H216" s="106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</row>
    <row r="217" customHeight="1" spans="1:37">
      <c r="A217" s="61"/>
      <c r="B217" s="109"/>
      <c r="C217" s="106"/>
      <c r="D217" s="106"/>
      <c r="E217" s="106"/>
      <c r="F217" s="20">
        <f t="array" ref="F217">_xlfn.XLOOKUP(A217,'WK 47'!A:A,'WK 47'!F:F,"")</f>
        <v>0</v>
      </c>
      <c r="G217" s="106"/>
      <c r="H217" s="106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</row>
    <row r="218" customHeight="1" spans="1:37">
      <c r="A218" s="61"/>
      <c r="B218" s="109"/>
      <c r="C218" s="106"/>
      <c r="D218" s="106"/>
      <c r="E218" s="106"/>
      <c r="F218" s="20">
        <f t="array" ref="F218">_xlfn.XLOOKUP(A218,'WK 47'!A:A,'WK 47'!F:F,"")</f>
        <v>0</v>
      </c>
      <c r="G218" s="106"/>
      <c r="H218" s="106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</row>
    <row r="219" customHeight="1" spans="1:37">
      <c r="A219" s="61"/>
      <c r="B219" s="109"/>
      <c r="C219" s="106"/>
      <c r="D219" s="106"/>
      <c r="E219" s="106"/>
      <c r="F219" s="20">
        <f t="array" ref="F219">_xlfn.XLOOKUP(A219,'WK 47'!A:A,'WK 47'!F:F,"")</f>
        <v>0</v>
      </c>
      <c r="G219" s="106"/>
      <c r="H219" s="106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</row>
    <row r="220" customHeight="1" spans="1:37">
      <c r="A220" s="61"/>
      <c r="B220" s="109"/>
      <c r="C220" s="106"/>
      <c r="D220" s="106"/>
      <c r="E220" s="106"/>
      <c r="F220" s="20">
        <f t="array" ref="F220">_xlfn.XLOOKUP(A220,'WK 47'!A:A,'WK 47'!F:F,"")</f>
        <v>0</v>
      </c>
      <c r="G220" s="106"/>
      <c r="H220" s="106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</row>
    <row r="221" customHeight="1" spans="1:37">
      <c r="A221" s="61"/>
      <c r="B221" s="109"/>
      <c r="C221" s="106"/>
      <c r="D221" s="106"/>
      <c r="E221" s="106"/>
      <c r="F221" s="20">
        <f t="array" ref="F221">_xlfn.XLOOKUP(A221,'WK 47'!A:A,'WK 47'!F:F,"")</f>
        <v>0</v>
      </c>
      <c r="G221" s="106"/>
      <c r="H221" s="106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</row>
    <row r="222" customHeight="1" spans="1:37">
      <c r="A222" s="61"/>
      <c r="B222" s="109"/>
      <c r="C222" s="106"/>
      <c r="D222" s="106"/>
      <c r="E222" s="106"/>
      <c r="F222" s="20">
        <f t="array" ref="F222">_xlfn.XLOOKUP(A222,'WK 47'!A:A,'WK 47'!F:F,"")</f>
        <v>0</v>
      </c>
      <c r="G222" s="106"/>
      <c r="H222" s="106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</row>
    <row r="223" customHeight="1" spans="1:37">
      <c r="A223" s="61"/>
      <c r="B223" s="109"/>
      <c r="C223" s="106"/>
      <c r="D223" s="106"/>
      <c r="E223" s="106"/>
      <c r="F223" s="20">
        <f t="array" ref="F223">_xlfn.XLOOKUP(A223,'WK 47'!A:A,'WK 47'!F:F,"")</f>
        <v>0</v>
      </c>
      <c r="G223" s="106"/>
      <c r="H223" s="106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</row>
    <row r="224" customHeight="1" spans="1:37">
      <c r="A224" s="61"/>
      <c r="B224" s="109"/>
      <c r="C224" s="106"/>
      <c r="D224" s="106"/>
      <c r="E224" s="106"/>
      <c r="F224" s="20">
        <f t="array" ref="F224">_xlfn.XLOOKUP(A224,'WK 47'!A:A,'WK 47'!F:F,"")</f>
        <v>0</v>
      </c>
      <c r="G224" s="106"/>
      <c r="H224" s="106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</row>
    <row r="225" customHeight="1" spans="1:37">
      <c r="A225" s="61"/>
      <c r="B225" s="109"/>
      <c r="C225" s="106"/>
      <c r="D225" s="106"/>
      <c r="E225" s="106"/>
      <c r="F225" s="20">
        <f t="array" ref="F225">_xlfn.XLOOKUP(A225,'WK 47'!A:A,'WK 47'!F:F,"")</f>
        <v>0</v>
      </c>
      <c r="G225" s="106"/>
      <c r="H225" s="106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</row>
    <row r="226" customHeight="1" spans="1:37">
      <c r="A226" s="61"/>
      <c r="B226" s="109"/>
      <c r="C226" s="106"/>
      <c r="D226" s="106"/>
      <c r="E226" s="106"/>
      <c r="F226" s="20">
        <f t="array" ref="F226">_xlfn.XLOOKUP(A226,'WK 47'!A:A,'WK 47'!F:F,"")</f>
        <v>0</v>
      </c>
      <c r="G226" s="106"/>
      <c r="H226" s="106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</row>
    <row r="227" customHeight="1" spans="1:37">
      <c r="A227" s="61"/>
      <c r="B227" s="109"/>
      <c r="C227" s="106"/>
      <c r="D227" s="106"/>
      <c r="E227" s="106"/>
      <c r="F227" s="20">
        <f t="array" ref="F227">_xlfn.XLOOKUP(A227,'WK 47'!A:A,'WK 47'!F:F,"")</f>
        <v>0</v>
      </c>
      <c r="G227" s="106"/>
      <c r="H227" s="106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</row>
    <row r="228" customHeight="1" spans="1:37">
      <c r="A228" s="61"/>
      <c r="B228" s="61"/>
      <c r="C228" s="61"/>
      <c r="D228" s="61"/>
      <c r="E228" s="61"/>
      <c r="F228" s="20">
        <f t="array" ref="F228">_xlfn.XLOOKUP(A228,'WK 47'!A:A,'WK 47'!F:F,"")</f>
        <v>0</v>
      </c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</row>
    <row r="229" customHeight="1" spans="1:37">
      <c r="A229" s="61"/>
      <c r="B229" s="61"/>
      <c r="C229" s="61"/>
      <c r="D229" s="61"/>
      <c r="E229" s="61"/>
      <c r="F229" s="20">
        <f t="array" ref="F229">_xlfn.XLOOKUP(A229,'WK 47'!A:A,'WK 47'!F:F,"")</f>
        <v>0</v>
      </c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</row>
    <row r="230" customHeight="1" spans="1:37">
      <c r="A230" s="61"/>
      <c r="B230" s="61"/>
      <c r="C230" s="61"/>
      <c r="D230" s="61"/>
      <c r="E230" s="61"/>
      <c r="F230" s="20">
        <f t="array" ref="F230">_xlfn.XLOOKUP(A230,'WK 47'!A:A,'WK 47'!F:F,"")</f>
        <v>0</v>
      </c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</row>
    <row r="231" customHeight="1" spans="1:37">
      <c r="A231" s="61"/>
      <c r="B231" s="61"/>
      <c r="C231" s="61"/>
      <c r="D231" s="61"/>
      <c r="E231" s="61"/>
      <c r="F231" s="20">
        <f t="array" ref="F231">_xlfn.XLOOKUP(A231,'WK 47'!A:A,'WK 47'!F:F,"")</f>
        <v>0</v>
      </c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</row>
    <row r="232" customHeight="1" spans="1:37">
      <c r="A232" s="61"/>
      <c r="B232" s="61"/>
      <c r="C232" s="61"/>
      <c r="D232" s="61"/>
      <c r="E232" s="61"/>
      <c r="F232" s="20">
        <f t="array" ref="F232">_xlfn.XLOOKUP(A232,'WK 47'!A:A,'WK 47'!F:F,"")</f>
        <v>0</v>
      </c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</row>
    <row r="233" customHeight="1" spans="1:37">
      <c r="A233" s="61"/>
      <c r="B233" s="61"/>
      <c r="C233" s="61"/>
      <c r="D233" s="61"/>
      <c r="E233" s="61"/>
      <c r="F233" s="20">
        <f t="array" ref="F233">_xlfn.XLOOKUP(A233,'WK 47'!A:A,'WK 47'!F:F,"")</f>
        <v>0</v>
      </c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</row>
    <row r="234" customHeight="1" spans="1:37">
      <c r="A234" s="61"/>
      <c r="B234" s="61"/>
      <c r="C234" s="61"/>
      <c r="D234" s="61"/>
      <c r="E234" s="61"/>
      <c r="F234" s="20">
        <f t="array" ref="F234">_xlfn.XLOOKUP(A234,'WK 47'!A:A,'WK 47'!F:F,"")</f>
        <v>0</v>
      </c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</row>
    <row r="235" customHeight="1" spans="1:37">
      <c r="A235" s="61"/>
      <c r="B235" s="61"/>
      <c r="C235" s="61"/>
      <c r="D235" s="61"/>
      <c r="E235" s="61"/>
      <c r="F235" s="20">
        <f t="array" ref="F235">_xlfn.XLOOKUP(A235,'WK 47'!A:A,'WK 47'!F:F,"")</f>
        <v>0</v>
      </c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</row>
    <row r="236" customHeight="1" spans="1:37">
      <c r="A236" s="61"/>
      <c r="B236" s="61"/>
      <c r="C236" s="61"/>
      <c r="D236" s="61"/>
      <c r="E236" s="61"/>
      <c r="F236" s="20">
        <f t="array" ref="F236">_xlfn.XLOOKUP(A236,'WK 47'!A:A,'WK 47'!F:F,"")</f>
        <v>0</v>
      </c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</row>
    <row r="237" customHeight="1" spans="1:37">
      <c r="A237" s="61"/>
      <c r="B237" s="61"/>
      <c r="C237" s="61"/>
      <c r="D237" s="61"/>
      <c r="E237" s="61"/>
      <c r="F237" s="20">
        <f t="array" ref="F237">_xlfn.XLOOKUP(A237,'WK 47'!A:A,'WK 47'!F:F,"")</f>
        <v>0</v>
      </c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</row>
    <row r="238" customHeight="1" spans="1:37">
      <c r="A238" s="61"/>
      <c r="B238" s="61"/>
      <c r="C238" s="61"/>
      <c r="D238" s="61"/>
      <c r="E238" s="61"/>
      <c r="F238" s="20">
        <f t="array" ref="F238">_xlfn.XLOOKUP(A238,'WK 47'!A:A,'WK 47'!F:F,"")</f>
        <v>0</v>
      </c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</row>
    <row r="239" customHeight="1" spans="1:37">
      <c r="A239" s="61"/>
      <c r="B239" s="61"/>
      <c r="C239" s="61"/>
      <c r="D239" s="61"/>
      <c r="E239" s="61"/>
      <c r="F239" s="20">
        <f t="array" ref="F239">_xlfn.XLOOKUP(A239,'WK 47'!A:A,'WK 47'!F:F,"")</f>
        <v>0</v>
      </c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</row>
    <row r="240" customHeight="1" spans="1:37">
      <c r="A240" s="61"/>
      <c r="B240" s="61"/>
      <c r="C240" s="61"/>
      <c r="D240" s="61"/>
      <c r="E240" s="61"/>
      <c r="F240" s="20">
        <f t="array" ref="F240">_xlfn.XLOOKUP(A240,'WK 47'!A:A,'WK 47'!F:F,"")</f>
        <v>0</v>
      </c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</row>
    <row r="241" customHeight="1" spans="1:37">
      <c r="A241" s="61"/>
      <c r="B241" s="61"/>
      <c r="C241" s="61"/>
      <c r="D241" s="61"/>
      <c r="E241" s="61"/>
      <c r="F241" s="20">
        <f t="array" ref="F241">_xlfn.XLOOKUP(A241,'WK 47'!A:A,'WK 47'!F:F,"")</f>
        <v>0</v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</row>
    <row r="242" customHeight="1" spans="1:37">
      <c r="A242" s="61"/>
      <c r="B242" s="61"/>
      <c r="C242" s="61"/>
      <c r="D242" s="61"/>
      <c r="E242" s="61"/>
      <c r="F242" s="20">
        <f t="array" ref="F242">_xlfn.XLOOKUP(A242,'WK 47'!A:A,'WK 47'!F:F,"")</f>
        <v>0</v>
      </c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</row>
    <row r="243" customHeight="1" spans="1:37">
      <c r="A243" s="61"/>
      <c r="B243" s="61"/>
      <c r="C243" s="61"/>
      <c r="D243" s="61"/>
      <c r="E243" s="61"/>
      <c r="F243" s="20">
        <f t="array" ref="F243">_xlfn.XLOOKUP(A243,'WK 47'!A:A,'WK 47'!F:F,"")</f>
        <v>0</v>
      </c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</row>
    <row r="244" customHeight="1" spans="1:37">
      <c r="A244" s="61"/>
      <c r="B244" s="61"/>
      <c r="C244" s="61"/>
      <c r="D244" s="61"/>
      <c r="E244" s="61"/>
      <c r="F244" s="20">
        <f t="array" ref="F244">_xlfn.XLOOKUP(A244,'WK 47'!A:A,'WK 47'!F:F,"")</f>
        <v>0</v>
      </c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</row>
    <row r="245" customHeight="1" spans="1:37">
      <c r="A245" s="61"/>
      <c r="B245" s="61"/>
      <c r="C245" s="61"/>
      <c r="D245" s="61"/>
      <c r="E245" s="61"/>
      <c r="F245" s="20">
        <f t="array" ref="F245">_xlfn.XLOOKUP(A245,'WK 47'!A:A,'WK 47'!F:F,"")</f>
        <v>0</v>
      </c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</row>
    <row r="246" customHeight="1" spans="1:37">
      <c r="A246" s="61"/>
      <c r="B246" s="61"/>
      <c r="C246" s="61"/>
      <c r="D246" s="61"/>
      <c r="E246" s="61"/>
      <c r="F246" s="20">
        <f t="array" ref="F246">_xlfn.XLOOKUP(A246,'WK 47'!A:A,'WK 47'!F:F,"")</f>
        <v>0</v>
      </c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</row>
    <row r="247" customHeight="1" spans="1:37">
      <c r="A247" s="61"/>
      <c r="B247" s="61"/>
      <c r="C247" s="61"/>
      <c r="D247" s="61"/>
      <c r="E247" s="61"/>
      <c r="F247" s="20">
        <f t="array" ref="F247">_xlfn.XLOOKUP(A247,'WK 47'!A:A,'WK 47'!F:F,"")</f>
        <v>0</v>
      </c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</row>
    <row r="248" customHeight="1" spans="1:37">
      <c r="A248" s="61"/>
      <c r="B248" s="61"/>
      <c r="C248" s="61"/>
      <c r="D248" s="61"/>
      <c r="E248" s="61"/>
      <c r="F248" s="20">
        <f t="array" ref="F248">_xlfn.XLOOKUP(A248,'WK 47'!A:A,'WK 47'!F:F,"")</f>
        <v>0</v>
      </c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</row>
    <row r="249" customHeight="1" spans="1:37">
      <c r="A249" s="61"/>
      <c r="B249" s="61"/>
      <c r="C249" s="61"/>
      <c r="D249" s="61"/>
      <c r="E249" s="61"/>
      <c r="F249" s="20">
        <f t="array" ref="F249">_xlfn.XLOOKUP(A249,'WK 47'!A:A,'WK 47'!F:F,"")</f>
        <v>0</v>
      </c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</row>
    <row r="250" customHeight="1" spans="1:37">
      <c r="A250" s="61"/>
      <c r="B250" s="61"/>
      <c r="C250" s="61"/>
      <c r="D250" s="61"/>
      <c r="E250" s="61"/>
      <c r="F250" s="20">
        <f t="array" ref="F250">_xlfn.XLOOKUP(A250,'WK 47'!A:A,'WK 47'!F:F,"")</f>
        <v>0</v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</row>
    <row r="251" customHeight="1" spans="1:37">
      <c r="A251" s="61"/>
      <c r="B251" s="61"/>
      <c r="C251" s="61"/>
      <c r="D251" s="61"/>
      <c r="E251" s="61"/>
      <c r="F251" s="20">
        <f t="array" ref="F251">_xlfn.XLOOKUP(A251,'WK 47'!A:A,'WK 47'!F:F,"")</f>
        <v>0</v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</row>
    <row r="252" customHeight="1" spans="1:37">
      <c r="A252" s="61"/>
      <c r="B252" s="61"/>
      <c r="C252" s="61"/>
      <c r="D252" s="61"/>
      <c r="E252" s="61"/>
      <c r="F252" s="20">
        <f t="array" ref="F252">_xlfn.XLOOKUP(A252,'WK 47'!A:A,'WK 47'!F:F,"")</f>
        <v>0</v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</row>
    <row r="253" customHeight="1" spans="1:37">
      <c r="A253" s="61"/>
      <c r="B253" s="61"/>
      <c r="C253" s="61"/>
      <c r="D253" s="61"/>
      <c r="E253" s="61"/>
      <c r="F253" s="20">
        <f t="array" ref="F253">_xlfn.XLOOKUP(A253,'WK 47'!A:A,'WK 47'!F:F,"")</f>
        <v>0</v>
      </c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</row>
    <row r="254" customHeight="1" spans="1:37">
      <c r="A254" s="61"/>
      <c r="B254" s="61"/>
      <c r="C254" s="61"/>
      <c r="D254" s="61"/>
      <c r="E254" s="61"/>
      <c r="F254" s="20">
        <f t="array" ref="F254">_xlfn.XLOOKUP(A254,'WK 47'!A:A,'WK 47'!F:F,"")</f>
        <v>0</v>
      </c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</row>
    <row r="255" customHeight="1" spans="1:37">
      <c r="A255" s="61"/>
      <c r="B255" s="61"/>
      <c r="C255" s="61"/>
      <c r="D255" s="61"/>
      <c r="E255" s="61"/>
      <c r="F255" s="20">
        <f t="array" ref="F255">_xlfn.XLOOKUP(A255,'WK 47'!A:A,'WK 47'!F:F,"")</f>
        <v>0</v>
      </c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</row>
    <row r="256" customHeight="1" spans="1:37">
      <c r="A256" s="61"/>
      <c r="B256" s="61"/>
      <c r="C256" s="61"/>
      <c r="D256" s="61"/>
      <c r="E256" s="61"/>
      <c r="F256" s="20">
        <f t="array" ref="F256">_xlfn.XLOOKUP(A256,'WK 47'!A:A,'WK 47'!F:F,"")</f>
        <v>0</v>
      </c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</row>
    <row r="257" customHeight="1" spans="1:37">
      <c r="A257" s="61"/>
      <c r="B257" s="61"/>
      <c r="C257" s="61"/>
      <c r="D257" s="61"/>
      <c r="E257" s="61"/>
      <c r="F257" s="20">
        <f t="array" ref="F257">_xlfn.XLOOKUP(A257,'WK 47'!A:A,'WK 47'!F:F,"")</f>
        <v>0</v>
      </c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</row>
    <row r="258" customHeight="1" spans="1:37">
      <c r="A258" s="61"/>
      <c r="B258" s="61"/>
      <c r="C258" s="61"/>
      <c r="D258" s="61"/>
      <c r="E258" s="61"/>
      <c r="F258" s="20">
        <f t="array" ref="F258">_xlfn.XLOOKUP(A258,'WK 47'!A:A,'WK 47'!F:F,"")</f>
        <v>0</v>
      </c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</row>
    <row r="259" customHeight="1" spans="1:37">
      <c r="A259" s="61"/>
      <c r="B259" s="61"/>
      <c r="C259" s="61"/>
      <c r="D259" s="61"/>
      <c r="E259" s="61"/>
      <c r="F259" s="20">
        <f t="array" ref="F259">_xlfn.XLOOKUP(A259,'WK 47'!A:A,'WK 47'!F:F,"")</f>
        <v>0</v>
      </c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</row>
    <row r="260" customHeight="1" spans="1:37">
      <c r="A260" s="61"/>
      <c r="B260" s="61"/>
      <c r="C260" s="61"/>
      <c r="D260" s="61"/>
      <c r="E260" s="61"/>
      <c r="F260" s="20">
        <f t="array" ref="F260">_xlfn.XLOOKUP(A260,'WK 47'!A:A,'WK 47'!F:F,"")</f>
        <v>0</v>
      </c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</row>
    <row r="261" customHeight="1" spans="1:37">
      <c r="A261" s="61"/>
      <c r="B261" s="61"/>
      <c r="C261" s="61"/>
      <c r="D261" s="61"/>
      <c r="E261" s="61"/>
      <c r="F261" s="20">
        <f t="array" ref="F261">_xlfn.XLOOKUP(A261,'WK 47'!A:A,'WK 47'!F:F,"")</f>
        <v>0</v>
      </c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</row>
    <row r="262" customHeight="1" spans="1:37">
      <c r="A262" s="61"/>
      <c r="B262" s="61"/>
      <c r="C262" s="61"/>
      <c r="D262" s="61"/>
      <c r="E262" s="61"/>
      <c r="F262" s="20">
        <f t="array" ref="F262">_xlfn.XLOOKUP(A262,'WK 47'!A:A,'WK 47'!F:F,"")</f>
        <v>0</v>
      </c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</row>
    <row r="263" customHeight="1" spans="1:37">
      <c r="A263" s="61"/>
      <c r="B263" s="61"/>
      <c r="C263" s="61"/>
      <c r="D263" s="61"/>
      <c r="E263" s="61"/>
      <c r="F263" s="20">
        <f t="array" ref="F263">_xlfn.XLOOKUP(A263,'WK 47'!A:A,'WK 47'!F:F,"")</f>
        <v>0</v>
      </c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</row>
    <row r="264" customHeight="1" spans="1:37">
      <c r="A264" s="61"/>
      <c r="B264" s="61"/>
      <c r="C264" s="61"/>
      <c r="D264" s="61"/>
      <c r="E264" s="61"/>
      <c r="F264" s="20">
        <f t="array" ref="F264">_xlfn.XLOOKUP(A264,'WK 47'!A:A,'WK 47'!F:F,"")</f>
        <v>0</v>
      </c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</row>
    <row r="265" customHeight="1" spans="1:37">
      <c r="A265" s="61"/>
      <c r="B265" s="61"/>
      <c r="C265" s="61"/>
      <c r="D265" s="61"/>
      <c r="E265" s="61"/>
      <c r="F265" s="20">
        <f t="array" ref="F265">_xlfn.XLOOKUP(A265,'WK 47'!A:A,'WK 47'!F:F,"")</f>
        <v>0</v>
      </c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</row>
    <row r="266" customHeight="1" spans="1:37">
      <c r="A266" s="61"/>
      <c r="B266" s="61"/>
      <c r="C266" s="61"/>
      <c r="D266" s="61"/>
      <c r="E266" s="61"/>
      <c r="F266" s="20">
        <f t="array" ref="F266">_xlfn.XLOOKUP(A266,'WK 47'!A:A,'WK 47'!F:F,"")</f>
        <v>0</v>
      </c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</row>
    <row r="267" customHeight="1" spans="1:37">
      <c r="A267" s="61"/>
      <c r="B267" s="61"/>
      <c r="C267" s="61"/>
      <c r="D267" s="61"/>
      <c r="E267" s="61"/>
      <c r="F267" s="20">
        <f t="array" ref="F267">_xlfn.XLOOKUP(A267,'WK 47'!A:A,'WK 47'!F:F,"")</f>
        <v>0</v>
      </c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</row>
    <row r="268" customHeight="1" spans="1:37">
      <c r="A268" s="61"/>
      <c r="B268" s="61"/>
      <c r="C268" s="61"/>
      <c r="D268" s="61"/>
      <c r="E268" s="61"/>
      <c r="F268" s="20">
        <f t="array" ref="F268">_xlfn.XLOOKUP(A268,'WK 47'!A:A,'WK 47'!F:F,"")</f>
        <v>0</v>
      </c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</row>
    <row r="269" customHeight="1" spans="1:37">
      <c r="A269" s="61"/>
      <c r="B269" s="61"/>
      <c r="C269" s="61"/>
      <c r="D269" s="61"/>
      <c r="E269" s="61"/>
      <c r="F269" s="20">
        <f t="array" ref="F269">_xlfn.XLOOKUP(A269,'WK 47'!A:A,'WK 47'!F:F,"")</f>
        <v>0</v>
      </c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</row>
    <row r="270" customHeight="1" spans="1:37">
      <c r="A270" s="61"/>
      <c r="B270" s="61"/>
      <c r="C270" s="61"/>
      <c r="D270" s="61"/>
      <c r="E270" s="61"/>
      <c r="F270" s="20">
        <f t="array" ref="F270">_xlfn.XLOOKUP(A270,'WK 47'!A:A,'WK 47'!F:F,"")</f>
        <v>0</v>
      </c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</row>
    <row r="271" customHeight="1" spans="1:37">
      <c r="A271" s="61"/>
      <c r="B271" s="61"/>
      <c r="C271" s="61"/>
      <c r="D271" s="61"/>
      <c r="E271" s="61"/>
      <c r="F271" s="20">
        <f t="array" ref="F271">_xlfn.XLOOKUP(A271,'WK 47'!A:A,'WK 47'!F:F,"")</f>
        <v>0</v>
      </c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</row>
    <row r="272" customHeight="1" spans="1:37">
      <c r="A272" s="61"/>
      <c r="B272" s="61"/>
      <c r="C272" s="61"/>
      <c r="D272" s="61"/>
      <c r="E272" s="61"/>
      <c r="F272" s="20">
        <f t="array" ref="F272">_xlfn.XLOOKUP(A272,'WK 47'!A:A,'WK 47'!F:F,"")</f>
        <v>0</v>
      </c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</row>
    <row r="273" customHeight="1" spans="1:37">
      <c r="A273" s="61"/>
      <c r="B273" s="61"/>
      <c r="C273" s="61"/>
      <c r="D273" s="61"/>
      <c r="E273" s="61"/>
      <c r="F273" s="20">
        <f t="array" ref="F273">_xlfn.XLOOKUP(A273,'WK 47'!A:A,'WK 47'!F:F,"")</f>
        <v>0</v>
      </c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</row>
    <row r="274" customHeight="1" spans="1:37">
      <c r="A274" s="61"/>
      <c r="B274" s="61"/>
      <c r="C274" s="61"/>
      <c r="D274" s="61"/>
      <c r="E274" s="61"/>
      <c r="F274" s="20">
        <f t="array" ref="F274">_xlfn.XLOOKUP(A274,'WK 47'!A:A,'WK 47'!F:F,"")</f>
        <v>0</v>
      </c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</row>
    <row r="275" customHeight="1" spans="1:37">
      <c r="A275" s="61"/>
      <c r="B275" s="61"/>
      <c r="C275" s="61"/>
      <c r="D275" s="61"/>
      <c r="E275" s="61"/>
      <c r="F275" s="20">
        <f t="array" ref="F275">_xlfn.XLOOKUP(A275,'WK 47'!A:A,'WK 47'!F:F,"")</f>
        <v>0</v>
      </c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</row>
    <row r="276" customHeight="1" spans="1:37">
      <c r="A276" s="61"/>
      <c r="B276" s="61"/>
      <c r="C276" s="61"/>
      <c r="D276" s="61"/>
      <c r="E276" s="61"/>
      <c r="F276" s="20">
        <f t="array" ref="F276">_xlfn.XLOOKUP(A276,'WK 47'!A:A,'WK 47'!F:F,"")</f>
        <v>0</v>
      </c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</row>
    <row r="277" customHeight="1" spans="1:37">
      <c r="A277" s="61"/>
      <c r="B277" s="61"/>
      <c r="C277" s="61"/>
      <c r="D277" s="61"/>
      <c r="E277" s="61"/>
      <c r="F277" s="20">
        <f t="array" ref="F277">_xlfn.XLOOKUP(A277,'WK 47'!A:A,'WK 47'!F:F,"")</f>
        <v>0</v>
      </c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</row>
    <row r="278" customHeight="1" spans="1:37">
      <c r="A278" s="61"/>
      <c r="B278" s="61"/>
      <c r="C278" s="61"/>
      <c r="D278" s="61"/>
      <c r="E278" s="61"/>
      <c r="F278" s="20">
        <f t="array" ref="F278">_xlfn.XLOOKUP(A278,'WK 47'!A:A,'WK 47'!F:F,"")</f>
        <v>0</v>
      </c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</row>
    <row r="279" customHeight="1" spans="1:37">
      <c r="A279" s="61"/>
      <c r="B279" s="61"/>
      <c r="C279" s="61"/>
      <c r="D279" s="61"/>
      <c r="E279" s="61"/>
      <c r="F279" s="20">
        <f t="array" ref="F279">_xlfn.XLOOKUP(A279,'WK 47'!A:A,'WK 47'!F:F,"")</f>
        <v>0</v>
      </c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</row>
    <row r="280" customHeight="1" spans="1:37">
      <c r="A280" s="61"/>
      <c r="B280" s="61"/>
      <c r="C280" s="61"/>
      <c r="D280" s="61"/>
      <c r="E280" s="61"/>
      <c r="F280" s="20">
        <f t="array" ref="F280">_xlfn.XLOOKUP(A280,'WK 47'!A:A,'WK 47'!F:F,"")</f>
        <v>0</v>
      </c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</row>
    <row r="281" customHeight="1" spans="1:37">
      <c r="A281" s="61"/>
      <c r="B281" s="61"/>
      <c r="C281" s="61"/>
      <c r="D281" s="61"/>
      <c r="E281" s="61"/>
      <c r="F281" s="20">
        <f t="array" ref="F281">_xlfn.XLOOKUP(A281,'WK 47'!A:A,'WK 47'!F:F,"")</f>
        <v>0</v>
      </c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</row>
    <row r="282" customHeight="1" spans="1:37">
      <c r="A282" s="61"/>
      <c r="B282" s="61"/>
      <c r="C282" s="61"/>
      <c r="D282" s="61"/>
      <c r="E282" s="61"/>
      <c r="F282" s="20">
        <f t="array" ref="F282">_xlfn.XLOOKUP(A282,'WK 47'!A:A,'WK 47'!F:F,"")</f>
        <v>0</v>
      </c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</row>
    <row r="283" customHeight="1" spans="1:37">
      <c r="A283" s="61"/>
      <c r="B283" s="61"/>
      <c r="C283" s="61"/>
      <c r="D283" s="61"/>
      <c r="E283" s="61"/>
      <c r="F283" s="20">
        <f t="array" ref="F283">_xlfn.XLOOKUP(A283,'WK 47'!A:A,'WK 47'!F:F,"")</f>
        <v>0</v>
      </c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</row>
    <row r="284" customHeight="1" spans="1:37">
      <c r="A284" s="61"/>
      <c r="B284" s="61"/>
      <c r="C284" s="61"/>
      <c r="D284" s="61"/>
      <c r="E284" s="61"/>
      <c r="F284" s="20">
        <f t="array" ref="F284">_xlfn.XLOOKUP(A284,'WK 47'!A:A,'WK 47'!F:F,"")</f>
        <v>0</v>
      </c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</row>
    <row r="285" customHeight="1" spans="1:37">
      <c r="A285" s="61"/>
      <c r="B285" s="61"/>
      <c r="C285" s="61"/>
      <c r="D285" s="61"/>
      <c r="E285" s="61"/>
      <c r="F285" s="20">
        <f t="array" ref="F285">_xlfn.XLOOKUP(A285,'WK 47'!A:A,'WK 47'!F:F,"")</f>
        <v>0</v>
      </c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</row>
    <row r="286" customHeight="1" spans="1:37">
      <c r="A286" s="61"/>
      <c r="B286" s="61"/>
      <c r="C286" s="61"/>
      <c r="D286" s="61"/>
      <c r="E286" s="61"/>
      <c r="F286" s="20">
        <f t="array" ref="F286">_xlfn.XLOOKUP(A286,'WK 47'!A:A,'WK 47'!F:F,"")</f>
        <v>0</v>
      </c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</row>
    <row r="287" customHeight="1" spans="1:37">
      <c r="A287" s="61"/>
      <c r="B287" s="61"/>
      <c r="C287" s="61"/>
      <c r="D287" s="61"/>
      <c r="E287" s="61"/>
      <c r="F287" s="20">
        <f t="array" ref="F287">_xlfn.XLOOKUP(A287,'WK 47'!A:A,'WK 47'!F:F,"")</f>
        <v>0</v>
      </c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</row>
    <row r="288" customHeight="1" spans="1:37">
      <c r="A288" s="61"/>
      <c r="B288" s="61"/>
      <c r="C288" s="61"/>
      <c r="D288" s="61"/>
      <c r="E288" s="61"/>
      <c r="F288" s="20">
        <f t="array" ref="F288">_xlfn.XLOOKUP(A288,'WK 47'!A:A,'WK 47'!F:F,"")</f>
        <v>0</v>
      </c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</row>
    <row r="289" customHeight="1" spans="1:37">
      <c r="A289" s="61"/>
      <c r="B289" s="61"/>
      <c r="C289" s="61"/>
      <c r="D289" s="61"/>
      <c r="E289" s="61"/>
      <c r="F289" s="20">
        <f t="array" ref="F289">_xlfn.XLOOKUP(A289,'WK 47'!A:A,'WK 47'!F:F,"")</f>
        <v>0</v>
      </c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</row>
    <row r="290" customHeight="1" spans="1:37">
      <c r="A290" s="61"/>
      <c r="B290" s="61"/>
      <c r="C290" s="61"/>
      <c r="D290" s="61"/>
      <c r="E290" s="61"/>
      <c r="F290" s="20">
        <f t="array" ref="F290">_xlfn.XLOOKUP(A290,'WK 47'!A:A,'WK 47'!F:F,"")</f>
        <v>0</v>
      </c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</row>
    <row r="291" customHeight="1" spans="1:37">
      <c r="A291" s="61"/>
      <c r="B291" s="61"/>
      <c r="C291" s="61"/>
      <c r="D291" s="61"/>
      <c r="E291" s="61"/>
      <c r="F291" s="20">
        <f t="array" ref="F291">_xlfn.XLOOKUP(A291,'WK 47'!A:A,'WK 47'!F:F,"")</f>
        <v>0</v>
      </c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</row>
    <row r="292" customHeight="1" spans="1:37">
      <c r="A292" s="61"/>
      <c r="B292" s="61"/>
      <c r="C292" s="61"/>
      <c r="D292" s="61"/>
      <c r="E292" s="61"/>
      <c r="F292" s="20">
        <f t="array" ref="F292">_xlfn.XLOOKUP(A292,'WK 47'!A:A,'WK 47'!F:F,"")</f>
        <v>0</v>
      </c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</row>
    <row r="293" customHeight="1" spans="1:37">
      <c r="A293" s="61"/>
      <c r="B293" s="61"/>
      <c r="C293" s="61"/>
      <c r="D293" s="61"/>
      <c r="E293" s="61"/>
      <c r="F293" s="20">
        <f t="array" ref="F293">_xlfn.XLOOKUP(A293,'WK 47'!A:A,'WK 47'!F:F,"")</f>
        <v>0</v>
      </c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</row>
    <row r="294" customHeight="1" spans="1:37">
      <c r="A294" s="61"/>
      <c r="B294" s="61"/>
      <c r="C294" s="61"/>
      <c r="D294" s="61"/>
      <c r="E294" s="61"/>
      <c r="F294" s="20">
        <f t="array" ref="F294">_xlfn.XLOOKUP(A294,'WK 47'!A:A,'WK 47'!F:F,"")</f>
        <v>0</v>
      </c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</row>
    <row r="295" customHeight="1" spans="1:37">
      <c r="A295" s="61"/>
      <c r="B295" s="61"/>
      <c r="C295" s="61"/>
      <c r="D295" s="61"/>
      <c r="E295" s="61"/>
      <c r="F295" s="20">
        <f t="array" ref="F295">_xlfn.XLOOKUP(A295,'WK 47'!A:A,'WK 47'!F:F,"")</f>
        <v>0</v>
      </c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</row>
    <row r="296" customHeight="1" spans="1:37">
      <c r="A296" s="61"/>
      <c r="B296" s="61"/>
      <c r="C296" s="61"/>
      <c r="D296" s="61"/>
      <c r="E296" s="61"/>
      <c r="F296" s="20">
        <f t="array" ref="F296">_xlfn.XLOOKUP(A296,'WK 47'!A:A,'WK 47'!F:F,"")</f>
        <v>0</v>
      </c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</row>
    <row r="297" customHeight="1" spans="1:37">
      <c r="A297" s="61"/>
      <c r="B297" s="61"/>
      <c r="C297" s="61"/>
      <c r="D297" s="61"/>
      <c r="E297" s="61"/>
      <c r="F297" s="20">
        <f t="array" ref="F297">_xlfn.XLOOKUP(A297,'WK 47'!A:A,'WK 47'!F:F,"")</f>
        <v>0</v>
      </c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</row>
    <row r="298" customHeight="1" spans="1:37">
      <c r="A298" s="61"/>
      <c r="B298" s="61"/>
      <c r="C298" s="61"/>
      <c r="D298" s="61"/>
      <c r="E298" s="61"/>
      <c r="F298" s="20">
        <f t="array" ref="F298">_xlfn.XLOOKUP(A298,'WK 47'!A:A,'WK 47'!F:F,"")</f>
        <v>0</v>
      </c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</row>
    <row r="299" customHeight="1" spans="1:37">
      <c r="A299" s="61"/>
      <c r="B299" s="61"/>
      <c r="C299" s="61"/>
      <c r="D299" s="61"/>
      <c r="E299" s="61"/>
      <c r="F299" s="20">
        <f t="array" ref="F299">_xlfn.XLOOKUP(A299,'WK 47'!A:A,'WK 47'!F:F,"")</f>
        <v>0</v>
      </c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</row>
    <row r="300" customHeight="1" spans="1:37">
      <c r="A300" s="61"/>
      <c r="B300" s="61"/>
      <c r="C300" s="61"/>
      <c r="D300" s="61"/>
      <c r="E300" s="61"/>
      <c r="F300" s="20">
        <f t="array" ref="F300">_xlfn.XLOOKUP(A300,'WK 47'!A:A,'WK 47'!F:F,"")</f>
        <v>0</v>
      </c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</row>
    <row r="301" customHeight="1" spans="1:37">
      <c r="A301" s="61"/>
      <c r="B301" s="61"/>
      <c r="C301" s="61"/>
      <c r="D301" s="61"/>
      <c r="E301" s="61"/>
      <c r="F301" s="20">
        <f t="array" ref="F301">_xlfn.XLOOKUP(A301,'WK 47'!A:A,'WK 47'!F:F,"")</f>
        <v>0</v>
      </c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</row>
    <row r="302" customHeight="1" spans="1:37">
      <c r="A302" s="61"/>
      <c r="B302" s="61"/>
      <c r="C302" s="61"/>
      <c r="D302" s="61"/>
      <c r="E302" s="61"/>
      <c r="F302" s="20">
        <f t="array" ref="F302">_xlfn.XLOOKUP(A302,'WK 47'!A:A,'WK 47'!F:F,"")</f>
        <v>0</v>
      </c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</row>
    <row r="303" customHeight="1" spans="1:37">
      <c r="A303" s="61"/>
      <c r="B303" s="61"/>
      <c r="C303" s="61"/>
      <c r="D303" s="61"/>
      <c r="E303" s="61"/>
      <c r="F303" s="20">
        <f t="array" ref="F303">_xlfn.XLOOKUP(A303,'WK 47'!A:A,'WK 47'!F:F,"")</f>
        <v>0</v>
      </c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</row>
    <row r="304" customHeight="1" spans="1:37">
      <c r="A304" s="61"/>
      <c r="B304" s="61"/>
      <c r="C304" s="61"/>
      <c r="D304" s="61"/>
      <c r="E304" s="61"/>
      <c r="F304" s="20">
        <f t="array" ref="F304">_xlfn.XLOOKUP(A304,'WK 47'!A:A,'WK 47'!F:F,"")</f>
        <v>0</v>
      </c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</row>
    <row r="305" customHeight="1" spans="1:37">
      <c r="A305" s="61"/>
      <c r="B305" s="61"/>
      <c r="C305" s="61"/>
      <c r="D305" s="61"/>
      <c r="E305" s="61"/>
      <c r="F305" s="20">
        <f t="array" ref="F305">_xlfn.XLOOKUP(A305,'WK 47'!A:A,'WK 47'!F:F,"")</f>
        <v>0</v>
      </c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</row>
    <row r="306" customHeight="1" spans="1:37">
      <c r="A306" s="61"/>
      <c r="B306" s="61"/>
      <c r="C306" s="61"/>
      <c r="D306" s="61"/>
      <c r="E306" s="61"/>
      <c r="F306" s="20">
        <f t="array" ref="F306">_xlfn.XLOOKUP(A306,'WK 47'!A:A,'WK 47'!F:F,"")</f>
        <v>0</v>
      </c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</row>
    <row r="307" customHeight="1" spans="1:37">
      <c r="A307" s="61"/>
      <c r="B307" s="61"/>
      <c r="C307" s="61"/>
      <c r="D307" s="61"/>
      <c r="E307" s="61"/>
      <c r="F307" s="20">
        <f t="array" ref="F307">_xlfn.XLOOKUP(A307,'WK 47'!A:A,'WK 47'!F:F,"")</f>
        <v>0</v>
      </c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</row>
    <row r="308" customHeight="1" spans="1:37">
      <c r="A308" s="61"/>
      <c r="B308" s="61"/>
      <c r="C308" s="61"/>
      <c r="D308" s="61"/>
      <c r="E308" s="61"/>
      <c r="F308" s="20">
        <f t="array" ref="F308">_xlfn.XLOOKUP(A308,'WK 47'!A:A,'WK 47'!F:F,"")</f>
        <v>0</v>
      </c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</row>
    <row r="309" customHeight="1" spans="1:37">
      <c r="A309" s="61"/>
      <c r="B309" s="61"/>
      <c r="C309" s="61"/>
      <c r="D309" s="61"/>
      <c r="E309" s="61"/>
      <c r="F309" s="20">
        <f t="array" ref="F309">_xlfn.XLOOKUP(A309,'WK 47'!A:A,'WK 47'!F:F,"")</f>
        <v>0</v>
      </c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</row>
    <row r="310" customHeight="1" spans="1:37">
      <c r="A310" s="61"/>
      <c r="B310" s="61"/>
      <c r="C310" s="61"/>
      <c r="D310" s="61"/>
      <c r="E310" s="61"/>
      <c r="F310" s="20">
        <f t="array" ref="F310">_xlfn.XLOOKUP(A310,'WK 47'!A:A,'WK 47'!F:F,"")</f>
        <v>0</v>
      </c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</row>
    <row r="311" customHeight="1" spans="1:37">
      <c r="A311" s="61"/>
      <c r="B311" s="61"/>
      <c r="C311" s="61"/>
      <c r="D311" s="61"/>
      <c r="E311" s="61"/>
      <c r="F311" s="20">
        <f t="array" ref="F311">_xlfn.XLOOKUP(A311,'WK 47'!A:A,'WK 47'!F:F,"")</f>
        <v>0</v>
      </c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</row>
    <row r="312" customHeight="1" spans="1:37">
      <c r="A312" s="61"/>
      <c r="B312" s="61"/>
      <c r="C312" s="61"/>
      <c r="D312" s="61"/>
      <c r="E312" s="61"/>
      <c r="F312" s="20">
        <f t="array" ref="F312">_xlfn.XLOOKUP(A312,'WK 47'!A:A,'WK 47'!F:F,"")</f>
        <v>0</v>
      </c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</row>
    <row r="313" customHeight="1" spans="1:37">
      <c r="A313" s="61"/>
      <c r="B313" s="61"/>
      <c r="C313" s="61"/>
      <c r="D313" s="61"/>
      <c r="E313" s="61"/>
      <c r="F313" s="20">
        <f t="array" ref="F313">_xlfn.XLOOKUP(A313,'WK 47'!A:A,'WK 47'!F:F,"")</f>
        <v>0</v>
      </c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</row>
    <row r="314" customHeight="1" spans="1:37">
      <c r="A314" s="61"/>
      <c r="B314" s="61"/>
      <c r="C314" s="61"/>
      <c r="D314" s="61"/>
      <c r="E314" s="61"/>
      <c r="F314" s="20">
        <f t="array" ref="F314">_xlfn.XLOOKUP(A314,'WK 47'!A:A,'WK 47'!F:F,"")</f>
        <v>0</v>
      </c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</row>
    <row r="315" customHeight="1" spans="1:37">
      <c r="A315" s="61"/>
      <c r="B315" s="61"/>
      <c r="C315" s="61"/>
      <c r="D315" s="61"/>
      <c r="E315" s="61"/>
      <c r="F315" s="20">
        <f t="array" ref="F315">_xlfn.XLOOKUP(A315,'WK 47'!A:A,'WK 47'!F:F,"")</f>
        <v>0</v>
      </c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</row>
    <row r="316" customHeight="1" spans="1:37">
      <c r="A316" s="61"/>
      <c r="B316" s="61"/>
      <c r="C316" s="61"/>
      <c r="D316" s="61"/>
      <c r="E316" s="61"/>
      <c r="F316" s="20">
        <f t="array" ref="F316">_xlfn.XLOOKUP(A316,'WK 47'!A:A,'WK 47'!F:F,"")</f>
        <v>0</v>
      </c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</row>
    <row r="317" customHeight="1" spans="1:37">
      <c r="A317" s="61"/>
      <c r="B317" s="61"/>
      <c r="C317" s="61"/>
      <c r="D317" s="61"/>
      <c r="E317" s="61"/>
      <c r="F317" s="20">
        <f t="array" ref="F317">_xlfn.XLOOKUP(A317,'WK 47'!A:A,'WK 47'!F:F,"")</f>
        <v>0</v>
      </c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</row>
    <row r="318" customHeight="1" spans="1:37">
      <c r="A318" s="61"/>
      <c r="B318" s="61"/>
      <c r="C318" s="61"/>
      <c r="D318" s="61"/>
      <c r="E318" s="61"/>
      <c r="F318" s="20">
        <f t="array" ref="F318">_xlfn.XLOOKUP(A318,'WK 47'!A:A,'WK 47'!F:F,"")</f>
        <v>0</v>
      </c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</row>
    <row r="319" customHeight="1" spans="1:37">
      <c r="A319" s="61"/>
      <c r="B319" s="61"/>
      <c r="C319" s="61"/>
      <c r="D319" s="61"/>
      <c r="E319" s="61"/>
      <c r="F319" s="20">
        <f t="array" ref="F319">_xlfn.XLOOKUP(A319,'WK 47'!A:A,'WK 47'!F:F,"")</f>
        <v>0</v>
      </c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</row>
    <row r="320" customHeight="1" spans="1:37">
      <c r="A320" s="61"/>
      <c r="B320" s="61"/>
      <c r="C320" s="61"/>
      <c r="D320" s="61"/>
      <c r="E320" s="61"/>
      <c r="F320" s="20">
        <f t="array" ref="F320">_xlfn.XLOOKUP(A320,'WK 47'!A:A,'WK 47'!F:F,"")</f>
        <v>0</v>
      </c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</row>
    <row r="321" customHeight="1" spans="1:37">
      <c r="A321" s="61"/>
      <c r="B321" s="61"/>
      <c r="C321" s="61"/>
      <c r="D321" s="61"/>
      <c r="E321" s="61"/>
      <c r="F321" s="20">
        <f t="array" ref="F321">_xlfn.XLOOKUP(A321,'WK 47'!A:A,'WK 47'!F:F,"")</f>
        <v>0</v>
      </c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</row>
    <row r="322" customHeight="1" spans="1:37">
      <c r="A322" s="61"/>
      <c r="B322" s="61"/>
      <c r="C322" s="61"/>
      <c r="D322" s="61"/>
      <c r="E322" s="61"/>
      <c r="F322" s="20">
        <f t="array" ref="F322">_xlfn.XLOOKUP(A322,'WK 47'!A:A,'WK 47'!F:F,"")</f>
        <v>0</v>
      </c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</row>
    <row r="323" customHeight="1" spans="1:37">
      <c r="A323" s="61"/>
      <c r="B323" s="61"/>
      <c r="C323" s="61"/>
      <c r="D323" s="61"/>
      <c r="E323" s="61"/>
      <c r="F323" s="20">
        <f t="array" ref="F323">_xlfn.XLOOKUP(A323,'WK 47'!A:A,'WK 47'!F:F,"")</f>
        <v>0</v>
      </c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</row>
    <row r="324" customHeight="1" spans="1:37">
      <c r="A324" s="61"/>
      <c r="B324" s="61"/>
      <c r="C324" s="61"/>
      <c r="D324" s="61"/>
      <c r="E324" s="61"/>
      <c r="F324" s="20">
        <f t="array" ref="F324">_xlfn.XLOOKUP(A324,'WK 47'!A:A,'WK 47'!F:F,"")</f>
        <v>0</v>
      </c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</row>
    <row r="325" customHeight="1" spans="1:37">
      <c r="A325" s="61"/>
      <c r="B325" s="61"/>
      <c r="C325" s="61"/>
      <c r="D325" s="61"/>
      <c r="E325" s="61"/>
      <c r="F325" s="20">
        <f t="array" ref="F325">_xlfn.XLOOKUP(A325,'WK 47'!A:A,'WK 47'!F:F,"")</f>
        <v>0</v>
      </c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</row>
    <row r="326" customHeight="1" spans="1:37">
      <c r="A326" s="61"/>
      <c r="B326" s="61"/>
      <c r="C326" s="61"/>
      <c r="D326" s="61"/>
      <c r="E326" s="61"/>
      <c r="F326" s="20">
        <f t="array" ref="F326">_xlfn.XLOOKUP(A326,'WK 47'!A:A,'WK 47'!F:F,"")</f>
        <v>0</v>
      </c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</row>
    <row r="327" customHeight="1" spans="1:37">
      <c r="A327" s="61"/>
      <c r="B327" s="61"/>
      <c r="C327" s="61"/>
      <c r="D327" s="61"/>
      <c r="E327" s="61"/>
      <c r="F327" s="20">
        <f t="array" ref="F327">_xlfn.XLOOKUP(A327,'WK 47'!A:A,'WK 47'!F:F,"")</f>
        <v>0</v>
      </c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</row>
    <row r="328" customHeight="1" spans="1:37">
      <c r="A328" s="61"/>
      <c r="B328" s="61"/>
      <c r="C328" s="61"/>
      <c r="D328" s="61"/>
      <c r="E328" s="61"/>
      <c r="F328" s="20">
        <f t="array" ref="F328">_xlfn.XLOOKUP(A328,'WK 47'!A:A,'WK 47'!F:F,"")</f>
        <v>0</v>
      </c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</row>
    <row r="329" customHeight="1" spans="1:37">
      <c r="A329" s="61"/>
      <c r="B329" s="61"/>
      <c r="C329" s="61"/>
      <c r="D329" s="61"/>
      <c r="E329" s="61"/>
      <c r="F329" s="20">
        <f t="array" ref="F329">_xlfn.XLOOKUP(A329,'WK 47'!A:A,'WK 47'!F:F,"")</f>
        <v>0</v>
      </c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</row>
    <row r="330" customHeight="1" spans="1:37">
      <c r="A330" s="61"/>
      <c r="B330" s="61"/>
      <c r="C330" s="61"/>
      <c r="D330" s="61"/>
      <c r="E330" s="61"/>
      <c r="F330" s="20">
        <f t="array" ref="F330">_xlfn.XLOOKUP(A330,'WK 47'!A:A,'WK 47'!F:F,"")</f>
        <v>0</v>
      </c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</row>
    <row r="331" customHeight="1" spans="1:37">
      <c r="A331" s="61"/>
      <c r="B331" s="61"/>
      <c r="C331" s="61"/>
      <c r="D331" s="61"/>
      <c r="E331" s="61"/>
      <c r="F331" s="20">
        <f t="array" ref="F331">_xlfn.XLOOKUP(A331,'WK 47'!A:A,'WK 47'!F:F,"")</f>
        <v>0</v>
      </c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</row>
    <row r="332" customHeight="1" spans="1:37">
      <c r="A332" s="61"/>
      <c r="B332" s="61"/>
      <c r="C332" s="61"/>
      <c r="D332" s="61"/>
      <c r="E332" s="61"/>
      <c r="F332" s="20">
        <f t="array" ref="F332">_xlfn.XLOOKUP(A332,'WK 47'!A:A,'WK 47'!F:F,"")</f>
        <v>0</v>
      </c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</row>
    <row r="333" customHeight="1" spans="1:37">
      <c r="A333" s="61"/>
      <c r="B333" s="61"/>
      <c r="C333" s="61"/>
      <c r="D333" s="61"/>
      <c r="E333" s="61"/>
      <c r="F333" s="20">
        <f t="array" ref="F333">_xlfn.XLOOKUP(A333,'WK 47'!A:A,'WK 47'!F:F,"")</f>
        <v>0</v>
      </c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</row>
    <row r="334" customHeight="1" spans="1:37">
      <c r="A334" s="61"/>
      <c r="B334" s="61"/>
      <c r="C334" s="61"/>
      <c r="D334" s="61"/>
      <c r="E334" s="61"/>
      <c r="F334" s="20">
        <f t="array" ref="F334">_xlfn.XLOOKUP(A334,'WK 47'!A:A,'WK 47'!F:F,"")</f>
        <v>0</v>
      </c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</row>
    <row r="335" customHeight="1" spans="1:37">
      <c r="A335" s="61"/>
      <c r="B335" s="61"/>
      <c r="C335" s="61"/>
      <c r="D335" s="61"/>
      <c r="E335" s="61"/>
      <c r="F335" s="20">
        <f t="array" ref="F335">_xlfn.XLOOKUP(A335,'WK 47'!A:A,'WK 47'!F:F,"")</f>
        <v>0</v>
      </c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</row>
    <row r="336" customHeight="1" spans="1:37">
      <c r="A336" s="61"/>
      <c r="B336" s="61"/>
      <c r="C336" s="61"/>
      <c r="D336" s="61"/>
      <c r="E336" s="61"/>
      <c r="F336" s="20">
        <f t="array" ref="F336">_xlfn.XLOOKUP(A336,'WK 47'!A:A,'WK 47'!F:F,"")</f>
        <v>0</v>
      </c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</row>
    <row r="337" customHeight="1" spans="1:37">
      <c r="A337" s="61"/>
      <c r="B337" s="61"/>
      <c r="C337" s="61"/>
      <c r="D337" s="61"/>
      <c r="E337" s="61"/>
      <c r="F337" s="20">
        <f t="array" ref="F337">_xlfn.XLOOKUP(A337,'WK 47'!A:A,'WK 47'!F:F,"")</f>
        <v>0</v>
      </c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</row>
    <row r="338" customHeight="1" spans="1:37">
      <c r="A338" s="61"/>
      <c r="B338" s="61"/>
      <c r="C338" s="61"/>
      <c r="D338" s="61"/>
      <c r="E338" s="61"/>
      <c r="F338" s="20">
        <f t="array" ref="F338">_xlfn.XLOOKUP(A338,'WK 47'!A:A,'WK 47'!F:F,"")</f>
        <v>0</v>
      </c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</row>
    <row r="339" customHeight="1" spans="1:37">
      <c r="A339" s="61"/>
      <c r="B339" s="61"/>
      <c r="C339" s="61"/>
      <c r="D339" s="61"/>
      <c r="E339" s="61"/>
      <c r="F339" s="20">
        <f t="array" ref="F339">_xlfn.XLOOKUP(A339,'WK 47'!A:A,'WK 47'!F:F,"")</f>
        <v>0</v>
      </c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</row>
    <row r="340" customHeight="1" spans="1:37">
      <c r="A340" s="61"/>
      <c r="B340" s="61"/>
      <c r="C340" s="61"/>
      <c r="D340" s="61"/>
      <c r="E340" s="61"/>
      <c r="F340" s="20">
        <f t="array" ref="F340">_xlfn.XLOOKUP(A340,'WK 47'!A:A,'WK 47'!F:F,"")</f>
        <v>0</v>
      </c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</row>
    <row r="341" customHeight="1" spans="1:37">
      <c r="A341" s="61"/>
      <c r="B341" s="61"/>
      <c r="C341" s="61"/>
      <c r="D341" s="61"/>
      <c r="E341" s="61"/>
      <c r="F341" s="20">
        <f t="array" ref="F341">_xlfn.XLOOKUP(A341,'WK 47'!A:A,'WK 47'!F:F,"")</f>
        <v>0</v>
      </c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</row>
    <row r="342" customHeight="1" spans="1:37">
      <c r="A342" s="61"/>
      <c r="B342" s="61"/>
      <c r="C342" s="61"/>
      <c r="D342" s="61"/>
      <c r="E342" s="61"/>
      <c r="F342" s="20">
        <f t="array" ref="F342">_xlfn.XLOOKUP(A342,'WK 47'!A:A,'WK 47'!F:F,"")</f>
        <v>0</v>
      </c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</row>
    <row r="343" customHeight="1" spans="1:37">
      <c r="A343" s="61"/>
      <c r="B343" s="61"/>
      <c r="C343" s="61"/>
      <c r="D343" s="61"/>
      <c r="E343" s="61"/>
      <c r="F343" s="20">
        <f t="array" ref="F343">_xlfn.XLOOKUP(A343,'WK 47'!A:A,'WK 47'!F:F,"")</f>
        <v>0</v>
      </c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</row>
    <row r="344" customHeight="1" spans="1:37">
      <c r="A344" s="61"/>
      <c r="B344" s="61"/>
      <c r="C344" s="61"/>
      <c r="D344" s="61"/>
      <c r="E344" s="61"/>
      <c r="F344" s="20">
        <f t="array" ref="F344">_xlfn.XLOOKUP(A344,'WK 47'!A:A,'WK 47'!F:F,"")</f>
        <v>0</v>
      </c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</row>
    <row r="345" customHeight="1" spans="1:37">
      <c r="A345" s="61"/>
      <c r="B345" s="61"/>
      <c r="C345" s="61"/>
      <c r="D345" s="61"/>
      <c r="E345" s="61"/>
      <c r="F345" s="20">
        <f t="array" ref="F345">_xlfn.XLOOKUP(A345,'WK 47'!A:A,'WK 47'!F:F,"")</f>
        <v>0</v>
      </c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</row>
    <row r="346" customHeight="1" spans="1:37">
      <c r="A346" s="61"/>
      <c r="B346" s="61"/>
      <c r="C346" s="61"/>
      <c r="D346" s="61"/>
      <c r="E346" s="61"/>
      <c r="F346" s="20">
        <f t="array" ref="F346">_xlfn.XLOOKUP(A346,'WK 47'!A:A,'WK 47'!F:F,"")</f>
        <v>0</v>
      </c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</row>
    <row r="347" customHeight="1" spans="1:37">
      <c r="A347" s="61"/>
      <c r="B347" s="61"/>
      <c r="C347" s="61"/>
      <c r="D347" s="61"/>
      <c r="E347" s="61"/>
      <c r="F347" s="20">
        <f t="array" ref="F347">_xlfn.XLOOKUP(A347,'WK 47'!A:A,'WK 47'!F:F,"")</f>
        <v>0</v>
      </c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</row>
    <row r="348" customHeight="1" spans="1:37">
      <c r="A348" s="61"/>
      <c r="B348" s="61"/>
      <c r="C348" s="61"/>
      <c r="D348" s="61"/>
      <c r="E348" s="61"/>
      <c r="F348" s="20">
        <f t="array" ref="F348">_xlfn.XLOOKUP(A348,'WK 47'!A:A,'WK 47'!F:F,"")</f>
        <v>0</v>
      </c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</row>
    <row r="349" customHeight="1" spans="1:37">
      <c r="A349" s="61"/>
      <c r="B349" s="61"/>
      <c r="C349" s="61"/>
      <c r="D349" s="61"/>
      <c r="E349" s="61"/>
      <c r="F349" s="20">
        <f t="array" ref="F349">_xlfn.XLOOKUP(A349,'WK 47'!A:A,'WK 47'!F:F,"")</f>
        <v>0</v>
      </c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</row>
    <row r="350" customHeight="1" spans="1:37">
      <c r="A350" s="61"/>
      <c r="B350" s="61"/>
      <c r="C350" s="61"/>
      <c r="D350" s="61"/>
      <c r="E350" s="61"/>
      <c r="F350" s="20">
        <f t="array" ref="F350">_xlfn.XLOOKUP(A350,'WK 47'!A:A,'WK 47'!F:F,"")</f>
        <v>0</v>
      </c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</row>
    <row r="351" customHeight="1" spans="1:37">
      <c r="A351" s="61"/>
      <c r="B351" s="61"/>
      <c r="C351" s="61"/>
      <c r="D351" s="61"/>
      <c r="E351" s="61"/>
      <c r="F351" s="20">
        <f t="array" ref="F351">_xlfn.XLOOKUP(A351,'WK 47'!A:A,'WK 47'!F:F,"")</f>
        <v>0</v>
      </c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</row>
    <row r="352" customHeight="1" spans="1:37">
      <c r="A352" s="61"/>
      <c r="B352" s="61"/>
      <c r="C352" s="61"/>
      <c r="D352" s="61"/>
      <c r="E352" s="61"/>
      <c r="F352" s="20">
        <f t="array" ref="F352">_xlfn.XLOOKUP(A352,'WK 47'!A:A,'WK 47'!F:F,"")</f>
        <v>0</v>
      </c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</row>
    <row r="353" customHeight="1" spans="1:37">
      <c r="A353" s="61"/>
      <c r="B353" s="61"/>
      <c r="C353" s="61"/>
      <c r="D353" s="61"/>
      <c r="E353" s="61"/>
      <c r="F353" s="20">
        <f t="array" ref="F353">_xlfn.XLOOKUP(A353,'WK 47'!A:A,'WK 47'!F:F,"")</f>
        <v>0</v>
      </c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</row>
    <row r="354" customHeight="1" spans="1:37">
      <c r="A354" s="61"/>
      <c r="B354" s="61"/>
      <c r="C354" s="61"/>
      <c r="D354" s="61"/>
      <c r="E354" s="61"/>
      <c r="F354" s="20">
        <f t="array" ref="F354">_xlfn.XLOOKUP(A354,'WK 47'!A:A,'WK 47'!F:F,"")</f>
        <v>0</v>
      </c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</row>
    <row r="355" customHeight="1" spans="1:37">
      <c r="A355" s="61"/>
      <c r="B355" s="61"/>
      <c r="C355" s="61"/>
      <c r="D355" s="61"/>
      <c r="E355" s="61"/>
      <c r="F355" s="20">
        <f t="array" ref="F355">_xlfn.XLOOKUP(A355,'WK 47'!A:A,'WK 47'!F:F,"")</f>
        <v>0</v>
      </c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</row>
    <row r="356" customHeight="1" spans="1:37">
      <c r="A356" s="61"/>
      <c r="B356" s="61"/>
      <c r="C356" s="61"/>
      <c r="D356" s="61"/>
      <c r="E356" s="61"/>
      <c r="F356" s="20">
        <f t="array" ref="F356">_xlfn.XLOOKUP(A356,'WK 47'!A:A,'WK 47'!F:F,"")</f>
        <v>0</v>
      </c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</row>
    <row r="357" customHeight="1" spans="1:37">
      <c r="A357" s="61"/>
      <c r="B357" s="61"/>
      <c r="C357" s="61"/>
      <c r="D357" s="61"/>
      <c r="E357" s="61"/>
      <c r="F357" s="20">
        <f t="array" ref="F357">_xlfn.XLOOKUP(A357,'WK 47'!A:A,'WK 47'!F:F,"")</f>
        <v>0</v>
      </c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</row>
    <row r="358" customHeight="1" spans="1:37">
      <c r="A358" s="61"/>
      <c r="B358" s="61"/>
      <c r="C358" s="61"/>
      <c r="D358" s="61"/>
      <c r="E358" s="61"/>
      <c r="F358" s="20">
        <f t="array" ref="F358">_xlfn.XLOOKUP(A358,'WK 47'!A:A,'WK 47'!F:F,"")</f>
        <v>0</v>
      </c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</row>
    <row r="359" customHeight="1" spans="1:37">
      <c r="A359" s="61"/>
      <c r="B359" s="61"/>
      <c r="C359" s="61"/>
      <c r="D359" s="61"/>
      <c r="E359" s="61"/>
      <c r="F359" s="20">
        <f t="array" ref="F359">_xlfn.XLOOKUP(A359,'WK 47'!A:A,'WK 47'!F:F,"")</f>
        <v>0</v>
      </c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</row>
    <row r="360" customHeight="1" spans="1:37">
      <c r="A360" s="61"/>
      <c r="B360" s="61"/>
      <c r="C360" s="61"/>
      <c r="D360" s="61"/>
      <c r="E360" s="61"/>
      <c r="F360" s="20">
        <f t="array" ref="F360">_xlfn.XLOOKUP(A360,'WK 47'!A:A,'WK 47'!F:F,"")</f>
        <v>0</v>
      </c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</row>
    <row r="361" customHeight="1" spans="1:37">
      <c r="A361" s="61"/>
      <c r="B361" s="61"/>
      <c r="C361" s="61"/>
      <c r="D361" s="61"/>
      <c r="E361" s="61"/>
      <c r="F361" s="20">
        <f t="array" ref="F361">_xlfn.XLOOKUP(A361,'WK 47'!A:A,'WK 47'!F:F,"")</f>
        <v>0</v>
      </c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</row>
    <row r="362" customHeight="1" spans="1:37">
      <c r="A362" s="61"/>
      <c r="B362" s="61"/>
      <c r="C362" s="61"/>
      <c r="D362" s="61"/>
      <c r="E362" s="61"/>
      <c r="F362" s="20">
        <f t="array" ref="F362">_xlfn.XLOOKUP(A362,'WK 47'!A:A,'WK 47'!F:F,"")</f>
        <v>0</v>
      </c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</row>
    <row r="363" customHeight="1" spans="1:37">
      <c r="A363" s="61"/>
      <c r="B363" s="61"/>
      <c r="C363" s="61"/>
      <c r="D363" s="61"/>
      <c r="E363" s="61"/>
      <c r="F363" s="20">
        <f t="array" ref="F363">_xlfn.XLOOKUP(A363,'WK 47'!A:A,'WK 47'!F:F,"")</f>
        <v>0</v>
      </c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</row>
    <row r="364" customHeight="1" spans="1:37">
      <c r="A364" s="61"/>
      <c r="B364" s="61"/>
      <c r="C364" s="61"/>
      <c r="D364" s="61"/>
      <c r="E364" s="61"/>
      <c r="F364" s="20">
        <f t="array" ref="F364">_xlfn.XLOOKUP(A364,'WK 47'!A:A,'WK 47'!F:F,"")</f>
        <v>0</v>
      </c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</row>
    <row r="365" customHeight="1" spans="1:37">
      <c r="A365" s="61"/>
      <c r="B365" s="61"/>
      <c r="C365" s="61"/>
      <c r="D365" s="61"/>
      <c r="E365" s="61"/>
      <c r="F365" s="20">
        <f t="array" ref="F365">_xlfn.XLOOKUP(A365,'WK 47'!A:A,'WK 47'!F:F,"")</f>
        <v>0</v>
      </c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</row>
    <row r="366" customHeight="1" spans="1:37">
      <c r="A366" s="61"/>
      <c r="B366" s="61"/>
      <c r="C366" s="61"/>
      <c r="D366" s="61"/>
      <c r="E366" s="61"/>
      <c r="F366" s="20">
        <f t="array" ref="F366">_xlfn.XLOOKUP(A366,'WK 47'!A:A,'WK 47'!F:F,"")</f>
        <v>0</v>
      </c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</row>
    <row r="367" customHeight="1" spans="1:37">
      <c r="A367" s="61"/>
      <c r="B367" s="61"/>
      <c r="C367" s="61"/>
      <c r="D367" s="61"/>
      <c r="E367" s="61"/>
      <c r="F367" s="20">
        <f t="array" ref="F367">_xlfn.XLOOKUP(A367,'WK 47'!A:A,'WK 47'!F:F,"")</f>
        <v>0</v>
      </c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</row>
    <row r="368" customHeight="1" spans="1:37">
      <c r="A368" s="61"/>
      <c r="B368" s="61"/>
      <c r="C368" s="61"/>
      <c r="D368" s="61"/>
      <c r="E368" s="61"/>
      <c r="F368" s="20">
        <f t="array" ref="F368">_xlfn.XLOOKUP(A368,'WK 47'!A:A,'WK 47'!F:F,"")</f>
        <v>0</v>
      </c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</row>
    <row r="369" customHeight="1" spans="1:37">
      <c r="A369" s="61"/>
      <c r="B369" s="61"/>
      <c r="C369" s="61"/>
      <c r="D369" s="61"/>
      <c r="E369" s="61"/>
      <c r="F369" s="20">
        <f t="array" ref="F369">_xlfn.XLOOKUP(A369,'WK 47'!A:A,'WK 47'!F:F,"")</f>
        <v>0</v>
      </c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</row>
    <row r="370" customHeight="1" spans="1:37">
      <c r="A370" s="61"/>
      <c r="B370" s="61"/>
      <c r="C370" s="61"/>
      <c r="D370" s="61"/>
      <c r="E370" s="61"/>
      <c r="F370" s="20">
        <f t="array" ref="F370">_xlfn.XLOOKUP(A370,'WK 47'!A:A,'WK 47'!F:F,"")</f>
        <v>0</v>
      </c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</row>
    <row r="371" customHeight="1" spans="1:37">
      <c r="A371" s="61"/>
      <c r="B371" s="61"/>
      <c r="C371" s="61"/>
      <c r="D371" s="61"/>
      <c r="E371" s="61"/>
      <c r="F371" s="20">
        <f t="array" ref="F371">_xlfn.XLOOKUP(A371,'WK 47'!A:A,'WK 47'!F:F,"")</f>
        <v>0</v>
      </c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</row>
    <row r="372" customHeight="1" spans="1:37">
      <c r="A372" s="61"/>
      <c r="B372" s="61"/>
      <c r="C372" s="61"/>
      <c r="D372" s="61"/>
      <c r="E372" s="61"/>
      <c r="F372" s="20">
        <f t="array" ref="F372">_xlfn.XLOOKUP(A372,'WK 47'!A:A,'WK 47'!F:F,"")</f>
        <v>0</v>
      </c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</row>
    <row r="373" customHeight="1" spans="1:37">
      <c r="A373" s="61"/>
      <c r="B373" s="61"/>
      <c r="C373" s="61"/>
      <c r="D373" s="61"/>
      <c r="E373" s="61"/>
      <c r="F373" s="20">
        <f t="array" ref="F373">_xlfn.XLOOKUP(A373,'WK 47'!A:A,'WK 47'!F:F,"")</f>
        <v>0</v>
      </c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</row>
    <row r="374" customHeight="1" spans="1:37">
      <c r="A374" s="61"/>
      <c r="B374" s="61"/>
      <c r="C374" s="61"/>
      <c r="D374" s="61"/>
      <c r="E374" s="61"/>
      <c r="F374" s="20">
        <f t="array" ref="F374">_xlfn.XLOOKUP(A374,'WK 47'!A:A,'WK 47'!F:F,"")</f>
        <v>0</v>
      </c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</row>
    <row r="375" customHeight="1" spans="1:37">
      <c r="A375" s="61"/>
      <c r="B375" s="61"/>
      <c r="C375" s="61"/>
      <c r="D375" s="61"/>
      <c r="E375" s="61"/>
      <c r="F375" s="20">
        <f t="array" ref="F375">_xlfn.XLOOKUP(A375,'WK 47'!A:A,'WK 47'!F:F,"")</f>
        <v>0</v>
      </c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</row>
    <row r="376" customHeight="1" spans="1:37">
      <c r="A376" s="61"/>
      <c r="B376" s="61"/>
      <c r="C376" s="61"/>
      <c r="D376" s="61"/>
      <c r="E376" s="61"/>
      <c r="F376" s="20">
        <f t="array" ref="F376">_xlfn.XLOOKUP(A376,'WK 47'!A:A,'WK 47'!F:F,"")</f>
        <v>0</v>
      </c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</row>
    <row r="377" customHeight="1" spans="1:37">
      <c r="A377" s="61"/>
      <c r="B377" s="61"/>
      <c r="C377" s="61"/>
      <c r="D377" s="61"/>
      <c r="E377" s="61"/>
      <c r="F377" s="20">
        <f t="array" ref="F377">_xlfn.XLOOKUP(A377,'WK 47'!A:A,'WK 47'!F:F,"")</f>
        <v>0</v>
      </c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</row>
    <row r="378" customHeight="1" spans="1:37">
      <c r="A378" s="61"/>
      <c r="B378" s="61"/>
      <c r="C378" s="61"/>
      <c r="D378" s="61"/>
      <c r="E378" s="61"/>
      <c r="F378" s="20">
        <f t="array" ref="F378">_xlfn.XLOOKUP(A378,'WK 47'!A:A,'WK 47'!F:F,"")</f>
        <v>0</v>
      </c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</row>
    <row r="379" customHeight="1" spans="1:37">
      <c r="A379" s="61"/>
      <c r="B379" s="61"/>
      <c r="C379" s="61"/>
      <c r="D379" s="61"/>
      <c r="E379" s="61"/>
      <c r="F379" s="20">
        <f t="array" ref="F379">_xlfn.XLOOKUP(A379,'WK 47'!A:A,'WK 47'!F:F,"")</f>
        <v>0</v>
      </c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</row>
    <row r="380" customHeight="1" spans="1:37">
      <c r="A380" s="61"/>
      <c r="B380" s="61"/>
      <c r="C380" s="61"/>
      <c r="D380" s="61"/>
      <c r="E380" s="61"/>
      <c r="F380" s="20">
        <f t="array" ref="F380">_xlfn.XLOOKUP(A380,'WK 47'!A:A,'WK 47'!F:F,"")</f>
        <v>0</v>
      </c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</row>
    <row r="381" customHeight="1" spans="1:37">
      <c r="A381" s="61"/>
      <c r="B381" s="61"/>
      <c r="C381" s="61"/>
      <c r="D381" s="61"/>
      <c r="E381" s="61"/>
      <c r="F381" s="20">
        <f t="array" ref="F381">_xlfn.XLOOKUP(A381,'WK 47'!A:A,'WK 47'!F:F,"")</f>
        <v>0</v>
      </c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</row>
    <row r="382" customHeight="1" spans="1:37">
      <c r="A382" s="61"/>
      <c r="B382" s="61"/>
      <c r="C382" s="61"/>
      <c r="D382" s="61"/>
      <c r="E382" s="61"/>
      <c r="F382" s="20">
        <f t="array" ref="F382">_xlfn.XLOOKUP(A382,'WK 47'!A:A,'WK 47'!F:F,"")</f>
        <v>0</v>
      </c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</row>
    <row r="383" customHeight="1" spans="1:37">
      <c r="A383" s="61"/>
      <c r="B383" s="61"/>
      <c r="C383" s="61"/>
      <c r="D383" s="61"/>
      <c r="E383" s="61"/>
      <c r="F383" s="20">
        <f t="array" ref="F383">_xlfn.XLOOKUP(A383,'WK 47'!A:A,'WK 47'!F:F,"")</f>
        <v>0</v>
      </c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</row>
    <row r="384" customHeight="1" spans="1:37">
      <c r="A384" s="61"/>
      <c r="B384" s="61"/>
      <c r="C384" s="61"/>
      <c r="D384" s="61"/>
      <c r="E384" s="61"/>
      <c r="F384" s="20">
        <f t="array" ref="F384">_xlfn.XLOOKUP(A384,'WK 47'!A:A,'WK 47'!F:F,"")</f>
        <v>0</v>
      </c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</row>
    <row r="385" customHeight="1" spans="1:37">
      <c r="A385" s="61"/>
      <c r="B385" s="61"/>
      <c r="C385" s="61"/>
      <c r="D385" s="61"/>
      <c r="E385" s="61"/>
      <c r="F385" s="20">
        <f t="array" ref="F385">_xlfn.XLOOKUP(A385,'WK 47'!A:A,'WK 47'!F:F,"")</f>
        <v>0</v>
      </c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</row>
    <row r="386" customHeight="1" spans="1:37">
      <c r="A386" s="61"/>
      <c r="B386" s="61"/>
      <c r="C386" s="61"/>
      <c r="D386" s="61"/>
      <c r="E386" s="61"/>
      <c r="F386" s="20">
        <f t="array" ref="F386">_xlfn.XLOOKUP(A386,'WK 47'!A:A,'WK 47'!F:F,"")</f>
        <v>0</v>
      </c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</row>
    <row r="387" customHeight="1" spans="1:37">
      <c r="A387" s="61"/>
      <c r="B387" s="61"/>
      <c r="C387" s="61"/>
      <c r="D387" s="61"/>
      <c r="E387" s="61"/>
      <c r="F387" s="20">
        <f t="array" ref="F387">_xlfn.XLOOKUP(A387,'WK 47'!A:A,'WK 47'!F:F,"")</f>
        <v>0</v>
      </c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</row>
    <row r="388" customHeight="1" spans="1:37">
      <c r="A388" s="61"/>
      <c r="B388" s="61"/>
      <c r="C388" s="61"/>
      <c r="D388" s="61"/>
      <c r="E388" s="61"/>
      <c r="F388" s="20">
        <f t="array" ref="F388">_xlfn.XLOOKUP(A388,'WK 47'!A:A,'WK 47'!F:F,"")</f>
        <v>0</v>
      </c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</row>
    <row r="389" customHeight="1" spans="1:37">
      <c r="A389" s="61"/>
      <c r="B389" s="61"/>
      <c r="C389" s="61"/>
      <c r="D389" s="61"/>
      <c r="E389" s="61"/>
      <c r="F389" s="20">
        <f t="array" ref="F389">_xlfn.XLOOKUP(A389,'WK 47'!A:A,'WK 47'!F:F,"")</f>
        <v>0</v>
      </c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</row>
    <row r="390" customHeight="1" spans="1:37">
      <c r="A390" s="61"/>
      <c r="B390" s="61"/>
      <c r="C390" s="61"/>
      <c r="D390" s="61"/>
      <c r="E390" s="61"/>
      <c r="F390" s="20">
        <f t="array" ref="F390">_xlfn.XLOOKUP(A390,'WK 47'!A:A,'WK 47'!F:F,"")</f>
        <v>0</v>
      </c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</row>
    <row r="391" customHeight="1" spans="1:37">
      <c r="A391" s="61"/>
      <c r="B391" s="61"/>
      <c r="C391" s="61"/>
      <c r="D391" s="61"/>
      <c r="E391" s="61"/>
      <c r="F391" s="20">
        <f t="array" ref="F391">_xlfn.XLOOKUP(A391,'WK 47'!A:A,'WK 47'!F:F,"")</f>
        <v>0</v>
      </c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</row>
    <row r="392" customHeight="1" spans="1:37">
      <c r="A392" s="61"/>
      <c r="B392" s="61"/>
      <c r="C392" s="61"/>
      <c r="D392" s="61"/>
      <c r="E392" s="61"/>
      <c r="F392" s="20">
        <f t="array" ref="F392">_xlfn.XLOOKUP(A392,'WK 47'!A:A,'WK 47'!F:F,"")</f>
        <v>0</v>
      </c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</row>
    <row r="393" customHeight="1" spans="1:37">
      <c r="A393" s="61"/>
      <c r="B393" s="61"/>
      <c r="C393" s="61"/>
      <c r="D393" s="61"/>
      <c r="E393" s="61"/>
      <c r="F393" s="20">
        <f t="array" ref="F393">_xlfn.XLOOKUP(A393,'WK 47'!A:A,'WK 47'!F:F,"")</f>
        <v>0</v>
      </c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</row>
    <row r="394" customHeight="1" spans="1:37">
      <c r="A394" s="61"/>
      <c r="B394" s="61"/>
      <c r="C394" s="61"/>
      <c r="D394" s="61"/>
      <c r="E394" s="61"/>
      <c r="F394" s="20">
        <f t="array" ref="F394">_xlfn.XLOOKUP(A394,'WK 47'!A:A,'WK 47'!F:F,"")</f>
        <v>0</v>
      </c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</row>
    <row r="395" customHeight="1" spans="1:37">
      <c r="A395" s="61"/>
      <c r="B395" s="61"/>
      <c r="C395" s="61"/>
      <c r="D395" s="61"/>
      <c r="E395" s="61"/>
      <c r="F395" s="20">
        <f t="array" ref="F395">_xlfn.XLOOKUP(A395,'WK 47'!A:A,'WK 47'!F:F,"")</f>
        <v>0</v>
      </c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</row>
    <row r="396" customHeight="1" spans="1:37">
      <c r="A396" s="61"/>
      <c r="B396" s="61"/>
      <c r="C396" s="61"/>
      <c r="D396" s="61"/>
      <c r="E396" s="61"/>
      <c r="F396" s="20">
        <f t="array" ref="F396">_xlfn.XLOOKUP(A396,'WK 47'!A:A,'WK 47'!F:F,"")</f>
        <v>0</v>
      </c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</row>
    <row r="397" customHeight="1" spans="1:37">
      <c r="A397" s="61"/>
      <c r="B397" s="61"/>
      <c r="C397" s="61"/>
      <c r="D397" s="61"/>
      <c r="E397" s="61"/>
      <c r="F397" s="20">
        <f t="array" ref="F397">_xlfn.XLOOKUP(A397,'WK 47'!A:A,'WK 47'!F:F,"")</f>
        <v>0</v>
      </c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</row>
    <row r="398" customHeight="1" spans="1:37">
      <c r="A398" s="61"/>
      <c r="B398" s="61"/>
      <c r="C398" s="61"/>
      <c r="D398" s="61"/>
      <c r="E398" s="61"/>
      <c r="F398" s="20">
        <f t="array" ref="F398">_xlfn.XLOOKUP(A398,'WK 47'!A:A,'WK 47'!F:F,"")</f>
        <v>0</v>
      </c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</row>
    <row r="399" customHeight="1" spans="1:37">
      <c r="A399" s="61"/>
      <c r="B399" s="61"/>
      <c r="C399" s="61"/>
      <c r="D399" s="61"/>
      <c r="E399" s="61"/>
      <c r="F399" s="20">
        <f t="array" ref="F399">_xlfn.XLOOKUP(A399,'WK 47'!A:A,'WK 47'!F:F,"")</f>
        <v>0</v>
      </c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</row>
    <row r="400" customHeight="1" spans="1:37">
      <c r="A400" s="61"/>
      <c r="B400" s="61"/>
      <c r="C400" s="61"/>
      <c r="D400" s="61"/>
      <c r="E400" s="61"/>
      <c r="F400" s="20">
        <f t="array" ref="F400">_xlfn.XLOOKUP(A400,'WK 47'!A:A,'WK 47'!F:F,"")</f>
        <v>0</v>
      </c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</row>
    <row r="401" customHeight="1" spans="1:37">
      <c r="A401" s="61"/>
      <c r="B401" s="61"/>
      <c r="C401" s="61"/>
      <c r="D401" s="61"/>
      <c r="E401" s="61"/>
      <c r="F401" s="20">
        <f t="array" ref="F401">_xlfn.XLOOKUP(A401,'WK 47'!A:A,'WK 47'!F:F,"")</f>
        <v>0</v>
      </c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</row>
    <row r="402" customHeight="1" spans="1:37">
      <c r="A402" s="61"/>
      <c r="B402" s="61"/>
      <c r="C402" s="61"/>
      <c r="D402" s="61"/>
      <c r="E402" s="61"/>
      <c r="F402" s="20">
        <f t="array" ref="F402">_xlfn.XLOOKUP(A402,'WK 47'!A:A,'WK 47'!F:F,"")</f>
        <v>0</v>
      </c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</row>
    <row r="403" customHeight="1" spans="1:37">
      <c r="A403" s="61"/>
      <c r="B403" s="61"/>
      <c r="C403" s="61"/>
      <c r="D403" s="61"/>
      <c r="E403" s="61"/>
      <c r="F403" s="20">
        <f t="array" ref="F403">_xlfn.XLOOKUP(A403,'WK 47'!A:A,'WK 47'!F:F,"")</f>
        <v>0</v>
      </c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</row>
    <row r="404" customHeight="1" spans="1:37">
      <c r="A404" s="61"/>
      <c r="B404" s="61"/>
      <c r="C404" s="61"/>
      <c r="D404" s="61"/>
      <c r="E404" s="61"/>
      <c r="F404" s="20">
        <f t="array" ref="F404">_xlfn.XLOOKUP(A404,'WK 47'!A:A,'WK 47'!F:F,"")</f>
        <v>0</v>
      </c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</row>
    <row r="405" customHeight="1" spans="1:37">
      <c r="A405" s="61"/>
      <c r="B405" s="61"/>
      <c r="C405" s="61"/>
      <c r="D405" s="61"/>
      <c r="E405" s="61"/>
      <c r="F405" s="20">
        <f t="array" ref="F405">_xlfn.XLOOKUP(A405,'WK 47'!A:A,'WK 47'!F:F,"")</f>
        <v>0</v>
      </c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</row>
    <row r="406" customHeight="1" spans="1:37">
      <c r="A406" s="61"/>
      <c r="B406" s="61"/>
      <c r="C406" s="61"/>
      <c r="D406" s="61"/>
      <c r="E406" s="61"/>
      <c r="F406" s="20">
        <f t="array" ref="F406">_xlfn.XLOOKUP(A406,'WK 47'!A:A,'WK 47'!F:F,"")</f>
        <v>0</v>
      </c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</row>
    <row r="407" customHeight="1" spans="1:37">
      <c r="A407" s="61"/>
      <c r="B407" s="61"/>
      <c r="C407" s="61"/>
      <c r="D407" s="61"/>
      <c r="E407" s="61"/>
      <c r="F407" s="20">
        <f t="array" ref="F407">_xlfn.XLOOKUP(A407,'WK 47'!A:A,'WK 47'!F:F,"")</f>
        <v>0</v>
      </c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</row>
    <row r="408" customHeight="1" spans="1:37">
      <c r="A408" s="61"/>
      <c r="B408" s="61"/>
      <c r="C408" s="61"/>
      <c r="D408" s="61"/>
      <c r="E408" s="61"/>
      <c r="F408" s="20">
        <f t="array" ref="F408">_xlfn.XLOOKUP(A408,'WK 47'!A:A,'WK 47'!F:F,"")</f>
        <v>0</v>
      </c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</row>
    <row r="409" customHeight="1" spans="1:37">
      <c r="A409" s="61"/>
      <c r="B409" s="61"/>
      <c r="C409" s="61"/>
      <c r="D409" s="61"/>
      <c r="E409" s="61"/>
      <c r="F409" s="20">
        <f t="array" ref="F409">_xlfn.XLOOKUP(A409,'WK 47'!A:A,'WK 47'!F:F,"")</f>
        <v>0</v>
      </c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</row>
    <row r="410" customHeight="1" spans="1:37">
      <c r="A410" s="61"/>
      <c r="B410" s="61"/>
      <c r="C410" s="61"/>
      <c r="D410" s="61"/>
      <c r="E410" s="61"/>
      <c r="F410" s="20">
        <f t="array" ref="F410">_xlfn.XLOOKUP(A410,'WK 47'!A:A,'WK 47'!F:F,"")</f>
        <v>0</v>
      </c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</row>
    <row r="411" customHeight="1" spans="1:37">
      <c r="A411" s="61"/>
      <c r="B411" s="61"/>
      <c r="C411" s="61"/>
      <c r="D411" s="61"/>
      <c r="E411" s="61"/>
      <c r="F411" s="20">
        <f t="array" ref="F411">_xlfn.XLOOKUP(A411,'WK 47'!A:A,'WK 47'!F:F,"")</f>
        <v>0</v>
      </c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</row>
    <row r="412" customHeight="1" spans="1:37">
      <c r="A412" s="61"/>
      <c r="B412" s="61"/>
      <c r="C412" s="61"/>
      <c r="D412" s="61"/>
      <c r="E412" s="61"/>
      <c r="F412" s="20">
        <f t="array" ref="F412">_xlfn.XLOOKUP(A412,'WK 47'!A:A,'WK 47'!F:F,"")</f>
        <v>0</v>
      </c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</row>
    <row r="413" customHeight="1" spans="1:37">
      <c r="A413" s="61"/>
      <c r="B413" s="61"/>
      <c r="C413" s="61"/>
      <c r="D413" s="61"/>
      <c r="E413" s="61"/>
      <c r="F413" s="20">
        <f t="array" ref="F413">_xlfn.XLOOKUP(A413,'WK 47'!A:A,'WK 47'!F:F,"")</f>
        <v>0</v>
      </c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</row>
    <row r="414" customHeight="1" spans="1:37">
      <c r="A414" s="61"/>
      <c r="B414" s="61"/>
      <c r="C414" s="61"/>
      <c r="D414" s="61"/>
      <c r="E414" s="61"/>
      <c r="F414" s="20">
        <f t="array" ref="F414">_xlfn.XLOOKUP(A414,'WK 47'!A:A,'WK 47'!F:F,"")</f>
        <v>0</v>
      </c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</row>
    <row r="415" customHeight="1" spans="1:37">
      <c r="A415" s="61"/>
      <c r="B415" s="61"/>
      <c r="C415" s="61"/>
      <c r="D415" s="61"/>
      <c r="E415" s="61"/>
      <c r="F415" s="20">
        <f t="array" ref="F415">_xlfn.XLOOKUP(A415,'WK 47'!A:A,'WK 47'!F:F,"")</f>
        <v>0</v>
      </c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</row>
    <row r="416" customHeight="1" spans="1:37">
      <c r="A416" s="61"/>
      <c r="B416" s="61"/>
      <c r="C416" s="61"/>
      <c r="D416" s="61"/>
      <c r="E416" s="61"/>
      <c r="F416" s="20">
        <f t="array" ref="F416">_xlfn.XLOOKUP(A416,'WK 47'!A:A,'WK 47'!F:F,"")</f>
        <v>0</v>
      </c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</row>
    <row r="417" customHeight="1" spans="1:37">
      <c r="A417" s="61"/>
      <c r="B417" s="61"/>
      <c r="C417" s="61"/>
      <c r="D417" s="61"/>
      <c r="E417" s="61"/>
      <c r="F417" s="20">
        <f t="array" ref="F417">_xlfn.XLOOKUP(A417,'WK 47'!A:A,'WK 47'!F:F,"")</f>
        <v>0</v>
      </c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</row>
    <row r="418" customHeight="1" spans="1:37">
      <c r="A418" s="61"/>
      <c r="B418" s="61"/>
      <c r="C418" s="61"/>
      <c r="D418" s="61"/>
      <c r="E418" s="61"/>
      <c r="F418" s="20">
        <f t="array" ref="F418">_xlfn.XLOOKUP(A418,'WK 47'!A:A,'WK 47'!F:F,"")</f>
        <v>0</v>
      </c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</row>
    <row r="419" customHeight="1" spans="1:37">
      <c r="A419" s="61"/>
      <c r="B419" s="61"/>
      <c r="C419" s="61"/>
      <c r="D419" s="61"/>
      <c r="E419" s="61"/>
      <c r="F419" s="20">
        <f t="array" ref="F419">_xlfn.XLOOKUP(A419,'WK 47'!A:A,'WK 47'!F:F,"")</f>
        <v>0</v>
      </c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</row>
    <row r="420" customHeight="1" spans="1:37">
      <c r="A420" s="61"/>
      <c r="B420" s="61"/>
      <c r="C420" s="61"/>
      <c r="D420" s="61"/>
      <c r="E420" s="61"/>
      <c r="F420" s="20">
        <f t="array" ref="F420">_xlfn.XLOOKUP(A420,'WK 47'!A:A,'WK 47'!F:F,"")</f>
        <v>0</v>
      </c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</row>
    <row r="421" customHeight="1" spans="1:37">
      <c r="A421" s="61"/>
      <c r="B421" s="61"/>
      <c r="C421" s="61"/>
      <c r="D421" s="61"/>
      <c r="E421" s="61"/>
      <c r="F421" s="20">
        <f t="array" ref="F421">_xlfn.XLOOKUP(A421,'WK 47'!A:A,'WK 47'!F:F,"")</f>
        <v>0</v>
      </c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</row>
    <row r="422" customHeight="1" spans="1:37">
      <c r="A422" s="61"/>
      <c r="B422" s="61"/>
      <c r="C422" s="61"/>
      <c r="D422" s="61"/>
      <c r="E422" s="61"/>
      <c r="F422" s="20">
        <f t="array" ref="F422">_xlfn.XLOOKUP(A422,'WK 47'!A:A,'WK 47'!F:F,"")</f>
        <v>0</v>
      </c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</row>
    <row r="423" customHeight="1" spans="1:37">
      <c r="A423" s="61"/>
      <c r="B423" s="61"/>
      <c r="C423" s="61"/>
      <c r="D423" s="61"/>
      <c r="E423" s="61"/>
      <c r="F423" s="20">
        <f t="array" ref="F423">_xlfn.XLOOKUP(A423,'WK 47'!A:A,'WK 47'!F:F,"")</f>
        <v>0</v>
      </c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</row>
    <row r="424" customHeight="1" spans="1:37">
      <c r="A424" s="61"/>
      <c r="B424" s="61"/>
      <c r="C424" s="61"/>
      <c r="D424" s="61"/>
      <c r="E424" s="61"/>
      <c r="F424" s="20">
        <f t="array" ref="F424">_xlfn.XLOOKUP(A424,'WK 47'!A:A,'WK 47'!F:F,"")</f>
        <v>0</v>
      </c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</row>
    <row r="425" customHeight="1" spans="1:37">
      <c r="A425" s="61"/>
      <c r="B425" s="61"/>
      <c r="C425" s="61"/>
      <c r="D425" s="61"/>
      <c r="E425" s="61"/>
      <c r="F425" s="20">
        <f t="array" ref="F425">_xlfn.XLOOKUP(A425,'WK 47'!A:A,'WK 47'!F:F,"")</f>
        <v>0</v>
      </c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</row>
    <row r="426" customHeight="1" spans="1:37">
      <c r="A426" s="61"/>
      <c r="B426" s="61"/>
      <c r="C426" s="61"/>
      <c r="D426" s="61"/>
      <c r="E426" s="61"/>
      <c r="F426" s="20">
        <f t="array" ref="F426">_xlfn.XLOOKUP(A426,'WK 47'!A:A,'WK 47'!F:F,"")</f>
        <v>0</v>
      </c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</row>
    <row r="427" customHeight="1" spans="1:37">
      <c r="A427" s="61"/>
      <c r="B427" s="61"/>
      <c r="C427" s="61"/>
      <c r="D427" s="61"/>
      <c r="E427" s="61"/>
      <c r="F427" s="20">
        <f t="array" ref="F427">_xlfn.XLOOKUP(A427,'WK 47'!A:A,'WK 47'!F:F,"")</f>
        <v>0</v>
      </c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</row>
    <row r="428" customHeight="1" spans="1:37">
      <c r="A428" s="61"/>
      <c r="B428" s="61"/>
      <c r="C428" s="61"/>
      <c r="D428" s="61"/>
      <c r="E428" s="61"/>
      <c r="F428" s="20">
        <f t="array" ref="F428">_xlfn.XLOOKUP(A428,'WK 47'!A:A,'WK 47'!F:F,"")</f>
        <v>0</v>
      </c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</row>
    <row r="429" customHeight="1" spans="1:37">
      <c r="A429" s="61"/>
      <c r="B429" s="61"/>
      <c r="C429" s="61"/>
      <c r="D429" s="61"/>
      <c r="E429" s="61"/>
      <c r="F429" s="20">
        <f t="array" ref="F429">_xlfn.XLOOKUP(A429,'WK 47'!A:A,'WK 47'!F:F,"")</f>
        <v>0</v>
      </c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</row>
    <row r="430" customHeight="1" spans="1:37">
      <c r="A430" s="61"/>
      <c r="B430" s="61"/>
      <c r="C430" s="61"/>
      <c r="D430" s="61"/>
      <c r="E430" s="61"/>
      <c r="F430" s="20">
        <f t="array" ref="F430">_xlfn.XLOOKUP(A430,'WK 47'!A:A,'WK 47'!F:F,"")</f>
        <v>0</v>
      </c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</row>
    <row r="431" customHeight="1" spans="1:37">
      <c r="A431" s="61"/>
      <c r="B431" s="61"/>
      <c r="C431" s="61"/>
      <c r="D431" s="61"/>
      <c r="E431" s="61"/>
      <c r="F431" s="20">
        <f t="array" ref="F431">_xlfn.XLOOKUP(A431,'WK 47'!A:A,'WK 47'!F:F,"")</f>
        <v>0</v>
      </c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</row>
    <row r="432" customHeight="1" spans="1:37">
      <c r="A432" s="61"/>
      <c r="B432" s="61"/>
      <c r="C432" s="61"/>
      <c r="D432" s="61"/>
      <c r="E432" s="61"/>
      <c r="F432" s="20">
        <f t="array" ref="F432">_xlfn.XLOOKUP(A432,'WK 47'!A:A,'WK 47'!F:F,"")</f>
        <v>0</v>
      </c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</row>
    <row r="433" customHeight="1" spans="1:37">
      <c r="A433" s="61"/>
      <c r="B433" s="61"/>
      <c r="C433" s="61"/>
      <c r="D433" s="61"/>
      <c r="E433" s="61"/>
      <c r="F433" s="20">
        <f t="array" ref="F433">_xlfn.XLOOKUP(A433,'WK 47'!A:A,'WK 47'!F:F,"")</f>
        <v>0</v>
      </c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</row>
    <row r="434" customHeight="1" spans="1:37">
      <c r="A434" s="61"/>
      <c r="B434" s="61"/>
      <c r="C434" s="61"/>
      <c r="D434" s="61"/>
      <c r="E434" s="61"/>
      <c r="F434" s="20">
        <f t="array" ref="F434">_xlfn.XLOOKUP(A434,'WK 47'!A:A,'WK 47'!F:F,"")</f>
        <v>0</v>
      </c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</row>
    <row r="435" customHeight="1" spans="1:37">
      <c r="A435" s="61"/>
      <c r="B435" s="61"/>
      <c r="C435" s="61"/>
      <c r="D435" s="61"/>
      <c r="E435" s="61"/>
      <c r="F435" s="20">
        <f t="array" ref="F435">_xlfn.XLOOKUP(A435,'WK 47'!A:A,'WK 47'!F:F,"")</f>
        <v>0</v>
      </c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</row>
    <row r="436" customHeight="1" spans="1:37">
      <c r="A436" s="61"/>
      <c r="B436" s="61"/>
      <c r="C436" s="61"/>
      <c r="D436" s="61"/>
      <c r="E436" s="61"/>
      <c r="F436" s="20">
        <f t="array" ref="F436">_xlfn.XLOOKUP(A436,'WK 47'!A:A,'WK 47'!F:F,"")</f>
        <v>0</v>
      </c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</row>
    <row r="437" customHeight="1" spans="1:37">
      <c r="A437" s="61"/>
      <c r="B437" s="61"/>
      <c r="C437" s="61"/>
      <c r="D437" s="61"/>
      <c r="E437" s="61"/>
      <c r="F437" s="20">
        <f t="array" ref="F437">_xlfn.XLOOKUP(A437,'WK 47'!A:A,'WK 47'!F:F,"")</f>
        <v>0</v>
      </c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</row>
    <row r="438" customHeight="1" spans="1:37">
      <c r="A438" s="61"/>
      <c r="B438" s="61"/>
      <c r="C438" s="61"/>
      <c r="D438" s="61"/>
      <c r="E438" s="61"/>
      <c r="F438" s="20">
        <f t="array" ref="F438">_xlfn.XLOOKUP(A438,'WK 47'!A:A,'WK 47'!F:F,"")</f>
        <v>0</v>
      </c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</row>
    <row r="439" customHeight="1" spans="1:37">
      <c r="A439" s="61"/>
      <c r="B439" s="61"/>
      <c r="C439" s="61"/>
      <c r="D439" s="61"/>
      <c r="E439" s="61"/>
      <c r="F439" s="20">
        <f t="array" ref="F439">_xlfn.XLOOKUP(A439,'WK 47'!A:A,'WK 47'!F:F,"")</f>
        <v>0</v>
      </c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</row>
    <row r="440" customHeight="1" spans="1:37">
      <c r="A440" s="61"/>
      <c r="B440" s="61"/>
      <c r="C440" s="61"/>
      <c r="D440" s="61"/>
      <c r="E440" s="61"/>
      <c r="F440" s="20">
        <f t="array" ref="F440">_xlfn.XLOOKUP(A440,'WK 47'!A:A,'WK 47'!F:F,"")</f>
        <v>0</v>
      </c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</row>
    <row r="441" customHeight="1" spans="1:37">
      <c r="A441" s="61"/>
      <c r="B441" s="61"/>
      <c r="C441" s="61"/>
      <c r="D441" s="61"/>
      <c r="E441" s="61"/>
      <c r="F441" s="20">
        <f t="array" ref="F441">_xlfn.XLOOKUP(A441,'WK 47'!A:A,'WK 47'!F:F,"")</f>
        <v>0</v>
      </c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</row>
    <row r="442" customHeight="1" spans="1:37">
      <c r="A442" s="61"/>
      <c r="B442" s="61"/>
      <c r="C442" s="61"/>
      <c r="D442" s="61"/>
      <c r="E442" s="61"/>
      <c r="F442" s="20">
        <f t="array" ref="F442">_xlfn.XLOOKUP(A442,'WK 47'!A:A,'WK 47'!F:F,"")</f>
        <v>0</v>
      </c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</row>
    <row r="443" customHeight="1" spans="1:37">
      <c r="A443" s="61"/>
      <c r="B443" s="61"/>
      <c r="C443" s="61"/>
      <c r="D443" s="61"/>
      <c r="E443" s="61"/>
      <c r="F443" s="20">
        <f t="array" ref="F443">_xlfn.XLOOKUP(A443,'WK 47'!A:A,'WK 47'!F:F,"")</f>
        <v>0</v>
      </c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</row>
    <row r="444" customHeight="1" spans="1:37">
      <c r="A444" s="61"/>
      <c r="B444" s="61"/>
      <c r="C444" s="61"/>
      <c r="D444" s="61"/>
      <c r="E444" s="61"/>
      <c r="F444" s="20">
        <f t="array" ref="F444">_xlfn.XLOOKUP(A444,'WK 47'!A:A,'WK 47'!F:F,"")</f>
        <v>0</v>
      </c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</row>
    <row r="445" customHeight="1" spans="1:37">
      <c r="A445" s="61"/>
      <c r="B445" s="61"/>
      <c r="C445" s="61"/>
      <c r="D445" s="61"/>
      <c r="E445" s="61"/>
      <c r="F445" s="20">
        <f t="array" ref="F445">_xlfn.XLOOKUP(A445,'WK 47'!A:A,'WK 47'!F:F,"")</f>
        <v>0</v>
      </c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</row>
    <row r="446" customHeight="1" spans="1:37">
      <c r="A446" s="61"/>
      <c r="B446" s="61"/>
      <c r="C446" s="61"/>
      <c r="D446" s="61"/>
      <c r="E446" s="61"/>
      <c r="F446" s="20">
        <f t="array" ref="F446">_xlfn.XLOOKUP(A446,'WK 47'!A:A,'WK 47'!F:F,"")</f>
        <v>0</v>
      </c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</row>
    <row r="447" customHeight="1" spans="1:37">
      <c r="A447" s="61"/>
      <c r="B447" s="61"/>
      <c r="C447" s="61"/>
      <c r="D447" s="61"/>
      <c r="E447" s="61"/>
      <c r="F447" s="20">
        <f t="array" ref="F447">_xlfn.XLOOKUP(A447,'WK 47'!A:A,'WK 47'!F:F,"")</f>
        <v>0</v>
      </c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</row>
    <row r="448" customHeight="1" spans="1:37">
      <c r="A448" s="61"/>
      <c r="B448" s="61"/>
      <c r="C448" s="61"/>
      <c r="D448" s="61"/>
      <c r="E448" s="61"/>
      <c r="F448" s="20">
        <f t="array" ref="F448">_xlfn.XLOOKUP(A448,'WK 47'!A:A,'WK 47'!F:F,"")</f>
        <v>0</v>
      </c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</row>
    <row r="449" customHeight="1" spans="1:37">
      <c r="A449" s="61"/>
      <c r="B449" s="61"/>
      <c r="C449" s="61"/>
      <c r="D449" s="61"/>
      <c r="E449" s="61"/>
      <c r="F449" s="20">
        <f t="array" ref="F449">_xlfn.XLOOKUP(A449,'WK 47'!A:A,'WK 47'!F:F,"")</f>
        <v>0</v>
      </c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</row>
    <row r="450" customHeight="1" spans="1:37">
      <c r="A450" s="61"/>
      <c r="B450" s="61"/>
      <c r="C450" s="61"/>
      <c r="D450" s="61"/>
      <c r="E450" s="61"/>
      <c r="F450" s="20">
        <f t="array" ref="F450">_xlfn.XLOOKUP(A450,'WK 47'!A:A,'WK 47'!F:F,"")</f>
        <v>0</v>
      </c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</row>
    <row r="451" customHeight="1" spans="1:37">
      <c r="A451" s="61"/>
      <c r="B451" s="61"/>
      <c r="C451" s="61"/>
      <c r="D451" s="61"/>
      <c r="E451" s="61"/>
      <c r="F451" s="20">
        <f t="array" ref="F451">_xlfn.XLOOKUP(A451,'WK 47'!A:A,'WK 47'!F:F,"")</f>
        <v>0</v>
      </c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</row>
    <row r="452" customHeight="1" spans="1:37">
      <c r="A452" s="61"/>
      <c r="B452" s="61"/>
      <c r="C452" s="61"/>
      <c r="D452" s="61"/>
      <c r="E452" s="61"/>
      <c r="F452" s="20">
        <f t="array" ref="F452">_xlfn.XLOOKUP(A452,'WK 47'!A:A,'WK 47'!F:F,"")</f>
        <v>0</v>
      </c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</row>
    <row r="453" customHeight="1" spans="1:37">
      <c r="A453" s="61"/>
      <c r="B453" s="61"/>
      <c r="C453" s="61"/>
      <c r="D453" s="61"/>
      <c r="E453" s="61"/>
      <c r="F453" s="20">
        <f t="array" ref="F453">_xlfn.XLOOKUP(A453,'WK 47'!A:A,'WK 47'!F:F,"")</f>
        <v>0</v>
      </c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</row>
    <row r="454" customHeight="1" spans="1:37">
      <c r="A454" s="61"/>
      <c r="B454" s="61"/>
      <c r="C454" s="61"/>
      <c r="D454" s="61"/>
      <c r="E454" s="61"/>
      <c r="F454" s="20">
        <f t="array" ref="F454">_xlfn.XLOOKUP(A454,'WK 47'!A:A,'WK 47'!F:F,"")</f>
        <v>0</v>
      </c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</row>
    <row r="455" customHeight="1" spans="1:37">
      <c r="A455" s="61"/>
      <c r="B455" s="61"/>
      <c r="C455" s="61"/>
      <c r="D455" s="61"/>
      <c r="E455" s="61"/>
      <c r="F455" s="20">
        <f t="array" ref="F455">_xlfn.XLOOKUP(A455,'WK 47'!A:A,'WK 47'!F:F,"")</f>
        <v>0</v>
      </c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</row>
    <row r="456" customHeight="1" spans="1:37">
      <c r="A456" s="61"/>
      <c r="B456" s="61"/>
      <c r="C456" s="61"/>
      <c r="D456" s="61"/>
      <c r="E456" s="61"/>
      <c r="F456" s="20">
        <f t="array" ref="F456">_xlfn.XLOOKUP(A456,'WK 47'!A:A,'WK 47'!F:F,"")</f>
        <v>0</v>
      </c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</row>
    <row r="457" customHeight="1" spans="1:37">
      <c r="A457" s="61"/>
      <c r="B457" s="61"/>
      <c r="C457" s="61"/>
      <c r="D457" s="61"/>
      <c r="E457" s="61"/>
      <c r="F457" s="20">
        <f t="array" ref="F457">_xlfn.XLOOKUP(A457,'WK 47'!A:A,'WK 47'!F:F,"")</f>
        <v>0</v>
      </c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</row>
    <row r="458" customHeight="1" spans="1:37">
      <c r="A458" s="61"/>
      <c r="B458" s="61"/>
      <c r="C458" s="61"/>
      <c r="D458" s="61"/>
      <c r="E458" s="61"/>
      <c r="F458" s="20">
        <f t="array" ref="F458">_xlfn.XLOOKUP(A458,'WK 47'!A:A,'WK 47'!F:F,"")</f>
        <v>0</v>
      </c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</row>
    <row r="459" customHeight="1" spans="1:37">
      <c r="A459" s="61"/>
      <c r="B459" s="61"/>
      <c r="C459" s="61"/>
      <c r="D459" s="61"/>
      <c r="E459" s="61"/>
      <c r="F459" s="20">
        <f t="array" ref="F459">_xlfn.XLOOKUP(A459,'WK 47'!A:A,'WK 47'!F:F,"")</f>
        <v>0</v>
      </c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</row>
    <row r="460" customHeight="1" spans="1:37">
      <c r="A460" s="61"/>
      <c r="B460" s="61"/>
      <c r="C460" s="61"/>
      <c r="D460" s="61"/>
      <c r="E460" s="61"/>
      <c r="F460" s="20">
        <f t="array" ref="F460">_xlfn.XLOOKUP(A460,'WK 47'!A:A,'WK 47'!F:F,"")</f>
        <v>0</v>
      </c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</row>
    <row r="461" customHeight="1" spans="1:37">
      <c r="A461" s="61"/>
      <c r="B461" s="61"/>
      <c r="C461" s="61"/>
      <c r="D461" s="61"/>
      <c r="E461" s="61"/>
      <c r="F461" s="20">
        <f t="array" ref="F461">_xlfn.XLOOKUP(A461,'WK 47'!A:A,'WK 47'!F:F,"")</f>
        <v>0</v>
      </c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</row>
    <row r="462" customHeight="1" spans="1:37">
      <c r="A462" s="61"/>
      <c r="B462" s="61"/>
      <c r="C462" s="61"/>
      <c r="D462" s="61"/>
      <c r="E462" s="61"/>
      <c r="F462" s="20">
        <f t="array" ref="F462">_xlfn.XLOOKUP(A462,'WK 47'!A:A,'WK 47'!F:F,"")</f>
        <v>0</v>
      </c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</row>
    <row r="463" customHeight="1" spans="1:37">
      <c r="A463" s="61"/>
      <c r="B463" s="61"/>
      <c r="C463" s="61"/>
      <c r="D463" s="61"/>
      <c r="E463" s="61"/>
      <c r="F463" s="20">
        <f t="array" ref="F463">_xlfn.XLOOKUP(A463,'WK 47'!A:A,'WK 47'!F:F,"")</f>
        <v>0</v>
      </c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</row>
    <row r="464" customHeight="1" spans="1:37">
      <c r="A464" s="61"/>
      <c r="B464" s="61"/>
      <c r="C464" s="61"/>
      <c r="D464" s="61"/>
      <c r="E464" s="61"/>
      <c r="F464" s="20">
        <f t="array" ref="F464">_xlfn.XLOOKUP(A464,'WK 47'!A:A,'WK 47'!F:F,"")</f>
        <v>0</v>
      </c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</row>
    <row r="465" customHeight="1" spans="1:37">
      <c r="A465" s="61"/>
      <c r="B465" s="61"/>
      <c r="C465" s="61"/>
      <c r="D465" s="61"/>
      <c r="E465" s="61"/>
      <c r="F465" s="20">
        <f t="array" ref="F465">_xlfn.XLOOKUP(A465,'WK 47'!A:A,'WK 47'!F:F,"")</f>
        <v>0</v>
      </c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</row>
    <row r="466" customHeight="1" spans="1:37">
      <c r="A466" s="61"/>
      <c r="B466" s="61"/>
      <c r="C466" s="61"/>
      <c r="D466" s="61"/>
      <c r="E466" s="61"/>
      <c r="F466" s="20">
        <f t="array" ref="F466">_xlfn.XLOOKUP(A466,'WK 47'!A:A,'WK 47'!F:F,"")</f>
        <v>0</v>
      </c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</row>
    <row r="467" customHeight="1" spans="1:37">
      <c r="A467" s="61"/>
      <c r="B467" s="61"/>
      <c r="C467" s="61"/>
      <c r="D467" s="61"/>
      <c r="E467" s="61"/>
      <c r="F467" s="20">
        <f t="array" ref="F467">_xlfn.XLOOKUP(A467,'WK 47'!A:A,'WK 47'!F:F,"")</f>
        <v>0</v>
      </c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</row>
    <row r="468" customHeight="1" spans="1:37">
      <c r="A468" s="61"/>
      <c r="B468" s="61"/>
      <c r="C468" s="61"/>
      <c r="D468" s="61"/>
      <c r="E468" s="61"/>
      <c r="F468" s="20">
        <f t="array" ref="F468">_xlfn.XLOOKUP(A468,'WK 47'!A:A,'WK 47'!F:F,"")</f>
        <v>0</v>
      </c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</row>
    <row r="469" customHeight="1" spans="1:37">
      <c r="A469" s="61"/>
      <c r="B469" s="61"/>
      <c r="C469" s="61"/>
      <c r="D469" s="61"/>
      <c r="E469" s="61"/>
      <c r="F469" s="20">
        <f t="array" ref="F469">_xlfn.XLOOKUP(A469,'WK 47'!A:A,'WK 47'!F:F,"")</f>
        <v>0</v>
      </c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</row>
    <row r="470" customHeight="1" spans="1:37">
      <c r="A470" s="61"/>
      <c r="B470" s="61"/>
      <c r="C470" s="61"/>
      <c r="D470" s="61"/>
      <c r="E470" s="61"/>
      <c r="F470" s="20">
        <f t="array" ref="F470">_xlfn.XLOOKUP(A470,'WK 47'!A:A,'WK 47'!F:F,"")</f>
        <v>0</v>
      </c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</row>
    <row r="471" customHeight="1" spans="1:37">
      <c r="A471" s="61"/>
      <c r="B471" s="61"/>
      <c r="C471" s="61"/>
      <c r="D471" s="61"/>
      <c r="E471" s="61"/>
      <c r="F471" s="20">
        <f t="array" ref="F471">_xlfn.XLOOKUP(A471,'WK 47'!A:A,'WK 47'!F:F,"")</f>
        <v>0</v>
      </c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</row>
    <row r="472" customHeight="1" spans="1:37">
      <c r="A472" s="61"/>
      <c r="B472" s="61"/>
      <c r="C472" s="61"/>
      <c r="D472" s="61"/>
      <c r="E472" s="61"/>
      <c r="F472" s="20">
        <f t="array" ref="F472">_xlfn.XLOOKUP(A472,'WK 47'!A:A,'WK 47'!F:F,"")</f>
        <v>0</v>
      </c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</row>
    <row r="473" customHeight="1" spans="1:37">
      <c r="A473" s="61"/>
      <c r="B473" s="61"/>
      <c r="C473" s="61"/>
      <c r="D473" s="61"/>
      <c r="E473" s="61"/>
      <c r="F473" s="20">
        <f t="array" ref="F473">_xlfn.XLOOKUP(A473,'WK 47'!A:A,'WK 47'!F:F,"")</f>
        <v>0</v>
      </c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</row>
    <row r="474" customHeight="1" spans="1:37">
      <c r="A474" s="61"/>
      <c r="B474" s="61"/>
      <c r="C474" s="61"/>
      <c r="D474" s="61"/>
      <c r="E474" s="61"/>
      <c r="F474" s="20">
        <f t="array" ref="F474">_xlfn.XLOOKUP(A474,'WK 47'!A:A,'WK 47'!F:F,"")</f>
        <v>0</v>
      </c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</row>
    <row r="475" customHeight="1" spans="1:37">
      <c r="A475" s="61"/>
      <c r="B475" s="61"/>
      <c r="C475" s="61"/>
      <c r="D475" s="61"/>
      <c r="E475" s="61"/>
      <c r="F475" s="20">
        <f t="array" ref="F475">_xlfn.XLOOKUP(A475,'WK 47'!A:A,'WK 47'!F:F,"")</f>
        <v>0</v>
      </c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</row>
    <row r="476" customHeight="1" spans="1:37">
      <c r="A476" s="61"/>
      <c r="B476" s="61"/>
      <c r="C476" s="61"/>
      <c r="D476" s="61"/>
      <c r="E476" s="61"/>
      <c r="F476" s="20">
        <f t="array" ref="F476">_xlfn.XLOOKUP(A476,'WK 47'!A:A,'WK 47'!F:F,"")</f>
        <v>0</v>
      </c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</row>
    <row r="477" customHeight="1" spans="1:37">
      <c r="A477" s="61"/>
      <c r="B477" s="61"/>
      <c r="C477" s="61"/>
      <c r="D477" s="61"/>
      <c r="E477" s="61"/>
      <c r="F477" s="20">
        <f t="array" ref="F477">_xlfn.XLOOKUP(A477,'WK 47'!A:A,'WK 47'!F:F,"")</f>
        <v>0</v>
      </c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</row>
    <row r="478" customHeight="1" spans="1:37">
      <c r="A478" s="61"/>
      <c r="B478" s="61"/>
      <c r="C478" s="61"/>
      <c r="D478" s="61"/>
      <c r="E478" s="61"/>
      <c r="F478" s="20">
        <f t="array" ref="F478">_xlfn.XLOOKUP(A478,'WK 47'!A:A,'WK 47'!F:F,"")</f>
        <v>0</v>
      </c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</row>
    <row r="479" customHeight="1" spans="1:37">
      <c r="A479" s="61"/>
      <c r="B479" s="61"/>
      <c r="C479" s="61"/>
      <c r="D479" s="61"/>
      <c r="E479" s="61"/>
      <c r="F479" s="20">
        <f t="array" ref="F479">_xlfn.XLOOKUP(A479,'WK 47'!A:A,'WK 47'!F:F,"")</f>
        <v>0</v>
      </c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</row>
    <row r="480" customHeight="1" spans="1:37">
      <c r="A480" s="61"/>
      <c r="B480" s="61"/>
      <c r="C480" s="61"/>
      <c r="D480" s="61"/>
      <c r="E480" s="61"/>
      <c r="F480" s="20">
        <f t="array" ref="F480">_xlfn.XLOOKUP(A480,'WK 47'!A:A,'WK 47'!F:F,"")</f>
        <v>0</v>
      </c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</row>
    <row r="481" customHeight="1" spans="1:37">
      <c r="A481" s="61"/>
      <c r="B481" s="61"/>
      <c r="C481" s="61"/>
      <c r="D481" s="61"/>
      <c r="E481" s="61"/>
      <c r="F481" s="20">
        <f t="array" ref="F481">_xlfn.XLOOKUP(A481,'WK 47'!A:A,'WK 47'!F:F,"")</f>
        <v>0</v>
      </c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</row>
    <row r="482" customHeight="1" spans="1:37">
      <c r="A482" s="61"/>
      <c r="B482" s="61"/>
      <c r="C482" s="61"/>
      <c r="D482" s="61"/>
      <c r="E482" s="61"/>
      <c r="F482" s="20">
        <f t="array" ref="F482">_xlfn.XLOOKUP(A482,'WK 47'!A:A,'WK 47'!F:F,"")</f>
        <v>0</v>
      </c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</row>
    <row r="483" customHeight="1" spans="1:37">
      <c r="A483" s="61"/>
      <c r="B483" s="61"/>
      <c r="C483" s="61"/>
      <c r="D483" s="61"/>
      <c r="E483" s="61"/>
      <c r="F483" s="20">
        <f t="array" ref="F483">_xlfn.XLOOKUP(A483,'WK 47'!A:A,'WK 47'!F:F,"")</f>
        <v>0</v>
      </c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</row>
    <row r="484" customHeight="1" spans="1:37">
      <c r="A484" s="61"/>
      <c r="B484" s="61"/>
      <c r="C484" s="61"/>
      <c r="D484" s="61"/>
      <c r="E484" s="61"/>
      <c r="F484" s="20">
        <f t="array" ref="F484">_xlfn.XLOOKUP(A484,'WK 47'!A:A,'WK 47'!F:F,"")</f>
        <v>0</v>
      </c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</row>
    <row r="485" customHeight="1" spans="1:37">
      <c r="A485" s="61"/>
      <c r="B485" s="61"/>
      <c r="C485" s="61"/>
      <c r="D485" s="61"/>
      <c r="E485" s="61"/>
      <c r="F485" s="20">
        <f t="array" ref="F485">_xlfn.XLOOKUP(A485,'WK 47'!A:A,'WK 47'!F:F,"")</f>
        <v>0</v>
      </c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</row>
    <row r="486" customHeight="1" spans="1:37">
      <c r="A486" s="61"/>
      <c r="B486" s="61"/>
      <c r="C486" s="61"/>
      <c r="D486" s="61"/>
      <c r="E486" s="61"/>
      <c r="F486" s="20">
        <f t="array" ref="F486">_xlfn.XLOOKUP(A486,'WK 47'!A:A,'WK 47'!F:F,"")</f>
        <v>0</v>
      </c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</row>
    <row r="487" customHeight="1" spans="1:37">
      <c r="A487" s="61"/>
      <c r="B487" s="61"/>
      <c r="C487" s="61"/>
      <c r="D487" s="61"/>
      <c r="E487" s="61"/>
      <c r="F487" s="20">
        <f t="array" ref="F487">_xlfn.XLOOKUP(A487,'WK 47'!A:A,'WK 47'!F:F,"")</f>
        <v>0</v>
      </c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</row>
    <row r="488" customHeight="1" spans="1:37">
      <c r="A488" s="61"/>
      <c r="B488" s="61"/>
      <c r="C488" s="61"/>
      <c r="D488" s="61"/>
      <c r="E488" s="61"/>
      <c r="F488" s="20">
        <f t="array" ref="F488">_xlfn.XLOOKUP(A488,'WK 47'!A:A,'WK 47'!F:F,"")</f>
        <v>0</v>
      </c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</row>
    <row r="489" customHeight="1" spans="1:37">
      <c r="A489" s="61"/>
      <c r="B489" s="61"/>
      <c r="C489" s="61"/>
      <c r="D489" s="61"/>
      <c r="E489" s="61"/>
      <c r="F489" s="20">
        <f t="array" ref="F489">_xlfn.XLOOKUP(A489,'WK 47'!A:A,'WK 47'!F:F,"")</f>
        <v>0</v>
      </c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</row>
    <row r="490" customHeight="1" spans="1:37">
      <c r="A490" s="61"/>
      <c r="B490" s="61"/>
      <c r="C490" s="61"/>
      <c r="D490" s="61"/>
      <c r="E490" s="61"/>
      <c r="F490" s="20">
        <f t="array" ref="F490">_xlfn.XLOOKUP(A490,'WK 47'!A:A,'WK 47'!F:F,"")</f>
        <v>0</v>
      </c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</row>
    <row r="491" customHeight="1" spans="1:37">
      <c r="A491" s="61"/>
      <c r="B491" s="61"/>
      <c r="C491" s="61"/>
      <c r="D491" s="61"/>
      <c r="E491" s="61"/>
      <c r="F491" s="20">
        <f t="array" ref="F491">_xlfn.XLOOKUP(A491,'WK 47'!A:A,'WK 47'!F:F,"")</f>
        <v>0</v>
      </c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</row>
    <row r="492" customHeight="1" spans="1:37">
      <c r="A492" s="61"/>
      <c r="B492" s="61"/>
      <c r="C492" s="61"/>
      <c r="D492" s="61"/>
      <c r="E492" s="61"/>
      <c r="F492" s="20">
        <f t="array" ref="F492">_xlfn.XLOOKUP(A492,'WK 47'!A:A,'WK 47'!F:F,"")</f>
        <v>0</v>
      </c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</row>
    <row r="493" customHeight="1" spans="1:37">
      <c r="A493" s="61"/>
      <c r="B493" s="61"/>
      <c r="C493" s="61"/>
      <c r="D493" s="61"/>
      <c r="E493" s="61"/>
      <c r="F493" s="20">
        <f t="array" ref="F493">_xlfn.XLOOKUP(A493,'WK 47'!A:A,'WK 47'!F:F,"")</f>
        <v>0</v>
      </c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</row>
    <row r="494" customHeight="1" spans="1:37">
      <c r="A494" s="61"/>
      <c r="B494" s="61"/>
      <c r="C494" s="61"/>
      <c r="D494" s="61"/>
      <c r="E494" s="61"/>
      <c r="F494" s="20">
        <f t="array" ref="F494">_xlfn.XLOOKUP(A494,'WK 47'!A:A,'WK 47'!F:F,"")</f>
        <v>0</v>
      </c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</row>
    <row r="495" customHeight="1" spans="1:37">
      <c r="A495" s="61"/>
      <c r="B495" s="61"/>
      <c r="C495" s="61"/>
      <c r="D495" s="61"/>
      <c r="E495" s="61"/>
      <c r="F495" s="20">
        <f t="array" ref="F495">_xlfn.XLOOKUP(A495,'WK 47'!A:A,'WK 47'!F:F,"")</f>
        <v>0</v>
      </c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</row>
    <row r="496" customHeight="1" spans="1:37">
      <c r="A496" s="61"/>
      <c r="B496" s="61"/>
      <c r="C496" s="61"/>
      <c r="D496" s="61"/>
      <c r="E496" s="61"/>
      <c r="F496" s="20">
        <f t="array" ref="F496">_xlfn.XLOOKUP(A496,'WK 47'!A:A,'WK 47'!F:F,"")</f>
        <v>0</v>
      </c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</row>
    <row r="497" customHeight="1" spans="1:37">
      <c r="A497" s="61"/>
      <c r="B497" s="61"/>
      <c r="C497" s="61"/>
      <c r="D497" s="61"/>
      <c r="E497" s="61"/>
      <c r="F497" s="20">
        <f t="array" ref="F497">_xlfn.XLOOKUP(A497,'WK 47'!A:A,'WK 47'!F:F,"")</f>
        <v>0</v>
      </c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</row>
    <row r="498" customHeight="1" spans="1:37">
      <c r="A498" s="61"/>
      <c r="B498" s="61"/>
      <c r="C498" s="61"/>
      <c r="D498" s="61"/>
      <c r="E498" s="61"/>
      <c r="F498" s="20">
        <f t="array" ref="F498">_xlfn.XLOOKUP(A498,'WK 47'!A:A,'WK 47'!F:F,"")</f>
        <v>0</v>
      </c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</row>
    <row r="499" customHeight="1" spans="1:37">
      <c r="A499" s="61"/>
      <c r="B499" s="61"/>
      <c r="C499" s="61"/>
      <c r="D499" s="61"/>
      <c r="E499" s="61"/>
      <c r="F499" s="20">
        <f t="array" ref="F499">_xlfn.XLOOKUP(A499,'WK 47'!A:A,'WK 47'!F:F,"")</f>
        <v>0</v>
      </c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</row>
    <row r="500" customHeight="1" spans="1:37">
      <c r="A500" s="61"/>
      <c r="B500" s="61"/>
      <c r="C500" s="61"/>
      <c r="D500" s="61"/>
      <c r="E500" s="61"/>
      <c r="F500" s="20">
        <f t="array" ref="F500">_xlfn.XLOOKUP(A500,'WK 47'!A:A,'WK 47'!F:F,"")</f>
        <v>0</v>
      </c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</row>
    <row r="501" customHeight="1" spans="1:37">
      <c r="A501" s="61"/>
      <c r="B501" s="61"/>
      <c r="C501" s="61"/>
      <c r="D501" s="61"/>
      <c r="E501" s="61"/>
      <c r="F501" s="20">
        <f t="array" ref="F501">_xlfn.XLOOKUP(A501,'WK 47'!A:A,'WK 47'!F:F,"")</f>
        <v>0</v>
      </c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</row>
    <row r="502" customHeight="1" spans="1:37">
      <c r="A502" s="61"/>
      <c r="B502" s="61"/>
      <c r="C502" s="61"/>
      <c r="D502" s="61"/>
      <c r="E502" s="61"/>
      <c r="F502" s="20">
        <f t="array" ref="F502">_xlfn.XLOOKUP(A502,'WK 47'!A:A,'WK 47'!F:F,"")</f>
        <v>0</v>
      </c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</row>
    <row r="503" customHeight="1" spans="1:37">
      <c r="A503" s="61"/>
      <c r="B503" s="61"/>
      <c r="C503" s="61"/>
      <c r="D503" s="61"/>
      <c r="E503" s="61"/>
      <c r="F503" s="20">
        <f t="array" ref="F503">_xlfn.XLOOKUP(A503,'WK 47'!A:A,'WK 47'!F:F,"")</f>
        <v>0</v>
      </c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</row>
    <row r="504" customHeight="1" spans="1:37">
      <c r="A504" s="61"/>
      <c r="B504" s="61"/>
      <c r="C504" s="61"/>
      <c r="D504" s="61"/>
      <c r="E504" s="61"/>
      <c r="F504" s="20">
        <f t="array" ref="F504">_xlfn.XLOOKUP(A504,'WK 47'!A:A,'WK 47'!F:F,"")</f>
        <v>0</v>
      </c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</row>
    <row r="505" customHeight="1" spans="1:37">
      <c r="A505" s="61"/>
      <c r="B505" s="61"/>
      <c r="C505" s="61"/>
      <c r="D505" s="61"/>
      <c r="E505" s="61"/>
      <c r="F505" s="20">
        <f t="array" ref="F505">_xlfn.XLOOKUP(A505,'WK 47'!A:A,'WK 47'!F:F,"")</f>
        <v>0</v>
      </c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</row>
    <row r="506" customHeight="1" spans="1:37">
      <c r="A506" s="61"/>
      <c r="B506" s="61"/>
      <c r="C506" s="61"/>
      <c r="D506" s="61"/>
      <c r="E506" s="61"/>
      <c r="F506" s="20">
        <f t="array" ref="F506">_xlfn.XLOOKUP(A506,'WK 47'!A:A,'WK 47'!F:F,"")</f>
        <v>0</v>
      </c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</row>
    <row r="507" customHeight="1" spans="1:37">
      <c r="A507" s="61"/>
      <c r="B507" s="61"/>
      <c r="C507" s="61"/>
      <c r="D507" s="61"/>
      <c r="E507" s="61"/>
      <c r="F507" s="20">
        <f t="array" ref="F507">_xlfn.XLOOKUP(A507,'WK 47'!A:A,'WK 47'!F:F,"")</f>
        <v>0</v>
      </c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</row>
    <row r="508" customHeight="1" spans="1:37">
      <c r="A508" s="61"/>
      <c r="B508" s="61"/>
      <c r="C508" s="61"/>
      <c r="D508" s="61"/>
      <c r="E508" s="61"/>
      <c r="F508" s="20">
        <f t="array" ref="F508">_xlfn.XLOOKUP(A508,'WK 47'!A:A,'WK 47'!F:F,"")</f>
        <v>0</v>
      </c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</row>
    <row r="509" customHeight="1" spans="1:37">
      <c r="A509" s="61"/>
      <c r="B509" s="61"/>
      <c r="C509" s="61"/>
      <c r="D509" s="61"/>
      <c r="E509" s="61"/>
      <c r="F509" s="20">
        <f t="array" ref="F509">_xlfn.XLOOKUP(A509,'WK 47'!A:A,'WK 47'!F:F,"")</f>
        <v>0</v>
      </c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</row>
    <row r="510" customHeight="1" spans="1:37">
      <c r="A510" s="61"/>
      <c r="B510" s="61"/>
      <c r="C510" s="61"/>
      <c r="D510" s="61"/>
      <c r="E510" s="61"/>
      <c r="F510" s="20">
        <f t="array" ref="F510">_xlfn.XLOOKUP(A510,'WK 47'!A:A,'WK 47'!F:F,"")</f>
        <v>0</v>
      </c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</row>
    <row r="511" customHeight="1" spans="1:37">
      <c r="A511" s="61"/>
      <c r="B511" s="61"/>
      <c r="C511" s="61"/>
      <c r="D511" s="61"/>
      <c r="E511" s="61"/>
      <c r="F511" s="20">
        <f t="array" ref="F511">_xlfn.XLOOKUP(A511,'WK 47'!A:A,'WK 47'!F:F,"")</f>
        <v>0</v>
      </c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</row>
    <row r="512" customHeight="1" spans="1:37">
      <c r="A512" s="61"/>
      <c r="B512" s="61"/>
      <c r="C512" s="61"/>
      <c r="D512" s="61"/>
      <c r="E512" s="61"/>
      <c r="F512" s="20">
        <f t="array" ref="F512">_xlfn.XLOOKUP(A512,'WK 47'!A:A,'WK 47'!F:F,"")</f>
        <v>0</v>
      </c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</row>
    <row r="513" customHeight="1" spans="1:37">
      <c r="A513" s="61"/>
      <c r="B513" s="61"/>
      <c r="C513" s="61"/>
      <c r="D513" s="61"/>
      <c r="E513" s="61"/>
      <c r="F513" s="20">
        <f t="array" ref="F513">_xlfn.XLOOKUP(A513,'WK 47'!A:A,'WK 47'!F:F,"")</f>
        <v>0</v>
      </c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</row>
    <row r="514" customHeight="1" spans="1:37">
      <c r="A514" s="61"/>
      <c r="B514" s="61"/>
      <c r="C514" s="61"/>
      <c r="D514" s="61"/>
      <c r="E514" s="61"/>
      <c r="F514" s="20">
        <f t="array" ref="F514">_xlfn.XLOOKUP(A514,'WK 47'!A:A,'WK 47'!F:F,"")</f>
        <v>0</v>
      </c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</row>
    <row r="515" customHeight="1" spans="1:37">
      <c r="A515" s="61"/>
      <c r="B515" s="61"/>
      <c r="C515" s="61"/>
      <c r="D515" s="61"/>
      <c r="E515" s="61"/>
      <c r="F515" s="20">
        <f t="array" ref="F515">_xlfn.XLOOKUP(A515,'WK 47'!A:A,'WK 47'!F:F,"")</f>
        <v>0</v>
      </c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</row>
    <row r="516" customHeight="1" spans="1:37">
      <c r="A516" s="61"/>
      <c r="B516" s="61"/>
      <c r="C516" s="61"/>
      <c r="D516" s="61"/>
      <c r="E516" s="61"/>
      <c r="F516" s="20">
        <f t="array" ref="F516">_xlfn.XLOOKUP(A516,'WK 47'!A:A,'WK 47'!F:F,"")</f>
        <v>0</v>
      </c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</row>
    <row r="517" customHeight="1" spans="1:37">
      <c r="A517" s="61"/>
      <c r="B517" s="61"/>
      <c r="C517" s="61"/>
      <c r="D517" s="61"/>
      <c r="E517" s="61"/>
      <c r="F517" s="20">
        <f t="array" ref="F517">_xlfn.XLOOKUP(A517,'WK 47'!A:A,'WK 47'!F:F,"")</f>
        <v>0</v>
      </c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</row>
    <row r="518" customHeight="1" spans="1:37">
      <c r="A518" s="61"/>
      <c r="B518" s="61"/>
      <c r="C518" s="61"/>
      <c r="D518" s="61"/>
      <c r="E518" s="61"/>
      <c r="F518" s="20">
        <f t="array" ref="F518">_xlfn.XLOOKUP(A518,'WK 47'!A:A,'WK 47'!F:F,"")</f>
        <v>0</v>
      </c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</row>
    <row r="519" customHeight="1" spans="1:37">
      <c r="A519" s="61"/>
      <c r="B519" s="61"/>
      <c r="C519" s="61"/>
      <c r="D519" s="61"/>
      <c r="E519" s="61"/>
      <c r="F519" s="20">
        <f t="array" ref="F519">_xlfn.XLOOKUP(A519,'WK 47'!A:A,'WK 47'!F:F,"")</f>
        <v>0</v>
      </c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</row>
    <row r="520" customHeight="1" spans="1:37">
      <c r="A520" s="61"/>
      <c r="B520" s="61"/>
      <c r="C520" s="61"/>
      <c r="D520" s="61"/>
      <c r="E520" s="61"/>
      <c r="F520" s="20">
        <f t="array" ref="F520">_xlfn.XLOOKUP(A520,'WK 47'!A:A,'WK 47'!F:F,"")</f>
        <v>0</v>
      </c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</row>
    <row r="521" customHeight="1" spans="1:37">
      <c r="A521" s="61"/>
      <c r="B521" s="61"/>
      <c r="C521" s="61"/>
      <c r="D521" s="61"/>
      <c r="E521" s="61"/>
      <c r="F521" s="20">
        <f t="array" ref="F521">_xlfn.XLOOKUP(A521,'WK 47'!A:A,'WK 47'!F:F,"")</f>
        <v>0</v>
      </c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</row>
    <row r="522" customHeight="1" spans="1:37">
      <c r="A522" s="61"/>
      <c r="B522" s="61"/>
      <c r="C522" s="61"/>
      <c r="D522" s="61"/>
      <c r="E522" s="61"/>
      <c r="F522" s="20">
        <f t="array" ref="F522">_xlfn.XLOOKUP(A522,'WK 47'!A:A,'WK 47'!F:F,"")</f>
        <v>0</v>
      </c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</row>
    <row r="523" customHeight="1" spans="1:37">
      <c r="A523" s="61"/>
      <c r="B523" s="61"/>
      <c r="C523" s="61"/>
      <c r="D523" s="61"/>
      <c r="E523" s="61"/>
      <c r="F523" s="20">
        <f t="array" ref="F523">_xlfn.XLOOKUP(A523,'WK 47'!A:A,'WK 47'!F:F,"")</f>
        <v>0</v>
      </c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</row>
    <row r="524" customHeight="1" spans="1:37">
      <c r="A524" s="61"/>
      <c r="B524" s="61"/>
      <c r="C524" s="61"/>
      <c r="D524" s="61"/>
      <c r="E524" s="61"/>
      <c r="F524" s="20">
        <f t="array" ref="F524">_xlfn.XLOOKUP(A524,'WK 47'!A:A,'WK 47'!F:F,"")</f>
        <v>0</v>
      </c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</row>
    <row r="525" customHeight="1" spans="1:37">
      <c r="A525" s="61"/>
      <c r="B525" s="61"/>
      <c r="C525" s="61"/>
      <c r="D525" s="61"/>
      <c r="E525" s="61"/>
      <c r="F525" s="20">
        <f t="array" ref="F525">_xlfn.XLOOKUP(A525,'WK 47'!A:A,'WK 47'!F:F,"")</f>
        <v>0</v>
      </c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</row>
    <row r="526" customHeight="1" spans="1:37">
      <c r="A526" s="61"/>
      <c r="B526" s="61"/>
      <c r="C526" s="61"/>
      <c r="D526" s="61"/>
      <c r="E526" s="61"/>
      <c r="F526" s="20">
        <f t="array" ref="F526">_xlfn.XLOOKUP(A526,'WK 47'!A:A,'WK 47'!F:F,"")</f>
        <v>0</v>
      </c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</row>
    <row r="527" customHeight="1" spans="1:37">
      <c r="A527" s="61"/>
      <c r="B527" s="61"/>
      <c r="C527" s="61"/>
      <c r="D527" s="61"/>
      <c r="E527" s="61"/>
      <c r="F527" s="20">
        <f t="array" ref="F527">_xlfn.XLOOKUP(A527,'WK 47'!A:A,'WK 47'!F:F,"")</f>
        <v>0</v>
      </c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</row>
    <row r="528" customHeight="1" spans="1:37">
      <c r="A528" s="61"/>
      <c r="B528" s="61"/>
      <c r="C528" s="61"/>
      <c r="D528" s="61"/>
      <c r="E528" s="61"/>
      <c r="F528" s="20">
        <f t="array" ref="F528">_xlfn.XLOOKUP(A528,'WK 47'!A:A,'WK 47'!F:F,"")</f>
        <v>0</v>
      </c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</row>
    <row r="529" customHeight="1" spans="1:37">
      <c r="A529" s="61"/>
      <c r="B529" s="61"/>
      <c r="C529" s="61"/>
      <c r="D529" s="61"/>
      <c r="E529" s="61"/>
      <c r="F529" s="20">
        <f t="array" ref="F529">_xlfn.XLOOKUP(A529,'WK 47'!A:A,'WK 47'!F:F,"")</f>
        <v>0</v>
      </c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</row>
    <row r="530" customHeight="1" spans="1:37">
      <c r="A530" s="61"/>
      <c r="B530" s="61"/>
      <c r="C530" s="61"/>
      <c r="D530" s="61"/>
      <c r="E530" s="61"/>
      <c r="F530" s="20">
        <f t="array" ref="F530">_xlfn.XLOOKUP(A530,'WK 47'!A:A,'WK 47'!F:F,"")</f>
        <v>0</v>
      </c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</row>
    <row r="531" customHeight="1" spans="1:37">
      <c r="A531" s="61"/>
      <c r="B531" s="61"/>
      <c r="C531" s="61"/>
      <c r="D531" s="61"/>
      <c r="E531" s="61"/>
      <c r="F531" s="20">
        <f t="array" ref="F531">_xlfn.XLOOKUP(A531,'WK 47'!A:A,'WK 47'!F:F,"")</f>
        <v>0</v>
      </c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</row>
    <row r="532" customHeight="1" spans="1:37">
      <c r="A532" s="61"/>
      <c r="B532" s="61"/>
      <c r="C532" s="61"/>
      <c r="D532" s="61"/>
      <c r="E532" s="61"/>
      <c r="F532" s="20">
        <f t="array" ref="F532">_xlfn.XLOOKUP(A532,'WK 47'!A:A,'WK 47'!F:F,"")</f>
        <v>0</v>
      </c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</row>
    <row r="533" customHeight="1" spans="1:37">
      <c r="A533" s="61"/>
      <c r="B533" s="61"/>
      <c r="C533" s="61"/>
      <c r="D533" s="61"/>
      <c r="E533" s="61"/>
      <c r="F533" s="20">
        <f t="array" ref="F533">_xlfn.XLOOKUP(A533,'WK 47'!A:A,'WK 47'!F:F,"")</f>
        <v>0</v>
      </c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</row>
    <row r="534" customHeight="1" spans="1:37">
      <c r="A534" s="61"/>
      <c r="B534" s="61"/>
      <c r="C534" s="61"/>
      <c r="D534" s="61"/>
      <c r="E534" s="61"/>
      <c r="F534" s="20">
        <f t="array" ref="F534">_xlfn.XLOOKUP(A534,'WK 47'!A:A,'WK 47'!F:F,"")</f>
        <v>0</v>
      </c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</row>
    <row r="535" customHeight="1" spans="1:37">
      <c r="A535" s="61"/>
      <c r="B535" s="61"/>
      <c r="C535" s="61"/>
      <c r="D535" s="61"/>
      <c r="E535" s="61"/>
      <c r="F535" s="20">
        <f t="array" ref="F535">_xlfn.XLOOKUP(A535,'WK 47'!A:A,'WK 47'!F:F,"")</f>
        <v>0</v>
      </c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</row>
    <row r="536" customHeight="1" spans="1:37">
      <c r="A536" s="61"/>
      <c r="B536" s="61"/>
      <c r="C536" s="61"/>
      <c r="D536" s="61"/>
      <c r="E536" s="61"/>
      <c r="F536" s="20">
        <f t="array" ref="F536">_xlfn.XLOOKUP(A536,'WK 47'!A:A,'WK 47'!F:F,"")</f>
        <v>0</v>
      </c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</row>
    <row r="537" customHeight="1" spans="1:37">
      <c r="A537" s="61"/>
      <c r="B537" s="61"/>
      <c r="C537" s="61"/>
      <c r="D537" s="61"/>
      <c r="E537" s="61"/>
      <c r="F537" s="20">
        <f t="array" ref="F537">_xlfn.XLOOKUP(A537,'WK 47'!A:A,'WK 47'!F:F,"")</f>
        <v>0</v>
      </c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</row>
    <row r="538" customHeight="1" spans="1:37">
      <c r="A538" s="61"/>
      <c r="B538" s="61"/>
      <c r="C538" s="61"/>
      <c r="D538" s="61"/>
      <c r="E538" s="61"/>
      <c r="F538" s="20">
        <f t="array" ref="F538">_xlfn.XLOOKUP(A538,'WK 47'!A:A,'WK 47'!F:F,"")</f>
        <v>0</v>
      </c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</row>
    <row r="539" customHeight="1" spans="1:37">
      <c r="A539" s="61"/>
      <c r="B539" s="61"/>
      <c r="C539" s="61"/>
      <c r="D539" s="61"/>
      <c r="E539" s="61"/>
      <c r="F539" s="20">
        <f t="array" ref="F539">_xlfn.XLOOKUP(A539,'WK 47'!A:A,'WK 47'!F:F,"")</f>
        <v>0</v>
      </c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</row>
    <row r="540" customHeight="1" spans="1:37">
      <c r="A540" s="61"/>
      <c r="B540" s="61"/>
      <c r="C540" s="61"/>
      <c r="D540" s="61"/>
      <c r="E540" s="61"/>
      <c r="F540" s="20">
        <f t="array" ref="F540">_xlfn.XLOOKUP(A540,'WK 47'!A:A,'WK 47'!F:F,"")</f>
        <v>0</v>
      </c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</row>
    <row r="541" customHeight="1" spans="1:37">
      <c r="A541" s="61"/>
      <c r="B541" s="61"/>
      <c r="C541" s="61"/>
      <c r="D541" s="61"/>
      <c r="E541" s="61"/>
      <c r="F541" s="20">
        <f t="array" ref="F541">_xlfn.XLOOKUP(A541,'WK 47'!A:A,'WK 47'!F:F,"")</f>
        <v>0</v>
      </c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</row>
    <row r="542" customHeight="1" spans="1:37">
      <c r="A542" s="61"/>
      <c r="B542" s="61"/>
      <c r="C542" s="61"/>
      <c r="D542" s="61"/>
      <c r="E542" s="61"/>
      <c r="F542" s="20">
        <f t="array" ref="F542">_xlfn.XLOOKUP(A542,'WK 47'!A:A,'WK 47'!F:F,"")</f>
        <v>0</v>
      </c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</row>
    <row r="543" customHeight="1" spans="1:37">
      <c r="A543" s="61"/>
      <c r="B543" s="61"/>
      <c r="C543" s="61"/>
      <c r="D543" s="61"/>
      <c r="E543" s="61"/>
      <c r="F543" s="20">
        <f t="array" ref="F543">_xlfn.XLOOKUP(A543,'WK 47'!A:A,'WK 47'!F:F,"")</f>
        <v>0</v>
      </c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</row>
    <row r="544" customHeight="1" spans="1:37">
      <c r="A544" s="61"/>
      <c r="B544" s="61"/>
      <c r="C544" s="61"/>
      <c r="D544" s="61"/>
      <c r="E544" s="61"/>
      <c r="F544" s="20">
        <f t="array" ref="F544">_xlfn.XLOOKUP(A544,'WK 47'!A:A,'WK 47'!F:F,"")</f>
        <v>0</v>
      </c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</row>
    <row r="545" customHeight="1" spans="1:37">
      <c r="A545" s="61"/>
      <c r="B545" s="61"/>
      <c r="C545" s="61"/>
      <c r="D545" s="61"/>
      <c r="E545" s="61"/>
      <c r="F545" s="20">
        <f t="array" ref="F545">_xlfn.XLOOKUP(A545,'WK 47'!A:A,'WK 47'!F:F,"")</f>
        <v>0</v>
      </c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</row>
    <row r="546" customHeight="1" spans="1:37">
      <c r="A546" s="61"/>
      <c r="B546" s="61"/>
      <c r="C546" s="61"/>
      <c r="D546" s="61"/>
      <c r="E546" s="61"/>
      <c r="F546" s="20">
        <f t="array" ref="F546">_xlfn.XLOOKUP(A546,'WK 47'!A:A,'WK 47'!F:F,"")</f>
        <v>0</v>
      </c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</row>
    <row r="547" customHeight="1" spans="1:37">
      <c r="A547" s="61"/>
      <c r="B547" s="61"/>
      <c r="C547" s="61"/>
      <c r="D547" s="61"/>
      <c r="E547" s="61"/>
      <c r="F547" s="20">
        <f t="array" ref="F547">_xlfn.XLOOKUP(A547,'WK 47'!A:A,'WK 47'!F:F,"")</f>
        <v>0</v>
      </c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</row>
    <row r="548" customHeight="1" spans="1:37">
      <c r="A548" s="61"/>
      <c r="B548" s="61"/>
      <c r="C548" s="61"/>
      <c r="D548" s="61"/>
      <c r="E548" s="61"/>
      <c r="F548" s="20">
        <f t="array" ref="F548">_xlfn.XLOOKUP(A548,'WK 47'!A:A,'WK 47'!F:F,"")</f>
        <v>0</v>
      </c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</row>
    <row r="549" customHeight="1" spans="1:37">
      <c r="A549" s="61"/>
      <c r="B549" s="61"/>
      <c r="C549" s="61"/>
      <c r="D549" s="61"/>
      <c r="E549" s="61"/>
      <c r="F549" s="20">
        <f t="array" ref="F549">_xlfn.XLOOKUP(A549,'WK 47'!A:A,'WK 47'!F:F,"")</f>
        <v>0</v>
      </c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</row>
    <row r="550" customHeight="1" spans="1:37">
      <c r="A550" s="61"/>
      <c r="B550" s="61"/>
      <c r="C550" s="61"/>
      <c r="D550" s="61"/>
      <c r="E550" s="61"/>
      <c r="F550" s="20">
        <f t="array" ref="F550">_xlfn.XLOOKUP(A550,'WK 47'!A:A,'WK 47'!F:F,"")</f>
        <v>0</v>
      </c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</row>
    <row r="551" customHeight="1" spans="1:37">
      <c r="A551" s="61"/>
      <c r="B551" s="61"/>
      <c r="C551" s="61"/>
      <c r="D551" s="61"/>
      <c r="E551" s="61"/>
      <c r="F551" s="20">
        <f t="array" ref="F551">_xlfn.XLOOKUP(A551,'WK 47'!A:A,'WK 47'!F:F,"")</f>
        <v>0</v>
      </c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</row>
    <row r="552" customHeight="1" spans="1:37">
      <c r="A552" s="61"/>
      <c r="B552" s="61"/>
      <c r="C552" s="61"/>
      <c r="D552" s="61"/>
      <c r="E552" s="61"/>
      <c r="F552" s="20">
        <f t="array" ref="F552">_xlfn.XLOOKUP(A552,'WK 47'!A:A,'WK 47'!F:F,"")</f>
        <v>0</v>
      </c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</row>
    <row r="553" customHeight="1" spans="1:37">
      <c r="A553" s="61"/>
      <c r="B553" s="61"/>
      <c r="C553" s="61"/>
      <c r="D553" s="61"/>
      <c r="E553" s="61"/>
      <c r="F553" s="20">
        <f t="array" ref="F553">_xlfn.XLOOKUP(A553,'WK 47'!A:A,'WK 47'!F:F,"")</f>
        <v>0</v>
      </c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</row>
    <row r="554" customHeight="1" spans="1:37">
      <c r="A554" s="61"/>
      <c r="B554" s="61"/>
      <c r="C554" s="61"/>
      <c r="D554" s="61"/>
      <c r="E554" s="61"/>
      <c r="F554" s="20">
        <f t="array" ref="F554">_xlfn.XLOOKUP(A554,'WK 47'!A:A,'WK 47'!F:F,"")</f>
        <v>0</v>
      </c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</row>
    <row r="555" customHeight="1" spans="1:37">
      <c r="A555" s="61"/>
      <c r="B555" s="61"/>
      <c r="C555" s="61"/>
      <c r="D555" s="61"/>
      <c r="E555" s="61"/>
      <c r="F555" s="20">
        <f t="array" ref="F555">_xlfn.XLOOKUP(A555,'WK 47'!A:A,'WK 47'!F:F,"")</f>
        <v>0</v>
      </c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</row>
    <row r="556" customHeight="1" spans="1:37">
      <c r="A556" s="61"/>
      <c r="B556" s="61"/>
      <c r="C556" s="61"/>
      <c r="D556" s="61"/>
      <c r="E556" s="61"/>
      <c r="F556" s="20">
        <f t="array" ref="F556">_xlfn.XLOOKUP(A556,'WK 47'!A:A,'WK 47'!F:F,"")</f>
        <v>0</v>
      </c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</row>
    <row r="557" customHeight="1" spans="1:37">
      <c r="A557" s="61"/>
      <c r="B557" s="61"/>
      <c r="C557" s="61"/>
      <c r="D557" s="61"/>
      <c r="E557" s="61"/>
      <c r="F557" s="20">
        <f t="array" ref="F557">_xlfn.XLOOKUP(A557,'WK 47'!A:A,'WK 47'!F:F,"")</f>
        <v>0</v>
      </c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</row>
    <row r="558" customHeight="1" spans="1:37">
      <c r="A558" s="61"/>
      <c r="B558" s="61"/>
      <c r="C558" s="61"/>
      <c r="D558" s="61"/>
      <c r="E558" s="61"/>
      <c r="F558" s="20">
        <f t="array" ref="F558">_xlfn.XLOOKUP(A558,'WK 47'!A:A,'WK 47'!F:F,"")</f>
        <v>0</v>
      </c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</row>
    <row r="559" customHeight="1" spans="1:37">
      <c r="A559" s="61"/>
      <c r="B559" s="61"/>
      <c r="C559" s="61"/>
      <c r="D559" s="61"/>
      <c r="E559" s="61"/>
      <c r="F559" s="20">
        <f t="array" ref="F559">_xlfn.XLOOKUP(A559,'WK 47'!A:A,'WK 47'!F:F,"")</f>
        <v>0</v>
      </c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</row>
    <row r="560" customHeight="1" spans="1:37">
      <c r="A560" s="61"/>
      <c r="B560" s="61"/>
      <c r="C560" s="61"/>
      <c r="D560" s="61"/>
      <c r="E560" s="61"/>
      <c r="F560" s="20">
        <f t="array" ref="F560">_xlfn.XLOOKUP(A560,'WK 47'!A:A,'WK 47'!F:F,"")</f>
        <v>0</v>
      </c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</row>
    <row r="561" customHeight="1" spans="1:37">
      <c r="A561" s="61"/>
      <c r="B561" s="61"/>
      <c r="C561" s="61"/>
      <c r="D561" s="61"/>
      <c r="E561" s="61"/>
      <c r="F561" s="20">
        <f t="array" ref="F561">_xlfn.XLOOKUP(A561,'WK 47'!A:A,'WK 47'!F:F,"")</f>
        <v>0</v>
      </c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</row>
    <row r="562" customHeight="1" spans="1:37">
      <c r="A562" s="61"/>
      <c r="B562" s="61"/>
      <c r="C562" s="61"/>
      <c r="D562" s="61"/>
      <c r="E562" s="61"/>
      <c r="F562" s="20">
        <f t="array" ref="F562">_xlfn.XLOOKUP(A562,'WK 47'!A:A,'WK 47'!F:F,"")</f>
        <v>0</v>
      </c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</row>
    <row r="563" customHeight="1" spans="1:37">
      <c r="A563" s="61"/>
      <c r="B563" s="61"/>
      <c r="C563" s="61"/>
      <c r="D563" s="61"/>
      <c r="E563" s="61"/>
      <c r="F563" s="20">
        <f t="array" ref="F563">_xlfn.XLOOKUP(A563,'WK 47'!A:A,'WK 47'!F:F,"")</f>
        <v>0</v>
      </c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</row>
    <row r="564" customHeight="1" spans="1:37">
      <c r="A564" s="61"/>
      <c r="B564" s="61"/>
      <c r="C564" s="61"/>
      <c r="D564" s="61"/>
      <c r="E564" s="61"/>
      <c r="F564" s="20">
        <f t="array" ref="F564">_xlfn.XLOOKUP(A564,'WK 47'!A:A,'WK 47'!F:F,"")</f>
        <v>0</v>
      </c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</row>
    <row r="565" customHeight="1" spans="1:37">
      <c r="A565" s="61"/>
      <c r="B565" s="61"/>
      <c r="C565" s="61"/>
      <c r="D565" s="61"/>
      <c r="E565" s="61"/>
      <c r="F565" s="20">
        <f t="array" ref="F565">_xlfn.XLOOKUP(A565,'WK 47'!A:A,'WK 47'!F:F,"")</f>
        <v>0</v>
      </c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</row>
    <row r="566" customHeight="1" spans="1:37">
      <c r="A566" s="61"/>
      <c r="B566" s="61"/>
      <c r="C566" s="61"/>
      <c r="D566" s="61"/>
      <c r="E566" s="61"/>
      <c r="F566" s="20">
        <f t="array" ref="F566">_xlfn.XLOOKUP(A566,'WK 47'!A:A,'WK 47'!F:F,"")</f>
        <v>0</v>
      </c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</row>
    <row r="567" customHeight="1" spans="1:37">
      <c r="A567" s="61"/>
      <c r="B567" s="61"/>
      <c r="C567" s="61"/>
      <c r="D567" s="61"/>
      <c r="E567" s="61"/>
      <c r="F567" s="20">
        <f t="array" ref="F567">_xlfn.XLOOKUP(A567,'WK 47'!A:A,'WK 47'!F:F,"")</f>
        <v>0</v>
      </c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</row>
    <row r="568" customHeight="1" spans="1:37">
      <c r="A568" s="61"/>
      <c r="B568" s="61"/>
      <c r="C568" s="61"/>
      <c r="D568" s="61"/>
      <c r="E568" s="61"/>
      <c r="F568" s="20">
        <f t="array" ref="F568">_xlfn.XLOOKUP(A568,'WK 47'!A:A,'WK 47'!F:F,"")</f>
        <v>0</v>
      </c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</row>
    <row r="569" customHeight="1" spans="1:37">
      <c r="A569" s="61"/>
      <c r="B569" s="61"/>
      <c r="C569" s="61"/>
      <c r="D569" s="61"/>
      <c r="E569" s="61"/>
      <c r="F569" s="20">
        <f t="array" ref="F569">_xlfn.XLOOKUP(A569,'WK 47'!A:A,'WK 47'!F:F,"")</f>
        <v>0</v>
      </c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</row>
    <row r="570" customHeight="1" spans="1:37">
      <c r="A570" s="61"/>
      <c r="B570" s="61"/>
      <c r="C570" s="61"/>
      <c r="D570" s="61"/>
      <c r="E570" s="61"/>
      <c r="F570" s="20">
        <f t="array" ref="F570">_xlfn.XLOOKUP(A570,'WK 47'!A:A,'WK 47'!F:F,"")</f>
        <v>0</v>
      </c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</row>
    <row r="571" customHeight="1" spans="1:37">
      <c r="A571" s="61"/>
      <c r="B571" s="61"/>
      <c r="C571" s="61"/>
      <c r="D571" s="61"/>
      <c r="E571" s="61"/>
      <c r="F571" s="20">
        <f t="array" ref="F571">_xlfn.XLOOKUP(A571,'WK 47'!A:A,'WK 47'!F:F,"")</f>
        <v>0</v>
      </c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</row>
    <row r="572" customHeight="1" spans="1:37">
      <c r="A572" s="61"/>
      <c r="B572" s="61"/>
      <c r="C572" s="61"/>
      <c r="D572" s="61"/>
      <c r="E572" s="61"/>
      <c r="F572" s="20">
        <f t="array" ref="F572">_xlfn.XLOOKUP(A572,'WK 47'!A:A,'WK 47'!F:F,"")</f>
        <v>0</v>
      </c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</row>
    <row r="573" customHeight="1" spans="1:37">
      <c r="A573" s="61"/>
      <c r="B573" s="61"/>
      <c r="C573" s="61"/>
      <c r="D573" s="61"/>
      <c r="E573" s="61"/>
      <c r="F573" s="20">
        <f t="array" ref="F573">_xlfn.XLOOKUP(A573,'WK 47'!A:A,'WK 47'!F:F,"")</f>
        <v>0</v>
      </c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</row>
    <row r="574" customHeight="1" spans="1:37">
      <c r="A574" s="61"/>
      <c r="B574" s="61"/>
      <c r="C574" s="61"/>
      <c r="D574" s="61"/>
      <c r="E574" s="61"/>
      <c r="F574" s="20">
        <f t="array" ref="F574">_xlfn.XLOOKUP(A574,'WK 47'!A:A,'WK 47'!F:F,"")</f>
        <v>0</v>
      </c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</row>
    <row r="575" customHeight="1" spans="1:37">
      <c r="A575" s="61"/>
      <c r="B575" s="61"/>
      <c r="C575" s="61"/>
      <c r="D575" s="61"/>
      <c r="E575" s="61"/>
      <c r="F575" s="20">
        <f t="array" ref="F575">_xlfn.XLOOKUP(A575,'WK 47'!A:A,'WK 47'!F:F,"")</f>
        <v>0</v>
      </c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</row>
    <row r="576" customHeight="1" spans="1:37">
      <c r="A576" s="61"/>
      <c r="B576" s="61"/>
      <c r="C576" s="61"/>
      <c r="D576" s="61"/>
      <c r="E576" s="61"/>
      <c r="F576" s="20">
        <f t="array" ref="F576">_xlfn.XLOOKUP(A576,'WK 47'!A:A,'WK 47'!F:F,"")</f>
        <v>0</v>
      </c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</row>
    <row r="577" customHeight="1" spans="1:37">
      <c r="A577" s="61"/>
      <c r="B577" s="61"/>
      <c r="C577" s="61"/>
      <c r="D577" s="61"/>
      <c r="E577" s="61"/>
      <c r="F577" s="20">
        <f t="array" ref="F577">_xlfn.XLOOKUP(A577,'WK 47'!A:A,'WK 47'!F:F,"")</f>
        <v>0</v>
      </c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</row>
    <row r="578" customHeight="1" spans="1:37">
      <c r="A578" s="61"/>
      <c r="B578" s="61"/>
      <c r="C578" s="61"/>
      <c r="D578" s="61"/>
      <c r="E578" s="61"/>
      <c r="F578" s="20">
        <f t="array" ref="F578">_xlfn.XLOOKUP(A578,'WK 47'!A:A,'WK 47'!F:F,"")</f>
        <v>0</v>
      </c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</row>
    <row r="579" customHeight="1" spans="1:37">
      <c r="A579" s="61"/>
      <c r="B579" s="61"/>
      <c r="C579" s="61"/>
      <c r="D579" s="61"/>
      <c r="E579" s="61"/>
      <c r="F579" s="20">
        <f t="array" ref="F579">_xlfn.XLOOKUP(A579,'WK 47'!A:A,'WK 47'!F:F,"")</f>
        <v>0</v>
      </c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</row>
    <row r="580" customHeight="1" spans="1:37">
      <c r="A580" s="61"/>
      <c r="B580" s="61"/>
      <c r="C580" s="61"/>
      <c r="D580" s="61"/>
      <c r="E580" s="61"/>
      <c r="F580" s="20">
        <f t="array" ref="F580">_xlfn.XLOOKUP(A580,'WK 47'!A:A,'WK 47'!F:F,"")</f>
        <v>0</v>
      </c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</row>
    <row r="581" customHeight="1" spans="1:37">
      <c r="A581" s="61"/>
      <c r="B581" s="61"/>
      <c r="C581" s="61"/>
      <c r="D581" s="61"/>
      <c r="E581" s="61"/>
      <c r="F581" s="20">
        <f t="array" ref="F581">_xlfn.XLOOKUP(A581,'WK 47'!A:A,'WK 47'!F:F,"")</f>
        <v>0</v>
      </c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</row>
    <row r="582" customHeight="1" spans="1:37">
      <c r="A582" s="61"/>
      <c r="B582" s="61"/>
      <c r="C582" s="61"/>
      <c r="D582" s="61"/>
      <c r="E582" s="61"/>
      <c r="F582" s="20">
        <f t="array" ref="F582">_xlfn.XLOOKUP(A582,'WK 47'!A:A,'WK 47'!F:F,"")</f>
        <v>0</v>
      </c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</row>
    <row r="583" customHeight="1" spans="1:37">
      <c r="A583" s="61"/>
      <c r="B583" s="61"/>
      <c r="C583" s="61"/>
      <c r="D583" s="61"/>
      <c r="E583" s="61"/>
      <c r="F583" s="20">
        <f t="array" ref="F583">_xlfn.XLOOKUP(A583,'WK 47'!A:A,'WK 47'!F:F,"")</f>
        <v>0</v>
      </c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</row>
    <row r="584" customHeight="1" spans="1:37">
      <c r="A584" s="61"/>
      <c r="B584" s="61"/>
      <c r="C584" s="61"/>
      <c r="D584" s="61"/>
      <c r="E584" s="61"/>
      <c r="F584" s="20">
        <f t="array" ref="F584">_xlfn.XLOOKUP(A584,'WK 47'!A:A,'WK 47'!F:F,"")</f>
        <v>0</v>
      </c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</row>
    <row r="585" customHeight="1" spans="1:37">
      <c r="A585" s="61"/>
      <c r="B585" s="61"/>
      <c r="C585" s="61"/>
      <c r="D585" s="61"/>
      <c r="E585" s="61"/>
      <c r="F585" s="20">
        <f t="array" ref="F585">_xlfn.XLOOKUP(A585,'WK 47'!A:A,'WK 47'!F:F,"")</f>
        <v>0</v>
      </c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</row>
    <row r="586" customHeight="1" spans="1:37">
      <c r="A586" s="61"/>
      <c r="B586" s="61"/>
      <c r="C586" s="61"/>
      <c r="D586" s="61"/>
      <c r="E586" s="61"/>
      <c r="F586" s="20">
        <f t="array" ref="F586">_xlfn.XLOOKUP(A586,'WK 47'!A:A,'WK 47'!F:F,"")</f>
        <v>0</v>
      </c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</row>
    <row r="587" customHeight="1" spans="1:37">
      <c r="A587" s="61"/>
      <c r="B587" s="61"/>
      <c r="C587" s="61"/>
      <c r="D587" s="61"/>
      <c r="E587" s="61"/>
      <c r="F587" s="20">
        <f t="array" ref="F587">_xlfn.XLOOKUP(A587,'WK 47'!A:A,'WK 47'!F:F,"")</f>
        <v>0</v>
      </c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</row>
    <row r="588" customHeight="1" spans="1:37">
      <c r="A588" s="61"/>
      <c r="B588" s="61"/>
      <c r="C588" s="61"/>
      <c r="D588" s="61"/>
      <c r="E588" s="61"/>
      <c r="F588" s="20">
        <f t="array" ref="F588">_xlfn.XLOOKUP(A588,'WK 47'!A:A,'WK 47'!F:F,"")</f>
        <v>0</v>
      </c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</row>
    <row r="589" customHeight="1" spans="1:37">
      <c r="A589" s="61"/>
      <c r="B589" s="61"/>
      <c r="C589" s="61"/>
      <c r="D589" s="61"/>
      <c r="E589" s="61"/>
      <c r="F589" s="20">
        <f t="array" ref="F589">_xlfn.XLOOKUP(A589,'WK 47'!A:A,'WK 47'!F:F,"")</f>
        <v>0</v>
      </c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</row>
    <row r="590" customHeight="1" spans="1:37">
      <c r="A590" s="61"/>
      <c r="B590" s="61"/>
      <c r="C590" s="61"/>
      <c r="D590" s="61"/>
      <c r="E590" s="61"/>
      <c r="F590" s="20">
        <f t="array" ref="F590">_xlfn.XLOOKUP(A590,'WK 47'!A:A,'WK 47'!F:F,"")</f>
        <v>0</v>
      </c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</row>
    <row r="591" customHeight="1" spans="1:37">
      <c r="A591" s="61"/>
      <c r="B591" s="61"/>
      <c r="C591" s="61"/>
      <c r="D591" s="61"/>
      <c r="E591" s="61"/>
      <c r="F591" s="20">
        <f t="array" ref="F591">_xlfn.XLOOKUP(A591,'WK 47'!A:A,'WK 47'!F:F,"")</f>
        <v>0</v>
      </c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</row>
    <row r="592" customHeight="1" spans="1:37">
      <c r="A592" s="61"/>
      <c r="B592" s="61"/>
      <c r="C592" s="61"/>
      <c r="D592" s="61"/>
      <c r="E592" s="61"/>
      <c r="F592" s="20">
        <f t="array" ref="F592">_xlfn.XLOOKUP(A592,'WK 47'!A:A,'WK 47'!F:F,"")</f>
        <v>0</v>
      </c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</row>
    <row r="593" customHeight="1" spans="1:37">
      <c r="A593" s="61"/>
      <c r="B593" s="61"/>
      <c r="C593" s="61"/>
      <c r="D593" s="61"/>
      <c r="E593" s="61"/>
      <c r="F593" s="20">
        <f t="array" ref="F593">_xlfn.XLOOKUP(A593,'WK 47'!A:A,'WK 47'!F:F,"")</f>
        <v>0</v>
      </c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</row>
    <row r="594" customHeight="1" spans="1:37">
      <c r="A594" s="61"/>
      <c r="B594" s="61"/>
      <c r="C594" s="61"/>
      <c r="D594" s="61"/>
      <c r="E594" s="61"/>
      <c r="F594" s="20">
        <f t="array" ref="F594">_xlfn.XLOOKUP(A594,'WK 47'!A:A,'WK 47'!F:F,"")</f>
        <v>0</v>
      </c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</row>
    <row r="595" customHeight="1" spans="1:37">
      <c r="A595" s="61"/>
      <c r="B595" s="61"/>
      <c r="C595" s="61"/>
      <c r="D595" s="61"/>
      <c r="E595" s="61"/>
      <c r="F595" s="20">
        <f t="array" ref="F595">_xlfn.XLOOKUP(A595,'WK 47'!A:A,'WK 47'!F:F,"")</f>
        <v>0</v>
      </c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</row>
    <row r="596" customHeight="1" spans="1:37">
      <c r="A596" s="61"/>
      <c r="B596" s="61"/>
      <c r="C596" s="61"/>
      <c r="D596" s="61"/>
      <c r="E596" s="61"/>
      <c r="F596" s="20">
        <f t="array" ref="F596">_xlfn.XLOOKUP(A596,'WK 47'!A:A,'WK 47'!F:F,"")</f>
        <v>0</v>
      </c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</row>
    <row r="597" customHeight="1" spans="1:37">
      <c r="A597" s="61"/>
      <c r="B597" s="61"/>
      <c r="C597" s="61"/>
      <c r="D597" s="61"/>
      <c r="E597" s="61"/>
      <c r="F597" s="20">
        <f t="array" ref="F597">_xlfn.XLOOKUP(A597,'WK 47'!A:A,'WK 47'!F:F,"")</f>
        <v>0</v>
      </c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</row>
    <row r="598" customHeight="1" spans="1:37">
      <c r="A598" s="61"/>
      <c r="B598" s="61"/>
      <c r="C598" s="61"/>
      <c r="D598" s="61"/>
      <c r="E598" s="61"/>
      <c r="F598" s="20">
        <f t="array" ref="F598">_xlfn.XLOOKUP(A598,'WK 47'!A:A,'WK 47'!F:F,"")</f>
        <v>0</v>
      </c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</row>
    <row r="599" customHeight="1" spans="1:37">
      <c r="A599" s="61"/>
      <c r="B599" s="61"/>
      <c r="C599" s="61"/>
      <c r="D599" s="61"/>
      <c r="E599" s="61"/>
      <c r="F599" s="20">
        <f t="array" ref="F599">_xlfn.XLOOKUP(A599,'WK 47'!A:A,'WK 47'!F:F,"")</f>
        <v>0</v>
      </c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</row>
    <row r="600" customHeight="1" spans="1:37">
      <c r="A600" s="61"/>
      <c r="B600" s="61"/>
      <c r="C600" s="61"/>
      <c r="D600" s="61"/>
      <c r="E600" s="61"/>
      <c r="F600" s="20">
        <f t="array" ref="F600">_xlfn.XLOOKUP(A600,'WK 47'!A:A,'WK 47'!F:F,"")</f>
        <v>0</v>
      </c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</row>
    <row r="601" customHeight="1" spans="1:37">
      <c r="A601" s="61"/>
      <c r="B601" s="61"/>
      <c r="C601" s="61"/>
      <c r="D601" s="61"/>
      <c r="E601" s="61"/>
      <c r="F601" s="20">
        <f t="array" ref="F601">_xlfn.XLOOKUP(A601,'WK 47'!A:A,'WK 47'!F:F,"")</f>
        <v>0</v>
      </c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</row>
    <row r="602" customHeight="1" spans="1:37">
      <c r="A602" s="61"/>
      <c r="B602" s="61"/>
      <c r="C602" s="61"/>
      <c r="D602" s="61"/>
      <c r="E602" s="61"/>
      <c r="F602" s="20">
        <f t="array" ref="F602">_xlfn.XLOOKUP(A602,'WK 47'!A:A,'WK 47'!F:F,"")</f>
        <v>0</v>
      </c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</row>
    <row r="603" customHeight="1" spans="1:37">
      <c r="A603" s="61"/>
      <c r="B603" s="61"/>
      <c r="C603" s="61"/>
      <c r="D603" s="61"/>
      <c r="E603" s="61"/>
      <c r="F603" s="20">
        <f t="array" ref="F603">_xlfn.XLOOKUP(A603,'WK 47'!A:A,'WK 47'!F:F,"")</f>
        <v>0</v>
      </c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</row>
    <row r="604" customHeight="1" spans="1:37">
      <c r="A604" s="61"/>
      <c r="B604" s="61"/>
      <c r="C604" s="61"/>
      <c r="D604" s="61"/>
      <c r="E604" s="61"/>
      <c r="F604" s="20">
        <f t="array" ref="F604">_xlfn.XLOOKUP(A604,'WK 47'!A:A,'WK 47'!F:F,"")</f>
        <v>0</v>
      </c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</row>
    <row r="605" customHeight="1" spans="1:37">
      <c r="A605" s="61"/>
      <c r="B605" s="61"/>
      <c r="C605" s="61"/>
      <c r="D605" s="61"/>
      <c r="E605" s="61"/>
      <c r="F605" s="20">
        <f t="array" ref="F605">_xlfn.XLOOKUP(A605,'WK 47'!A:A,'WK 47'!F:F,"")</f>
        <v>0</v>
      </c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</row>
    <row r="606" customHeight="1" spans="1:37">
      <c r="A606" s="61"/>
      <c r="B606" s="61"/>
      <c r="C606" s="61"/>
      <c r="D606" s="61"/>
      <c r="E606" s="61"/>
      <c r="F606" s="20">
        <f t="array" ref="F606">_xlfn.XLOOKUP(A606,'WK 47'!A:A,'WK 47'!F:F,"")</f>
        <v>0</v>
      </c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</row>
    <row r="607" customHeight="1" spans="1:37">
      <c r="A607" s="61"/>
      <c r="B607" s="61"/>
      <c r="C607" s="61"/>
      <c r="D607" s="61"/>
      <c r="E607" s="61"/>
      <c r="F607" s="20">
        <f t="array" ref="F607">_xlfn.XLOOKUP(A607,'WK 47'!A:A,'WK 47'!F:F,"")</f>
        <v>0</v>
      </c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</row>
    <row r="608" customHeight="1" spans="1:37">
      <c r="A608" s="61"/>
      <c r="B608" s="61"/>
      <c r="C608" s="61"/>
      <c r="D608" s="61"/>
      <c r="E608" s="61"/>
      <c r="F608" s="20">
        <f t="array" ref="F608">_xlfn.XLOOKUP(A608,'WK 47'!A:A,'WK 47'!F:F,"")</f>
        <v>0</v>
      </c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</row>
    <row r="609" customHeight="1" spans="1:37">
      <c r="A609" s="61"/>
      <c r="B609" s="61"/>
      <c r="C609" s="61"/>
      <c r="D609" s="61"/>
      <c r="E609" s="61"/>
      <c r="F609" s="20">
        <f t="array" ref="F609">_xlfn.XLOOKUP(A609,'WK 47'!A:A,'WK 47'!F:F,"")</f>
        <v>0</v>
      </c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</row>
    <row r="610" customHeight="1" spans="1:37">
      <c r="A610" s="61"/>
      <c r="B610" s="61"/>
      <c r="C610" s="61"/>
      <c r="D610" s="61"/>
      <c r="E610" s="61"/>
      <c r="F610" s="20">
        <f t="array" ref="F610">_xlfn.XLOOKUP(A610,'WK 47'!A:A,'WK 47'!F:F,"")</f>
        <v>0</v>
      </c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</row>
    <row r="611" customHeight="1" spans="1:37">
      <c r="A611" s="61"/>
      <c r="B611" s="61"/>
      <c r="C611" s="61"/>
      <c r="D611" s="61"/>
      <c r="E611" s="61"/>
      <c r="F611" s="20">
        <f t="array" ref="F611">_xlfn.XLOOKUP(A611,'WK 47'!A:A,'WK 47'!F:F,"")</f>
        <v>0</v>
      </c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</row>
    <row r="612" customHeight="1" spans="1:37">
      <c r="A612" s="61"/>
      <c r="B612" s="61"/>
      <c r="C612" s="61"/>
      <c r="D612" s="61"/>
      <c r="E612" s="61"/>
      <c r="F612" s="20">
        <f t="array" ref="F612">_xlfn.XLOOKUP(A612,'WK 47'!A:A,'WK 47'!F:F,"")</f>
        <v>0</v>
      </c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</row>
    <row r="613" customHeight="1" spans="1:37">
      <c r="A613" s="61"/>
      <c r="B613" s="61"/>
      <c r="C613" s="61"/>
      <c r="D613" s="61"/>
      <c r="E613" s="61"/>
      <c r="F613" s="20">
        <f t="array" ref="F613">_xlfn.XLOOKUP(A613,'WK 47'!A:A,'WK 47'!F:F,"")</f>
        <v>0</v>
      </c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</row>
    <row r="614" customHeight="1" spans="1:37">
      <c r="A614" s="61"/>
      <c r="B614" s="61"/>
      <c r="C614" s="61"/>
      <c r="D614" s="61"/>
      <c r="E614" s="61"/>
      <c r="F614" s="20">
        <f t="array" ref="F614">_xlfn.XLOOKUP(A614,'WK 47'!A:A,'WK 47'!F:F,"")</f>
        <v>0</v>
      </c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</row>
    <row r="615" customHeight="1" spans="1:37">
      <c r="A615" s="61"/>
      <c r="B615" s="61"/>
      <c r="C615" s="61"/>
      <c r="D615" s="61"/>
      <c r="E615" s="61"/>
      <c r="F615" s="20">
        <f t="array" ref="F615">_xlfn.XLOOKUP(A615,'WK 47'!A:A,'WK 47'!F:F,"")</f>
        <v>0</v>
      </c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</row>
    <row r="616" customHeight="1" spans="1:37">
      <c r="A616" s="61"/>
      <c r="B616" s="61"/>
      <c r="C616" s="61"/>
      <c r="D616" s="61"/>
      <c r="E616" s="61"/>
      <c r="F616" s="20">
        <f t="array" ref="F616">_xlfn.XLOOKUP(A616,'WK 47'!A:A,'WK 47'!F:F,"")</f>
        <v>0</v>
      </c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</row>
    <row r="617" customHeight="1" spans="1:37">
      <c r="A617" s="61"/>
      <c r="B617" s="61"/>
      <c r="C617" s="61"/>
      <c r="D617" s="61"/>
      <c r="E617" s="61"/>
      <c r="F617" s="20">
        <f t="array" ref="F617">_xlfn.XLOOKUP(A617,'WK 47'!A:A,'WK 47'!F:F,"")</f>
        <v>0</v>
      </c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</row>
    <row r="618" customHeight="1" spans="1:37">
      <c r="A618" s="61"/>
      <c r="B618" s="61"/>
      <c r="C618" s="61"/>
      <c r="D618" s="61"/>
      <c r="E618" s="61"/>
      <c r="F618" s="20">
        <f t="array" ref="F618">_xlfn.XLOOKUP(A618,'WK 47'!A:A,'WK 47'!F:F,"")</f>
        <v>0</v>
      </c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</row>
    <row r="619" customHeight="1" spans="1:37">
      <c r="A619" s="61"/>
      <c r="B619" s="61"/>
      <c r="C619" s="61"/>
      <c r="D619" s="61"/>
      <c r="E619" s="61"/>
      <c r="F619" s="20">
        <f t="array" ref="F619">_xlfn.XLOOKUP(A619,'WK 47'!A:A,'WK 47'!F:F,"")</f>
        <v>0</v>
      </c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</row>
    <row r="620" customHeight="1" spans="1:37">
      <c r="A620" s="61"/>
      <c r="B620" s="61"/>
      <c r="C620" s="61"/>
      <c r="D620" s="61"/>
      <c r="E620" s="61"/>
      <c r="F620" s="20">
        <f t="array" ref="F620">_xlfn.XLOOKUP(A620,'WK 47'!A:A,'WK 47'!F:F,"")</f>
        <v>0</v>
      </c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</row>
    <row r="621" customHeight="1" spans="1:37">
      <c r="A621" s="61"/>
      <c r="B621" s="61"/>
      <c r="C621" s="61"/>
      <c r="D621" s="61"/>
      <c r="E621" s="61"/>
      <c r="F621" s="20">
        <f t="array" ref="F621">_xlfn.XLOOKUP(A621,'WK 47'!A:A,'WK 47'!F:F,"")</f>
        <v>0</v>
      </c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</row>
    <row r="622" customHeight="1" spans="1:37">
      <c r="A622" s="61"/>
      <c r="B622" s="61"/>
      <c r="C622" s="61"/>
      <c r="D622" s="61"/>
      <c r="E622" s="61"/>
      <c r="F622" s="20">
        <f t="array" ref="F622">_xlfn.XLOOKUP(A622,'WK 47'!A:A,'WK 47'!F:F,"")</f>
        <v>0</v>
      </c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</row>
    <row r="623" customHeight="1" spans="1:37">
      <c r="A623" s="61"/>
      <c r="B623" s="61"/>
      <c r="C623" s="61"/>
      <c r="D623" s="61"/>
      <c r="E623" s="61"/>
      <c r="F623" s="20">
        <f t="array" ref="F623">_xlfn.XLOOKUP(A623,'WK 47'!A:A,'WK 47'!F:F,"")</f>
        <v>0</v>
      </c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</row>
    <row r="624" customHeight="1" spans="1:37">
      <c r="A624" s="61"/>
      <c r="B624" s="61"/>
      <c r="C624" s="61"/>
      <c r="D624" s="61"/>
      <c r="E624" s="61"/>
      <c r="F624" s="20">
        <f t="array" ref="F624">_xlfn.XLOOKUP(A624,'WK 47'!A:A,'WK 47'!F:F,"")</f>
        <v>0</v>
      </c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</row>
    <row r="625" customHeight="1" spans="1:37">
      <c r="A625" s="61"/>
      <c r="B625" s="61"/>
      <c r="C625" s="61"/>
      <c r="D625" s="61"/>
      <c r="E625" s="61"/>
      <c r="F625" s="20">
        <f t="array" ref="F625">_xlfn.XLOOKUP(A625,'WK 47'!A:A,'WK 47'!F:F,"")</f>
        <v>0</v>
      </c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</row>
    <row r="626" customHeight="1" spans="1:37">
      <c r="A626" s="61"/>
      <c r="B626" s="61"/>
      <c r="C626" s="61"/>
      <c r="D626" s="61"/>
      <c r="E626" s="61"/>
      <c r="F626" s="20">
        <f t="array" ref="F626">_xlfn.XLOOKUP(A626,'WK 47'!A:A,'WK 47'!F:F,"")</f>
        <v>0</v>
      </c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</row>
    <row r="627" customHeight="1" spans="1:37">
      <c r="A627" s="61"/>
      <c r="B627" s="61"/>
      <c r="C627" s="61"/>
      <c r="D627" s="61"/>
      <c r="E627" s="61"/>
      <c r="F627" s="20">
        <f t="array" ref="F627">_xlfn.XLOOKUP(A627,'WK 47'!A:A,'WK 47'!F:F,"")</f>
        <v>0</v>
      </c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</row>
    <row r="628" customHeight="1" spans="1:37">
      <c r="A628" s="61"/>
      <c r="B628" s="61"/>
      <c r="C628" s="61"/>
      <c r="D628" s="61"/>
      <c r="E628" s="61"/>
      <c r="F628" s="20">
        <f t="array" ref="F628">_xlfn.XLOOKUP(A628,'WK 47'!A:A,'WK 47'!F:F,"")</f>
        <v>0</v>
      </c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</row>
    <row r="629" customHeight="1" spans="1:37">
      <c r="A629" s="61"/>
      <c r="B629" s="61"/>
      <c r="C629" s="61"/>
      <c r="D629" s="61"/>
      <c r="E629" s="61"/>
      <c r="F629" s="20">
        <f t="array" ref="F629">_xlfn.XLOOKUP(A629,'WK 47'!A:A,'WK 47'!F:F,"")</f>
        <v>0</v>
      </c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</row>
    <row r="630" customHeight="1" spans="1:37">
      <c r="A630" s="61"/>
      <c r="B630" s="61"/>
      <c r="C630" s="61"/>
      <c r="D630" s="61"/>
      <c r="E630" s="61"/>
      <c r="F630" s="20">
        <f t="array" ref="F630">_xlfn.XLOOKUP(A630,'WK 47'!A:A,'WK 47'!F:F,"")</f>
        <v>0</v>
      </c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</row>
    <row r="631" customHeight="1" spans="1:37">
      <c r="A631" s="61"/>
      <c r="B631" s="61"/>
      <c r="C631" s="61"/>
      <c r="D631" s="61"/>
      <c r="E631" s="61"/>
      <c r="F631" s="20">
        <f t="array" ref="F631">_xlfn.XLOOKUP(A631,'WK 47'!A:A,'WK 47'!F:F,"")</f>
        <v>0</v>
      </c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</row>
    <row r="632" customHeight="1" spans="1:37">
      <c r="A632" s="61"/>
      <c r="B632" s="61"/>
      <c r="C632" s="61"/>
      <c r="D632" s="61"/>
      <c r="E632" s="61"/>
      <c r="F632" s="20">
        <f t="array" ref="F632">_xlfn.XLOOKUP(A632,'WK 47'!A:A,'WK 47'!F:F,"")</f>
        <v>0</v>
      </c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</row>
    <row r="633" customHeight="1" spans="1:37">
      <c r="A633" s="61"/>
      <c r="B633" s="61"/>
      <c r="C633" s="61"/>
      <c r="D633" s="61"/>
      <c r="E633" s="61"/>
      <c r="F633" s="20">
        <f t="array" ref="F633">_xlfn.XLOOKUP(A633,'WK 47'!A:A,'WK 47'!F:F,"")</f>
        <v>0</v>
      </c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</row>
    <row r="634" customHeight="1" spans="1:37">
      <c r="A634" s="61"/>
      <c r="B634" s="61"/>
      <c r="C634" s="61"/>
      <c r="D634" s="61"/>
      <c r="E634" s="61"/>
      <c r="F634" s="20">
        <f t="array" ref="F634">_xlfn.XLOOKUP(A634,'WK 47'!A:A,'WK 47'!F:F,"")</f>
        <v>0</v>
      </c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</row>
    <row r="635" customHeight="1" spans="1:37">
      <c r="A635" s="61"/>
      <c r="B635" s="61"/>
      <c r="C635" s="61"/>
      <c r="D635" s="61"/>
      <c r="E635" s="61"/>
      <c r="F635" s="20">
        <f t="array" ref="F635">_xlfn.XLOOKUP(A635,'WK 47'!A:A,'WK 47'!F:F,"")</f>
        <v>0</v>
      </c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</row>
    <row r="636" customHeight="1" spans="1:37">
      <c r="A636" s="61"/>
      <c r="B636" s="61"/>
      <c r="C636" s="61"/>
      <c r="D636" s="61"/>
      <c r="E636" s="61"/>
      <c r="F636" s="20">
        <f t="array" ref="F636">_xlfn.XLOOKUP(A636,'WK 47'!A:A,'WK 47'!F:F,"")</f>
        <v>0</v>
      </c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</row>
    <row r="637" customHeight="1" spans="1:37">
      <c r="A637" s="61"/>
      <c r="B637" s="61"/>
      <c r="C637" s="61"/>
      <c r="D637" s="61"/>
      <c r="E637" s="61"/>
      <c r="F637" s="20">
        <f t="array" ref="F637">_xlfn.XLOOKUP(A637,'WK 47'!A:A,'WK 47'!F:F,"")</f>
        <v>0</v>
      </c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</row>
    <row r="638" customHeight="1" spans="1:37">
      <c r="A638" s="61"/>
      <c r="B638" s="61"/>
      <c r="C638" s="61"/>
      <c r="D638" s="61"/>
      <c r="E638" s="61"/>
      <c r="F638" s="20">
        <f t="array" ref="F638">_xlfn.XLOOKUP(A638,'WK 47'!A:A,'WK 47'!F:F,"")</f>
        <v>0</v>
      </c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</row>
    <row r="639" customHeight="1" spans="1:37">
      <c r="A639" s="61"/>
      <c r="B639" s="61"/>
      <c r="C639" s="61"/>
      <c r="D639" s="61"/>
      <c r="E639" s="61"/>
      <c r="F639" s="20">
        <f t="array" ref="F639">_xlfn.XLOOKUP(A639,'WK 47'!A:A,'WK 47'!F:F,"")</f>
        <v>0</v>
      </c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</row>
    <row r="640" customHeight="1" spans="1:37">
      <c r="A640" s="61"/>
      <c r="B640" s="61"/>
      <c r="C640" s="61"/>
      <c r="D640" s="61"/>
      <c r="E640" s="61"/>
      <c r="F640" s="20">
        <f t="array" ref="F640">_xlfn.XLOOKUP(A640,'WK 47'!A:A,'WK 47'!F:F,"")</f>
        <v>0</v>
      </c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</row>
    <row r="641" customHeight="1" spans="1:37">
      <c r="A641" s="61"/>
      <c r="B641" s="61"/>
      <c r="C641" s="61"/>
      <c r="D641" s="61"/>
      <c r="E641" s="61"/>
      <c r="F641" s="20">
        <f t="array" ref="F641">_xlfn.XLOOKUP(A641,'WK 47'!A:A,'WK 47'!F:F,"")</f>
        <v>0</v>
      </c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</row>
    <row r="642" customHeight="1" spans="1:37">
      <c r="A642" s="61"/>
      <c r="B642" s="61"/>
      <c r="C642" s="61"/>
      <c r="D642" s="61"/>
      <c r="E642" s="61"/>
      <c r="F642" s="20">
        <f t="array" ref="F642">_xlfn.XLOOKUP(A642,'WK 47'!A:A,'WK 47'!F:F,"")</f>
        <v>0</v>
      </c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</row>
    <row r="643" customHeight="1" spans="1:37">
      <c r="A643" s="61"/>
      <c r="B643" s="61"/>
      <c r="C643" s="61"/>
      <c r="D643" s="61"/>
      <c r="E643" s="61"/>
      <c r="F643" s="20">
        <f t="array" ref="F643">_xlfn.XLOOKUP(A643,'WK 47'!A:A,'WK 47'!F:F,"")</f>
        <v>0</v>
      </c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</row>
    <row r="644" customHeight="1" spans="1:37">
      <c r="A644" s="61"/>
      <c r="B644" s="61"/>
      <c r="C644" s="61"/>
      <c r="D644" s="61"/>
      <c r="E644" s="61"/>
      <c r="F644" s="20">
        <f t="array" ref="F644">_xlfn.XLOOKUP(A644,'WK 47'!A:A,'WK 47'!F:F,"")</f>
        <v>0</v>
      </c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</row>
    <row r="645" customHeight="1" spans="1:37">
      <c r="A645" s="61"/>
      <c r="B645" s="61"/>
      <c r="C645" s="61"/>
      <c r="D645" s="61"/>
      <c r="E645" s="61"/>
      <c r="F645" s="20">
        <f t="array" ref="F645">_xlfn.XLOOKUP(A645,'WK 47'!A:A,'WK 47'!F:F,"")</f>
        <v>0</v>
      </c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</row>
    <row r="646" customHeight="1" spans="1:37">
      <c r="A646" s="61"/>
      <c r="B646" s="61"/>
      <c r="C646" s="61"/>
      <c r="D646" s="61"/>
      <c r="E646" s="61"/>
      <c r="F646" s="20">
        <f t="array" ref="F646">_xlfn.XLOOKUP(A646,'WK 47'!A:A,'WK 47'!F:F,"")</f>
        <v>0</v>
      </c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</row>
    <row r="647" customHeight="1" spans="1:37">
      <c r="A647" s="61"/>
      <c r="B647" s="61"/>
      <c r="C647" s="61"/>
      <c r="D647" s="61"/>
      <c r="E647" s="61"/>
      <c r="F647" s="20">
        <f t="array" ref="F647">_xlfn.XLOOKUP(A647,'WK 47'!A:A,'WK 47'!F:F,"")</f>
        <v>0</v>
      </c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</row>
    <row r="648" customHeight="1" spans="1:37">
      <c r="A648" s="61"/>
      <c r="B648" s="61"/>
      <c r="C648" s="61"/>
      <c r="D648" s="61"/>
      <c r="E648" s="61"/>
      <c r="F648" s="20">
        <f t="array" ref="F648">_xlfn.XLOOKUP(A648,'WK 47'!A:A,'WK 47'!F:F,"")</f>
        <v>0</v>
      </c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</row>
    <row r="649" customHeight="1" spans="1:37">
      <c r="A649" s="61"/>
      <c r="B649" s="61"/>
      <c r="C649" s="61"/>
      <c r="D649" s="61"/>
      <c r="E649" s="61"/>
      <c r="F649" s="20">
        <f t="array" ref="F649">_xlfn.XLOOKUP(A649,'WK 47'!A:A,'WK 47'!F:F,"")</f>
        <v>0</v>
      </c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</row>
    <row r="650" customHeight="1" spans="1:37">
      <c r="A650" s="61"/>
      <c r="B650" s="61"/>
      <c r="C650" s="61"/>
      <c r="D650" s="61"/>
      <c r="E650" s="61"/>
      <c r="F650" s="20">
        <f t="array" ref="F650">_xlfn.XLOOKUP(A650,'WK 47'!A:A,'WK 47'!F:F,"")</f>
        <v>0</v>
      </c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</row>
    <row r="651" customHeight="1" spans="1:37">
      <c r="A651" s="61"/>
      <c r="B651" s="61"/>
      <c r="C651" s="61"/>
      <c r="D651" s="61"/>
      <c r="E651" s="61"/>
      <c r="F651" s="20">
        <f t="array" ref="F651">_xlfn.XLOOKUP(A651,'WK 47'!A:A,'WK 47'!F:F,"")</f>
        <v>0</v>
      </c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</row>
    <row r="652" customHeight="1" spans="1:37">
      <c r="A652" s="61"/>
      <c r="B652" s="61"/>
      <c r="C652" s="61"/>
      <c r="D652" s="61"/>
      <c r="E652" s="61"/>
      <c r="F652" s="20">
        <f t="array" ref="F652">_xlfn.XLOOKUP(A652,'WK 47'!A:A,'WK 47'!F:F,"")</f>
        <v>0</v>
      </c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</row>
    <row r="653" customHeight="1" spans="1:37">
      <c r="A653" s="61"/>
      <c r="B653" s="61"/>
      <c r="C653" s="61"/>
      <c r="D653" s="61"/>
      <c r="E653" s="61"/>
      <c r="F653" s="20">
        <f t="array" ref="F653">_xlfn.XLOOKUP(A653,'WK 47'!A:A,'WK 47'!F:F,"")</f>
        <v>0</v>
      </c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</row>
    <row r="654" customHeight="1" spans="1:37">
      <c r="A654" s="61"/>
      <c r="B654" s="61"/>
      <c r="C654" s="61"/>
      <c r="D654" s="61"/>
      <c r="E654" s="61"/>
      <c r="F654" s="20">
        <f t="array" ref="F654">_xlfn.XLOOKUP(A654,'WK 47'!A:A,'WK 47'!F:F,"")</f>
        <v>0</v>
      </c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</row>
    <row r="655" customHeight="1" spans="1:37">
      <c r="A655" s="61"/>
      <c r="B655" s="61"/>
      <c r="C655" s="61"/>
      <c r="D655" s="61"/>
      <c r="E655" s="61"/>
      <c r="F655" s="20">
        <f t="array" ref="F655">_xlfn.XLOOKUP(A655,'WK 47'!A:A,'WK 47'!F:F,"")</f>
        <v>0</v>
      </c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</row>
    <row r="656" customHeight="1" spans="1:37">
      <c r="A656" s="61"/>
      <c r="B656" s="61"/>
      <c r="C656" s="61"/>
      <c r="D656" s="61"/>
      <c r="E656" s="61"/>
      <c r="F656" s="20">
        <f t="array" ref="F656">_xlfn.XLOOKUP(A656,'WK 47'!A:A,'WK 47'!F:F,"")</f>
        <v>0</v>
      </c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</row>
    <row r="657" customHeight="1" spans="1:37">
      <c r="A657" s="61"/>
      <c r="B657" s="61"/>
      <c r="C657" s="61"/>
      <c r="D657" s="61"/>
      <c r="E657" s="61"/>
      <c r="F657" s="20">
        <f t="array" ref="F657">_xlfn.XLOOKUP(A657,'WK 47'!A:A,'WK 47'!F:F,"")</f>
        <v>0</v>
      </c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</row>
    <row r="658" customHeight="1" spans="1:37">
      <c r="A658" s="61"/>
      <c r="B658" s="61"/>
      <c r="C658" s="61"/>
      <c r="D658" s="61"/>
      <c r="E658" s="61"/>
      <c r="F658" s="20">
        <f t="array" ref="F658">_xlfn.XLOOKUP(A658,'WK 47'!A:A,'WK 47'!F:F,"")</f>
        <v>0</v>
      </c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</row>
    <row r="659" customHeight="1" spans="1:37">
      <c r="A659" s="61"/>
      <c r="B659" s="61"/>
      <c r="C659" s="61"/>
      <c r="D659" s="61"/>
      <c r="E659" s="61"/>
      <c r="F659" s="20">
        <f t="array" ref="F659">_xlfn.XLOOKUP(A659,'WK 47'!A:A,'WK 47'!F:F,"")</f>
        <v>0</v>
      </c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</row>
    <row r="660" customHeight="1" spans="1:37">
      <c r="A660" s="61"/>
      <c r="B660" s="61"/>
      <c r="C660" s="61"/>
      <c r="D660" s="61"/>
      <c r="E660" s="61"/>
      <c r="F660" s="20">
        <f t="array" ref="F660">_xlfn.XLOOKUP(A660,'WK 47'!A:A,'WK 47'!F:F,"")</f>
        <v>0</v>
      </c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</row>
    <row r="661" customHeight="1" spans="1:37">
      <c r="A661" s="61"/>
      <c r="B661" s="61"/>
      <c r="C661" s="61"/>
      <c r="D661" s="61"/>
      <c r="E661" s="61"/>
      <c r="F661" s="20">
        <f t="array" ref="F661">_xlfn.XLOOKUP(A661,'WK 47'!A:A,'WK 47'!F:F,"")</f>
        <v>0</v>
      </c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</row>
    <row r="662" customHeight="1" spans="1:37">
      <c r="A662" s="61"/>
      <c r="B662" s="61"/>
      <c r="C662" s="61"/>
      <c r="D662" s="61"/>
      <c r="E662" s="61"/>
      <c r="F662" s="20">
        <f t="array" ref="F662">_xlfn.XLOOKUP(A662,'WK 47'!A:A,'WK 47'!F:F,"")</f>
        <v>0</v>
      </c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</row>
    <row r="663" customHeight="1" spans="1:37">
      <c r="A663" s="61"/>
      <c r="B663" s="61"/>
      <c r="C663" s="61"/>
      <c r="D663" s="61"/>
      <c r="E663" s="61"/>
      <c r="F663" s="20">
        <f t="array" ref="F663">_xlfn.XLOOKUP(A663,'WK 47'!A:A,'WK 47'!F:F,"")</f>
        <v>0</v>
      </c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</row>
    <row r="664" customHeight="1" spans="1:37">
      <c r="A664" s="61"/>
      <c r="B664" s="61"/>
      <c r="C664" s="61"/>
      <c r="D664" s="61"/>
      <c r="E664" s="61"/>
      <c r="F664" s="20">
        <f t="array" ref="F664">_xlfn.XLOOKUP(A664,'WK 47'!A:A,'WK 47'!F:F,"")</f>
        <v>0</v>
      </c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</row>
    <row r="665" customHeight="1" spans="1:37">
      <c r="A665" s="61"/>
      <c r="B665" s="61"/>
      <c r="C665" s="61"/>
      <c r="D665" s="61"/>
      <c r="E665" s="61"/>
      <c r="F665" s="20">
        <f t="array" ref="F665">_xlfn.XLOOKUP(A665,'WK 47'!A:A,'WK 47'!F:F,"")</f>
        <v>0</v>
      </c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</row>
    <row r="666" customHeight="1" spans="1:37">
      <c r="A666" s="61"/>
      <c r="B666" s="61"/>
      <c r="C666" s="61"/>
      <c r="D666" s="61"/>
      <c r="E666" s="61"/>
      <c r="F666" s="20">
        <f t="array" ref="F666">_xlfn.XLOOKUP(A666,'WK 47'!A:A,'WK 47'!F:F,"")</f>
        <v>0</v>
      </c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</row>
    <row r="667" customHeight="1" spans="1:37">
      <c r="A667" s="61"/>
      <c r="B667" s="61"/>
      <c r="C667" s="61"/>
      <c r="D667" s="61"/>
      <c r="E667" s="61"/>
      <c r="F667" s="20">
        <f t="array" ref="F667">_xlfn.XLOOKUP(A667,'WK 47'!A:A,'WK 47'!F:F,"")</f>
        <v>0</v>
      </c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</row>
    <row r="668" customHeight="1" spans="1:37">
      <c r="A668" s="61"/>
      <c r="B668" s="61"/>
      <c r="C668" s="61"/>
      <c r="D668" s="61"/>
      <c r="E668" s="61"/>
      <c r="F668" s="20">
        <f t="array" ref="F668">_xlfn.XLOOKUP(A668,'WK 47'!A:A,'WK 47'!F:F,"")</f>
        <v>0</v>
      </c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</row>
    <row r="669" customHeight="1" spans="1:37">
      <c r="A669" s="61"/>
      <c r="B669" s="61"/>
      <c r="C669" s="61"/>
      <c r="D669" s="61"/>
      <c r="E669" s="61"/>
      <c r="F669" s="20">
        <f t="array" ref="F669">_xlfn.XLOOKUP(A669,'WK 47'!A:A,'WK 47'!F:F,"")</f>
        <v>0</v>
      </c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</row>
    <row r="670" customHeight="1" spans="1:37">
      <c r="A670" s="61"/>
      <c r="B670" s="61"/>
      <c r="C670" s="61"/>
      <c r="D670" s="61"/>
      <c r="E670" s="61"/>
      <c r="F670" s="20">
        <f t="array" ref="F670">_xlfn.XLOOKUP(A670,'WK 47'!A:A,'WK 47'!F:F,"")</f>
        <v>0</v>
      </c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</row>
    <row r="671" customHeight="1" spans="1:37">
      <c r="A671" s="61"/>
      <c r="B671" s="61"/>
      <c r="C671" s="61"/>
      <c r="D671" s="61"/>
      <c r="E671" s="61"/>
      <c r="F671" s="20">
        <f t="array" ref="F671">_xlfn.XLOOKUP(A671,'WK 47'!A:A,'WK 47'!F:F,"")</f>
        <v>0</v>
      </c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</row>
    <row r="672" customHeight="1" spans="1:37">
      <c r="A672" s="61"/>
      <c r="B672" s="61"/>
      <c r="C672" s="61"/>
      <c r="D672" s="61"/>
      <c r="E672" s="61"/>
      <c r="F672" s="20">
        <f t="array" ref="F672">_xlfn.XLOOKUP(A672,'WK 47'!A:A,'WK 47'!F:F,"")</f>
        <v>0</v>
      </c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</row>
    <row r="673" customHeight="1" spans="1:37">
      <c r="A673" s="61"/>
      <c r="B673" s="61"/>
      <c r="C673" s="61"/>
      <c r="D673" s="61"/>
      <c r="E673" s="61"/>
      <c r="F673" s="20">
        <f t="array" ref="F673">_xlfn.XLOOKUP(A673,'WK 47'!A:A,'WK 47'!F:F,"")</f>
        <v>0</v>
      </c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</row>
    <row r="674" customHeight="1" spans="1:37">
      <c r="A674" s="61"/>
      <c r="B674" s="61"/>
      <c r="C674" s="61"/>
      <c r="D674" s="61"/>
      <c r="E674" s="61"/>
      <c r="F674" s="20">
        <f t="array" ref="F674">_xlfn.XLOOKUP(A674,'WK 47'!A:A,'WK 47'!F:F,"")</f>
        <v>0</v>
      </c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</row>
    <row r="675" customHeight="1" spans="1:37">
      <c r="A675" s="61"/>
      <c r="B675" s="61"/>
      <c r="C675" s="61"/>
      <c r="D675" s="61"/>
      <c r="E675" s="61"/>
      <c r="F675" s="20">
        <f t="array" ref="F675">_xlfn.XLOOKUP(A675,'WK 47'!A:A,'WK 47'!F:F,"")</f>
        <v>0</v>
      </c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</row>
    <row r="676" customHeight="1" spans="1:37">
      <c r="A676" s="61"/>
      <c r="B676" s="61"/>
      <c r="C676" s="61"/>
      <c r="D676" s="61"/>
      <c r="E676" s="61"/>
      <c r="F676" s="20">
        <f t="array" ref="F676">_xlfn.XLOOKUP(A676,'WK 47'!A:A,'WK 47'!F:F,"")</f>
        <v>0</v>
      </c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</row>
    <row r="677" customHeight="1" spans="1:37">
      <c r="A677" s="61"/>
      <c r="B677" s="61"/>
      <c r="C677" s="61"/>
      <c r="D677" s="61"/>
      <c r="E677" s="61"/>
      <c r="F677" s="20">
        <f t="array" ref="F677">_xlfn.XLOOKUP(A677,'WK 47'!A:A,'WK 47'!F:F,"")</f>
        <v>0</v>
      </c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</row>
    <row r="678" customHeight="1" spans="1:37">
      <c r="A678" s="61"/>
      <c r="B678" s="61"/>
      <c r="C678" s="61"/>
      <c r="D678" s="61"/>
      <c r="E678" s="61"/>
      <c r="F678" s="20">
        <f t="array" ref="F678">_xlfn.XLOOKUP(A678,'WK 47'!A:A,'WK 47'!F:F,"")</f>
        <v>0</v>
      </c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</row>
    <row r="679" customHeight="1" spans="1:37">
      <c r="A679" s="61"/>
      <c r="B679" s="61"/>
      <c r="C679" s="61"/>
      <c r="D679" s="61"/>
      <c r="E679" s="61"/>
      <c r="F679" s="20">
        <f t="array" ref="F679">_xlfn.XLOOKUP(A679,'WK 47'!A:A,'WK 47'!F:F,"")</f>
        <v>0</v>
      </c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</row>
    <row r="680" customHeight="1" spans="1:37">
      <c r="A680" s="61"/>
      <c r="B680" s="61"/>
      <c r="C680" s="61"/>
      <c r="D680" s="61"/>
      <c r="E680" s="61"/>
      <c r="F680" s="20">
        <f t="array" ref="F680">_xlfn.XLOOKUP(A680,'WK 47'!A:A,'WK 47'!F:F,"")</f>
        <v>0</v>
      </c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</row>
    <row r="681" customHeight="1" spans="1:37">
      <c r="A681" s="61"/>
      <c r="B681" s="61"/>
      <c r="C681" s="61"/>
      <c r="D681" s="61"/>
      <c r="E681" s="61"/>
      <c r="F681" s="20">
        <f t="array" ref="F681">_xlfn.XLOOKUP(A681,'WK 47'!A:A,'WK 47'!F:F,"")</f>
        <v>0</v>
      </c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</row>
    <row r="682" customHeight="1" spans="1:37">
      <c r="A682" s="61"/>
      <c r="B682" s="61"/>
      <c r="C682" s="61"/>
      <c r="D682" s="61"/>
      <c r="E682" s="61"/>
      <c r="F682" s="20">
        <f t="array" ref="F682">_xlfn.XLOOKUP(A682,'WK 47'!A:A,'WK 47'!F:F,"")</f>
        <v>0</v>
      </c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</row>
    <row r="683" customHeight="1" spans="1:37">
      <c r="A683" s="61"/>
      <c r="B683" s="61"/>
      <c r="C683" s="61"/>
      <c r="D683" s="61"/>
      <c r="E683" s="61"/>
      <c r="F683" s="20">
        <f t="array" ref="F683">_xlfn.XLOOKUP(A683,'WK 47'!A:A,'WK 47'!F:F,"")</f>
        <v>0</v>
      </c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</row>
    <row r="684" customHeight="1" spans="1:37">
      <c r="A684" s="61"/>
      <c r="B684" s="61"/>
      <c r="C684" s="61"/>
      <c r="D684" s="61"/>
      <c r="E684" s="61"/>
      <c r="F684" s="20">
        <f t="array" ref="F684">_xlfn.XLOOKUP(A684,'WK 47'!A:A,'WK 47'!F:F,"")</f>
        <v>0</v>
      </c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</row>
    <row r="685" customHeight="1" spans="1:37">
      <c r="A685" s="61"/>
      <c r="B685" s="61"/>
      <c r="C685" s="61"/>
      <c r="D685" s="61"/>
      <c r="E685" s="61"/>
      <c r="F685" s="20">
        <f t="array" ref="F685">_xlfn.XLOOKUP(A685,'WK 47'!A:A,'WK 47'!F:F,"")</f>
        <v>0</v>
      </c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</row>
    <row r="686" customHeight="1" spans="1:37">
      <c r="A686" s="61"/>
      <c r="B686" s="61"/>
      <c r="C686" s="61"/>
      <c r="D686" s="61"/>
      <c r="E686" s="61"/>
      <c r="F686" s="20">
        <f t="array" ref="F686">_xlfn.XLOOKUP(A686,'WK 47'!A:A,'WK 47'!F:F,"")</f>
        <v>0</v>
      </c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</row>
    <row r="687" customHeight="1" spans="1:37">
      <c r="A687" s="61"/>
      <c r="B687" s="61"/>
      <c r="C687" s="61"/>
      <c r="D687" s="61"/>
      <c r="E687" s="61"/>
      <c r="F687" s="20">
        <f t="array" ref="F687">_xlfn.XLOOKUP(A687,'WK 47'!A:A,'WK 47'!F:F,"")</f>
        <v>0</v>
      </c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</row>
    <row r="688" customHeight="1" spans="1:37">
      <c r="A688" s="61"/>
      <c r="B688" s="61"/>
      <c r="C688" s="61"/>
      <c r="D688" s="61"/>
      <c r="E688" s="61"/>
      <c r="F688" s="20">
        <f t="array" ref="F688">_xlfn.XLOOKUP(A688,'WK 47'!A:A,'WK 47'!F:F,"")</f>
        <v>0</v>
      </c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</row>
    <row r="689" customHeight="1" spans="1:37">
      <c r="A689" s="61"/>
      <c r="B689" s="61"/>
      <c r="C689" s="61"/>
      <c r="D689" s="61"/>
      <c r="E689" s="61"/>
      <c r="F689" s="20">
        <f t="array" ref="F689">_xlfn.XLOOKUP(A689,'WK 47'!A:A,'WK 47'!F:F,"")</f>
        <v>0</v>
      </c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</row>
    <row r="690" customHeight="1" spans="1:37">
      <c r="A690" s="61"/>
      <c r="B690" s="61"/>
      <c r="C690" s="61"/>
      <c r="D690" s="61"/>
      <c r="E690" s="61"/>
      <c r="F690" s="20">
        <f t="array" ref="F690">_xlfn.XLOOKUP(A690,'WK 47'!A:A,'WK 47'!F:F,"")</f>
        <v>0</v>
      </c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</row>
    <row r="691" customHeight="1" spans="1:37">
      <c r="A691" s="61"/>
      <c r="B691" s="61"/>
      <c r="C691" s="61"/>
      <c r="D691" s="61"/>
      <c r="E691" s="61"/>
      <c r="F691" s="20">
        <f t="array" ref="F691">_xlfn.XLOOKUP(A691,'WK 47'!A:A,'WK 47'!F:F,"")</f>
        <v>0</v>
      </c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</row>
    <row r="692" customHeight="1" spans="1:37">
      <c r="A692" s="61"/>
      <c r="B692" s="61"/>
      <c r="C692" s="61"/>
      <c r="D692" s="61"/>
      <c r="E692" s="61"/>
      <c r="F692" s="20">
        <f t="array" ref="F692">_xlfn.XLOOKUP(A692,'WK 47'!A:A,'WK 47'!F:F,"")</f>
        <v>0</v>
      </c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</row>
    <row r="693" customHeight="1" spans="1:37">
      <c r="A693" s="61"/>
      <c r="B693" s="61"/>
      <c r="C693" s="61"/>
      <c r="D693" s="61"/>
      <c r="E693" s="61"/>
      <c r="F693" s="20">
        <f t="array" ref="F693">_xlfn.XLOOKUP(A693,'WK 47'!A:A,'WK 47'!F:F,"")</f>
        <v>0</v>
      </c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</row>
    <row r="694" customHeight="1" spans="1:37">
      <c r="A694" s="61"/>
      <c r="B694" s="61"/>
      <c r="C694" s="61"/>
      <c r="D694" s="61"/>
      <c r="E694" s="61"/>
      <c r="F694" s="20">
        <f t="array" ref="F694">_xlfn.XLOOKUP(A694,'WK 47'!A:A,'WK 47'!F:F,"")</f>
        <v>0</v>
      </c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</row>
    <row r="695" customHeight="1" spans="1:37">
      <c r="A695" s="61"/>
      <c r="B695" s="61"/>
      <c r="C695" s="61"/>
      <c r="D695" s="61"/>
      <c r="E695" s="61"/>
      <c r="F695" s="20">
        <f t="array" ref="F695">_xlfn.XLOOKUP(A695,'WK 47'!A:A,'WK 47'!F:F,"")</f>
        <v>0</v>
      </c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</row>
    <row r="696" customHeight="1" spans="1:37">
      <c r="A696" s="61"/>
      <c r="B696" s="61"/>
      <c r="C696" s="61"/>
      <c r="D696" s="61"/>
      <c r="E696" s="61"/>
      <c r="F696" s="20">
        <f t="array" ref="F696">_xlfn.XLOOKUP(A696,'WK 47'!A:A,'WK 47'!F:F,"")</f>
        <v>0</v>
      </c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</row>
    <row r="697" customHeight="1" spans="1:37">
      <c r="A697" s="61"/>
      <c r="B697" s="61"/>
      <c r="C697" s="61"/>
      <c r="D697" s="61"/>
      <c r="E697" s="61"/>
      <c r="F697" s="20">
        <f t="array" ref="F697">_xlfn.XLOOKUP(A697,'WK 47'!A:A,'WK 47'!F:F,"")</f>
        <v>0</v>
      </c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</row>
    <row r="698" customHeight="1" spans="1:37">
      <c r="A698" s="61"/>
      <c r="B698" s="61"/>
      <c r="C698" s="61"/>
      <c r="D698" s="61"/>
      <c r="E698" s="61"/>
      <c r="F698" s="20">
        <f t="array" ref="F698">_xlfn.XLOOKUP(A698,'WK 47'!A:A,'WK 47'!F:F,"")</f>
        <v>0</v>
      </c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</row>
    <row r="699" customHeight="1" spans="1:37">
      <c r="A699" s="61"/>
      <c r="B699" s="61"/>
      <c r="C699" s="61"/>
      <c r="D699" s="61"/>
      <c r="E699" s="61"/>
      <c r="F699" s="20">
        <f t="array" ref="F699">_xlfn.XLOOKUP(A699,'WK 47'!A:A,'WK 47'!F:F,"")</f>
        <v>0</v>
      </c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</row>
    <row r="700" customHeight="1" spans="1:37">
      <c r="A700" s="61"/>
      <c r="B700" s="61"/>
      <c r="C700" s="61"/>
      <c r="D700" s="61"/>
      <c r="E700" s="61"/>
      <c r="F700" s="20">
        <f t="array" ref="F700">_xlfn.XLOOKUP(A700,'WK 47'!A:A,'WK 47'!F:F,"")</f>
        <v>0</v>
      </c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</row>
    <row r="701" customHeight="1" spans="1:37">
      <c r="A701" s="61"/>
      <c r="B701" s="61"/>
      <c r="C701" s="61"/>
      <c r="D701" s="61"/>
      <c r="E701" s="61"/>
      <c r="F701" s="20">
        <f t="array" ref="F701">_xlfn.XLOOKUP(A701,'WK 47'!A:A,'WK 47'!F:F,"")</f>
        <v>0</v>
      </c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</row>
    <row r="702" customHeight="1" spans="1:37">
      <c r="A702" s="61"/>
      <c r="B702" s="61"/>
      <c r="C702" s="61"/>
      <c r="D702" s="61"/>
      <c r="E702" s="61"/>
      <c r="F702" s="20">
        <f t="array" ref="F702">_xlfn.XLOOKUP(A702,'WK 47'!A:A,'WK 47'!F:F,"")</f>
        <v>0</v>
      </c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</row>
    <row r="703" customHeight="1" spans="1:37">
      <c r="A703" s="61"/>
      <c r="B703" s="61"/>
      <c r="C703" s="61"/>
      <c r="D703" s="61"/>
      <c r="E703" s="61"/>
      <c r="F703" s="20">
        <f t="array" ref="F703">_xlfn.XLOOKUP(A703,'WK 47'!A:A,'WK 47'!F:F,"")</f>
        <v>0</v>
      </c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</row>
    <row r="704" customHeight="1" spans="1:37">
      <c r="A704" s="61"/>
      <c r="B704" s="61"/>
      <c r="C704" s="61"/>
      <c r="D704" s="61"/>
      <c r="E704" s="61"/>
      <c r="F704" s="20">
        <f t="array" ref="F704">_xlfn.XLOOKUP(A704,'WK 47'!A:A,'WK 47'!F:F,"")</f>
        <v>0</v>
      </c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</row>
    <row r="705" customHeight="1" spans="1:37">
      <c r="A705" s="61"/>
      <c r="B705" s="61"/>
      <c r="C705" s="61"/>
      <c r="D705" s="61"/>
      <c r="E705" s="61"/>
      <c r="F705" s="20">
        <f t="array" ref="F705">_xlfn.XLOOKUP(A705,'WK 47'!A:A,'WK 47'!F:F,"")</f>
        <v>0</v>
      </c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</row>
    <row r="706" customHeight="1" spans="1:37">
      <c r="A706" s="61"/>
      <c r="B706" s="61"/>
      <c r="C706" s="61"/>
      <c r="D706" s="61"/>
      <c r="E706" s="61"/>
      <c r="F706" s="20">
        <f t="array" ref="F706">_xlfn.XLOOKUP(A706,'WK 47'!A:A,'WK 47'!F:F,"")</f>
        <v>0</v>
      </c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</row>
    <row r="707" customHeight="1" spans="1:37">
      <c r="A707" s="61"/>
      <c r="B707" s="61"/>
      <c r="C707" s="61"/>
      <c r="D707" s="61"/>
      <c r="E707" s="61"/>
      <c r="F707" s="20">
        <f t="array" ref="F707">_xlfn.XLOOKUP(A707,'WK 47'!A:A,'WK 47'!F:F,"")</f>
        <v>0</v>
      </c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</row>
    <row r="708" customHeight="1" spans="1:37">
      <c r="A708" s="61"/>
      <c r="B708" s="61"/>
      <c r="C708" s="61"/>
      <c r="D708" s="61"/>
      <c r="E708" s="61"/>
      <c r="F708" s="20">
        <f t="array" ref="F708">_xlfn.XLOOKUP(A708,'WK 47'!A:A,'WK 47'!F:F,"")</f>
        <v>0</v>
      </c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</row>
    <row r="709" customHeight="1" spans="1:37">
      <c r="A709" s="61"/>
      <c r="B709" s="61"/>
      <c r="C709" s="61"/>
      <c r="D709" s="61"/>
      <c r="E709" s="61"/>
      <c r="F709" s="20">
        <f t="array" ref="F709">_xlfn.XLOOKUP(A709,'WK 47'!A:A,'WK 47'!F:F,"")</f>
        <v>0</v>
      </c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</row>
    <row r="710" customHeight="1" spans="1:37">
      <c r="A710" s="61"/>
      <c r="B710" s="61"/>
      <c r="C710" s="61"/>
      <c r="D710" s="61"/>
      <c r="E710" s="61"/>
      <c r="F710" s="20">
        <f t="array" ref="F710">_xlfn.XLOOKUP(A710,'WK 47'!A:A,'WK 47'!F:F,"")</f>
        <v>0</v>
      </c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</row>
    <row r="711" customHeight="1" spans="1:37">
      <c r="A711" s="61"/>
      <c r="B711" s="61"/>
      <c r="C711" s="61"/>
      <c r="D711" s="61"/>
      <c r="E711" s="61"/>
      <c r="F711" s="20">
        <f t="array" ref="F711">_xlfn.XLOOKUP(A711,'WK 47'!A:A,'WK 47'!F:F,"")</f>
        <v>0</v>
      </c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</row>
    <row r="712" customHeight="1" spans="1:37">
      <c r="A712" s="61"/>
      <c r="B712" s="61"/>
      <c r="C712" s="61"/>
      <c r="D712" s="61"/>
      <c r="E712" s="61"/>
      <c r="F712" s="20">
        <f t="array" ref="F712">_xlfn.XLOOKUP(A712,'WK 47'!A:A,'WK 47'!F:F,"")</f>
        <v>0</v>
      </c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</row>
    <row r="713" customHeight="1" spans="1:37">
      <c r="A713" s="61"/>
      <c r="B713" s="61"/>
      <c r="C713" s="61"/>
      <c r="D713" s="61"/>
      <c r="E713" s="61"/>
      <c r="F713" s="20">
        <f t="array" ref="F713">_xlfn.XLOOKUP(A713,'WK 47'!A:A,'WK 47'!F:F,"")</f>
        <v>0</v>
      </c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</row>
    <row r="714" customHeight="1" spans="1:37">
      <c r="A714" s="61"/>
      <c r="B714" s="61"/>
      <c r="C714" s="61"/>
      <c r="D714" s="61"/>
      <c r="E714" s="61"/>
      <c r="F714" s="20">
        <f t="array" ref="F714">_xlfn.XLOOKUP(A714,'WK 47'!A:A,'WK 47'!F:F,"")</f>
        <v>0</v>
      </c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</row>
    <row r="715" customHeight="1" spans="1:37">
      <c r="A715" s="61"/>
      <c r="B715" s="61"/>
      <c r="C715" s="61"/>
      <c r="D715" s="61"/>
      <c r="E715" s="61"/>
      <c r="F715" s="20">
        <f t="array" ref="F715">_xlfn.XLOOKUP(A715,'WK 47'!A:A,'WK 47'!F:F,"")</f>
        <v>0</v>
      </c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</row>
    <row r="716" customHeight="1" spans="1:37">
      <c r="A716" s="61"/>
      <c r="B716" s="61"/>
      <c r="C716" s="61"/>
      <c r="D716" s="61"/>
      <c r="E716" s="61"/>
      <c r="F716" s="20">
        <f t="array" ref="F716">_xlfn.XLOOKUP(A716,'WK 47'!A:A,'WK 47'!F:F,"")</f>
        <v>0</v>
      </c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</row>
    <row r="717" customHeight="1" spans="1:37">
      <c r="A717" s="61"/>
      <c r="B717" s="61"/>
      <c r="C717" s="61"/>
      <c r="D717" s="61"/>
      <c r="E717" s="61"/>
      <c r="F717" s="20">
        <f t="array" ref="F717">_xlfn.XLOOKUP(A717,'WK 47'!A:A,'WK 47'!F:F,"")</f>
        <v>0</v>
      </c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</row>
    <row r="718" customHeight="1" spans="1:37">
      <c r="A718" s="61"/>
      <c r="B718" s="61"/>
      <c r="C718" s="61"/>
      <c r="D718" s="61"/>
      <c r="E718" s="61"/>
      <c r="F718" s="20">
        <f t="array" ref="F718">_xlfn.XLOOKUP(A718,'WK 47'!A:A,'WK 47'!F:F,"")</f>
        <v>0</v>
      </c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</row>
    <row r="719" customHeight="1" spans="1:37">
      <c r="A719" s="61"/>
      <c r="B719" s="61"/>
      <c r="C719" s="61"/>
      <c r="D719" s="61"/>
      <c r="E719" s="61"/>
      <c r="F719" s="20">
        <f t="array" ref="F719">_xlfn.XLOOKUP(A719,'WK 47'!A:A,'WK 47'!F:F,"")</f>
        <v>0</v>
      </c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</row>
    <row r="720" customHeight="1" spans="1:37">
      <c r="A720" s="61"/>
      <c r="B720" s="61"/>
      <c r="C720" s="61"/>
      <c r="D720" s="61"/>
      <c r="E720" s="61"/>
      <c r="F720" s="20">
        <f t="array" ref="F720">_xlfn.XLOOKUP(A720,'WK 47'!A:A,'WK 47'!F:F,"")</f>
        <v>0</v>
      </c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</row>
    <row r="721" customHeight="1" spans="1:37">
      <c r="A721" s="61"/>
      <c r="B721" s="61"/>
      <c r="C721" s="61"/>
      <c r="D721" s="61"/>
      <c r="E721" s="61"/>
      <c r="F721" s="20">
        <f t="array" ref="F721">_xlfn.XLOOKUP(A721,'WK 47'!A:A,'WK 47'!F:F,"")</f>
        <v>0</v>
      </c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</row>
    <row r="722" customHeight="1" spans="1:37">
      <c r="A722" s="61"/>
      <c r="B722" s="61"/>
      <c r="C722" s="61"/>
      <c r="D722" s="61"/>
      <c r="E722" s="61"/>
      <c r="F722" s="20">
        <f t="array" ref="F722">_xlfn.XLOOKUP(A722,'WK 47'!A:A,'WK 47'!F:F,"")</f>
        <v>0</v>
      </c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</row>
    <row r="723" customHeight="1" spans="1:37">
      <c r="A723" s="61"/>
      <c r="B723" s="61"/>
      <c r="C723" s="61"/>
      <c r="D723" s="61"/>
      <c r="E723" s="61"/>
      <c r="F723" s="20">
        <f t="array" ref="F723">_xlfn.XLOOKUP(A723,'WK 47'!A:A,'WK 47'!F:F,"")</f>
        <v>0</v>
      </c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</row>
    <row r="724" customHeight="1" spans="1:37">
      <c r="A724" s="61"/>
      <c r="B724" s="61"/>
      <c r="C724" s="61"/>
      <c r="D724" s="61"/>
      <c r="E724" s="61"/>
      <c r="F724" s="20">
        <f t="array" ref="F724">_xlfn.XLOOKUP(A724,'WK 47'!A:A,'WK 47'!F:F,"")</f>
        <v>0</v>
      </c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</row>
    <row r="725" customHeight="1" spans="1:37">
      <c r="A725" s="61"/>
      <c r="B725" s="61"/>
      <c r="C725" s="61"/>
      <c r="D725" s="61"/>
      <c r="E725" s="61"/>
      <c r="F725" s="20">
        <f t="array" ref="F725">_xlfn.XLOOKUP(A725,'WK 47'!A:A,'WK 47'!F:F,"")</f>
        <v>0</v>
      </c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</row>
    <row r="726" customHeight="1" spans="1:37">
      <c r="A726" s="61"/>
      <c r="B726" s="61"/>
      <c r="C726" s="61"/>
      <c r="D726" s="61"/>
      <c r="E726" s="61"/>
      <c r="F726" s="20">
        <f t="array" ref="F726">_xlfn.XLOOKUP(A726,'WK 47'!A:A,'WK 47'!F:F,"")</f>
        <v>0</v>
      </c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</row>
    <row r="727" customHeight="1" spans="1:37">
      <c r="A727" s="61"/>
      <c r="B727" s="61"/>
      <c r="C727" s="61"/>
      <c r="D727" s="61"/>
      <c r="E727" s="61"/>
      <c r="F727" s="20">
        <f t="array" ref="F727">_xlfn.XLOOKUP(A727,'WK 47'!A:A,'WK 47'!F:F,"")</f>
        <v>0</v>
      </c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</row>
    <row r="728" customHeight="1" spans="1:37">
      <c r="A728" s="61"/>
      <c r="B728" s="61"/>
      <c r="C728" s="61"/>
      <c r="D728" s="61"/>
      <c r="E728" s="61"/>
      <c r="F728" s="20">
        <f t="array" ref="F728">_xlfn.XLOOKUP(A728,'WK 47'!A:A,'WK 47'!F:F,"")</f>
        <v>0</v>
      </c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</row>
    <row r="729" customHeight="1" spans="1:37">
      <c r="A729" s="61"/>
      <c r="B729" s="61"/>
      <c r="C729" s="61"/>
      <c r="D729" s="61"/>
      <c r="E729" s="61"/>
      <c r="F729" s="20">
        <f t="array" ref="F729">_xlfn.XLOOKUP(A729,'WK 47'!A:A,'WK 47'!F:F,"")</f>
        <v>0</v>
      </c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</row>
    <row r="730" customHeight="1" spans="1:37">
      <c r="A730" s="61"/>
      <c r="B730" s="61"/>
      <c r="C730" s="61"/>
      <c r="D730" s="61"/>
      <c r="E730" s="61"/>
      <c r="F730" s="20">
        <f t="array" ref="F730">_xlfn.XLOOKUP(A730,'WK 47'!A:A,'WK 47'!F:F,"")</f>
        <v>0</v>
      </c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</row>
    <row r="731" customHeight="1" spans="1:37">
      <c r="A731" s="61"/>
      <c r="B731" s="61"/>
      <c r="C731" s="61"/>
      <c r="D731" s="61"/>
      <c r="E731" s="61"/>
      <c r="F731" s="20">
        <f t="array" ref="F731">_xlfn.XLOOKUP(A731,'WK 47'!A:A,'WK 47'!F:F,"")</f>
        <v>0</v>
      </c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</row>
    <row r="732" customHeight="1" spans="1:37">
      <c r="A732" s="61"/>
      <c r="B732" s="61"/>
      <c r="C732" s="61"/>
      <c r="D732" s="61"/>
      <c r="E732" s="61"/>
      <c r="F732" s="20">
        <f t="array" ref="F732">_xlfn.XLOOKUP(A732,'WK 47'!A:A,'WK 47'!F:F,"")</f>
        <v>0</v>
      </c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</row>
    <row r="733" customHeight="1" spans="1:37">
      <c r="A733" s="61"/>
      <c r="B733" s="61"/>
      <c r="C733" s="61"/>
      <c r="D733" s="61"/>
      <c r="E733" s="61"/>
      <c r="F733" s="20">
        <f t="array" ref="F733">_xlfn.XLOOKUP(A733,'WK 47'!A:A,'WK 47'!F:F,"")</f>
        <v>0</v>
      </c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</row>
    <row r="734" customHeight="1" spans="1:37">
      <c r="A734" s="61"/>
      <c r="B734" s="61"/>
      <c r="C734" s="61"/>
      <c r="D734" s="61"/>
      <c r="E734" s="61"/>
      <c r="F734" s="20">
        <f t="array" ref="F734">_xlfn.XLOOKUP(A734,'WK 47'!A:A,'WK 47'!F:F,"")</f>
        <v>0</v>
      </c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</row>
    <row r="735" customHeight="1" spans="1:37">
      <c r="A735" s="61"/>
      <c r="B735" s="61"/>
      <c r="C735" s="61"/>
      <c r="D735" s="61"/>
      <c r="E735" s="61"/>
      <c r="F735" s="20">
        <f t="array" ref="F735">_xlfn.XLOOKUP(A735,'WK 47'!A:A,'WK 47'!F:F,"")</f>
        <v>0</v>
      </c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</row>
    <row r="736" customHeight="1" spans="1:37">
      <c r="A736" s="61"/>
      <c r="B736" s="61"/>
      <c r="C736" s="61"/>
      <c r="D736" s="61"/>
      <c r="E736" s="61"/>
      <c r="F736" s="20">
        <f t="array" ref="F736">_xlfn.XLOOKUP(A736,'WK 47'!A:A,'WK 47'!F:F,"")</f>
        <v>0</v>
      </c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</row>
    <row r="737" customHeight="1" spans="1:37">
      <c r="A737" s="61"/>
      <c r="B737" s="61"/>
      <c r="C737" s="61"/>
      <c r="D737" s="61"/>
      <c r="E737" s="61"/>
      <c r="F737" s="20">
        <f t="array" ref="F737">_xlfn.XLOOKUP(A737,'WK 47'!A:A,'WK 47'!F:F,"")</f>
        <v>0</v>
      </c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</row>
    <row r="738" customHeight="1" spans="1:37">
      <c r="A738" s="61"/>
      <c r="B738" s="61"/>
      <c r="C738" s="61"/>
      <c r="D738" s="61"/>
      <c r="E738" s="61"/>
      <c r="F738" s="20">
        <f t="array" ref="F738">_xlfn.XLOOKUP(A738,'WK 47'!A:A,'WK 47'!F:F,"")</f>
        <v>0</v>
      </c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</row>
    <row r="739" customHeight="1" spans="1:37">
      <c r="A739" s="61"/>
      <c r="B739" s="61"/>
      <c r="C739" s="61"/>
      <c r="D739" s="61"/>
      <c r="E739" s="61"/>
      <c r="F739" s="20">
        <f t="array" ref="F739">_xlfn.XLOOKUP(A739,'WK 47'!A:A,'WK 47'!F:F,"")</f>
        <v>0</v>
      </c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</row>
    <row r="740" customHeight="1" spans="1:37">
      <c r="A740" s="61"/>
      <c r="B740" s="61"/>
      <c r="C740" s="61"/>
      <c r="D740" s="61"/>
      <c r="E740" s="61"/>
      <c r="F740" s="20">
        <f t="array" ref="F740">_xlfn.XLOOKUP(A740,'WK 47'!A:A,'WK 47'!F:F,"")</f>
        <v>0</v>
      </c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</row>
    <row r="741" customHeight="1" spans="1:37">
      <c r="A741" s="61"/>
      <c r="B741" s="61"/>
      <c r="C741" s="61"/>
      <c r="D741" s="61"/>
      <c r="E741" s="61"/>
      <c r="F741" s="20">
        <f t="array" ref="F741">_xlfn.XLOOKUP(A741,'WK 47'!A:A,'WK 47'!F:F,"")</f>
        <v>0</v>
      </c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</row>
    <row r="742" customHeight="1" spans="1:37">
      <c r="A742" s="61"/>
      <c r="B742" s="61"/>
      <c r="C742" s="61"/>
      <c r="D742" s="61"/>
      <c r="E742" s="61"/>
      <c r="F742" s="20">
        <f t="array" ref="F742">_xlfn.XLOOKUP(A742,'WK 47'!A:A,'WK 47'!F:F,"")</f>
        <v>0</v>
      </c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</row>
    <row r="743" customHeight="1" spans="1:37">
      <c r="A743" s="61"/>
      <c r="B743" s="61"/>
      <c r="C743" s="61"/>
      <c r="D743" s="61"/>
      <c r="E743" s="61"/>
      <c r="F743" s="20">
        <f t="array" ref="F743">_xlfn.XLOOKUP(A743,'WK 47'!A:A,'WK 47'!F:F,"")</f>
        <v>0</v>
      </c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</row>
    <row r="744" customHeight="1" spans="1:37">
      <c r="A744" s="61"/>
      <c r="B744" s="61"/>
      <c r="C744" s="61"/>
      <c r="D744" s="61"/>
      <c r="E744" s="61"/>
      <c r="F744" s="20">
        <f t="array" ref="F744">_xlfn.XLOOKUP(A744,'WK 47'!A:A,'WK 47'!F:F,"")</f>
        <v>0</v>
      </c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</row>
    <row r="745" customHeight="1" spans="1:37">
      <c r="A745" s="61"/>
      <c r="B745" s="61"/>
      <c r="C745" s="61"/>
      <c r="D745" s="61"/>
      <c r="E745" s="61"/>
      <c r="F745" s="20">
        <f t="array" ref="F745">_xlfn.XLOOKUP(A745,'WK 47'!A:A,'WK 47'!F:F,"")</f>
        <v>0</v>
      </c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</row>
    <row r="746" customHeight="1" spans="1:37">
      <c r="A746" s="61"/>
      <c r="B746" s="61"/>
      <c r="C746" s="61"/>
      <c r="D746" s="61"/>
      <c r="E746" s="61"/>
      <c r="F746" s="20">
        <f t="array" ref="F746">_xlfn.XLOOKUP(A746,'WK 47'!A:A,'WK 47'!F:F,"")</f>
        <v>0</v>
      </c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</row>
    <row r="747" customHeight="1" spans="1:37">
      <c r="A747" s="61"/>
      <c r="B747" s="61"/>
      <c r="C747" s="61"/>
      <c r="D747" s="61"/>
      <c r="E747" s="61"/>
      <c r="F747" s="20">
        <f t="array" ref="F747">_xlfn.XLOOKUP(A747,'WK 47'!A:A,'WK 47'!F:F,"")</f>
        <v>0</v>
      </c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</row>
    <row r="748" customHeight="1" spans="1:37">
      <c r="A748" s="61"/>
      <c r="B748" s="61"/>
      <c r="C748" s="61"/>
      <c r="D748" s="61"/>
      <c r="E748" s="61"/>
      <c r="F748" s="20">
        <f t="array" ref="F748">_xlfn.XLOOKUP(A748,'WK 47'!A:A,'WK 47'!F:F,"")</f>
        <v>0</v>
      </c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</row>
    <row r="749" customHeight="1" spans="1:37">
      <c r="A749" s="61"/>
      <c r="B749" s="61"/>
      <c r="C749" s="61"/>
      <c r="D749" s="61"/>
      <c r="E749" s="61"/>
      <c r="F749" s="20">
        <f t="array" ref="F749">_xlfn.XLOOKUP(A749,'WK 47'!A:A,'WK 47'!F:F,"")</f>
        <v>0</v>
      </c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</row>
    <row r="750" customHeight="1" spans="1:37">
      <c r="A750" s="61"/>
      <c r="B750" s="61"/>
      <c r="C750" s="61"/>
      <c r="D750" s="61"/>
      <c r="E750" s="61"/>
      <c r="F750" s="20">
        <f t="array" ref="F750">_xlfn.XLOOKUP(A750,'WK 47'!A:A,'WK 47'!F:F,"")</f>
        <v>0</v>
      </c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</row>
    <row r="751" customHeight="1" spans="1:37">
      <c r="A751" s="61"/>
      <c r="B751" s="61"/>
      <c r="C751" s="61"/>
      <c r="D751" s="61"/>
      <c r="E751" s="61"/>
      <c r="F751" s="20">
        <f t="array" ref="F751">_xlfn.XLOOKUP(A751,'WK 47'!A:A,'WK 47'!F:F,"")</f>
        <v>0</v>
      </c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</row>
    <row r="752" customHeight="1" spans="1:37">
      <c r="A752" s="61"/>
      <c r="B752" s="61"/>
      <c r="C752" s="61"/>
      <c r="D752" s="61"/>
      <c r="E752" s="61"/>
      <c r="F752" s="20">
        <f t="array" ref="F752">_xlfn.XLOOKUP(A752,'WK 47'!A:A,'WK 47'!F:F,"")</f>
        <v>0</v>
      </c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</row>
    <row r="753" customHeight="1" spans="1:37">
      <c r="A753" s="61"/>
      <c r="B753" s="61"/>
      <c r="C753" s="61"/>
      <c r="D753" s="61"/>
      <c r="E753" s="61"/>
      <c r="F753" s="20">
        <f t="array" ref="F753">_xlfn.XLOOKUP(A753,'WK 47'!A:A,'WK 47'!F:F,"")</f>
        <v>0</v>
      </c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</row>
    <row r="754" customHeight="1" spans="1:37">
      <c r="A754" s="61"/>
      <c r="B754" s="61"/>
      <c r="C754" s="61"/>
      <c r="D754" s="61"/>
      <c r="E754" s="61"/>
      <c r="F754" s="20">
        <f t="array" ref="F754">_xlfn.XLOOKUP(A754,'WK 47'!A:A,'WK 47'!F:F,"")</f>
        <v>0</v>
      </c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</row>
    <row r="755" customHeight="1" spans="1:37">
      <c r="A755" s="61"/>
      <c r="B755" s="61"/>
      <c r="C755" s="61"/>
      <c r="D755" s="61"/>
      <c r="E755" s="61"/>
      <c r="F755" s="20">
        <f t="array" ref="F755">_xlfn.XLOOKUP(A755,'WK 47'!A:A,'WK 47'!F:F,"")</f>
        <v>0</v>
      </c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</row>
    <row r="756" customHeight="1" spans="1:37">
      <c r="A756" s="61"/>
      <c r="B756" s="61"/>
      <c r="C756" s="61"/>
      <c r="D756" s="61"/>
      <c r="E756" s="61"/>
      <c r="F756" s="20">
        <f t="array" ref="F756">_xlfn.XLOOKUP(A756,'WK 47'!A:A,'WK 47'!F:F,"")</f>
        <v>0</v>
      </c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</row>
    <row r="757" customHeight="1" spans="1:37">
      <c r="A757" s="61"/>
      <c r="B757" s="61"/>
      <c r="C757" s="61"/>
      <c r="D757" s="61"/>
      <c r="E757" s="61"/>
      <c r="F757" s="20">
        <f t="array" ref="F757">_xlfn.XLOOKUP(A757,'WK 47'!A:A,'WK 47'!F:F,"")</f>
        <v>0</v>
      </c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</row>
    <row r="758" customHeight="1" spans="1:37">
      <c r="A758" s="61"/>
      <c r="B758" s="61"/>
      <c r="C758" s="61"/>
      <c r="D758" s="61"/>
      <c r="E758" s="61"/>
      <c r="F758" s="20">
        <f t="array" ref="F758">_xlfn.XLOOKUP(A758,'WK 47'!A:A,'WK 47'!F:F,"")</f>
        <v>0</v>
      </c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</row>
    <row r="759" customHeight="1" spans="1:37">
      <c r="A759" s="61"/>
      <c r="B759" s="61"/>
      <c r="C759" s="61"/>
      <c r="D759" s="61"/>
      <c r="E759" s="61"/>
      <c r="F759" s="20">
        <f t="array" ref="F759">_xlfn.XLOOKUP(A759,'WK 47'!A:A,'WK 47'!F:F,"")</f>
        <v>0</v>
      </c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</row>
    <row r="760" customHeight="1" spans="1:37">
      <c r="A760" s="61"/>
      <c r="B760" s="61"/>
      <c r="C760" s="61"/>
      <c r="D760" s="61"/>
      <c r="E760" s="61"/>
      <c r="F760" s="20">
        <f t="array" ref="F760">_xlfn.XLOOKUP(A760,'WK 47'!A:A,'WK 47'!F:F,"")</f>
        <v>0</v>
      </c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</row>
    <row r="761" customHeight="1" spans="1:37">
      <c r="A761" s="61"/>
      <c r="B761" s="61"/>
      <c r="C761" s="61"/>
      <c r="D761" s="61"/>
      <c r="E761" s="61"/>
      <c r="F761" s="20">
        <f t="array" ref="F761">_xlfn.XLOOKUP(A761,'WK 47'!A:A,'WK 47'!F:F,"")</f>
        <v>0</v>
      </c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</row>
    <row r="762" customHeight="1" spans="1:37">
      <c r="A762" s="61"/>
      <c r="B762" s="61"/>
      <c r="C762" s="61"/>
      <c r="D762" s="61"/>
      <c r="E762" s="61"/>
      <c r="F762" s="20">
        <f t="array" ref="F762">_xlfn.XLOOKUP(A762,'WK 47'!A:A,'WK 47'!F:F,"")</f>
        <v>0</v>
      </c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</row>
    <row r="763" customHeight="1" spans="1:37">
      <c r="A763" s="61"/>
      <c r="B763" s="61"/>
      <c r="C763" s="61"/>
      <c r="D763" s="61"/>
      <c r="E763" s="61"/>
      <c r="F763" s="20">
        <f t="array" ref="F763">_xlfn.XLOOKUP(A763,'WK 47'!A:A,'WK 47'!F:F,"")</f>
        <v>0</v>
      </c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</row>
    <row r="764" customHeight="1" spans="1:37">
      <c r="A764" s="61"/>
      <c r="B764" s="61"/>
      <c r="C764" s="61"/>
      <c r="D764" s="61"/>
      <c r="E764" s="61"/>
      <c r="F764" s="20">
        <f t="array" ref="F764">_xlfn.XLOOKUP(A764,'WK 47'!A:A,'WK 47'!F:F,"")</f>
        <v>0</v>
      </c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</row>
    <row r="765" customHeight="1" spans="1:37">
      <c r="A765" s="61"/>
      <c r="B765" s="61"/>
      <c r="C765" s="61"/>
      <c r="D765" s="61"/>
      <c r="E765" s="61"/>
      <c r="F765" s="20">
        <f t="array" ref="F765">_xlfn.XLOOKUP(A765,'WK 47'!A:A,'WK 47'!F:F,"")</f>
        <v>0</v>
      </c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</row>
    <row r="766" customHeight="1" spans="1:37">
      <c r="A766" s="61"/>
      <c r="B766" s="61"/>
      <c r="C766" s="61"/>
      <c r="D766" s="61"/>
      <c r="E766" s="61"/>
      <c r="F766" s="20">
        <f t="array" ref="F766">_xlfn.XLOOKUP(A766,'WK 47'!A:A,'WK 47'!F:F,"")</f>
        <v>0</v>
      </c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</row>
    <row r="767" customHeight="1" spans="1:37">
      <c r="A767" s="61"/>
      <c r="B767" s="61"/>
      <c r="C767" s="61"/>
      <c r="D767" s="61"/>
      <c r="E767" s="61"/>
      <c r="F767" s="20">
        <f t="array" ref="F767">_xlfn.XLOOKUP(A767,'WK 47'!A:A,'WK 47'!F:F,"")</f>
        <v>0</v>
      </c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</row>
    <row r="768" customHeight="1" spans="1:37">
      <c r="A768" s="61"/>
      <c r="B768" s="61"/>
      <c r="C768" s="61"/>
      <c r="D768" s="61"/>
      <c r="E768" s="61"/>
      <c r="F768" s="20">
        <f t="array" ref="F768">_xlfn.XLOOKUP(A768,'WK 47'!A:A,'WK 47'!F:F,"")</f>
        <v>0</v>
      </c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</row>
    <row r="769" customHeight="1" spans="1:37">
      <c r="A769" s="61"/>
      <c r="B769" s="61"/>
      <c r="C769" s="61"/>
      <c r="D769" s="61"/>
      <c r="E769" s="61"/>
      <c r="F769" s="20">
        <f t="array" ref="F769">_xlfn.XLOOKUP(A769,'WK 47'!A:A,'WK 47'!F:F,"")</f>
        <v>0</v>
      </c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</row>
    <row r="770" customHeight="1" spans="1:37">
      <c r="A770" s="61"/>
      <c r="B770" s="61"/>
      <c r="C770" s="61"/>
      <c r="D770" s="61"/>
      <c r="E770" s="61"/>
      <c r="F770" s="20">
        <f t="array" ref="F770">_xlfn.XLOOKUP(A770,'WK 47'!A:A,'WK 47'!F:F,"")</f>
        <v>0</v>
      </c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</row>
    <row r="771" customHeight="1" spans="1:37">
      <c r="A771" s="61"/>
      <c r="B771" s="61"/>
      <c r="C771" s="61"/>
      <c r="D771" s="61"/>
      <c r="E771" s="61"/>
      <c r="F771" s="20">
        <f t="array" ref="F771">_xlfn.XLOOKUP(A771,'WK 47'!A:A,'WK 47'!F:F,"")</f>
        <v>0</v>
      </c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</row>
    <row r="772" customHeight="1" spans="1:37">
      <c r="A772" s="61"/>
      <c r="B772" s="61"/>
      <c r="C772" s="61"/>
      <c r="D772" s="61"/>
      <c r="E772" s="61"/>
      <c r="F772" s="20">
        <f t="array" ref="F772">_xlfn.XLOOKUP(A772,'WK 47'!A:A,'WK 47'!F:F,"")</f>
        <v>0</v>
      </c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</row>
    <row r="773" customHeight="1" spans="1:37">
      <c r="A773" s="61"/>
      <c r="B773" s="61"/>
      <c r="C773" s="61"/>
      <c r="D773" s="61"/>
      <c r="E773" s="61"/>
      <c r="F773" s="20">
        <f t="array" ref="F773">_xlfn.XLOOKUP(A773,'WK 47'!A:A,'WK 47'!F:F,"")</f>
        <v>0</v>
      </c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</row>
    <row r="774" customHeight="1" spans="1:37">
      <c r="A774" s="61"/>
      <c r="B774" s="61"/>
      <c r="C774" s="61"/>
      <c r="D774" s="61"/>
      <c r="E774" s="61"/>
      <c r="F774" s="20">
        <f t="array" ref="F774">_xlfn.XLOOKUP(A774,'WK 47'!A:A,'WK 47'!F:F,"")</f>
        <v>0</v>
      </c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</row>
    <row r="775" customHeight="1" spans="1:37">
      <c r="A775" s="61"/>
      <c r="B775" s="61"/>
      <c r="C775" s="61"/>
      <c r="D775" s="61"/>
      <c r="E775" s="61"/>
      <c r="F775" s="20">
        <f t="array" ref="F775">_xlfn.XLOOKUP(A775,'WK 47'!A:A,'WK 47'!F:F,"")</f>
        <v>0</v>
      </c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</row>
    <row r="776" customHeight="1" spans="1:37">
      <c r="A776" s="61"/>
      <c r="B776" s="61"/>
      <c r="C776" s="61"/>
      <c r="D776" s="61"/>
      <c r="E776" s="61"/>
      <c r="F776" s="20">
        <f t="array" ref="F776">_xlfn.XLOOKUP(A776,'WK 47'!A:A,'WK 47'!F:F,"")</f>
        <v>0</v>
      </c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</row>
    <row r="777" customHeight="1" spans="1:37">
      <c r="A777" s="61"/>
      <c r="B777" s="61"/>
      <c r="C777" s="61"/>
      <c r="D777" s="61"/>
      <c r="E777" s="61"/>
      <c r="F777" s="20">
        <f t="array" ref="F777">_xlfn.XLOOKUP(A777,'WK 47'!A:A,'WK 47'!F:F,"")</f>
        <v>0</v>
      </c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</row>
    <row r="778" customHeight="1" spans="1:37">
      <c r="A778" s="61"/>
      <c r="B778" s="61"/>
      <c r="C778" s="61"/>
      <c r="D778" s="61"/>
      <c r="E778" s="61"/>
      <c r="F778" s="20">
        <f t="array" ref="F778">_xlfn.XLOOKUP(A778,'WK 47'!A:A,'WK 47'!F:F,"")</f>
        <v>0</v>
      </c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</row>
    <row r="779" customHeight="1" spans="1:37">
      <c r="A779" s="61"/>
      <c r="B779" s="61"/>
      <c r="C779" s="61"/>
      <c r="D779" s="61"/>
      <c r="E779" s="61"/>
      <c r="F779" s="20">
        <f t="array" ref="F779">_xlfn.XLOOKUP(A779,'WK 47'!A:A,'WK 47'!F:F,"")</f>
        <v>0</v>
      </c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</row>
    <row r="780" customHeight="1" spans="1:37">
      <c r="A780" s="61"/>
      <c r="B780" s="61"/>
      <c r="C780" s="61"/>
      <c r="D780" s="61"/>
      <c r="E780" s="61"/>
      <c r="F780" s="20">
        <f t="array" ref="F780">_xlfn.XLOOKUP(A780,'WK 47'!A:A,'WK 47'!F:F,"")</f>
        <v>0</v>
      </c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</row>
    <row r="781" customHeight="1" spans="1:37">
      <c r="A781" s="61"/>
      <c r="B781" s="61"/>
      <c r="C781" s="61"/>
      <c r="D781" s="61"/>
      <c r="E781" s="61"/>
      <c r="F781" s="20">
        <f t="array" ref="F781">_xlfn.XLOOKUP(A781,'WK 47'!A:A,'WK 47'!F:F,"")</f>
        <v>0</v>
      </c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</row>
    <row r="782" customHeight="1" spans="1:37">
      <c r="A782" s="61"/>
      <c r="B782" s="61"/>
      <c r="C782" s="61"/>
      <c r="D782" s="61"/>
      <c r="E782" s="61"/>
      <c r="F782" s="20">
        <f t="array" ref="F782">_xlfn.XLOOKUP(A782,'WK 47'!A:A,'WK 47'!F:F,"")</f>
        <v>0</v>
      </c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</row>
    <row r="783" customHeight="1" spans="1:37">
      <c r="A783" s="61"/>
      <c r="B783" s="61"/>
      <c r="C783" s="61"/>
      <c r="D783" s="61"/>
      <c r="E783" s="61"/>
      <c r="F783" s="20">
        <f t="array" ref="F783">_xlfn.XLOOKUP(A783,'WK 47'!A:A,'WK 47'!F:F,"")</f>
        <v>0</v>
      </c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</row>
    <row r="784" customHeight="1" spans="1:37">
      <c r="A784" s="61"/>
      <c r="B784" s="61"/>
      <c r="C784" s="61"/>
      <c r="D784" s="61"/>
      <c r="E784" s="61"/>
      <c r="F784" s="20">
        <f t="array" ref="F784">_xlfn.XLOOKUP(A784,'WK 47'!A:A,'WK 47'!F:F,"")</f>
        <v>0</v>
      </c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</row>
    <row r="785" customHeight="1" spans="1:37">
      <c r="A785" s="61"/>
      <c r="B785" s="61"/>
      <c r="C785" s="61"/>
      <c r="D785" s="61"/>
      <c r="E785" s="61"/>
      <c r="F785" s="20">
        <f t="array" ref="F785">_xlfn.XLOOKUP(A785,'WK 47'!A:A,'WK 47'!F:F,"")</f>
        <v>0</v>
      </c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</row>
    <row r="786" customHeight="1" spans="1:37">
      <c r="A786" s="61"/>
      <c r="B786" s="61"/>
      <c r="C786" s="61"/>
      <c r="D786" s="61"/>
      <c r="E786" s="61"/>
      <c r="F786" s="20">
        <f t="array" ref="F786">_xlfn.XLOOKUP(A786,'WK 47'!A:A,'WK 47'!F:F,"")</f>
        <v>0</v>
      </c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</row>
    <row r="787" customHeight="1" spans="1:37">
      <c r="A787" s="61"/>
      <c r="B787" s="61"/>
      <c r="C787" s="61"/>
      <c r="D787" s="61"/>
      <c r="E787" s="61"/>
      <c r="F787" s="20">
        <f t="array" ref="F787">_xlfn.XLOOKUP(A787,'WK 47'!A:A,'WK 47'!F:F,"")</f>
        <v>0</v>
      </c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</row>
    <row r="788" customHeight="1" spans="1:37">
      <c r="A788" s="61"/>
      <c r="B788" s="61"/>
      <c r="C788" s="61"/>
      <c r="D788" s="61"/>
      <c r="E788" s="61"/>
      <c r="F788" s="20">
        <f t="array" ref="F788">_xlfn.XLOOKUP(A788,'WK 47'!A:A,'WK 47'!F:F,"")</f>
        <v>0</v>
      </c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</row>
    <row r="789" customHeight="1" spans="1:37">
      <c r="A789" s="61"/>
      <c r="B789" s="61"/>
      <c r="C789" s="61"/>
      <c r="D789" s="61"/>
      <c r="E789" s="61"/>
      <c r="F789" s="20">
        <f t="array" ref="F789">_xlfn.XLOOKUP(A789,'WK 47'!A:A,'WK 47'!F:F,"")</f>
        <v>0</v>
      </c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</row>
    <row r="790" customHeight="1" spans="1:37">
      <c r="A790" s="61"/>
      <c r="B790" s="61"/>
      <c r="C790" s="61"/>
      <c r="D790" s="61"/>
      <c r="E790" s="61"/>
      <c r="F790" s="20">
        <f t="array" ref="F790">_xlfn.XLOOKUP(A790,'WK 47'!A:A,'WK 47'!F:F,"")</f>
        <v>0</v>
      </c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</row>
    <row r="791" customHeight="1" spans="1:37">
      <c r="A791" s="61"/>
      <c r="B791" s="61"/>
      <c r="C791" s="61"/>
      <c r="D791" s="61"/>
      <c r="E791" s="61"/>
      <c r="F791" s="20">
        <f t="array" ref="F791">_xlfn.XLOOKUP(A791,'WK 47'!A:A,'WK 47'!F:F,"")</f>
        <v>0</v>
      </c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</row>
    <row r="792" customHeight="1" spans="1:37">
      <c r="A792" s="61"/>
      <c r="B792" s="61"/>
      <c r="C792" s="61"/>
      <c r="D792" s="61"/>
      <c r="E792" s="61"/>
      <c r="F792" s="20">
        <f t="array" ref="F792">_xlfn.XLOOKUP(A792,'WK 47'!A:A,'WK 47'!F:F,"")</f>
        <v>0</v>
      </c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</row>
    <row r="793" customHeight="1" spans="1:37">
      <c r="A793" s="61"/>
      <c r="B793" s="61"/>
      <c r="C793" s="61"/>
      <c r="D793" s="61"/>
      <c r="E793" s="61"/>
      <c r="F793" s="20">
        <f t="array" ref="F793">_xlfn.XLOOKUP(A793,'WK 47'!A:A,'WK 47'!F:F,"")</f>
        <v>0</v>
      </c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</row>
    <row r="794" customHeight="1" spans="1:37">
      <c r="A794" s="61"/>
      <c r="B794" s="61"/>
      <c r="C794" s="61"/>
      <c r="D794" s="61"/>
      <c r="E794" s="61"/>
      <c r="F794" s="20">
        <f t="array" ref="F794">_xlfn.XLOOKUP(A794,'WK 47'!A:A,'WK 47'!F:F,"")</f>
        <v>0</v>
      </c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</row>
    <row r="795" customHeight="1" spans="1:37">
      <c r="A795" s="61"/>
      <c r="B795" s="61"/>
      <c r="C795" s="61"/>
      <c r="D795" s="61"/>
      <c r="E795" s="61"/>
      <c r="F795" s="20">
        <f t="array" ref="F795">_xlfn.XLOOKUP(A795,'WK 47'!A:A,'WK 47'!F:F,"")</f>
        <v>0</v>
      </c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</row>
    <row r="796" customHeight="1" spans="1:37">
      <c r="A796" s="61"/>
      <c r="B796" s="61"/>
      <c r="C796" s="61"/>
      <c r="D796" s="61"/>
      <c r="E796" s="61"/>
      <c r="F796" s="20">
        <f t="array" ref="F796">_xlfn.XLOOKUP(A796,'WK 47'!A:A,'WK 47'!F:F,"")</f>
        <v>0</v>
      </c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</row>
    <row r="797" customHeight="1" spans="1:37">
      <c r="A797" s="61"/>
      <c r="B797" s="61"/>
      <c r="C797" s="61"/>
      <c r="D797" s="61"/>
      <c r="E797" s="61"/>
      <c r="F797" s="20">
        <f t="array" ref="F797">_xlfn.XLOOKUP(A797,'WK 47'!A:A,'WK 47'!F:F,"")</f>
        <v>0</v>
      </c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</row>
    <row r="798" customHeight="1" spans="1:37">
      <c r="A798" s="61"/>
      <c r="B798" s="61"/>
      <c r="C798" s="61"/>
      <c r="D798" s="61"/>
      <c r="E798" s="61"/>
      <c r="F798" s="20">
        <f t="array" ref="F798">_xlfn.XLOOKUP(A798,'WK 47'!A:A,'WK 47'!F:F,"")</f>
        <v>0</v>
      </c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</row>
    <row r="799" customHeight="1" spans="1:37">
      <c r="A799" s="61"/>
      <c r="B799" s="61"/>
      <c r="C799" s="61"/>
      <c r="D799" s="61"/>
      <c r="E799" s="61"/>
      <c r="F799" s="20">
        <f t="array" ref="F799">_xlfn.XLOOKUP(A799,'WK 47'!A:A,'WK 47'!F:F,"")</f>
        <v>0</v>
      </c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</row>
    <row r="800" customHeight="1" spans="1:37">
      <c r="A800" s="61"/>
      <c r="B800" s="61"/>
      <c r="C800" s="61"/>
      <c r="D800" s="61"/>
      <c r="E800" s="61"/>
      <c r="F800" s="20">
        <f t="array" ref="F800">_xlfn.XLOOKUP(A800,'WK 47'!A:A,'WK 47'!F:F,"")</f>
        <v>0</v>
      </c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</row>
    <row r="801" customHeight="1" spans="1:37">
      <c r="A801" s="61"/>
      <c r="B801" s="61"/>
      <c r="C801" s="61"/>
      <c r="D801" s="61"/>
      <c r="E801" s="61"/>
      <c r="F801" s="20">
        <f t="array" ref="F801">_xlfn.XLOOKUP(A801,'WK 47'!A:A,'WK 47'!F:F,"")</f>
        <v>0</v>
      </c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</row>
    <row r="802" customHeight="1" spans="1:37">
      <c r="A802" s="61"/>
      <c r="B802" s="61"/>
      <c r="C802" s="61"/>
      <c r="D802" s="61"/>
      <c r="E802" s="61"/>
      <c r="F802" s="20">
        <f t="array" ref="F802">_xlfn.XLOOKUP(A802,'WK 47'!A:A,'WK 47'!F:F,"")</f>
        <v>0</v>
      </c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</row>
    <row r="803" customHeight="1" spans="1:37">
      <c r="A803" s="61"/>
      <c r="B803" s="61"/>
      <c r="C803" s="61"/>
      <c r="D803" s="61"/>
      <c r="E803" s="61"/>
      <c r="F803" s="20">
        <f t="array" ref="F803">_xlfn.XLOOKUP(A803,'WK 47'!A:A,'WK 47'!F:F,"")</f>
        <v>0</v>
      </c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</row>
    <row r="804" customHeight="1" spans="1:37">
      <c r="A804" s="61"/>
      <c r="B804" s="61"/>
      <c r="C804" s="61"/>
      <c r="D804" s="61"/>
      <c r="E804" s="61"/>
      <c r="F804" s="20">
        <f t="array" ref="F804">_xlfn.XLOOKUP(A804,'WK 47'!A:A,'WK 47'!F:F,"")</f>
        <v>0</v>
      </c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</row>
    <row r="805" customHeight="1" spans="1:37">
      <c r="A805" s="61"/>
      <c r="B805" s="61"/>
      <c r="C805" s="61"/>
      <c r="D805" s="61"/>
      <c r="E805" s="61"/>
      <c r="F805" s="20">
        <f t="array" ref="F805">_xlfn.XLOOKUP(A805,'WK 47'!A:A,'WK 47'!F:F,"")</f>
        <v>0</v>
      </c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</row>
    <row r="806" customHeight="1" spans="1:37">
      <c r="A806" s="61"/>
      <c r="B806" s="61"/>
      <c r="C806" s="61"/>
      <c r="D806" s="61"/>
      <c r="E806" s="61"/>
      <c r="F806" s="20">
        <f t="array" ref="F806">_xlfn.XLOOKUP(A806,'WK 47'!A:A,'WK 47'!F:F,"")</f>
        <v>0</v>
      </c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</row>
    <row r="807" customHeight="1" spans="1:37">
      <c r="A807" s="61"/>
      <c r="B807" s="61"/>
      <c r="C807" s="61"/>
      <c r="D807" s="61"/>
      <c r="E807" s="61"/>
      <c r="F807" s="20">
        <f t="array" ref="F807">_xlfn.XLOOKUP(A807,'WK 47'!A:A,'WK 47'!F:F,"")</f>
        <v>0</v>
      </c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</row>
    <row r="808" customHeight="1" spans="1:37">
      <c r="A808" s="61"/>
      <c r="B808" s="61"/>
      <c r="C808" s="61"/>
      <c r="D808" s="61"/>
      <c r="E808" s="61"/>
      <c r="F808" s="20">
        <f t="array" ref="F808">_xlfn.XLOOKUP(A808,'WK 47'!A:A,'WK 47'!F:F,"")</f>
        <v>0</v>
      </c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</row>
    <row r="809" customHeight="1" spans="1:37">
      <c r="A809" s="61"/>
      <c r="B809" s="61"/>
      <c r="C809" s="61"/>
      <c r="D809" s="61"/>
      <c r="E809" s="61"/>
      <c r="F809" s="20">
        <f t="array" ref="F809">_xlfn.XLOOKUP(A809,'WK 47'!A:A,'WK 47'!F:F,"")</f>
        <v>0</v>
      </c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</row>
    <row r="810" customHeight="1" spans="1:37">
      <c r="A810" s="61"/>
      <c r="B810" s="61"/>
      <c r="C810" s="61"/>
      <c r="D810" s="61"/>
      <c r="E810" s="61"/>
      <c r="F810" s="20">
        <f t="array" ref="F810">_xlfn.XLOOKUP(A810,'WK 47'!A:A,'WK 47'!F:F,"")</f>
        <v>0</v>
      </c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</row>
    <row r="811" customHeight="1" spans="1:37">
      <c r="A811" s="61"/>
      <c r="B811" s="61"/>
      <c r="C811" s="61"/>
      <c r="D811" s="61"/>
      <c r="E811" s="61"/>
      <c r="F811" s="20">
        <f t="array" ref="F811">_xlfn.XLOOKUP(A811,'WK 47'!A:A,'WK 47'!F:F,"")</f>
        <v>0</v>
      </c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</row>
    <row r="812" customHeight="1" spans="1:37">
      <c r="A812" s="61"/>
      <c r="B812" s="61"/>
      <c r="C812" s="61"/>
      <c r="D812" s="61"/>
      <c r="E812" s="61"/>
      <c r="F812" s="20">
        <f t="array" ref="F812">_xlfn.XLOOKUP(A812,'WK 47'!A:A,'WK 47'!F:F,"")</f>
        <v>0</v>
      </c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</row>
    <row r="813" customHeight="1" spans="1:37">
      <c r="A813" s="61"/>
      <c r="B813" s="61"/>
      <c r="C813" s="61"/>
      <c r="D813" s="61"/>
      <c r="E813" s="61"/>
      <c r="F813" s="20">
        <f t="array" ref="F813">_xlfn.XLOOKUP(A813,'WK 47'!A:A,'WK 47'!F:F,"")</f>
        <v>0</v>
      </c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</row>
    <row r="814" customHeight="1" spans="1:37">
      <c r="A814" s="61"/>
      <c r="B814" s="61"/>
      <c r="C814" s="61"/>
      <c r="D814" s="61"/>
      <c r="E814" s="61"/>
      <c r="F814" s="20">
        <f t="array" ref="F814">_xlfn.XLOOKUP(A814,'WK 47'!A:A,'WK 47'!F:F,"")</f>
        <v>0</v>
      </c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</row>
    <row r="815" customHeight="1" spans="1:37">
      <c r="A815" s="61"/>
      <c r="B815" s="61"/>
      <c r="C815" s="61"/>
      <c r="D815" s="61"/>
      <c r="E815" s="61"/>
      <c r="F815" s="20">
        <f t="array" ref="F815">_xlfn.XLOOKUP(A815,'WK 47'!A:A,'WK 47'!F:F,"")</f>
        <v>0</v>
      </c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</row>
    <row r="816" customHeight="1" spans="1:37">
      <c r="A816" s="61"/>
      <c r="B816" s="61"/>
      <c r="C816" s="61"/>
      <c r="D816" s="61"/>
      <c r="E816" s="61"/>
      <c r="F816" s="20">
        <f t="array" ref="F816">_xlfn.XLOOKUP(A816,'WK 47'!A:A,'WK 47'!F:F,"")</f>
        <v>0</v>
      </c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</row>
    <row r="817" customHeight="1" spans="1:37">
      <c r="A817" s="61"/>
      <c r="B817" s="61"/>
      <c r="C817" s="61"/>
      <c r="D817" s="61"/>
      <c r="E817" s="61"/>
      <c r="F817" s="20">
        <f t="array" ref="F817">_xlfn.XLOOKUP(A817,'WK 47'!A:A,'WK 47'!F:F,"")</f>
        <v>0</v>
      </c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</row>
    <row r="818" customHeight="1" spans="1:37">
      <c r="A818" s="61"/>
      <c r="B818" s="61"/>
      <c r="C818" s="61"/>
      <c r="D818" s="61"/>
      <c r="E818" s="61"/>
      <c r="F818" s="20">
        <f t="array" ref="F818">_xlfn.XLOOKUP(A818,'WK 47'!A:A,'WK 47'!F:F,"")</f>
        <v>0</v>
      </c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</row>
    <row r="819" customHeight="1" spans="1:37">
      <c r="A819" s="61"/>
      <c r="B819" s="61"/>
      <c r="C819" s="61"/>
      <c r="D819" s="61"/>
      <c r="E819" s="61"/>
      <c r="F819" s="20">
        <f t="array" ref="F819">_xlfn.XLOOKUP(A819,'WK 47'!A:A,'WK 47'!F:F,"")</f>
        <v>0</v>
      </c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</row>
    <row r="820" customHeight="1" spans="1:37">
      <c r="A820" s="61"/>
      <c r="B820" s="61"/>
      <c r="C820" s="61"/>
      <c r="D820" s="61"/>
      <c r="E820" s="61"/>
      <c r="F820" s="20">
        <f t="array" ref="F820">_xlfn.XLOOKUP(A820,'WK 47'!A:A,'WK 47'!F:F,"")</f>
        <v>0</v>
      </c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</row>
    <row r="821" customHeight="1" spans="1:37">
      <c r="A821" s="61"/>
      <c r="B821" s="61"/>
      <c r="C821" s="61"/>
      <c r="D821" s="61"/>
      <c r="E821" s="61"/>
      <c r="F821" s="20">
        <f t="array" ref="F821">_xlfn.XLOOKUP(A821,'WK 47'!A:A,'WK 47'!F:F,"")</f>
        <v>0</v>
      </c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</row>
    <row r="822" customHeight="1" spans="1:37">
      <c r="A822" s="61"/>
      <c r="B822" s="61"/>
      <c r="C822" s="61"/>
      <c r="D822" s="61"/>
      <c r="E822" s="61"/>
      <c r="F822" s="20">
        <f t="array" ref="F822">_xlfn.XLOOKUP(A822,'WK 47'!A:A,'WK 47'!F:F,"")</f>
        <v>0</v>
      </c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</row>
    <row r="823" customHeight="1" spans="1:37">
      <c r="A823" s="61"/>
      <c r="B823" s="61"/>
      <c r="C823" s="61"/>
      <c r="D823" s="61"/>
      <c r="E823" s="61"/>
      <c r="F823" s="20">
        <f t="array" ref="F823">_xlfn.XLOOKUP(A823,'WK 47'!A:A,'WK 47'!F:F,"")</f>
        <v>0</v>
      </c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</row>
    <row r="824" customHeight="1" spans="1:37">
      <c r="A824" s="61"/>
      <c r="B824" s="61"/>
      <c r="C824" s="61"/>
      <c r="D824" s="61"/>
      <c r="E824" s="61"/>
      <c r="F824" s="20">
        <f t="array" ref="F824">_xlfn.XLOOKUP(A824,'WK 47'!A:A,'WK 47'!F:F,"")</f>
        <v>0</v>
      </c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</row>
    <row r="825" customHeight="1" spans="1:37">
      <c r="A825" s="61"/>
      <c r="B825" s="61"/>
      <c r="C825" s="61"/>
      <c r="D825" s="61"/>
      <c r="E825" s="61"/>
      <c r="F825" s="20">
        <f t="array" ref="F825">_xlfn.XLOOKUP(A825,'WK 47'!A:A,'WK 47'!F:F,"")</f>
        <v>0</v>
      </c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</row>
    <row r="826" customHeight="1" spans="1:37">
      <c r="A826" s="61"/>
      <c r="B826" s="61"/>
      <c r="C826" s="61"/>
      <c r="D826" s="61"/>
      <c r="E826" s="61"/>
      <c r="F826" s="20">
        <f t="array" ref="F826">_xlfn.XLOOKUP(A826,'WK 47'!A:A,'WK 47'!F:F,"")</f>
        <v>0</v>
      </c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</row>
    <row r="827" customHeight="1" spans="1:37">
      <c r="A827" s="61"/>
      <c r="B827" s="61"/>
      <c r="C827" s="61"/>
      <c r="D827" s="61"/>
      <c r="E827" s="61"/>
      <c r="F827" s="20">
        <f t="array" ref="F827">_xlfn.XLOOKUP(A827,'WK 47'!A:A,'WK 47'!F:F,"")</f>
        <v>0</v>
      </c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</row>
    <row r="828" customHeight="1" spans="1:37">
      <c r="A828" s="61"/>
      <c r="B828" s="61"/>
      <c r="C828" s="61"/>
      <c r="D828" s="61"/>
      <c r="E828" s="61"/>
      <c r="F828" s="20">
        <f t="array" ref="F828">_xlfn.XLOOKUP(A828,'WK 47'!A:A,'WK 47'!F:F,"")</f>
        <v>0</v>
      </c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</row>
    <row r="829" customHeight="1" spans="1:37">
      <c r="A829" s="61"/>
      <c r="B829" s="61"/>
      <c r="C829" s="61"/>
      <c r="D829" s="61"/>
      <c r="E829" s="61"/>
      <c r="F829" s="20">
        <f t="array" ref="F829">_xlfn.XLOOKUP(A829,'WK 47'!A:A,'WK 47'!F:F,"")</f>
        <v>0</v>
      </c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</row>
    <row r="830" customHeight="1" spans="1:37">
      <c r="A830" s="61"/>
      <c r="B830" s="61"/>
      <c r="C830" s="61"/>
      <c r="D830" s="61"/>
      <c r="E830" s="61"/>
      <c r="F830" s="20">
        <f t="array" ref="F830">_xlfn.XLOOKUP(A830,'WK 47'!A:A,'WK 47'!F:F,"")</f>
        <v>0</v>
      </c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</row>
    <row r="831" customHeight="1" spans="1:37">
      <c r="A831" s="61"/>
      <c r="B831" s="61"/>
      <c r="C831" s="61"/>
      <c r="D831" s="61"/>
      <c r="E831" s="61"/>
      <c r="F831" s="20">
        <f t="array" ref="F831">_xlfn.XLOOKUP(A831,'WK 47'!A:A,'WK 47'!F:F,"")</f>
        <v>0</v>
      </c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</row>
    <row r="832" customHeight="1" spans="1:37">
      <c r="A832" s="61"/>
      <c r="B832" s="61"/>
      <c r="C832" s="61"/>
      <c r="D832" s="61"/>
      <c r="E832" s="61"/>
      <c r="F832" s="20">
        <f t="array" ref="F832">_xlfn.XLOOKUP(A832,'WK 47'!A:A,'WK 47'!F:F,"")</f>
        <v>0</v>
      </c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</row>
    <row r="833" customHeight="1" spans="1:37">
      <c r="A833" s="61"/>
      <c r="B833" s="61"/>
      <c r="C833" s="61"/>
      <c r="D833" s="61"/>
      <c r="E833" s="61"/>
      <c r="F833" s="20">
        <f t="array" ref="F833">_xlfn.XLOOKUP(A833,'WK 47'!A:A,'WK 47'!F:F,"")</f>
        <v>0</v>
      </c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</row>
    <row r="834" customHeight="1" spans="1:37">
      <c r="A834" s="61"/>
      <c r="B834" s="61"/>
      <c r="C834" s="61"/>
      <c r="D834" s="61"/>
      <c r="E834" s="61"/>
      <c r="F834" s="20">
        <f t="array" ref="F834">_xlfn.XLOOKUP(A834,'WK 47'!A:A,'WK 47'!F:F,"")</f>
        <v>0</v>
      </c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</row>
    <row r="835" customHeight="1" spans="1:37">
      <c r="A835" s="61"/>
      <c r="B835" s="61"/>
      <c r="C835" s="61"/>
      <c r="D835" s="61"/>
      <c r="E835" s="61"/>
      <c r="F835" s="20">
        <f t="array" ref="F835">_xlfn.XLOOKUP(A835,'WK 47'!A:A,'WK 47'!F:F,"")</f>
        <v>0</v>
      </c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</row>
    <row r="836" customHeight="1" spans="1:37">
      <c r="A836" s="61"/>
      <c r="B836" s="61"/>
      <c r="C836" s="61"/>
      <c r="D836" s="61"/>
      <c r="E836" s="61"/>
      <c r="F836" s="20">
        <f t="array" ref="F836">_xlfn.XLOOKUP(A836,'WK 47'!A:A,'WK 47'!F:F,"")</f>
        <v>0</v>
      </c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</row>
    <row r="837" customHeight="1" spans="1:37">
      <c r="A837" s="61"/>
      <c r="B837" s="61"/>
      <c r="C837" s="61"/>
      <c r="D837" s="61"/>
      <c r="E837" s="61"/>
      <c r="F837" s="20">
        <f t="array" ref="F837">_xlfn.XLOOKUP(A837,'WK 47'!A:A,'WK 47'!F:F,"")</f>
        <v>0</v>
      </c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</row>
    <row r="838" customHeight="1" spans="1:37">
      <c r="A838" s="61"/>
      <c r="B838" s="61"/>
      <c r="C838" s="61"/>
      <c r="D838" s="61"/>
      <c r="E838" s="61"/>
      <c r="F838" s="20">
        <f t="array" ref="F838">_xlfn.XLOOKUP(A838,'WK 47'!A:A,'WK 47'!F:F,"")</f>
        <v>0</v>
      </c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</row>
    <row r="839" customHeight="1" spans="1:37">
      <c r="A839" s="61"/>
      <c r="B839" s="61"/>
      <c r="C839" s="61"/>
      <c r="D839" s="61"/>
      <c r="E839" s="61"/>
      <c r="F839" s="20">
        <f t="array" ref="F839">_xlfn.XLOOKUP(A839,'WK 47'!A:A,'WK 47'!F:F,"")</f>
        <v>0</v>
      </c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</row>
    <row r="840" customHeight="1" spans="1:37">
      <c r="A840" s="61"/>
      <c r="B840" s="61"/>
      <c r="C840" s="61"/>
      <c r="D840" s="61"/>
      <c r="E840" s="61"/>
      <c r="F840" s="20">
        <f t="array" ref="F840">_xlfn.XLOOKUP(A840,'WK 47'!A:A,'WK 47'!F:F,"")</f>
        <v>0</v>
      </c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</row>
    <row r="841" customHeight="1" spans="1:37">
      <c r="A841" s="61"/>
      <c r="B841" s="61"/>
      <c r="C841" s="61"/>
      <c r="D841" s="61"/>
      <c r="E841" s="61"/>
      <c r="F841" s="20">
        <f t="array" ref="F841">_xlfn.XLOOKUP(A841,'WK 47'!A:A,'WK 47'!F:F,"")</f>
        <v>0</v>
      </c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</row>
    <row r="842" customHeight="1" spans="1:37">
      <c r="A842" s="61"/>
      <c r="B842" s="61"/>
      <c r="C842" s="61"/>
      <c r="D842" s="61"/>
      <c r="E842" s="61"/>
      <c r="F842" s="20">
        <f t="array" ref="F842">_xlfn.XLOOKUP(A842,'WK 47'!A:A,'WK 47'!F:F,"")</f>
        <v>0</v>
      </c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</row>
    <row r="843" customHeight="1" spans="1:37">
      <c r="A843" s="61"/>
      <c r="B843" s="61"/>
      <c r="C843" s="61"/>
      <c r="D843" s="61"/>
      <c r="E843" s="61"/>
      <c r="F843" s="20">
        <f t="array" ref="F843">_xlfn.XLOOKUP(A843,'WK 47'!A:A,'WK 47'!F:F,"")</f>
        <v>0</v>
      </c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</row>
    <row r="844" customHeight="1" spans="1:37">
      <c r="A844" s="61"/>
      <c r="B844" s="61"/>
      <c r="C844" s="61"/>
      <c r="D844" s="61"/>
      <c r="E844" s="61"/>
      <c r="F844" s="20">
        <f t="array" ref="F844">_xlfn.XLOOKUP(A844,'WK 47'!A:A,'WK 47'!F:F,"")</f>
        <v>0</v>
      </c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</row>
    <row r="845" customHeight="1" spans="1:37">
      <c r="A845" s="61"/>
      <c r="B845" s="61"/>
      <c r="C845" s="61"/>
      <c r="D845" s="61"/>
      <c r="E845" s="61"/>
      <c r="F845" s="20">
        <f t="array" ref="F845">_xlfn.XLOOKUP(A845,'WK 47'!A:A,'WK 47'!F:F,"")</f>
        <v>0</v>
      </c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</row>
    <row r="846" customHeight="1" spans="1:37">
      <c r="A846" s="61"/>
      <c r="B846" s="61"/>
      <c r="C846" s="61"/>
      <c r="D846" s="61"/>
      <c r="E846" s="61"/>
      <c r="F846" s="20">
        <f t="array" ref="F846">_xlfn.XLOOKUP(A846,'WK 47'!A:A,'WK 47'!F:F,"")</f>
        <v>0</v>
      </c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</row>
    <row r="847" customHeight="1" spans="1:37">
      <c r="A847" s="61"/>
      <c r="B847" s="61"/>
      <c r="C847" s="61"/>
      <c r="D847" s="61"/>
      <c r="E847" s="61"/>
      <c r="F847" s="20">
        <f t="array" ref="F847">_xlfn.XLOOKUP(A847,'WK 47'!A:A,'WK 47'!F:F,"")</f>
        <v>0</v>
      </c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</row>
    <row r="848" customHeight="1" spans="1:37">
      <c r="A848" s="61"/>
      <c r="B848" s="61"/>
      <c r="C848" s="61"/>
      <c r="D848" s="61"/>
      <c r="E848" s="61"/>
      <c r="F848" s="20">
        <f t="array" ref="F848">_xlfn.XLOOKUP(A848,'WK 47'!A:A,'WK 47'!F:F,"")</f>
        <v>0</v>
      </c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</row>
    <row r="849" customHeight="1" spans="1:37">
      <c r="A849" s="61"/>
      <c r="B849" s="61"/>
      <c r="C849" s="61"/>
      <c r="D849" s="61"/>
      <c r="E849" s="61"/>
      <c r="F849" s="20">
        <f t="array" ref="F849">_xlfn.XLOOKUP(A849,'WK 47'!A:A,'WK 47'!F:F,"")</f>
        <v>0</v>
      </c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</row>
    <row r="850" customHeight="1" spans="1:37">
      <c r="A850" s="61"/>
      <c r="B850" s="61"/>
      <c r="C850" s="61"/>
      <c r="D850" s="61"/>
      <c r="E850" s="61"/>
      <c r="F850" s="20">
        <f t="array" ref="F850">_xlfn.XLOOKUP(A850,'WK 47'!A:A,'WK 47'!F:F,"")</f>
        <v>0</v>
      </c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</row>
    <row r="851" customHeight="1" spans="1:37">
      <c r="A851" s="61"/>
      <c r="B851" s="61"/>
      <c r="C851" s="61"/>
      <c r="D851" s="61"/>
      <c r="E851" s="61"/>
      <c r="F851" s="20">
        <f t="array" ref="F851">_xlfn.XLOOKUP(A851,'WK 47'!A:A,'WK 47'!F:F,"")</f>
        <v>0</v>
      </c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</row>
    <row r="852" customHeight="1" spans="1:37">
      <c r="A852" s="61"/>
      <c r="B852" s="61"/>
      <c r="C852" s="61"/>
      <c r="D852" s="61"/>
      <c r="E852" s="61"/>
      <c r="F852" s="20">
        <f t="array" ref="F852">_xlfn.XLOOKUP(A852,'WK 47'!A:A,'WK 47'!F:F,"")</f>
        <v>0</v>
      </c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</row>
    <row r="853" customHeight="1" spans="1:37">
      <c r="A853" s="61"/>
      <c r="B853" s="61"/>
      <c r="C853" s="61"/>
      <c r="D853" s="61"/>
      <c r="E853" s="61"/>
      <c r="F853" s="20">
        <f t="array" ref="F853">_xlfn.XLOOKUP(A853,'WK 47'!A:A,'WK 47'!F:F,"")</f>
        <v>0</v>
      </c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</row>
    <row r="854" customHeight="1" spans="1:37">
      <c r="A854" s="61"/>
      <c r="B854" s="61"/>
      <c r="C854" s="61"/>
      <c r="D854" s="61"/>
      <c r="E854" s="61"/>
      <c r="F854" s="20">
        <f t="array" ref="F854">_xlfn.XLOOKUP(A854,'WK 47'!A:A,'WK 47'!F:F,"")</f>
        <v>0</v>
      </c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</row>
    <row r="855" customHeight="1" spans="1:37">
      <c r="A855" s="61"/>
      <c r="B855" s="61"/>
      <c r="C855" s="61"/>
      <c r="D855" s="61"/>
      <c r="E855" s="61"/>
      <c r="F855" s="20">
        <f t="array" ref="F855">_xlfn.XLOOKUP(A855,'WK 47'!A:A,'WK 47'!F:F,"")</f>
        <v>0</v>
      </c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</row>
    <row r="856" customHeight="1" spans="1:37">
      <c r="A856" s="61"/>
      <c r="B856" s="61"/>
      <c r="C856" s="61"/>
      <c r="D856" s="61"/>
      <c r="E856" s="61"/>
      <c r="F856" s="20">
        <f t="array" ref="F856">_xlfn.XLOOKUP(A856,'WK 47'!A:A,'WK 47'!F:F,"")</f>
        <v>0</v>
      </c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</row>
    <row r="857" customHeight="1" spans="1:37">
      <c r="A857" s="61"/>
      <c r="B857" s="61"/>
      <c r="C857" s="61"/>
      <c r="D857" s="61"/>
      <c r="E857" s="61"/>
      <c r="F857" s="20">
        <f t="array" ref="F857">_xlfn.XLOOKUP(A857,'WK 47'!A:A,'WK 47'!F:F,"")</f>
        <v>0</v>
      </c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</row>
    <row r="858" customHeight="1" spans="1:37">
      <c r="A858" s="61"/>
      <c r="B858" s="61"/>
      <c r="C858" s="61"/>
      <c r="D858" s="61"/>
      <c r="E858" s="61"/>
      <c r="F858" s="20">
        <f t="array" ref="F858">_xlfn.XLOOKUP(A858,'WK 47'!A:A,'WK 47'!F:F,"")</f>
        <v>0</v>
      </c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</row>
    <row r="859" customHeight="1" spans="1:37">
      <c r="A859" s="61"/>
      <c r="B859" s="61"/>
      <c r="C859" s="61"/>
      <c r="D859" s="61"/>
      <c r="E859" s="61"/>
      <c r="F859" s="20">
        <f t="array" ref="F859">_xlfn.XLOOKUP(A859,'WK 47'!A:A,'WK 47'!F:F,"")</f>
        <v>0</v>
      </c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</row>
    <row r="860" customHeight="1" spans="1:37">
      <c r="A860" s="61"/>
      <c r="B860" s="61"/>
      <c r="C860" s="61"/>
      <c r="D860" s="61"/>
      <c r="E860" s="61"/>
      <c r="F860" s="20">
        <f t="array" ref="F860">_xlfn.XLOOKUP(A860,'WK 47'!A:A,'WK 47'!F:F,"")</f>
        <v>0</v>
      </c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</row>
    <row r="861" customHeight="1" spans="1:37">
      <c r="A861" s="61"/>
      <c r="B861" s="61"/>
      <c r="C861" s="61"/>
      <c r="D861" s="61"/>
      <c r="E861" s="61"/>
      <c r="F861" s="20">
        <f t="array" ref="F861">_xlfn.XLOOKUP(A861,'WK 47'!A:A,'WK 47'!F:F,"")</f>
        <v>0</v>
      </c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</row>
    <row r="862" customHeight="1" spans="1:37">
      <c r="A862" s="61"/>
      <c r="B862" s="61"/>
      <c r="C862" s="61"/>
      <c r="D862" s="61"/>
      <c r="E862" s="61"/>
      <c r="F862" s="20">
        <f t="array" ref="F862">_xlfn.XLOOKUP(A862,'WK 47'!A:A,'WK 47'!F:F,"")</f>
        <v>0</v>
      </c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</row>
    <row r="863" customHeight="1" spans="1:37">
      <c r="A863" s="61"/>
      <c r="B863" s="61"/>
      <c r="C863" s="61"/>
      <c r="D863" s="61"/>
      <c r="E863" s="61"/>
      <c r="F863" s="20">
        <f t="array" ref="F863">_xlfn.XLOOKUP(A863,'WK 47'!A:A,'WK 47'!F:F,"")</f>
        <v>0</v>
      </c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</row>
    <row r="864" customHeight="1" spans="1:37">
      <c r="A864" s="61"/>
      <c r="B864" s="61"/>
      <c r="C864" s="61"/>
      <c r="D864" s="61"/>
      <c r="E864" s="61"/>
      <c r="F864" s="20">
        <f t="array" ref="F864">_xlfn.XLOOKUP(A864,'WK 47'!A:A,'WK 47'!F:F,"")</f>
        <v>0</v>
      </c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</row>
    <row r="865" customHeight="1" spans="1:37">
      <c r="A865" s="61"/>
      <c r="B865" s="61"/>
      <c r="C865" s="61"/>
      <c r="D865" s="61"/>
      <c r="E865" s="61"/>
      <c r="F865" s="20">
        <f t="array" ref="F865">_xlfn.XLOOKUP(A865,'WK 47'!A:A,'WK 47'!F:F,"")</f>
        <v>0</v>
      </c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</row>
    <row r="866" customHeight="1" spans="1:37">
      <c r="A866" s="61"/>
      <c r="B866" s="61"/>
      <c r="C866" s="61"/>
      <c r="D866" s="61"/>
      <c r="E866" s="61"/>
      <c r="F866" s="20">
        <f t="array" ref="F866">_xlfn.XLOOKUP(A866,'WK 47'!A:A,'WK 47'!F:F,"")</f>
        <v>0</v>
      </c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</row>
    <row r="867" customHeight="1" spans="1:37">
      <c r="A867" s="61"/>
      <c r="B867" s="61"/>
      <c r="C867" s="61"/>
      <c r="D867" s="61"/>
      <c r="E867" s="61"/>
      <c r="F867" s="20">
        <f t="array" ref="F867">_xlfn.XLOOKUP(A867,'WK 47'!A:A,'WK 47'!F:F,"")</f>
        <v>0</v>
      </c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</row>
    <row r="868" customHeight="1" spans="1:37">
      <c r="A868" s="61"/>
      <c r="B868" s="61"/>
      <c r="C868" s="61"/>
      <c r="D868" s="61"/>
      <c r="E868" s="61"/>
      <c r="F868" s="20">
        <f t="array" ref="F868">_xlfn.XLOOKUP(A868,'WK 47'!A:A,'WK 47'!F:F,"")</f>
        <v>0</v>
      </c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</row>
    <row r="869" customHeight="1" spans="1:37">
      <c r="A869" s="61"/>
      <c r="B869" s="61"/>
      <c r="C869" s="61"/>
      <c r="D869" s="61"/>
      <c r="E869" s="61"/>
      <c r="F869" s="20">
        <f t="array" ref="F869">_xlfn.XLOOKUP(A869,'WK 47'!A:A,'WK 47'!F:F,"")</f>
        <v>0</v>
      </c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</row>
    <row r="870" customHeight="1" spans="1:37">
      <c r="A870" s="61"/>
      <c r="B870" s="61"/>
      <c r="C870" s="61"/>
      <c r="D870" s="61"/>
      <c r="E870" s="61"/>
      <c r="F870" s="20">
        <f t="array" ref="F870">_xlfn.XLOOKUP(A870,'WK 47'!A:A,'WK 47'!F:F,"")</f>
        <v>0</v>
      </c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</row>
    <row r="871" customHeight="1" spans="1:37">
      <c r="A871" s="61"/>
      <c r="B871" s="61"/>
      <c r="C871" s="61"/>
      <c r="D871" s="61"/>
      <c r="E871" s="61"/>
      <c r="F871" s="20">
        <f t="array" ref="F871">_xlfn.XLOOKUP(A871,'WK 47'!A:A,'WK 47'!F:F,"")</f>
        <v>0</v>
      </c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</row>
    <row r="872" customHeight="1" spans="1:37">
      <c r="A872" s="61"/>
      <c r="B872" s="61"/>
      <c r="C872" s="61"/>
      <c r="D872" s="61"/>
      <c r="E872" s="61"/>
      <c r="F872" s="20">
        <f t="array" ref="F872">_xlfn.XLOOKUP(A872,'WK 47'!A:A,'WK 47'!F:F,"")</f>
        <v>0</v>
      </c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</row>
    <row r="873" customHeight="1" spans="1:37">
      <c r="A873" s="61"/>
      <c r="B873" s="61"/>
      <c r="C873" s="61"/>
      <c r="D873" s="61"/>
      <c r="E873" s="61"/>
      <c r="F873" s="20">
        <f t="array" ref="F873">_xlfn.XLOOKUP(A873,'WK 47'!A:A,'WK 47'!F:F,"")</f>
        <v>0</v>
      </c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</row>
    <row r="874" customHeight="1" spans="1:37">
      <c r="A874" s="61"/>
      <c r="B874" s="61"/>
      <c r="C874" s="61"/>
      <c r="D874" s="61"/>
      <c r="E874" s="61"/>
      <c r="F874" s="20">
        <f t="array" ref="F874">_xlfn.XLOOKUP(A874,'WK 47'!A:A,'WK 47'!F:F,"")</f>
        <v>0</v>
      </c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</row>
    <row r="875" customHeight="1" spans="1:37">
      <c r="A875" s="61"/>
      <c r="B875" s="61"/>
      <c r="C875" s="61"/>
      <c r="D875" s="61"/>
      <c r="E875" s="61"/>
      <c r="F875" s="20">
        <f t="array" ref="F875">_xlfn.XLOOKUP(A875,'WK 47'!A:A,'WK 47'!F:F,"")</f>
        <v>0</v>
      </c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</row>
    <row r="876" customHeight="1" spans="1:37">
      <c r="A876" s="61"/>
      <c r="B876" s="61"/>
      <c r="C876" s="61"/>
      <c r="D876" s="61"/>
      <c r="E876" s="61"/>
      <c r="F876" s="20">
        <f t="array" ref="F876">_xlfn.XLOOKUP(A876,'WK 47'!A:A,'WK 47'!F:F,"")</f>
        <v>0</v>
      </c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</row>
    <row r="877" customHeight="1" spans="1:37">
      <c r="A877" s="61"/>
      <c r="B877" s="61"/>
      <c r="C877" s="61"/>
      <c r="D877" s="61"/>
      <c r="E877" s="61"/>
      <c r="F877" s="20">
        <f t="array" ref="F877">_xlfn.XLOOKUP(A877,'WK 47'!A:A,'WK 47'!F:F,"")</f>
        <v>0</v>
      </c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</row>
    <row r="878" customHeight="1" spans="1:37">
      <c r="A878" s="61"/>
      <c r="B878" s="61"/>
      <c r="C878" s="61"/>
      <c r="D878" s="61"/>
      <c r="E878" s="61"/>
      <c r="F878" s="20">
        <f t="array" ref="F878">_xlfn.XLOOKUP(A878,'WK 47'!A:A,'WK 47'!F:F,"")</f>
        <v>0</v>
      </c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</row>
    <row r="879" customHeight="1" spans="1:37">
      <c r="A879" s="61"/>
      <c r="B879" s="61"/>
      <c r="C879" s="61"/>
      <c r="D879" s="61"/>
      <c r="E879" s="61"/>
      <c r="F879" s="20">
        <f t="array" ref="F879">_xlfn.XLOOKUP(A879,'WK 47'!A:A,'WK 47'!F:F,"")</f>
        <v>0</v>
      </c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</row>
    <row r="880" customHeight="1" spans="1:37">
      <c r="A880" s="61"/>
      <c r="B880" s="61"/>
      <c r="C880" s="61"/>
      <c r="D880" s="61"/>
      <c r="E880" s="61"/>
      <c r="F880" s="20">
        <f t="array" ref="F880">_xlfn.XLOOKUP(A880,'WK 47'!A:A,'WK 47'!F:F,"")</f>
        <v>0</v>
      </c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</row>
    <row r="881" customHeight="1" spans="1:37">
      <c r="A881" s="61"/>
      <c r="B881" s="61"/>
      <c r="C881" s="61"/>
      <c r="D881" s="61"/>
      <c r="E881" s="61"/>
      <c r="F881" s="20">
        <f t="array" ref="F881">_xlfn.XLOOKUP(A881,'WK 47'!A:A,'WK 47'!F:F,"")</f>
        <v>0</v>
      </c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</row>
    <row r="882" customHeight="1" spans="1:37">
      <c r="A882" s="61"/>
      <c r="B882" s="61"/>
      <c r="C882" s="61"/>
      <c r="D882" s="61"/>
      <c r="E882" s="61"/>
      <c r="F882" s="20">
        <f t="array" ref="F882">_xlfn.XLOOKUP(A882,'WK 47'!A:A,'WK 47'!F:F,"")</f>
        <v>0</v>
      </c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</row>
    <row r="883" customHeight="1" spans="1:37">
      <c r="A883" s="61"/>
      <c r="B883" s="61"/>
      <c r="C883" s="61"/>
      <c r="D883" s="61"/>
      <c r="E883" s="61"/>
      <c r="F883" s="20">
        <f t="array" ref="F883">_xlfn.XLOOKUP(A883,'WK 47'!A:A,'WK 47'!F:F,"")</f>
        <v>0</v>
      </c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</row>
    <row r="884" customHeight="1" spans="1:37">
      <c r="A884" s="61"/>
      <c r="B884" s="61"/>
      <c r="C884" s="61"/>
      <c r="D884" s="61"/>
      <c r="E884" s="61"/>
      <c r="F884" s="20">
        <f t="array" ref="F884">_xlfn.XLOOKUP(A884,'WK 47'!A:A,'WK 47'!F:F,"")</f>
        <v>0</v>
      </c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</row>
    <row r="885" customHeight="1" spans="1:37">
      <c r="A885" s="61"/>
      <c r="B885" s="61"/>
      <c r="C885" s="61"/>
      <c r="D885" s="61"/>
      <c r="E885" s="61"/>
      <c r="F885" s="20">
        <f t="array" ref="F885">_xlfn.XLOOKUP(A885,'WK 47'!A:A,'WK 47'!F:F,"")</f>
        <v>0</v>
      </c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</row>
    <row r="886" customHeight="1" spans="1:37">
      <c r="A886" s="61"/>
      <c r="B886" s="61"/>
      <c r="C886" s="61"/>
      <c r="D886" s="61"/>
      <c r="E886" s="61"/>
      <c r="F886" s="20">
        <f t="array" ref="F886">_xlfn.XLOOKUP(A886,'WK 47'!A:A,'WK 47'!F:F,"")</f>
        <v>0</v>
      </c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</row>
    <row r="887" customHeight="1" spans="1:37">
      <c r="A887" s="61"/>
      <c r="B887" s="61"/>
      <c r="C887" s="61"/>
      <c r="D887" s="61"/>
      <c r="E887" s="61"/>
      <c r="F887" s="20">
        <f t="array" ref="F887">_xlfn.XLOOKUP(A887,'WK 47'!A:A,'WK 47'!F:F,"")</f>
        <v>0</v>
      </c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</row>
    <row r="888" customHeight="1" spans="1:37">
      <c r="A888" s="61"/>
      <c r="B888" s="61"/>
      <c r="C888" s="61"/>
      <c r="D888" s="61"/>
      <c r="E888" s="61"/>
      <c r="F888" s="20">
        <f t="array" ref="F888">_xlfn.XLOOKUP(A888,'WK 47'!A:A,'WK 47'!F:F,"")</f>
        <v>0</v>
      </c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</row>
    <row r="889" customHeight="1" spans="1:37">
      <c r="A889" s="61"/>
      <c r="B889" s="61"/>
      <c r="C889" s="61"/>
      <c r="D889" s="61"/>
      <c r="E889" s="61"/>
      <c r="F889" s="20">
        <f t="array" ref="F889">_xlfn.XLOOKUP(A889,'WK 47'!A:A,'WK 47'!F:F,"")</f>
        <v>0</v>
      </c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</row>
    <row r="890" customHeight="1" spans="1:37">
      <c r="A890" s="61"/>
      <c r="B890" s="61"/>
      <c r="C890" s="61"/>
      <c r="D890" s="61"/>
      <c r="E890" s="61"/>
      <c r="F890" s="20">
        <f t="array" ref="F890">_xlfn.XLOOKUP(A890,'WK 47'!A:A,'WK 47'!F:F,"")</f>
        <v>0</v>
      </c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</row>
    <row r="891" customHeight="1" spans="1:37">
      <c r="A891" s="61"/>
      <c r="B891" s="61"/>
      <c r="C891" s="61"/>
      <c r="D891" s="61"/>
      <c r="E891" s="61"/>
      <c r="F891" s="20">
        <f t="array" ref="F891">_xlfn.XLOOKUP(A891,'WK 47'!A:A,'WK 47'!F:F,"")</f>
        <v>0</v>
      </c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</row>
    <row r="892" customHeight="1" spans="1:37">
      <c r="A892" s="61"/>
      <c r="B892" s="61"/>
      <c r="C892" s="61"/>
      <c r="D892" s="61"/>
      <c r="E892" s="61"/>
      <c r="F892" s="20">
        <f t="array" ref="F892">_xlfn.XLOOKUP(A892,'WK 47'!A:A,'WK 47'!F:F,"")</f>
        <v>0</v>
      </c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</row>
    <row r="893" customHeight="1" spans="1:37">
      <c r="A893" s="61"/>
      <c r="B893" s="61"/>
      <c r="C893" s="61"/>
      <c r="D893" s="61"/>
      <c r="E893" s="61"/>
      <c r="F893" s="20">
        <f t="array" ref="F893">_xlfn.XLOOKUP(A893,'WK 47'!A:A,'WK 47'!F:F,"")</f>
        <v>0</v>
      </c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</row>
    <row r="894" customHeight="1" spans="1:37">
      <c r="A894" s="61"/>
      <c r="B894" s="61"/>
      <c r="C894" s="61"/>
      <c r="D894" s="61"/>
      <c r="E894" s="61"/>
      <c r="F894" s="20">
        <f t="array" ref="F894">_xlfn.XLOOKUP(A894,'WK 47'!A:A,'WK 47'!F:F,"")</f>
        <v>0</v>
      </c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</row>
    <row r="895" customHeight="1" spans="1:37">
      <c r="A895" s="61"/>
      <c r="B895" s="61"/>
      <c r="C895" s="61"/>
      <c r="D895" s="61"/>
      <c r="E895" s="61"/>
      <c r="F895" s="20">
        <f t="array" ref="F895">_xlfn.XLOOKUP(A895,'WK 47'!A:A,'WK 47'!F:F,"")</f>
        <v>0</v>
      </c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</row>
    <row r="896" customHeight="1" spans="1:37">
      <c r="A896" s="61"/>
      <c r="B896" s="61"/>
      <c r="C896" s="61"/>
      <c r="D896" s="61"/>
      <c r="E896" s="61"/>
      <c r="F896" s="20">
        <f t="array" ref="F896">_xlfn.XLOOKUP(A896,'WK 47'!A:A,'WK 47'!F:F,"")</f>
        <v>0</v>
      </c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</row>
    <row r="897" customHeight="1" spans="1:37">
      <c r="A897" s="61"/>
      <c r="B897" s="61"/>
      <c r="C897" s="61"/>
      <c r="D897" s="61"/>
      <c r="E897" s="61"/>
      <c r="F897" s="20">
        <f t="array" ref="F897">_xlfn.XLOOKUP(A897,'WK 47'!A:A,'WK 47'!F:F,"")</f>
        <v>0</v>
      </c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</row>
    <row r="898" customHeight="1" spans="1:37">
      <c r="A898" s="61"/>
      <c r="B898" s="61"/>
      <c r="C898" s="61"/>
      <c r="D898" s="61"/>
      <c r="E898" s="61"/>
      <c r="F898" s="20">
        <f t="array" ref="F898">_xlfn.XLOOKUP(A898,'WK 47'!A:A,'WK 47'!F:F,"")</f>
        <v>0</v>
      </c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</row>
    <row r="899" customHeight="1" spans="1:37">
      <c r="A899" s="61"/>
      <c r="B899" s="61"/>
      <c r="C899" s="61"/>
      <c r="D899" s="61"/>
      <c r="E899" s="61"/>
      <c r="F899" s="20">
        <f t="array" ref="F899">_xlfn.XLOOKUP(A899,'WK 47'!A:A,'WK 47'!F:F,"")</f>
        <v>0</v>
      </c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</row>
    <row r="900" customHeight="1" spans="1:37">
      <c r="A900" s="61"/>
      <c r="B900" s="61"/>
      <c r="C900" s="61"/>
      <c r="D900" s="61"/>
      <c r="E900" s="61"/>
      <c r="F900" s="20">
        <f t="array" ref="F900">_xlfn.XLOOKUP(A900,'WK 47'!A:A,'WK 47'!F:F,"")</f>
        <v>0</v>
      </c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</row>
    <row r="901" customHeight="1" spans="1:37">
      <c r="A901" s="61"/>
      <c r="B901" s="61"/>
      <c r="C901" s="61"/>
      <c r="D901" s="61"/>
      <c r="E901" s="61"/>
      <c r="F901" s="20">
        <f t="array" ref="F901">_xlfn.XLOOKUP(A901,'WK 47'!A:A,'WK 47'!F:F,"")</f>
        <v>0</v>
      </c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</row>
    <row r="902" customHeight="1" spans="1:37">
      <c r="A902" s="61"/>
      <c r="B902" s="61"/>
      <c r="C902" s="61"/>
      <c r="D902" s="61"/>
      <c r="E902" s="61"/>
      <c r="F902" s="20">
        <f t="array" ref="F902">_xlfn.XLOOKUP(A902,'WK 47'!A:A,'WK 47'!F:F,"")</f>
        <v>0</v>
      </c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</row>
    <row r="903" customHeight="1" spans="1:37">
      <c r="A903" s="61"/>
      <c r="B903" s="61"/>
      <c r="C903" s="61"/>
      <c r="D903" s="61"/>
      <c r="E903" s="61"/>
      <c r="F903" s="20">
        <f t="array" ref="F903">_xlfn.XLOOKUP(A903,'WK 47'!A:A,'WK 47'!F:F,"")</f>
        <v>0</v>
      </c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</row>
    <row r="904" customHeight="1" spans="1:37">
      <c r="A904" s="61"/>
      <c r="B904" s="61"/>
      <c r="C904" s="61"/>
      <c r="D904" s="61"/>
      <c r="E904" s="61"/>
      <c r="F904" s="20">
        <f t="array" ref="F904">_xlfn.XLOOKUP(A904,'WK 47'!A:A,'WK 47'!F:F,"")</f>
        <v>0</v>
      </c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</row>
    <row r="905" customHeight="1" spans="1:37">
      <c r="A905" s="61"/>
      <c r="B905" s="61"/>
      <c r="C905" s="61"/>
      <c r="D905" s="61"/>
      <c r="E905" s="61"/>
      <c r="F905" s="20">
        <f t="array" ref="F905">_xlfn.XLOOKUP(A905,'WK 47'!A:A,'WK 47'!F:F,"")</f>
        <v>0</v>
      </c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</row>
    <row r="906" customHeight="1" spans="1:37">
      <c r="A906" s="61"/>
      <c r="B906" s="61"/>
      <c r="C906" s="61"/>
      <c r="D906" s="61"/>
      <c r="E906" s="61"/>
      <c r="F906" s="20">
        <f t="array" ref="F906">_xlfn.XLOOKUP(A906,'WK 47'!A:A,'WK 47'!F:F,"")</f>
        <v>0</v>
      </c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</row>
    <row r="907" customHeight="1" spans="1:37">
      <c r="A907" s="61"/>
      <c r="B907" s="61"/>
      <c r="C907" s="61"/>
      <c r="D907" s="61"/>
      <c r="E907" s="61"/>
      <c r="F907" s="20">
        <f t="array" ref="F907">_xlfn.XLOOKUP(A907,'WK 47'!A:A,'WK 47'!F:F,"")</f>
        <v>0</v>
      </c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</row>
    <row r="908" customHeight="1" spans="1:37">
      <c r="A908" s="61"/>
      <c r="B908" s="61"/>
      <c r="C908" s="61"/>
      <c r="D908" s="61"/>
      <c r="E908" s="61"/>
      <c r="F908" s="20">
        <f t="array" ref="F908">_xlfn.XLOOKUP(A908,'WK 47'!A:A,'WK 47'!F:F,"")</f>
        <v>0</v>
      </c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</row>
    <row r="909" customHeight="1" spans="1:37">
      <c r="A909" s="61"/>
      <c r="B909" s="61"/>
      <c r="C909" s="61"/>
      <c r="D909" s="61"/>
      <c r="E909" s="61"/>
      <c r="F909" s="20">
        <f t="array" ref="F909">_xlfn.XLOOKUP(A909,'WK 47'!A:A,'WK 47'!F:F,"")</f>
        <v>0</v>
      </c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</row>
    <row r="910" customHeight="1" spans="1:37">
      <c r="A910" s="61"/>
      <c r="B910" s="61"/>
      <c r="C910" s="61"/>
      <c r="D910" s="61"/>
      <c r="E910" s="61"/>
      <c r="F910" s="20">
        <f t="array" ref="F910">_xlfn.XLOOKUP(A910,'WK 47'!A:A,'WK 47'!F:F,"")</f>
        <v>0</v>
      </c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</row>
    <row r="911" customHeight="1" spans="1:37">
      <c r="A911" s="61"/>
      <c r="B911" s="61"/>
      <c r="C911" s="61"/>
      <c r="D911" s="61"/>
      <c r="E911" s="61"/>
      <c r="F911" s="20">
        <f t="array" ref="F911">_xlfn.XLOOKUP(A911,'WK 47'!A:A,'WK 47'!F:F,"")</f>
        <v>0</v>
      </c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</row>
    <row r="912" customHeight="1" spans="1:37">
      <c r="A912" s="61"/>
      <c r="B912" s="61"/>
      <c r="C912" s="61"/>
      <c r="D912" s="61"/>
      <c r="E912" s="61"/>
      <c r="F912" s="20">
        <f t="array" ref="F912">_xlfn.XLOOKUP(A912,'WK 47'!A:A,'WK 47'!F:F,"")</f>
        <v>0</v>
      </c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</row>
    <row r="913" customHeight="1" spans="1:37">
      <c r="A913" s="61"/>
      <c r="B913" s="61"/>
      <c r="C913" s="61"/>
      <c r="D913" s="61"/>
      <c r="E913" s="61"/>
      <c r="F913" s="20">
        <f t="array" ref="F913">_xlfn.XLOOKUP(A913,'WK 47'!A:A,'WK 47'!F:F,"")</f>
        <v>0</v>
      </c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</row>
    <row r="914" customHeight="1" spans="1:37">
      <c r="A914" s="61"/>
      <c r="B914" s="61"/>
      <c r="C914" s="61"/>
      <c r="D914" s="61"/>
      <c r="E914" s="61"/>
      <c r="F914" s="20">
        <f t="array" ref="F914">_xlfn.XLOOKUP(A914,'WK 47'!A:A,'WK 47'!F:F,"")</f>
        <v>0</v>
      </c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</row>
    <row r="915" customHeight="1" spans="1:37">
      <c r="A915" s="61"/>
      <c r="B915" s="61"/>
      <c r="C915" s="61"/>
      <c r="D915" s="61"/>
      <c r="E915" s="61"/>
      <c r="F915" s="20">
        <f t="array" ref="F915">_xlfn.XLOOKUP(A915,'WK 47'!A:A,'WK 47'!F:F,"")</f>
        <v>0</v>
      </c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</row>
    <row r="916" customHeight="1" spans="1:37">
      <c r="A916" s="61"/>
      <c r="B916" s="61"/>
      <c r="C916" s="61"/>
      <c r="D916" s="61"/>
      <c r="E916" s="61"/>
      <c r="F916" s="20">
        <f t="array" ref="F916">_xlfn.XLOOKUP(A916,'WK 47'!A:A,'WK 47'!F:F,"")</f>
        <v>0</v>
      </c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</row>
    <row r="917" customHeight="1" spans="1:37">
      <c r="A917" s="61"/>
      <c r="B917" s="61"/>
      <c r="C917" s="61"/>
      <c r="D917" s="61"/>
      <c r="E917" s="61"/>
      <c r="F917" s="20">
        <f t="array" ref="F917">_xlfn.XLOOKUP(A917,'WK 47'!A:A,'WK 47'!F:F,"")</f>
        <v>0</v>
      </c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</row>
    <row r="918" customHeight="1" spans="1:37">
      <c r="A918" s="61"/>
      <c r="B918" s="61"/>
      <c r="C918" s="61"/>
      <c r="D918" s="61"/>
      <c r="E918" s="61"/>
      <c r="F918" s="20">
        <f t="array" ref="F918">_xlfn.XLOOKUP(A918,'WK 47'!A:A,'WK 47'!F:F,"")</f>
        <v>0</v>
      </c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</row>
    <row r="919" customHeight="1" spans="1:37">
      <c r="A919" s="61"/>
      <c r="B919" s="61"/>
      <c r="C919" s="61"/>
      <c r="D919" s="61"/>
      <c r="E919" s="61"/>
      <c r="F919" s="20">
        <f t="array" ref="F919">_xlfn.XLOOKUP(A919,'WK 47'!A:A,'WK 47'!F:F,"")</f>
        <v>0</v>
      </c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</row>
    <row r="920" customHeight="1" spans="1:37">
      <c r="A920" s="61"/>
      <c r="B920" s="61"/>
      <c r="C920" s="61"/>
      <c r="D920" s="61"/>
      <c r="E920" s="61"/>
      <c r="F920" s="20">
        <f t="array" ref="F920">_xlfn.XLOOKUP(A920,'WK 47'!A:A,'WK 47'!F:F,"")</f>
        <v>0</v>
      </c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</row>
    <row r="921" customHeight="1" spans="1:37">
      <c r="A921" s="61"/>
      <c r="B921" s="61"/>
      <c r="C921" s="61"/>
      <c r="D921" s="61"/>
      <c r="E921" s="61"/>
      <c r="F921" s="20">
        <f t="array" ref="F921">_xlfn.XLOOKUP(A921,'WK 47'!A:A,'WK 47'!F:F,"")</f>
        <v>0</v>
      </c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</row>
    <row r="922" customHeight="1" spans="1:37">
      <c r="A922" s="61"/>
      <c r="B922" s="61"/>
      <c r="C922" s="61"/>
      <c r="D922" s="61"/>
      <c r="E922" s="61"/>
      <c r="F922" s="20">
        <f t="array" ref="F922">_xlfn.XLOOKUP(A922,'WK 47'!A:A,'WK 47'!F:F,"")</f>
        <v>0</v>
      </c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</row>
    <row r="923" customHeight="1" spans="1:37">
      <c r="A923" s="61"/>
      <c r="B923" s="61"/>
      <c r="C923" s="61"/>
      <c r="D923" s="61"/>
      <c r="E923" s="61"/>
      <c r="F923" s="20">
        <f t="array" ref="F923">_xlfn.XLOOKUP(A923,'WK 47'!A:A,'WK 47'!F:F,"")</f>
        <v>0</v>
      </c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</row>
    <row r="924" customHeight="1" spans="1:37">
      <c r="A924" s="61"/>
      <c r="B924" s="61"/>
      <c r="C924" s="61"/>
      <c r="D924" s="61"/>
      <c r="E924" s="61"/>
      <c r="F924" s="20">
        <f t="array" ref="F924">_xlfn.XLOOKUP(A924,'WK 47'!A:A,'WK 47'!F:F,"")</f>
        <v>0</v>
      </c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</row>
    <row r="925" customHeight="1" spans="1:37">
      <c r="A925" s="61"/>
      <c r="B925" s="61"/>
      <c r="C925" s="61"/>
      <c r="D925" s="61"/>
      <c r="E925" s="61"/>
      <c r="F925" s="20">
        <f t="array" ref="F925">_xlfn.XLOOKUP(A925,'WK 47'!A:A,'WK 47'!F:F,"")</f>
        <v>0</v>
      </c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</row>
    <row r="926" customHeight="1" spans="1:37">
      <c r="A926" s="61"/>
      <c r="B926" s="61"/>
      <c r="C926" s="61"/>
      <c r="D926" s="61"/>
      <c r="E926" s="61"/>
      <c r="F926" s="20">
        <f t="array" ref="F926">_xlfn.XLOOKUP(A926,'WK 47'!A:A,'WK 47'!F:F,"")</f>
        <v>0</v>
      </c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</row>
    <row r="927" customHeight="1" spans="1:37">
      <c r="A927" s="61"/>
      <c r="B927" s="61"/>
      <c r="C927" s="61"/>
      <c r="D927" s="61"/>
      <c r="E927" s="61"/>
      <c r="F927" s="20">
        <f t="array" ref="F927">_xlfn.XLOOKUP(A927,'WK 47'!A:A,'WK 47'!F:F,"")</f>
        <v>0</v>
      </c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</row>
    <row r="928" customHeight="1" spans="1:37">
      <c r="A928" s="61"/>
      <c r="B928" s="61"/>
      <c r="C928" s="61"/>
      <c r="D928" s="61"/>
      <c r="E928" s="61"/>
      <c r="F928" s="20">
        <f t="array" ref="F928">_xlfn.XLOOKUP(A928,'WK 47'!A:A,'WK 47'!F:F,"")</f>
        <v>0</v>
      </c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</row>
    <row r="929" customHeight="1" spans="1:37">
      <c r="A929" s="61"/>
      <c r="B929" s="61"/>
      <c r="C929" s="61"/>
      <c r="D929" s="61"/>
      <c r="E929" s="61"/>
      <c r="F929" s="20">
        <f t="array" ref="F929">_xlfn.XLOOKUP(A929,'WK 47'!A:A,'WK 47'!F:F,"")</f>
        <v>0</v>
      </c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</row>
    <row r="930" customHeight="1" spans="1:37">
      <c r="A930" s="61"/>
      <c r="B930" s="61"/>
      <c r="C930" s="61"/>
      <c r="D930" s="61"/>
      <c r="E930" s="61"/>
      <c r="F930" s="20">
        <f t="array" ref="F930">_xlfn.XLOOKUP(A930,'WK 47'!A:A,'WK 47'!F:F,"")</f>
        <v>0</v>
      </c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</row>
    <row r="931" customHeight="1" spans="1:37">
      <c r="A931" s="61"/>
      <c r="B931" s="61"/>
      <c r="C931" s="61"/>
      <c r="D931" s="61"/>
      <c r="E931" s="61"/>
      <c r="F931" s="20">
        <f t="array" ref="F931">_xlfn.XLOOKUP(A931,'WK 47'!A:A,'WK 47'!F:F,"")</f>
        <v>0</v>
      </c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</row>
    <row r="932" customHeight="1" spans="1:37">
      <c r="A932" s="61"/>
      <c r="B932" s="61"/>
      <c r="C932" s="61"/>
      <c r="D932" s="61"/>
      <c r="E932" s="61"/>
      <c r="F932" s="20">
        <f t="array" ref="F932">_xlfn.XLOOKUP(A932,'WK 47'!A:A,'WK 47'!F:F,"")</f>
        <v>0</v>
      </c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</row>
    <row r="933" customHeight="1" spans="1:37">
      <c r="A933" s="61"/>
      <c r="B933" s="61"/>
      <c r="C933" s="61"/>
      <c r="D933" s="61"/>
      <c r="E933" s="61"/>
      <c r="F933" s="20">
        <f t="array" ref="F933">_xlfn.XLOOKUP(A933,'WK 47'!A:A,'WK 47'!F:F,"")</f>
        <v>0</v>
      </c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</row>
    <row r="934" customHeight="1" spans="1:37">
      <c r="A934" s="61"/>
      <c r="B934" s="61"/>
      <c r="C934" s="61"/>
      <c r="D934" s="61"/>
      <c r="E934" s="61"/>
      <c r="F934" s="20">
        <f t="array" ref="F934">_xlfn.XLOOKUP(A934,'WK 47'!A:A,'WK 47'!F:F,"")</f>
        <v>0</v>
      </c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</row>
    <row r="935" customHeight="1" spans="1:37">
      <c r="A935" s="61"/>
      <c r="B935" s="61"/>
      <c r="C935" s="61"/>
      <c r="D935" s="61"/>
      <c r="E935" s="61"/>
      <c r="F935" s="20">
        <f t="array" ref="F935">_xlfn.XLOOKUP(A935,'WK 47'!A:A,'WK 47'!F:F,"")</f>
        <v>0</v>
      </c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</row>
    <row r="936" customHeight="1" spans="1:37">
      <c r="A936" s="61"/>
      <c r="B936" s="61"/>
      <c r="C936" s="61"/>
      <c r="D936" s="61"/>
      <c r="E936" s="61"/>
      <c r="F936" s="20">
        <f t="array" ref="F936">_xlfn.XLOOKUP(A936,'WK 47'!A:A,'WK 47'!F:F,"")</f>
        <v>0</v>
      </c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</row>
    <row r="937" customHeight="1" spans="1:37">
      <c r="A937" s="61"/>
      <c r="B937" s="61"/>
      <c r="C937" s="61"/>
      <c r="D937" s="61"/>
      <c r="E937" s="61"/>
      <c r="F937" s="20">
        <f t="array" ref="F937">_xlfn.XLOOKUP(A937,'WK 47'!A:A,'WK 47'!F:F,"")</f>
        <v>0</v>
      </c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</row>
    <row r="938" customHeight="1" spans="1:37">
      <c r="A938" s="61"/>
      <c r="B938" s="61"/>
      <c r="C938" s="61"/>
      <c r="D938" s="61"/>
      <c r="E938" s="61"/>
      <c r="F938" s="20">
        <f t="array" ref="F938">_xlfn.XLOOKUP(A938,'WK 47'!A:A,'WK 47'!F:F,"")</f>
        <v>0</v>
      </c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</row>
    <row r="939" customHeight="1" spans="1:37">
      <c r="A939" s="61"/>
      <c r="B939" s="61"/>
      <c r="C939" s="61"/>
      <c r="D939" s="61"/>
      <c r="E939" s="61"/>
      <c r="F939" s="20">
        <f t="array" ref="F939">_xlfn.XLOOKUP(A939,'WK 47'!A:A,'WK 47'!F:F,"")</f>
        <v>0</v>
      </c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</row>
    <row r="940" customHeight="1" spans="1:37">
      <c r="A940" s="61"/>
      <c r="B940" s="61"/>
      <c r="C940" s="61"/>
      <c r="D940" s="61"/>
      <c r="E940" s="61"/>
      <c r="F940" s="20">
        <f t="array" ref="F940">_xlfn.XLOOKUP(A940,'WK 47'!A:A,'WK 47'!F:F,"")</f>
        <v>0</v>
      </c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</row>
    <row r="941" customHeight="1" spans="1:37">
      <c r="A941" s="61"/>
      <c r="B941" s="61"/>
      <c r="C941" s="61"/>
      <c r="D941" s="61"/>
      <c r="E941" s="61"/>
      <c r="F941" s="20">
        <f t="array" ref="F941">_xlfn.XLOOKUP(A941,'WK 47'!A:A,'WK 47'!F:F,"")</f>
        <v>0</v>
      </c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</row>
    <row r="942" customHeight="1" spans="1:37">
      <c r="A942" s="61"/>
      <c r="B942" s="61"/>
      <c r="C942" s="61"/>
      <c r="D942" s="61"/>
      <c r="E942" s="61"/>
      <c r="F942" s="20">
        <f t="array" ref="F942">_xlfn.XLOOKUP(A942,'WK 47'!A:A,'WK 47'!F:F,"")</f>
        <v>0</v>
      </c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</row>
    <row r="943" customHeight="1" spans="1:37">
      <c r="A943" s="61"/>
      <c r="B943" s="61"/>
      <c r="C943" s="61"/>
      <c r="D943" s="61"/>
      <c r="E943" s="61"/>
      <c r="F943" s="20">
        <f t="array" ref="F943">_xlfn.XLOOKUP(A943,'WK 47'!A:A,'WK 47'!F:F,"")</f>
        <v>0</v>
      </c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</row>
    <row r="944" customHeight="1" spans="1:37">
      <c r="A944" s="61"/>
      <c r="B944" s="61"/>
      <c r="C944" s="61"/>
      <c r="D944" s="61"/>
      <c r="E944" s="61"/>
      <c r="F944" s="20">
        <f t="array" ref="F944">_xlfn.XLOOKUP(A944,'WK 47'!A:A,'WK 47'!F:F,"")</f>
        <v>0</v>
      </c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</row>
    <row r="945" customHeight="1" spans="1:37">
      <c r="A945" s="61"/>
      <c r="B945" s="61"/>
      <c r="C945" s="61"/>
      <c r="D945" s="61"/>
      <c r="E945" s="61"/>
      <c r="F945" s="20">
        <f t="array" ref="F945">_xlfn.XLOOKUP(A945,'WK 47'!A:A,'WK 47'!F:F,"")</f>
        <v>0</v>
      </c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</row>
    <row r="946" customHeight="1" spans="1:37">
      <c r="A946" s="61"/>
      <c r="B946" s="61"/>
      <c r="C946" s="61"/>
      <c r="D946" s="61"/>
      <c r="E946" s="61"/>
      <c r="F946" s="20">
        <f t="array" ref="F946">_xlfn.XLOOKUP(A946,'WK 47'!A:A,'WK 47'!F:F,"")</f>
        <v>0</v>
      </c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</row>
    <row r="947" customHeight="1" spans="1:37">
      <c r="A947" s="61"/>
      <c r="B947" s="61"/>
      <c r="C947" s="61"/>
      <c r="D947" s="61"/>
      <c r="E947" s="61"/>
      <c r="F947" s="20">
        <f t="array" ref="F947">_xlfn.XLOOKUP(A947,'WK 47'!A:A,'WK 47'!F:F,"")</f>
        <v>0</v>
      </c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</row>
    <row r="948" customHeight="1" spans="1:37">
      <c r="A948" s="61"/>
      <c r="B948" s="61"/>
      <c r="C948" s="61"/>
      <c r="D948" s="61"/>
      <c r="E948" s="61"/>
      <c r="F948" s="20">
        <f t="array" ref="F948">_xlfn.XLOOKUP(A948,'WK 47'!A:A,'WK 47'!F:F,"")</f>
        <v>0</v>
      </c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</row>
    <row r="949" customHeight="1" spans="1:37">
      <c r="A949" s="61"/>
      <c r="B949" s="61"/>
      <c r="C949" s="61"/>
      <c r="D949" s="61"/>
      <c r="E949" s="61"/>
      <c r="F949" s="20">
        <f t="array" ref="F949">_xlfn.XLOOKUP(A949,'WK 47'!A:A,'WK 47'!F:F,"")</f>
        <v>0</v>
      </c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</row>
    <row r="950" customHeight="1" spans="1:37">
      <c r="A950" s="61"/>
      <c r="B950" s="61"/>
      <c r="C950" s="61"/>
      <c r="D950" s="61"/>
      <c r="E950" s="61"/>
      <c r="F950" s="20">
        <f t="array" ref="F950">_xlfn.XLOOKUP(A950,'WK 47'!A:A,'WK 47'!F:F,"")</f>
        <v>0</v>
      </c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</row>
    <row r="951" customHeight="1" spans="1:37">
      <c r="A951" s="61"/>
      <c r="B951" s="61"/>
      <c r="C951" s="61"/>
      <c r="D951" s="61"/>
      <c r="E951" s="61"/>
      <c r="F951" s="20">
        <f t="array" ref="F951">_xlfn.XLOOKUP(A951,'WK 47'!A:A,'WK 47'!F:F,"")</f>
        <v>0</v>
      </c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</row>
    <row r="952" customHeight="1" spans="1:37">
      <c r="A952" s="61"/>
      <c r="B952" s="61"/>
      <c r="C952" s="61"/>
      <c r="D952" s="61"/>
      <c r="E952" s="61"/>
      <c r="F952" s="20">
        <f t="array" ref="F952">_xlfn.XLOOKUP(A952,'WK 47'!A:A,'WK 47'!F:F,"")</f>
        <v>0</v>
      </c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</row>
    <row r="953" customHeight="1" spans="1:37">
      <c r="A953" s="61"/>
      <c r="B953" s="61"/>
      <c r="C953" s="61"/>
      <c r="D953" s="61"/>
      <c r="E953" s="61"/>
      <c r="F953" s="20">
        <f t="array" ref="F953">_xlfn.XLOOKUP(A953,'WK 47'!A:A,'WK 47'!F:F,"")</f>
        <v>0</v>
      </c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</row>
    <row r="954" customHeight="1" spans="1:37">
      <c r="A954" s="61"/>
      <c r="B954" s="61"/>
      <c r="C954" s="61"/>
      <c r="D954" s="61"/>
      <c r="E954" s="61"/>
      <c r="F954" s="20">
        <f t="array" ref="F954">_xlfn.XLOOKUP(A954,'WK 47'!A:A,'WK 47'!F:F,"")</f>
        <v>0</v>
      </c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</row>
    <row r="955" customHeight="1" spans="1:37">
      <c r="A955" s="61"/>
      <c r="B955" s="61"/>
      <c r="C955" s="61"/>
      <c r="D955" s="61"/>
      <c r="E955" s="61"/>
      <c r="F955" s="20">
        <f t="array" ref="F955">_xlfn.XLOOKUP(A955,'WK 47'!A:A,'WK 47'!F:F,"")</f>
        <v>0</v>
      </c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</row>
    <row r="956" customHeight="1" spans="1:37">
      <c r="A956" s="61"/>
      <c r="B956" s="61"/>
      <c r="C956" s="61"/>
      <c r="D956" s="61"/>
      <c r="E956" s="61"/>
      <c r="F956" s="20">
        <f t="array" ref="F956">_xlfn.XLOOKUP(A956,'WK 47'!A:A,'WK 47'!F:F,"")</f>
        <v>0</v>
      </c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</row>
    <row r="957" customHeight="1" spans="1:37">
      <c r="A957" s="61"/>
      <c r="B957" s="61"/>
      <c r="C957" s="61"/>
      <c r="D957" s="61"/>
      <c r="E957" s="61"/>
      <c r="F957" s="20">
        <f t="array" ref="F957">_xlfn.XLOOKUP(A957,'WK 47'!A:A,'WK 47'!F:F,"")</f>
        <v>0</v>
      </c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</row>
    <row r="958" customHeight="1" spans="1:37">
      <c r="A958" s="61"/>
      <c r="B958" s="61"/>
      <c r="C958" s="61"/>
      <c r="D958" s="61"/>
      <c r="E958" s="61"/>
      <c r="F958" s="20">
        <f t="array" ref="F958">_xlfn.XLOOKUP(A958,'WK 47'!A:A,'WK 47'!F:F,"")</f>
        <v>0</v>
      </c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</row>
    <row r="959" customHeight="1" spans="1:37">
      <c r="A959" s="61"/>
      <c r="B959" s="61"/>
      <c r="C959" s="61"/>
      <c r="D959" s="61"/>
      <c r="E959" s="61"/>
      <c r="F959" s="20">
        <f t="array" ref="F959">_xlfn.XLOOKUP(A959,'WK 47'!A:A,'WK 47'!F:F,"")</f>
        <v>0</v>
      </c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</row>
    <row r="960" customHeight="1" spans="1:37">
      <c r="A960" s="61"/>
      <c r="B960" s="61"/>
      <c r="C960" s="61"/>
      <c r="D960" s="61"/>
      <c r="E960" s="61"/>
      <c r="F960" s="20">
        <f t="array" ref="F960">_xlfn.XLOOKUP(A960,'WK 47'!A:A,'WK 47'!F:F,"")</f>
        <v>0</v>
      </c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</row>
    <row r="961" customHeight="1" spans="1:37">
      <c r="A961" s="61"/>
      <c r="B961" s="61"/>
      <c r="C961" s="61"/>
      <c r="D961" s="61"/>
      <c r="E961" s="61"/>
      <c r="F961" s="20">
        <f t="array" ref="F961">_xlfn.XLOOKUP(A961,'WK 47'!A:A,'WK 47'!F:F,"")</f>
        <v>0</v>
      </c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</row>
    <row r="962" customHeight="1" spans="1:37">
      <c r="A962" s="61"/>
      <c r="B962" s="61"/>
      <c r="C962" s="61"/>
      <c r="D962" s="61"/>
      <c r="E962" s="61"/>
      <c r="F962" s="20">
        <f t="array" ref="F962">_xlfn.XLOOKUP(A962,'WK 47'!A:A,'WK 47'!F:F,"")</f>
        <v>0</v>
      </c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</row>
    <row r="963" customHeight="1" spans="1:37">
      <c r="A963" s="61"/>
      <c r="B963" s="61"/>
      <c r="C963" s="61"/>
      <c r="D963" s="61"/>
      <c r="E963" s="61"/>
      <c r="F963" s="20">
        <f t="array" ref="F963">_xlfn.XLOOKUP(A963,'WK 47'!A:A,'WK 47'!F:F,"")</f>
        <v>0</v>
      </c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</row>
    <row r="964" customHeight="1" spans="1:37">
      <c r="A964" s="61"/>
      <c r="B964" s="61"/>
      <c r="C964" s="61"/>
      <c r="D964" s="61"/>
      <c r="E964" s="61"/>
      <c r="F964" s="20">
        <f t="array" ref="F964">_xlfn.XLOOKUP(A964,'WK 47'!A:A,'WK 47'!F:F,"")</f>
        <v>0</v>
      </c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</row>
    <row r="965" customHeight="1" spans="1:37">
      <c r="A965" s="61"/>
      <c r="B965" s="61"/>
      <c r="C965" s="61"/>
      <c r="D965" s="61"/>
      <c r="E965" s="61"/>
      <c r="F965" s="20">
        <f t="array" ref="F965">_xlfn.XLOOKUP(A965,'WK 47'!A:A,'WK 47'!F:F,"")</f>
        <v>0</v>
      </c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</row>
    <row r="966" customHeight="1" spans="1:37">
      <c r="A966" s="61"/>
      <c r="B966" s="61"/>
      <c r="C966" s="61"/>
      <c r="D966" s="61"/>
      <c r="E966" s="61"/>
      <c r="F966" s="20">
        <f t="array" ref="F966">_xlfn.XLOOKUP(A966,'WK 47'!A:A,'WK 47'!F:F,"")</f>
        <v>0</v>
      </c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</row>
    <row r="967" customHeight="1" spans="1:37">
      <c r="A967" s="61"/>
      <c r="B967" s="61"/>
      <c r="C967" s="61"/>
      <c r="D967" s="61"/>
      <c r="E967" s="61"/>
      <c r="F967" s="20">
        <f t="array" ref="F967">_xlfn.XLOOKUP(A967,'WK 47'!A:A,'WK 47'!F:F,"")</f>
        <v>0</v>
      </c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</row>
    <row r="968" customHeight="1" spans="1:37">
      <c r="A968" s="61"/>
      <c r="B968" s="61"/>
      <c r="C968" s="61"/>
      <c r="D968" s="61"/>
      <c r="E968" s="61"/>
      <c r="F968" s="20">
        <f t="array" ref="F968">_xlfn.XLOOKUP(A968,'WK 47'!A:A,'WK 47'!F:F,"")</f>
        <v>0</v>
      </c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</row>
    <row r="969" customHeight="1" spans="1:37">
      <c r="A969" s="61"/>
      <c r="B969" s="61"/>
      <c r="C969" s="61"/>
      <c r="D969" s="61"/>
      <c r="E969" s="61"/>
      <c r="F969" s="20">
        <f t="array" ref="F969">_xlfn.XLOOKUP(A969,'WK 47'!A:A,'WK 47'!F:F,"")</f>
        <v>0</v>
      </c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</row>
    <row r="970" customHeight="1" spans="1:37">
      <c r="A970" s="61"/>
      <c r="B970" s="61"/>
      <c r="C970" s="61"/>
      <c r="D970" s="61"/>
      <c r="E970" s="61"/>
      <c r="F970" s="20">
        <f t="array" ref="F970">_xlfn.XLOOKUP(A970,'WK 47'!A:A,'WK 47'!F:F,"")</f>
        <v>0</v>
      </c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</row>
    <row r="971" customHeight="1" spans="1:37">
      <c r="A971" s="61"/>
      <c r="B971" s="61"/>
      <c r="C971" s="61"/>
      <c r="D971" s="61"/>
      <c r="E971" s="61"/>
      <c r="F971" s="20">
        <f t="array" ref="F971">_xlfn.XLOOKUP(A971,'WK 47'!A:A,'WK 47'!F:F,"")</f>
        <v>0</v>
      </c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</row>
    <row r="972" customHeight="1" spans="1:37">
      <c r="A972" s="61"/>
      <c r="B972" s="61"/>
      <c r="C972" s="61"/>
      <c r="D972" s="61"/>
      <c r="E972" s="61"/>
      <c r="F972" s="20">
        <f t="array" ref="F972">_xlfn.XLOOKUP(A972,'WK 47'!A:A,'WK 47'!F:F,"")</f>
        <v>0</v>
      </c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</row>
    <row r="973" customHeight="1" spans="1:37">
      <c r="A973" s="61"/>
      <c r="B973" s="61"/>
      <c r="C973" s="61"/>
      <c r="D973" s="61"/>
      <c r="E973" s="61"/>
      <c r="F973" s="20">
        <f t="array" ref="F973">_xlfn.XLOOKUP(A973,'WK 47'!A:A,'WK 47'!F:F,"")</f>
        <v>0</v>
      </c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</row>
    <row r="974" customHeight="1" spans="1:37">
      <c r="A974" s="61"/>
      <c r="B974" s="61"/>
      <c r="C974" s="61"/>
      <c r="D974" s="61"/>
      <c r="E974" s="61"/>
      <c r="F974" s="20">
        <f t="array" ref="F974">_xlfn.XLOOKUP(A974,'WK 47'!A:A,'WK 47'!F:F,"")</f>
        <v>0</v>
      </c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</row>
    <row r="975" customHeight="1" spans="1:37">
      <c r="A975" s="61"/>
      <c r="B975" s="61"/>
      <c r="C975" s="61"/>
      <c r="D975" s="61"/>
      <c r="E975" s="61"/>
      <c r="F975" s="20">
        <f t="array" ref="F975">_xlfn.XLOOKUP(A975,'WK 47'!A:A,'WK 47'!F:F,"")</f>
        <v>0</v>
      </c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</row>
    <row r="976" customHeight="1" spans="1:37">
      <c r="A976" s="61"/>
      <c r="B976" s="61"/>
      <c r="C976" s="61"/>
      <c r="D976" s="61"/>
      <c r="E976" s="61"/>
      <c r="F976" s="20">
        <f t="array" ref="F976">_xlfn.XLOOKUP(A976,'WK 47'!A:A,'WK 47'!F:F,"")</f>
        <v>0</v>
      </c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</row>
    <row r="977" customHeight="1" spans="1:37">
      <c r="A977" s="61"/>
      <c r="B977" s="61"/>
      <c r="C977" s="61"/>
      <c r="D977" s="61"/>
      <c r="E977" s="61"/>
      <c r="F977" s="20">
        <f t="array" ref="F977">_xlfn.XLOOKUP(A977,'WK 47'!A:A,'WK 47'!F:F,"")</f>
        <v>0</v>
      </c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</row>
    <row r="978" customHeight="1" spans="1:37">
      <c r="A978" s="61"/>
      <c r="B978" s="61"/>
      <c r="C978" s="61"/>
      <c r="D978" s="61"/>
      <c r="E978" s="61"/>
      <c r="F978" s="20">
        <f t="array" ref="F978">_xlfn.XLOOKUP(A978,'WK 47'!A:A,'WK 47'!F:F,"")</f>
        <v>0</v>
      </c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</row>
    <row r="979" customHeight="1" spans="1:37">
      <c r="A979" s="61"/>
      <c r="B979" s="61"/>
      <c r="C979" s="61"/>
      <c r="D979" s="61"/>
      <c r="E979" s="61"/>
      <c r="F979" s="20">
        <f t="array" ref="F979">_xlfn.XLOOKUP(A979,'WK 47'!A:A,'WK 47'!F:F,"")</f>
        <v>0</v>
      </c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</row>
    <row r="980" customHeight="1" spans="1:37">
      <c r="A980" s="61"/>
      <c r="B980" s="61"/>
      <c r="C980" s="61"/>
      <c r="D980" s="61"/>
      <c r="E980" s="61"/>
      <c r="F980" s="20">
        <f t="array" ref="F980">_xlfn.XLOOKUP(A980,'WK 47'!A:A,'WK 47'!F:F,"")</f>
        <v>0</v>
      </c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</row>
    <row r="981" customHeight="1" spans="1:37">
      <c r="A981" s="61"/>
      <c r="B981" s="61"/>
      <c r="C981" s="61"/>
      <c r="D981" s="61"/>
      <c r="E981" s="61"/>
      <c r="F981" s="20">
        <f t="array" ref="F981">_xlfn.XLOOKUP(A981,'WK 47'!A:A,'WK 47'!F:F,"")</f>
        <v>0</v>
      </c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</row>
    <row r="982" customHeight="1" spans="1:37">
      <c r="A982" s="61"/>
      <c r="B982" s="61"/>
      <c r="C982" s="61"/>
      <c r="D982" s="61"/>
      <c r="E982" s="61"/>
      <c r="F982" s="20">
        <f t="array" ref="F982">_xlfn.XLOOKUP(A982,'WK 47'!A:A,'WK 47'!F:F,"")</f>
        <v>0</v>
      </c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</row>
    <row r="983" customHeight="1" spans="1:37">
      <c r="A983" s="61"/>
      <c r="B983" s="61"/>
      <c r="C983" s="61"/>
      <c r="D983" s="61"/>
      <c r="E983" s="61"/>
      <c r="F983" s="20">
        <f t="array" ref="F983">_xlfn.XLOOKUP(A983,'WK 47'!A:A,'WK 47'!F:F,"")</f>
        <v>0</v>
      </c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</row>
    <row r="984" customHeight="1" spans="1:37">
      <c r="A984" s="61"/>
      <c r="B984" s="61"/>
      <c r="C984" s="61"/>
      <c r="D984" s="61"/>
      <c r="E984" s="61"/>
      <c r="F984" s="20">
        <f t="array" ref="F984">_xlfn.XLOOKUP(A984,'WK 47'!A:A,'WK 47'!F:F,"")</f>
        <v>0</v>
      </c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</row>
    <row r="985" customHeight="1" spans="1:37">
      <c r="A985" s="61"/>
      <c r="B985" s="61"/>
      <c r="C985" s="61"/>
      <c r="D985" s="61"/>
      <c r="E985" s="61"/>
      <c r="F985" s="20">
        <f t="array" ref="F985">_xlfn.XLOOKUP(A985,'WK 47'!A:A,'WK 47'!F:F,"")</f>
        <v>0</v>
      </c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</row>
    <row r="986" customHeight="1" spans="1:37">
      <c r="A986" s="61"/>
      <c r="B986" s="61"/>
      <c r="C986" s="61"/>
      <c r="D986" s="61"/>
      <c r="E986" s="61"/>
      <c r="F986" s="20">
        <f t="array" ref="F986">_xlfn.XLOOKUP(A986,'WK 47'!A:A,'WK 47'!F:F,"")</f>
        <v>0</v>
      </c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</row>
    <row r="987" customHeight="1" spans="1:37">
      <c r="A987" s="61"/>
      <c r="B987" s="61"/>
      <c r="C987" s="61"/>
      <c r="D987" s="61"/>
      <c r="E987" s="61"/>
      <c r="F987" s="20">
        <f t="array" ref="F987">_xlfn.XLOOKUP(A987,'WK 47'!A:A,'WK 47'!F:F,"")</f>
        <v>0</v>
      </c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</row>
    <row r="988" customHeight="1" spans="1:37">
      <c r="A988" s="61"/>
      <c r="B988" s="61"/>
      <c r="C988" s="61"/>
      <c r="D988" s="61"/>
      <c r="E988" s="61"/>
      <c r="F988" s="20">
        <f t="array" ref="F988">_xlfn.XLOOKUP(A988,'WK 47'!A:A,'WK 47'!F:F,"")</f>
        <v>0</v>
      </c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</row>
    <row r="989" customHeight="1" spans="1:37">
      <c r="A989" s="61"/>
      <c r="B989" s="61"/>
      <c r="C989" s="61"/>
      <c r="D989" s="61"/>
      <c r="E989" s="61"/>
      <c r="F989" s="20">
        <f t="array" ref="F989">_xlfn.XLOOKUP(A989,'WK 47'!A:A,'WK 47'!F:F,"")</f>
        <v>0</v>
      </c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</row>
    <row r="990" customHeight="1" spans="1:37">
      <c r="A990" s="61"/>
      <c r="B990" s="61"/>
      <c r="C990" s="61"/>
      <c r="D990" s="61"/>
      <c r="E990" s="61"/>
      <c r="F990" s="20">
        <f t="array" ref="F990">_xlfn.XLOOKUP(A990,'WK 47'!A:A,'WK 47'!F:F,"")</f>
        <v>0</v>
      </c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</row>
    <row r="991" customHeight="1" spans="1:37">
      <c r="A991" s="61"/>
      <c r="B991" s="61"/>
      <c r="C991" s="61"/>
      <c r="D991" s="61"/>
      <c r="E991" s="61"/>
      <c r="F991" s="20">
        <f t="array" ref="F991">_xlfn.XLOOKUP(A991,'WK 47'!A:A,'WK 47'!F:F,"")</f>
        <v>0</v>
      </c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</row>
    <row r="992" customHeight="1" spans="1:37">
      <c r="A992" s="61"/>
      <c r="B992" s="61"/>
      <c r="C992" s="61"/>
      <c r="D992" s="61"/>
      <c r="E992" s="61"/>
      <c r="F992" s="20">
        <f t="array" ref="F992">_xlfn.XLOOKUP(A992,'WK 47'!A:A,'WK 47'!F:F,"")</f>
        <v>0</v>
      </c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</row>
    <row r="993" customHeight="1" spans="1:37">
      <c r="A993" s="61"/>
      <c r="B993" s="61"/>
      <c r="C993" s="61"/>
      <c r="D993" s="61"/>
      <c r="E993" s="61"/>
      <c r="F993" s="20">
        <f t="array" ref="F993">_xlfn.XLOOKUP(A993,'WK 47'!A:A,'WK 47'!F:F,"")</f>
        <v>0</v>
      </c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</row>
    <row r="994" customHeight="1" spans="1:37">
      <c r="A994" s="61"/>
      <c r="B994" s="61"/>
      <c r="C994" s="61"/>
      <c r="D994" s="61"/>
      <c r="E994" s="61"/>
      <c r="F994" s="20">
        <f t="array" ref="F994">_xlfn.XLOOKUP(A994,'WK 47'!A:A,'WK 47'!F:F,"")</f>
        <v>0</v>
      </c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</row>
    <row r="995" customHeight="1" spans="1:37">
      <c r="A995" s="61"/>
      <c r="B995" s="61"/>
      <c r="C995" s="61"/>
      <c r="D995" s="61"/>
      <c r="E995" s="61"/>
      <c r="F995" s="20">
        <f t="array" ref="F995">_xlfn.XLOOKUP(A995,'WK 47'!A:A,'WK 47'!F:F,"")</f>
        <v>0</v>
      </c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</row>
    <row r="996" customHeight="1" spans="1:37">
      <c r="A996" s="61"/>
      <c r="B996" s="61"/>
      <c r="C996" s="61"/>
      <c r="D996" s="61"/>
      <c r="E996" s="61"/>
      <c r="F996" s="20">
        <f t="array" ref="F996">_xlfn.XLOOKUP(A996,'WK 47'!A:A,'WK 47'!F:F,"")</f>
        <v>0</v>
      </c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</row>
    <row r="997" customHeight="1" spans="1:37">
      <c r="A997" s="61"/>
      <c r="B997" s="61"/>
      <c r="C997" s="61"/>
      <c r="D997" s="61"/>
      <c r="E997" s="61"/>
      <c r="F997" s="20">
        <f t="array" ref="F997">_xlfn.XLOOKUP(A997,'WK 47'!A:A,'WK 47'!F:F,"")</f>
        <v>0</v>
      </c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</row>
    <row r="998" customHeight="1" spans="1:37">
      <c r="A998" s="61"/>
      <c r="B998" s="61"/>
      <c r="C998" s="61"/>
      <c r="D998" s="61"/>
      <c r="E998" s="61"/>
      <c r="F998" s="20">
        <f t="array" ref="F998">_xlfn.XLOOKUP(A998,'WK 47'!A:A,'WK 47'!F:F,"")</f>
        <v>0</v>
      </c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</row>
    <row r="999" customHeight="1" spans="1:37">
      <c r="A999" s="61"/>
      <c r="B999" s="61"/>
      <c r="C999" s="61"/>
      <c r="D999" s="61"/>
      <c r="E999" s="61"/>
      <c r="F999" s="20">
        <f t="array" ref="F999">_xlfn.XLOOKUP(A999,'WK 47'!A:A,'WK 47'!F:F,"")</f>
        <v>0</v>
      </c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</row>
    <row r="1000" customHeight="1" spans="1:37">
      <c r="A1000" s="61"/>
      <c r="B1000" s="61"/>
      <c r="C1000" s="61"/>
      <c r="D1000" s="106">
        <f t="array" ref="D1000">_xlfn.XLOOKUP(A1000,'WK 47'!A:A,'WK 47'!E:E,"")</f>
        <v>0</v>
      </c>
      <c r="E1000" s="61"/>
      <c r="F1000" s="20">
        <f t="array" ref="F1000">_xlfn.XLOOKUP(A1000,'WK 47'!A:A,'WK 47'!F:F,"")</f>
        <v>0</v>
      </c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</row>
  </sheetData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71:E71"/>
    <mergeCell ref="F71:G71"/>
    <mergeCell ref="H71:I71"/>
    <mergeCell ref="J71:K71"/>
    <mergeCell ref="L71:M71"/>
    <mergeCell ref="N71:O71"/>
    <mergeCell ref="P71:Q71"/>
    <mergeCell ref="D72:E72"/>
    <mergeCell ref="F72:G72"/>
    <mergeCell ref="H72:I72"/>
    <mergeCell ref="J72:K72"/>
    <mergeCell ref="L72:M72"/>
    <mergeCell ref="N72:O72"/>
    <mergeCell ref="P72:Q72"/>
    <mergeCell ref="A1:A3"/>
    <mergeCell ref="A71:A73"/>
    <mergeCell ref="B1:B3"/>
    <mergeCell ref="B71:B73"/>
    <mergeCell ref="C1:C3"/>
    <mergeCell ref="C71:C73"/>
    <mergeCell ref="D1:D3"/>
    <mergeCell ref="E1:E3"/>
    <mergeCell ref="F1:F3"/>
  </mergeCells>
  <conditionalFormatting sqref="G57:M57">
    <cfRule type="cellIs" dxfId="0" priority="4" operator="lessThan">
      <formula>0</formula>
    </cfRule>
  </conditionalFormatting>
  <conditionalFormatting sqref="A49:A66">
    <cfRule type="expression" dxfId="1" priority="1">
      <formula>COUNTIF(A:A,A49)&gt;1</formula>
    </cfRule>
  </conditionalFormatting>
  <conditionalFormatting sqref="C4:E51 G4:T51 D1000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W4:W41 W43:W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9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6">
      <c r="A1" s="91">
        <v>10320436</v>
      </c>
      <c r="B1" s="92" t="s">
        <v>178</v>
      </c>
      <c r="C1" s="183" t="s">
        <v>179</v>
      </c>
      <c r="D1" s="92" t="s">
        <v>180</v>
      </c>
      <c r="E1" s="92" t="s">
        <v>181</v>
      </c>
      <c r="F1" s="93" t="s">
        <v>182</v>
      </c>
    </row>
    <row r="2" customHeight="1" spans="1:6">
      <c r="A2" s="94">
        <v>10320435</v>
      </c>
      <c r="B2" s="95" t="s">
        <v>183</v>
      </c>
      <c r="C2" s="184" t="s">
        <v>179</v>
      </c>
      <c r="D2" s="95" t="s">
        <v>184</v>
      </c>
      <c r="E2" s="95" t="s">
        <v>185</v>
      </c>
      <c r="F2" s="96" t="s">
        <v>186</v>
      </c>
    </row>
    <row r="3" customHeight="1" spans="1:6">
      <c r="A3" s="91">
        <v>10250966</v>
      </c>
      <c r="B3" s="92" t="s">
        <v>61</v>
      </c>
      <c r="C3" s="183" t="s">
        <v>179</v>
      </c>
      <c r="D3" s="92" t="s">
        <v>180</v>
      </c>
      <c r="E3" s="92" t="s">
        <v>181</v>
      </c>
      <c r="F3" s="93" t="s">
        <v>187</v>
      </c>
    </row>
    <row r="4" customHeight="1" spans="1:6">
      <c r="A4" s="94">
        <v>10320416</v>
      </c>
      <c r="B4" s="95" t="s">
        <v>188</v>
      </c>
      <c r="C4" s="184" t="s">
        <v>179</v>
      </c>
      <c r="D4" s="95" t="s">
        <v>189</v>
      </c>
      <c r="E4" s="95" t="s">
        <v>181</v>
      </c>
      <c r="F4" s="96" t="s">
        <v>190</v>
      </c>
    </row>
    <row r="5" customHeight="1" spans="1:6">
      <c r="A5" s="91">
        <v>10320419</v>
      </c>
      <c r="B5" s="92" t="s">
        <v>69</v>
      </c>
      <c r="C5" s="183" t="s">
        <v>179</v>
      </c>
      <c r="D5" s="92" t="s">
        <v>184</v>
      </c>
      <c r="E5" s="92" t="s">
        <v>181</v>
      </c>
      <c r="F5" s="93" t="s">
        <v>191</v>
      </c>
    </row>
    <row r="6" customHeight="1" spans="1:6">
      <c r="A6" s="94">
        <v>10320407</v>
      </c>
      <c r="B6" s="95" t="s">
        <v>55</v>
      </c>
      <c r="C6" s="184" t="s">
        <v>179</v>
      </c>
      <c r="D6" s="95" t="s">
        <v>184</v>
      </c>
      <c r="E6" s="95" t="s">
        <v>181</v>
      </c>
      <c r="F6" s="96" t="s">
        <v>192</v>
      </c>
    </row>
    <row r="7" customHeight="1" spans="1:6">
      <c r="A7" s="91">
        <v>10320413</v>
      </c>
      <c r="B7" s="92" t="s">
        <v>193</v>
      </c>
      <c r="C7" s="183" t="s">
        <v>179</v>
      </c>
      <c r="D7" s="92" t="s">
        <v>180</v>
      </c>
      <c r="E7" s="92" t="s">
        <v>181</v>
      </c>
      <c r="F7" s="93" t="s">
        <v>194</v>
      </c>
    </row>
    <row r="8" customHeight="1" spans="1:6">
      <c r="A8" s="94">
        <v>10320410</v>
      </c>
      <c r="B8" s="95" t="s">
        <v>58</v>
      </c>
      <c r="C8" s="184" t="s">
        <v>179</v>
      </c>
      <c r="D8" s="95" t="s">
        <v>195</v>
      </c>
      <c r="E8" s="95" t="s">
        <v>181</v>
      </c>
      <c r="F8" s="96" t="s">
        <v>196</v>
      </c>
    </row>
    <row r="9" customHeight="1" spans="1:9">
      <c r="A9" s="97">
        <v>10293607</v>
      </c>
      <c r="B9" s="92" t="s">
        <v>197</v>
      </c>
      <c r="C9" s="183" t="s">
        <v>179</v>
      </c>
      <c r="D9" s="92" t="s">
        <v>180</v>
      </c>
      <c r="E9" s="92" t="s">
        <v>181</v>
      </c>
      <c r="F9" s="93" t="s">
        <v>198</v>
      </c>
      <c r="H9" s="21">
        <v>10317147</v>
      </c>
      <c r="I9" s="86" t="s">
        <v>24</v>
      </c>
    </row>
    <row r="10" customHeight="1" spans="1:9">
      <c r="A10" s="94">
        <v>10293627</v>
      </c>
      <c r="B10" s="95" t="s">
        <v>199</v>
      </c>
      <c r="C10" s="184" t="s">
        <v>179</v>
      </c>
      <c r="D10" s="95" t="s">
        <v>180</v>
      </c>
      <c r="E10" s="95" t="s">
        <v>181</v>
      </c>
      <c r="F10" s="96" t="s">
        <v>200</v>
      </c>
      <c r="H10" s="21">
        <v>10250963</v>
      </c>
      <c r="I10" s="86" t="s">
        <v>25</v>
      </c>
    </row>
    <row r="11" customHeight="1" spans="1:9">
      <c r="A11" s="91">
        <v>10320418</v>
      </c>
      <c r="B11" s="92" t="s">
        <v>68</v>
      </c>
      <c r="C11" s="183" t="s">
        <v>179</v>
      </c>
      <c r="D11" s="92" t="s">
        <v>180</v>
      </c>
      <c r="E11" s="92" t="s">
        <v>201</v>
      </c>
      <c r="F11" s="93" t="s">
        <v>202</v>
      </c>
      <c r="H11" s="21">
        <v>10316530</v>
      </c>
      <c r="I11" s="86" t="s">
        <v>26</v>
      </c>
    </row>
    <row r="12" customHeight="1" spans="1:9">
      <c r="A12" s="94">
        <v>10320412</v>
      </c>
      <c r="B12" s="95" t="s">
        <v>59</v>
      </c>
      <c r="C12" s="184" t="s">
        <v>179</v>
      </c>
      <c r="D12" s="95" t="s">
        <v>195</v>
      </c>
      <c r="E12" s="95" t="s">
        <v>185</v>
      </c>
      <c r="F12" s="96" t="s">
        <v>203</v>
      </c>
      <c r="H12" s="21">
        <v>10317517</v>
      </c>
      <c r="I12" s="86" t="s">
        <v>29</v>
      </c>
    </row>
    <row r="13" customHeight="1" spans="1:9">
      <c r="A13" s="86">
        <v>10317154</v>
      </c>
      <c r="B13" s="98" t="s">
        <v>204</v>
      </c>
      <c r="C13" s="183" t="s">
        <v>179</v>
      </c>
      <c r="D13" s="92" t="s">
        <v>180</v>
      </c>
      <c r="E13" s="92" t="s">
        <v>181</v>
      </c>
      <c r="F13" s="93" t="s">
        <v>205</v>
      </c>
      <c r="H13" s="21">
        <v>10316540</v>
      </c>
      <c r="I13" s="86" t="s">
        <v>30</v>
      </c>
    </row>
    <row r="14" customHeight="1" spans="1:9">
      <c r="A14" s="94">
        <v>10320415</v>
      </c>
      <c r="B14" s="95" t="s">
        <v>63</v>
      </c>
      <c r="C14" s="184" t="s">
        <v>179</v>
      </c>
      <c r="D14" s="95" t="s">
        <v>180</v>
      </c>
      <c r="E14" s="95" t="s">
        <v>181</v>
      </c>
      <c r="F14" s="96" t="s">
        <v>206</v>
      </c>
      <c r="H14" s="21">
        <v>10316680</v>
      </c>
      <c r="I14" s="21" t="s">
        <v>40</v>
      </c>
    </row>
    <row r="15" customHeight="1" spans="1:9">
      <c r="A15" s="98">
        <v>10320408</v>
      </c>
      <c r="B15" s="92" t="s">
        <v>207</v>
      </c>
      <c r="C15" s="183" t="s">
        <v>179</v>
      </c>
      <c r="D15" s="92" t="s">
        <v>189</v>
      </c>
      <c r="E15" s="92" t="s">
        <v>208</v>
      </c>
      <c r="F15" s="93" t="s">
        <v>209</v>
      </c>
      <c r="H15" s="21">
        <v>10317153</v>
      </c>
      <c r="I15" s="21" t="s">
        <v>42</v>
      </c>
    </row>
    <row r="16" customHeight="1" spans="1:9">
      <c r="A16" s="94">
        <v>10320409</v>
      </c>
      <c r="B16" s="95" t="s">
        <v>210</v>
      </c>
      <c r="C16" s="184" t="s">
        <v>179</v>
      </c>
      <c r="D16" s="95" t="s">
        <v>195</v>
      </c>
      <c r="E16" s="95" t="s">
        <v>211</v>
      </c>
      <c r="F16" s="96" t="s">
        <v>212</v>
      </c>
      <c r="H16" s="21">
        <v>10252106</v>
      </c>
      <c r="I16" s="21" t="s">
        <v>43</v>
      </c>
    </row>
    <row r="17" customHeight="1" spans="1:9">
      <c r="A17" s="99">
        <v>10320414</v>
      </c>
      <c r="B17" s="100" t="s">
        <v>213</v>
      </c>
      <c r="C17" s="185" t="s">
        <v>179</v>
      </c>
      <c r="D17" s="100" t="s">
        <v>184</v>
      </c>
      <c r="E17" s="100" t="s">
        <v>181</v>
      </c>
      <c r="F17" s="101" t="s">
        <v>214</v>
      </c>
      <c r="H17" s="21">
        <v>10316545</v>
      </c>
      <c r="I17" s="21" t="s">
        <v>45</v>
      </c>
    </row>
    <row r="18" customHeight="1" spans="8:9">
      <c r="H18" s="21">
        <v>10316685</v>
      </c>
      <c r="I18" s="21" t="s">
        <v>47</v>
      </c>
    </row>
    <row r="19" customHeight="1" spans="8:9">
      <c r="H19" s="21">
        <v>10316683</v>
      </c>
      <c r="I19" s="86" t="s">
        <v>51</v>
      </c>
    </row>
  </sheetData>
  <conditionalFormatting sqref="H14">
    <cfRule type="expression" dxfId="1" priority="5">
      <formula>COUNTIF(H:H,H14)&gt;1</formula>
    </cfRule>
  </conditionalFormatting>
  <conditionalFormatting sqref="H17">
    <cfRule type="expression" dxfId="1" priority="3">
      <formula>COUNTIF(H:H,H17)&gt;1</formula>
    </cfRule>
  </conditionalFormatting>
  <conditionalFormatting sqref="H18">
    <cfRule type="expression" dxfId="1" priority="2">
      <formula>COUNTIF(H:H,H18)&gt;1</formula>
    </cfRule>
  </conditionalFormatting>
  <conditionalFormatting sqref="H9:H11">
    <cfRule type="expression" dxfId="1" priority="7">
      <formula>COUNTIF(H:H,H9)&gt;1</formula>
    </cfRule>
  </conditionalFormatting>
  <conditionalFormatting sqref="H12:H13">
    <cfRule type="expression" dxfId="1" priority="6">
      <formula>COUNTIF(H:H,H12)&gt;1</formula>
    </cfRule>
  </conditionalFormatting>
  <conditionalFormatting sqref="H15:H16">
    <cfRule type="expression" dxfId="1" priority="4">
      <formula>COUNTIF(H:H,H15)&gt;1</formula>
    </cfRule>
  </conditionalFormatting>
  <conditionalFormatting sqref="A13 H19">
    <cfRule type="expression" dxfId="1" priority="1">
      <formula>COUNTIF(A:A,A13)&gt;1</formula>
    </cfRule>
  </conditionalFormatting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7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72727272727" defaultRowHeight="15.75" customHeight="1"/>
  <cols>
    <col min="1" max="1" width="9.38181818181818" customWidth="1"/>
    <col min="2" max="2" width="18.7545454545455" customWidth="1"/>
    <col min="3" max="4" width="9" customWidth="1"/>
    <col min="5" max="5" width="7.25454545454545" customWidth="1"/>
    <col min="6" max="6" width="13.3818181818182" customWidth="1"/>
    <col min="7" max="7" width="7.12727272727273" customWidth="1"/>
    <col min="8" max="8" width="6.38181818181818" customWidth="1"/>
    <col min="9" max="9" width="8.88181818181818" customWidth="1"/>
    <col min="10" max="10" width="7.12727272727273" customWidth="1"/>
    <col min="11" max="11" width="8.88181818181818" customWidth="1"/>
    <col min="12" max="12" width="7.88181818181818" customWidth="1"/>
    <col min="13" max="13" width="7.12727272727273" customWidth="1"/>
    <col min="14" max="14" width="7.88181818181818" customWidth="1"/>
    <col min="15" max="15" width="7.12727272727273" customWidth="1"/>
    <col min="16" max="16" width="7.25454545454545" customWidth="1"/>
    <col min="17" max="17" width="8.25454545454545" customWidth="1"/>
    <col min="18" max="18" width="8" customWidth="1"/>
    <col min="19" max="19" width="8.25454545454545" customWidth="1"/>
    <col min="20" max="20" width="7" customWidth="1"/>
    <col min="21" max="21" width="13.3818181818182" customWidth="1"/>
    <col min="22" max="22" width="12.1272727272727" customWidth="1"/>
    <col min="23" max="23" width="11.6272727272727" customWidth="1"/>
    <col min="24" max="24" width="9.25454545454545" customWidth="1"/>
    <col min="25" max="25" width="6.38181818181818" customWidth="1"/>
  </cols>
  <sheetData>
    <row r="1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45607</v>
      </c>
      <c r="H1" s="14"/>
      <c r="I1" s="46">
        <v>45608</v>
      </c>
      <c r="J1" s="14"/>
      <c r="K1" s="46">
        <v>45609</v>
      </c>
      <c r="L1" s="14"/>
      <c r="M1" s="46">
        <v>45610</v>
      </c>
      <c r="N1" s="14"/>
      <c r="O1" s="46">
        <v>45611</v>
      </c>
      <c r="P1" s="14"/>
      <c r="Q1" s="46">
        <v>45612</v>
      </c>
      <c r="R1" s="14"/>
      <c r="S1" s="46">
        <v>45613</v>
      </c>
      <c r="T1" s="14"/>
      <c r="U1" s="21"/>
      <c r="V1" s="21"/>
      <c r="W1" s="21"/>
      <c r="X1" s="7"/>
      <c r="Y1" s="17"/>
    </row>
    <row r="2" customHeight="1" spans="1:25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  <c r="X2" s="7"/>
      <c r="Y2" s="17"/>
    </row>
    <row r="3" customHeight="1" spans="1:25">
      <c r="A3" s="5"/>
      <c r="B3" s="5"/>
      <c r="C3" s="5"/>
      <c r="D3" s="5"/>
      <c r="E3" s="15"/>
      <c r="F3" s="5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7" t="s">
        <v>18</v>
      </c>
      <c r="Y3" s="17"/>
    </row>
    <row r="4" customHeight="1" spans="1:25">
      <c r="A4" s="21">
        <v>10316549</v>
      </c>
      <c r="B4" s="86" t="s">
        <v>19</v>
      </c>
      <c r="C4" s="21" t="s">
        <v>20</v>
      </c>
      <c r="D4" s="21" t="s">
        <v>21</v>
      </c>
      <c r="E4" s="21" t="s">
        <v>22</v>
      </c>
      <c r="F4" s="21">
        <v>1</v>
      </c>
      <c r="G4" s="54">
        <v>0.458333333333333</v>
      </c>
      <c r="H4" s="54">
        <v>0.875</v>
      </c>
      <c r="I4" s="54">
        <v>0.458333333333333</v>
      </c>
      <c r="J4" s="54">
        <v>0.875</v>
      </c>
      <c r="K4" s="54">
        <v>0.458333333333333</v>
      </c>
      <c r="L4" s="54">
        <v>0.875</v>
      </c>
      <c r="M4" s="54">
        <v>0.458333333333333</v>
      </c>
      <c r="N4" s="54">
        <v>0.875</v>
      </c>
      <c r="O4" s="21" t="s">
        <v>23</v>
      </c>
      <c r="P4" s="21" t="s">
        <v>23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v>45</v>
      </c>
      <c r="V4" s="7">
        <v>45</v>
      </c>
      <c r="W4" s="7">
        <v>-1.4210854715202e-14</v>
      </c>
      <c r="X4" s="8">
        <v>0.416666666666667</v>
      </c>
      <c r="Y4" s="17"/>
    </row>
    <row r="5" customHeight="1" spans="1:25">
      <c r="A5" s="21">
        <v>10317147</v>
      </c>
      <c r="B5" s="86" t="s">
        <v>24</v>
      </c>
      <c r="C5" s="21" t="s">
        <v>20</v>
      </c>
      <c r="D5" s="21" t="s">
        <v>21</v>
      </c>
      <c r="E5" s="21" t="s">
        <v>22</v>
      </c>
      <c r="F5" s="21">
        <v>1</v>
      </c>
      <c r="G5" s="21" t="s">
        <v>23</v>
      </c>
      <c r="H5" s="54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v>45</v>
      </c>
      <c r="V5" s="7">
        <v>45</v>
      </c>
      <c r="W5" s="7">
        <v>-7.105427357601e-15</v>
      </c>
      <c r="X5" s="8">
        <v>0.416666666666667</v>
      </c>
      <c r="Y5" s="17"/>
    </row>
    <row r="6" customHeight="1" spans="1:25">
      <c r="A6" s="21">
        <v>10250963</v>
      </c>
      <c r="B6" s="86" t="s">
        <v>25</v>
      </c>
      <c r="C6" s="21" t="s">
        <v>20</v>
      </c>
      <c r="D6" s="21" t="s">
        <v>21</v>
      </c>
      <c r="E6" s="21" t="s">
        <v>22</v>
      </c>
      <c r="F6" s="21">
        <v>1</v>
      </c>
      <c r="G6" s="21" t="s">
        <v>23</v>
      </c>
      <c r="H6" s="54" t="s">
        <v>23</v>
      </c>
      <c r="I6" s="54">
        <v>0.458333333333333</v>
      </c>
      <c r="J6" s="54">
        <v>0.875</v>
      </c>
      <c r="K6" s="54">
        <v>0.458333333333333</v>
      </c>
      <c r="L6" s="54">
        <v>0.875</v>
      </c>
      <c r="M6" s="54">
        <v>0.458333333333333</v>
      </c>
      <c r="N6" s="54">
        <v>0.875</v>
      </c>
      <c r="O6" s="54">
        <v>0.458333333333333</v>
      </c>
      <c r="P6" s="54">
        <v>0.875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v>45</v>
      </c>
      <c r="V6" s="7">
        <v>45</v>
      </c>
      <c r="W6" s="7">
        <v>-1.4210854715202e-14</v>
      </c>
      <c r="X6" s="8">
        <v>0.416666666666667</v>
      </c>
      <c r="Y6" s="17"/>
    </row>
    <row r="7" customHeight="1" spans="1:25">
      <c r="A7" s="21">
        <v>10316530</v>
      </c>
      <c r="B7" s="86" t="s">
        <v>26</v>
      </c>
      <c r="C7" s="21" t="s">
        <v>20</v>
      </c>
      <c r="D7" s="21" t="s">
        <v>21</v>
      </c>
      <c r="E7" s="21" t="s">
        <v>22</v>
      </c>
      <c r="F7" s="21">
        <v>1</v>
      </c>
      <c r="G7" s="21" t="s">
        <v>23</v>
      </c>
      <c r="H7" s="54" t="s">
        <v>23</v>
      </c>
      <c r="I7" s="54">
        <v>0.458333333333333</v>
      </c>
      <c r="J7" s="54">
        <v>0.875</v>
      </c>
      <c r="K7" s="54">
        <v>0.458333333333333</v>
      </c>
      <c r="L7" s="54">
        <v>0.875</v>
      </c>
      <c r="M7" s="54">
        <v>0.458333333333333</v>
      </c>
      <c r="N7" s="54">
        <v>0.875</v>
      </c>
      <c r="O7" s="54">
        <v>0.458333333333333</v>
      </c>
      <c r="P7" s="54">
        <v>0.875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v>45</v>
      </c>
      <c r="V7" s="7">
        <v>45</v>
      </c>
      <c r="W7" s="7">
        <v>-1.4210854715202e-14</v>
      </c>
      <c r="X7" s="8">
        <v>0.416666666666667</v>
      </c>
      <c r="Y7" s="17"/>
    </row>
    <row r="8" customHeight="1" spans="1:25">
      <c r="A8" s="21">
        <v>10317943</v>
      </c>
      <c r="B8" s="86" t="s">
        <v>27</v>
      </c>
      <c r="C8" s="21" t="s">
        <v>20</v>
      </c>
      <c r="D8" s="21" t="s">
        <v>21</v>
      </c>
      <c r="E8" s="21" t="s">
        <v>22</v>
      </c>
      <c r="F8" s="21">
        <v>2</v>
      </c>
      <c r="G8" s="54">
        <v>0.375</v>
      </c>
      <c r="H8" s="54">
        <v>0.791666666666667</v>
      </c>
      <c r="I8" s="54">
        <v>0.375</v>
      </c>
      <c r="J8" s="54">
        <v>0.791666666666667</v>
      </c>
      <c r="K8" s="54">
        <v>0.375</v>
      </c>
      <c r="L8" s="54">
        <v>0.791666666666667</v>
      </c>
      <c r="M8" s="54">
        <v>0.375</v>
      </c>
      <c r="N8" s="54">
        <v>0.791666666666667</v>
      </c>
      <c r="O8" s="21" t="s">
        <v>23</v>
      </c>
      <c r="P8" s="54" t="s">
        <v>23</v>
      </c>
      <c r="Q8" s="21" t="s">
        <v>23</v>
      </c>
      <c r="R8" s="21" t="s">
        <v>23</v>
      </c>
      <c r="S8" s="54">
        <v>0.458333333333333</v>
      </c>
      <c r="T8" s="54">
        <v>0.666666666666667</v>
      </c>
      <c r="U8" s="21">
        <v>45</v>
      </c>
      <c r="V8" s="7">
        <v>45</v>
      </c>
      <c r="W8" s="7">
        <v>7.105427357601e-15</v>
      </c>
      <c r="X8" s="8">
        <v>0.416666666666667</v>
      </c>
      <c r="Y8" s="17"/>
    </row>
    <row r="9" customHeight="1" spans="1:25">
      <c r="A9" s="21">
        <v>10317521</v>
      </c>
      <c r="B9" s="86" t="s">
        <v>28</v>
      </c>
      <c r="C9" s="21" t="s">
        <v>20</v>
      </c>
      <c r="D9" s="21" t="s">
        <v>21</v>
      </c>
      <c r="E9" s="21" t="s">
        <v>22</v>
      </c>
      <c r="F9" s="21"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54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v>45</v>
      </c>
      <c r="V9" s="7">
        <v>45</v>
      </c>
      <c r="W9" s="7">
        <v>7.105427357601e-15</v>
      </c>
      <c r="X9" s="8">
        <v>0.416666666666667</v>
      </c>
      <c r="Y9" s="17"/>
    </row>
    <row r="10" customHeight="1" spans="1:25">
      <c r="A10" s="21">
        <v>10317517</v>
      </c>
      <c r="B10" s="86" t="s">
        <v>29</v>
      </c>
      <c r="C10" s="21" t="s">
        <v>20</v>
      </c>
      <c r="D10" s="21" t="s">
        <v>21</v>
      </c>
      <c r="E10" s="21" t="s">
        <v>22</v>
      </c>
      <c r="F10" s="21">
        <v>2</v>
      </c>
      <c r="G10" s="21" t="s">
        <v>23</v>
      </c>
      <c r="H10" s="54" t="s">
        <v>23</v>
      </c>
      <c r="I10" s="54">
        <v>0.375</v>
      </c>
      <c r="J10" s="54">
        <v>0.791666666666667</v>
      </c>
      <c r="K10" s="54">
        <v>0.375</v>
      </c>
      <c r="L10" s="54">
        <v>0.791666666666667</v>
      </c>
      <c r="M10" s="54">
        <v>0.375</v>
      </c>
      <c r="N10" s="54">
        <v>0.791666666666667</v>
      </c>
      <c r="O10" s="54">
        <v>0.375</v>
      </c>
      <c r="P10" s="54">
        <v>0.791666666666667</v>
      </c>
      <c r="Q10" s="54">
        <v>0.458333333333333</v>
      </c>
      <c r="R10" s="54">
        <v>0.666666666666667</v>
      </c>
      <c r="S10" s="21" t="s">
        <v>23</v>
      </c>
      <c r="T10" s="21" t="s">
        <v>23</v>
      </c>
      <c r="U10" s="21">
        <v>45</v>
      </c>
      <c r="V10" s="7">
        <v>45</v>
      </c>
      <c r="W10" s="7">
        <v>7.105427357601e-15</v>
      </c>
      <c r="X10" s="8">
        <v>0.416666666666667</v>
      </c>
      <c r="Y10" s="17"/>
    </row>
    <row r="11" customHeight="1" spans="1:25">
      <c r="A11" s="21">
        <v>10316531</v>
      </c>
      <c r="B11" s="86" t="s">
        <v>215</v>
      </c>
      <c r="C11" s="21" t="s">
        <v>20</v>
      </c>
      <c r="D11" s="21" t="s">
        <v>21</v>
      </c>
      <c r="E11" s="21" t="s">
        <v>22</v>
      </c>
      <c r="F11" s="21">
        <v>2</v>
      </c>
      <c r="G11" s="54">
        <v>0.458333333333333</v>
      </c>
      <c r="H11" s="54">
        <v>0.875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21" t="s">
        <v>23</v>
      </c>
      <c r="P11" s="54" t="s">
        <v>23</v>
      </c>
      <c r="Q11" s="21" t="s">
        <v>23</v>
      </c>
      <c r="R11" s="21" t="s">
        <v>23</v>
      </c>
      <c r="S11" s="54">
        <v>0.458333333333333</v>
      </c>
      <c r="T11" s="54">
        <v>0.666666666666667</v>
      </c>
      <c r="U11" s="21">
        <v>45</v>
      </c>
      <c r="V11" s="7">
        <v>45</v>
      </c>
      <c r="W11" s="7">
        <v>-1.4210854715202e-14</v>
      </c>
      <c r="X11" s="8">
        <v>0.416666666666667</v>
      </c>
      <c r="Y11" s="17"/>
    </row>
    <row r="12" customHeight="1" spans="1:25">
      <c r="A12" s="21">
        <v>10212379</v>
      </c>
      <c r="B12" s="86" t="s">
        <v>216</v>
      </c>
      <c r="C12" s="21" t="s">
        <v>20</v>
      </c>
      <c r="D12" s="21" t="s">
        <v>21</v>
      </c>
      <c r="E12" s="21" t="s">
        <v>22</v>
      </c>
      <c r="F12" s="21">
        <v>2</v>
      </c>
      <c r="G12" s="21" t="s">
        <v>23</v>
      </c>
      <c r="H12" s="54" t="s">
        <v>23</v>
      </c>
      <c r="I12" s="54">
        <v>0.458333333333333</v>
      </c>
      <c r="J12" s="54">
        <v>0.875</v>
      </c>
      <c r="K12" s="54">
        <v>0.458333333333333</v>
      </c>
      <c r="L12" s="54">
        <v>0.875</v>
      </c>
      <c r="M12" s="54">
        <v>0.458333333333333</v>
      </c>
      <c r="N12" s="54">
        <v>0.875</v>
      </c>
      <c r="O12" s="54">
        <v>0.458333333333333</v>
      </c>
      <c r="P12" s="54">
        <v>0.875</v>
      </c>
      <c r="Q12" s="54">
        <v>0.458333333333333</v>
      </c>
      <c r="R12" s="54">
        <v>0.666666666666667</v>
      </c>
      <c r="S12" s="21" t="s">
        <v>23</v>
      </c>
      <c r="T12" s="21" t="s">
        <v>23</v>
      </c>
      <c r="U12" s="21">
        <v>45</v>
      </c>
      <c r="V12" s="7">
        <v>45</v>
      </c>
      <c r="W12" s="7">
        <v>-1.4210854715202e-14</v>
      </c>
      <c r="X12" s="8">
        <v>0.416666666666667</v>
      </c>
      <c r="Y12" s="17"/>
    </row>
    <row r="13" customHeight="1" spans="1:25">
      <c r="A13" s="21">
        <v>10252500</v>
      </c>
      <c r="B13" s="86" t="s">
        <v>217</v>
      </c>
      <c r="C13" s="21" t="s">
        <v>20</v>
      </c>
      <c r="D13" s="21" t="s">
        <v>21</v>
      </c>
      <c r="E13" s="21" t="s">
        <v>22</v>
      </c>
      <c r="F13" s="21">
        <v>2</v>
      </c>
      <c r="G13" s="21" t="s">
        <v>23</v>
      </c>
      <c r="H13" s="54" t="s">
        <v>23</v>
      </c>
      <c r="I13" s="54">
        <v>0.458333333333333</v>
      </c>
      <c r="J13" s="54">
        <v>0.875</v>
      </c>
      <c r="K13" s="54">
        <v>0.458333333333333</v>
      </c>
      <c r="L13" s="54">
        <v>0.875</v>
      </c>
      <c r="M13" s="54">
        <v>0.458333333333333</v>
      </c>
      <c r="N13" s="54">
        <v>0.875</v>
      </c>
      <c r="O13" s="54">
        <v>0.458333333333333</v>
      </c>
      <c r="P13" s="54">
        <v>0.875</v>
      </c>
      <c r="Q13" s="54">
        <v>0.458333333333333</v>
      </c>
      <c r="R13" s="54">
        <v>0.666666666666667</v>
      </c>
      <c r="S13" s="21" t="s">
        <v>23</v>
      </c>
      <c r="T13" s="21" t="s">
        <v>23</v>
      </c>
      <c r="U13" s="21">
        <v>45</v>
      </c>
      <c r="V13" s="7">
        <v>45</v>
      </c>
      <c r="W13" s="7">
        <v>-1.4210854715202e-14</v>
      </c>
      <c r="X13" s="8">
        <v>0.416666666666667</v>
      </c>
      <c r="Y13" s="17"/>
    </row>
    <row r="14" customHeight="1" spans="1:25">
      <c r="A14" s="21">
        <v>10316540</v>
      </c>
      <c r="B14" s="86" t="s">
        <v>30</v>
      </c>
      <c r="C14" s="21" t="s">
        <v>20</v>
      </c>
      <c r="D14" s="21" t="s">
        <v>21</v>
      </c>
      <c r="E14" s="21" t="s">
        <v>22</v>
      </c>
      <c r="F14" s="21">
        <v>1</v>
      </c>
      <c r="G14" s="21" t="s">
        <v>23</v>
      </c>
      <c r="H14" s="21" t="s">
        <v>23</v>
      </c>
      <c r="I14" s="54">
        <v>0.458333333333333</v>
      </c>
      <c r="J14" s="54">
        <v>0.875</v>
      </c>
      <c r="K14" s="54">
        <v>0.458333333333333</v>
      </c>
      <c r="L14" s="54">
        <v>0.875</v>
      </c>
      <c r="M14" s="54">
        <v>0.458333333333333</v>
      </c>
      <c r="N14" s="54">
        <v>0.875</v>
      </c>
      <c r="O14" s="54">
        <v>0.458333333333333</v>
      </c>
      <c r="P14" s="54">
        <v>0.875</v>
      </c>
      <c r="Q14" s="54">
        <v>0.458333333333333</v>
      </c>
      <c r="R14" s="54">
        <v>0.666666666666667</v>
      </c>
      <c r="S14" s="21" t="s">
        <v>23</v>
      </c>
      <c r="T14" s="21" t="s">
        <v>23</v>
      </c>
      <c r="U14" s="21">
        <v>45</v>
      </c>
      <c r="V14" s="7">
        <v>45</v>
      </c>
      <c r="W14" s="7">
        <v>-1.4210854715202e-14</v>
      </c>
      <c r="X14" s="8">
        <v>0.416666666666667</v>
      </c>
      <c r="Y14" s="17"/>
    </row>
    <row r="15" customHeight="1" spans="1:25">
      <c r="A15" s="21">
        <v>10275375</v>
      </c>
      <c r="B15" s="86" t="s">
        <v>218</v>
      </c>
      <c r="C15" s="21" t="s">
        <v>20</v>
      </c>
      <c r="D15" s="21" t="s">
        <v>21</v>
      </c>
      <c r="E15" s="21" t="s">
        <v>22</v>
      </c>
      <c r="F15" s="21">
        <v>2</v>
      </c>
      <c r="G15" s="21" t="s">
        <v>23</v>
      </c>
      <c r="H15" s="54" t="s">
        <v>23</v>
      </c>
      <c r="I15" s="54">
        <v>0.375</v>
      </c>
      <c r="J15" s="54">
        <v>0.791666666666667</v>
      </c>
      <c r="K15" s="54">
        <v>0.375</v>
      </c>
      <c r="L15" s="54">
        <v>0.791666666666667</v>
      </c>
      <c r="M15" s="54">
        <v>0.375</v>
      </c>
      <c r="N15" s="54">
        <v>0.791666666666667</v>
      </c>
      <c r="O15" s="54">
        <v>0.375</v>
      </c>
      <c r="P15" s="54">
        <v>0.791666666666667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v>45</v>
      </c>
      <c r="V15" s="7">
        <v>45</v>
      </c>
      <c r="W15" s="7">
        <v>7.105427357601e-15</v>
      </c>
      <c r="X15" s="8">
        <v>0.416666666666667</v>
      </c>
      <c r="Y15" s="17"/>
    </row>
    <row r="16" customHeight="1" spans="1:25">
      <c r="A16" s="21">
        <v>10317522</v>
      </c>
      <c r="B16" s="21" t="s">
        <v>31</v>
      </c>
      <c r="C16" s="21" t="s">
        <v>20</v>
      </c>
      <c r="D16" s="21" t="s">
        <v>21</v>
      </c>
      <c r="E16" s="21" t="s">
        <v>22</v>
      </c>
      <c r="F16" s="21">
        <v>2</v>
      </c>
      <c r="G16" s="54">
        <v>0.458333333333333</v>
      </c>
      <c r="H16" s="54">
        <v>0.875</v>
      </c>
      <c r="I16" s="54">
        <v>0.458333333333333</v>
      </c>
      <c r="J16" s="54">
        <v>0.875</v>
      </c>
      <c r="K16" s="54">
        <v>0.458333333333333</v>
      </c>
      <c r="L16" s="54">
        <v>0.875</v>
      </c>
      <c r="M16" s="54">
        <v>0.458333333333333</v>
      </c>
      <c r="N16" s="54">
        <v>0.875</v>
      </c>
      <c r="O16" s="21" t="s">
        <v>23</v>
      </c>
      <c r="P16" s="54" t="s">
        <v>23</v>
      </c>
      <c r="Q16" s="21" t="s">
        <v>23</v>
      </c>
      <c r="R16" s="21" t="s">
        <v>23</v>
      </c>
      <c r="S16" s="54">
        <v>0.458333333333333</v>
      </c>
      <c r="T16" s="54">
        <v>0.666666666666667</v>
      </c>
      <c r="U16" s="21">
        <v>45</v>
      </c>
      <c r="V16" s="7">
        <v>45</v>
      </c>
      <c r="W16" s="7">
        <v>-1.4210854715202e-14</v>
      </c>
      <c r="X16" s="8">
        <v>0.416666666666667</v>
      </c>
      <c r="Y16" s="17"/>
    </row>
    <row r="17" customHeight="1" spans="1:25">
      <c r="A17" s="21">
        <v>10272259</v>
      </c>
      <c r="B17" s="21" t="s">
        <v>32</v>
      </c>
      <c r="C17" s="21" t="s">
        <v>20</v>
      </c>
      <c r="D17" s="21" t="s">
        <v>21</v>
      </c>
      <c r="E17" s="21" t="s">
        <v>22</v>
      </c>
      <c r="F17" s="21">
        <v>2</v>
      </c>
      <c r="G17" s="54">
        <v>0.5</v>
      </c>
      <c r="H17" s="54">
        <v>0.875</v>
      </c>
      <c r="I17" s="21" t="s">
        <v>23</v>
      </c>
      <c r="J17" s="54" t="s">
        <v>23</v>
      </c>
      <c r="K17" s="21" t="s">
        <v>23</v>
      </c>
      <c r="L17" s="54" t="s">
        <v>23</v>
      </c>
      <c r="M17" s="54">
        <v>0.5</v>
      </c>
      <c r="N17" s="54">
        <v>0.875</v>
      </c>
      <c r="O17" s="54">
        <v>0.5</v>
      </c>
      <c r="P17" s="54">
        <v>0.875</v>
      </c>
      <c r="Q17" s="54">
        <v>0.458333333333333</v>
      </c>
      <c r="R17" s="54">
        <v>0.666666666666667</v>
      </c>
      <c r="S17" s="54">
        <v>0.458333333333333</v>
      </c>
      <c r="T17" s="54">
        <v>0.666666666666667</v>
      </c>
      <c r="U17" s="21">
        <v>37</v>
      </c>
      <c r="V17" s="7">
        <v>37</v>
      </c>
      <c r="W17" s="7">
        <v>0</v>
      </c>
      <c r="X17" s="8">
        <v>0.375</v>
      </c>
      <c r="Y17" s="17"/>
    </row>
    <row r="18" customHeight="1" spans="1:25">
      <c r="A18" s="21">
        <v>10316618</v>
      </c>
      <c r="B18" s="21" t="s">
        <v>33</v>
      </c>
      <c r="C18" s="21" t="s">
        <v>20</v>
      </c>
      <c r="D18" s="21" t="s">
        <v>21</v>
      </c>
      <c r="E18" s="21" t="s">
        <v>22</v>
      </c>
      <c r="F18" s="21">
        <v>1</v>
      </c>
      <c r="G18" s="54">
        <v>0.458333333333333</v>
      </c>
      <c r="H18" s="54">
        <v>0.875</v>
      </c>
      <c r="I18" s="54">
        <v>0.458333333333333</v>
      </c>
      <c r="J18" s="54">
        <v>0.875</v>
      </c>
      <c r="K18" s="54">
        <v>0.458333333333333</v>
      </c>
      <c r="L18" s="54">
        <v>0.875</v>
      </c>
      <c r="M18" s="54">
        <v>0.458333333333333</v>
      </c>
      <c r="N18" s="54">
        <v>0.875</v>
      </c>
      <c r="O18" s="21" t="s">
        <v>23</v>
      </c>
      <c r="P18" s="54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v>45</v>
      </c>
      <c r="V18" s="7">
        <v>45</v>
      </c>
      <c r="W18" s="7">
        <v>-1.4210854715202e-14</v>
      </c>
      <c r="X18" s="8">
        <v>0.416666666666667</v>
      </c>
      <c r="Y18" s="17"/>
    </row>
    <row r="19" customHeight="1" spans="1:25">
      <c r="A19" s="21">
        <v>10295555</v>
      </c>
      <c r="B19" s="21" t="s">
        <v>34</v>
      </c>
      <c r="C19" s="21" t="s">
        <v>20</v>
      </c>
      <c r="D19" s="21" t="s">
        <v>21</v>
      </c>
      <c r="E19" s="21" t="s">
        <v>35</v>
      </c>
      <c r="F19" s="21">
        <v>2</v>
      </c>
      <c r="G19" s="54">
        <v>0.666666666666667</v>
      </c>
      <c r="H19" s="54">
        <v>0.875</v>
      </c>
      <c r="I19" s="54">
        <v>0.666666666666667</v>
      </c>
      <c r="J19" s="54">
        <v>0.875</v>
      </c>
      <c r="K19" s="54">
        <v>0.666666666666667</v>
      </c>
      <c r="L19" s="54">
        <v>0.875</v>
      </c>
      <c r="M19" s="21" t="s">
        <v>23</v>
      </c>
      <c r="N19" s="54" t="s">
        <v>23</v>
      </c>
      <c r="O19" s="21" t="s">
        <v>23</v>
      </c>
      <c r="P19" s="54" t="s">
        <v>23</v>
      </c>
      <c r="Q19" s="89" t="s">
        <v>36</v>
      </c>
      <c r="R19" s="89" t="s">
        <v>36</v>
      </c>
      <c r="S19" s="89" t="s">
        <v>36</v>
      </c>
      <c r="T19" s="89" t="s">
        <v>36</v>
      </c>
      <c r="U19" s="21">
        <v>15</v>
      </c>
      <c r="V19" s="7">
        <v>25</v>
      </c>
      <c r="W19" s="7">
        <v>10</v>
      </c>
      <c r="X19" s="8">
        <v>0.208333333333333</v>
      </c>
      <c r="Y19" s="17"/>
    </row>
    <row r="20" customHeight="1" spans="1:25">
      <c r="A20" s="21">
        <v>10317520</v>
      </c>
      <c r="B20" s="21" t="s">
        <v>37</v>
      </c>
      <c r="C20" s="21" t="s">
        <v>20</v>
      </c>
      <c r="D20" s="21" t="s">
        <v>21</v>
      </c>
      <c r="E20" s="21" t="s">
        <v>22</v>
      </c>
      <c r="F20" s="21">
        <v>2</v>
      </c>
      <c r="G20" s="54">
        <v>0.375</v>
      </c>
      <c r="H20" s="54">
        <v>0.791666666666667</v>
      </c>
      <c r="I20" s="54">
        <v>0.375</v>
      </c>
      <c r="J20" s="54">
        <v>0.791666666666667</v>
      </c>
      <c r="K20" s="54">
        <v>0.375</v>
      </c>
      <c r="L20" s="54">
        <v>0.791666666666667</v>
      </c>
      <c r="M20" s="54">
        <v>0.375</v>
      </c>
      <c r="N20" s="54">
        <v>0.791666666666667</v>
      </c>
      <c r="O20" s="21" t="s">
        <v>23</v>
      </c>
      <c r="P20" s="54" t="s">
        <v>23</v>
      </c>
      <c r="Q20" s="21" t="s">
        <v>23</v>
      </c>
      <c r="R20" s="21" t="s">
        <v>23</v>
      </c>
      <c r="S20" s="54">
        <v>0.458333333333333</v>
      </c>
      <c r="T20" s="54">
        <v>0.666666666666667</v>
      </c>
      <c r="U20" s="21">
        <v>45</v>
      </c>
      <c r="V20" s="7">
        <v>45</v>
      </c>
      <c r="W20" s="7">
        <v>7.105427357601e-15</v>
      </c>
      <c r="X20" s="8">
        <v>0.416666666666667</v>
      </c>
      <c r="Y20" s="17"/>
    </row>
    <row r="21" customHeight="1" spans="1:25">
      <c r="A21" s="21">
        <v>10316681</v>
      </c>
      <c r="B21" s="21" t="s">
        <v>38</v>
      </c>
      <c r="C21" s="21" t="s">
        <v>20</v>
      </c>
      <c r="D21" s="21" t="s">
        <v>21</v>
      </c>
      <c r="E21" s="21" t="s">
        <v>22</v>
      </c>
      <c r="F21" s="21">
        <v>1</v>
      </c>
      <c r="G21" s="54">
        <v>0.375</v>
      </c>
      <c r="H21" s="54">
        <v>0.791666666666667</v>
      </c>
      <c r="I21" s="54">
        <v>0.375</v>
      </c>
      <c r="J21" s="54">
        <v>0.791666666666667</v>
      </c>
      <c r="K21" s="54">
        <v>0.375</v>
      </c>
      <c r="L21" s="54">
        <v>0.791666666666667</v>
      </c>
      <c r="M21" s="54">
        <v>0.375</v>
      </c>
      <c r="N21" s="54">
        <v>0.791666666666667</v>
      </c>
      <c r="O21" s="21" t="s">
        <v>23</v>
      </c>
      <c r="P21" s="54" t="s">
        <v>23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v>45</v>
      </c>
      <c r="V21" s="7">
        <v>45</v>
      </c>
      <c r="W21" s="7">
        <v>7.105427357601e-15</v>
      </c>
      <c r="X21" s="8">
        <v>0.416666666666667</v>
      </c>
      <c r="Y21" s="17"/>
    </row>
    <row r="22" customHeight="1" spans="1:25">
      <c r="A22" s="21">
        <v>10316650</v>
      </c>
      <c r="B22" s="21" t="s">
        <v>39</v>
      </c>
      <c r="C22" s="21" t="s">
        <v>20</v>
      </c>
      <c r="D22" s="21" t="s">
        <v>21</v>
      </c>
      <c r="E22" s="21" t="s">
        <v>22</v>
      </c>
      <c r="F22" s="21">
        <v>2</v>
      </c>
      <c r="G22" s="54">
        <v>0.375</v>
      </c>
      <c r="H22" s="54">
        <v>0.791666666666667</v>
      </c>
      <c r="I22" s="54">
        <v>0.375</v>
      </c>
      <c r="J22" s="54">
        <v>0.791666666666667</v>
      </c>
      <c r="K22" s="54">
        <v>0.375</v>
      </c>
      <c r="L22" s="54">
        <v>0.791666666666667</v>
      </c>
      <c r="M22" s="54">
        <v>0.375</v>
      </c>
      <c r="N22" s="54">
        <v>0.791666666666667</v>
      </c>
      <c r="O22" s="21" t="s">
        <v>23</v>
      </c>
      <c r="P22" s="54" t="s">
        <v>23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v>45</v>
      </c>
      <c r="V22" s="7">
        <v>45</v>
      </c>
      <c r="W22" s="7">
        <v>7.105427357601e-15</v>
      </c>
      <c r="X22" s="8">
        <v>0.416666666666667</v>
      </c>
      <c r="Y22" s="17"/>
    </row>
    <row r="23" customHeight="1" spans="1:25">
      <c r="A23" s="21">
        <v>10316680</v>
      </c>
      <c r="B23" s="21" t="s">
        <v>40</v>
      </c>
      <c r="C23" s="21" t="s">
        <v>20</v>
      </c>
      <c r="D23" s="21" t="s">
        <v>21</v>
      </c>
      <c r="E23" s="21" t="s">
        <v>22</v>
      </c>
      <c r="F23" s="21">
        <v>1</v>
      </c>
      <c r="G23" s="21" t="s">
        <v>23</v>
      </c>
      <c r="H23" s="54" t="s">
        <v>23</v>
      </c>
      <c r="I23" s="54">
        <v>0.458333333333333</v>
      </c>
      <c r="J23" s="54">
        <v>0.875</v>
      </c>
      <c r="K23" s="54">
        <v>0.458333333333333</v>
      </c>
      <c r="L23" s="54">
        <v>0.875</v>
      </c>
      <c r="M23" s="54">
        <v>0.458333333333333</v>
      </c>
      <c r="N23" s="54">
        <v>0.875</v>
      </c>
      <c r="O23" s="54">
        <v>0.458333333333333</v>
      </c>
      <c r="P23" s="54">
        <v>0.875</v>
      </c>
      <c r="Q23" s="54">
        <v>0.458333333333333</v>
      </c>
      <c r="R23" s="54">
        <v>0.666666666666667</v>
      </c>
      <c r="S23" s="21" t="s">
        <v>23</v>
      </c>
      <c r="T23" s="21" t="s">
        <v>23</v>
      </c>
      <c r="U23" s="21">
        <v>45</v>
      </c>
      <c r="V23" s="7">
        <v>45</v>
      </c>
      <c r="W23" s="7">
        <v>-1.4210854715202e-14</v>
      </c>
      <c r="X23" s="8">
        <v>0.416666666666667</v>
      </c>
      <c r="Y23" s="17"/>
    </row>
    <row r="24" customHeight="1" spans="1:25">
      <c r="A24" s="21">
        <v>10316543</v>
      </c>
      <c r="B24" s="21" t="s">
        <v>41</v>
      </c>
      <c r="C24" s="21" t="s">
        <v>20</v>
      </c>
      <c r="D24" s="21" t="s">
        <v>21</v>
      </c>
      <c r="E24" s="21" t="s">
        <v>22</v>
      </c>
      <c r="F24" s="21">
        <v>1</v>
      </c>
      <c r="G24" s="54">
        <v>0.458333333333333</v>
      </c>
      <c r="H24" s="54">
        <v>0.875</v>
      </c>
      <c r="I24" s="54">
        <v>0.458333333333333</v>
      </c>
      <c r="J24" s="54">
        <v>0.875</v>
      </c>
      <c r="K24" s="54">
        <v>0.458333333333333</v>
      </c>
      <c r="L24" s="54">
        <v>0.875</v>
      </c>
      <c r="M24" s="54">
        <v>0.458333333333333</v>
      </c>
      <c r="N24" s="54">
        <v>0.875</v>
      </c>
      <c r="O24" s="21" t="s">
        <v>23</v>
      </c>
      <c r="P24" s="54" t="s">
        <v>23</v>
      </c>
      <c r="Q24" s="21" t="s">
        <v>23</v>
      </c>
      <c r="R24" s="21" t="s">
        <v>23</v>
      </c>
      <c r="S24" s="54">
        <v>0.458333333333333</v>
      </c>
      <c r="T24" s="54">
        <v>0.666666666666667</v>
      </c>
      <c r="U24" s="21">
        <v>45</v>
      </c>
      <c r="V24" s="7">
        <v>45</v>
      </c>
      <c r="W24" s="7">
        <v>-1.4210854715202e-14</v>
      </c>
      <c r="X24" s="8">
        <v>0.416666666666667</v>
      </c>
      <c r="Y24" s="17"/>
    </row>
    <row r="25" customHeight="1" spans="1:25">
      <c r="A25" s="21">
        <v>10317153</v>
      </c>
      <c r="B25" s="21" t="s">
        <v>42</v>
      </c>
      <c r="C25" s="21" t="s">
        <v>20</v>
      </c>
      <c r="D25" s="21" t="s">
        <v>21</v>
      </c>
      <c r="E25" s="21" t="s">
        <v>22</v>
      </c>
      <c r="F25" s="21">
        <v>1</v>
      </c>
      <c r="G25" s="21" t="s">
        <v>23</v>
      </c>
      <c r="H25" s="54" t="s">
        <v>23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54">
        <v>0.375</v>
      </c>
      <c r="P25" s="54">
        <v>0.791666666666667</v>
      </c>
      <c r="Q25" s="54">
        <v>0.458333333333333</v>
      </c>
      <c r="R25" s="54">
        <v>0.666666666666667</v>
      </c>
      <c r="S25" s="21" t="s">
        <v>23</v>
      </c>
      <c r="T25" s="21" t="s">
        <v>23</v>
      </c>
      <c r="U25" s="21">
        <v>45</v>
      </c>
      <c r="V25" s="7">
        <v>45</v>
      </c>
      <c r="W25" s="7">
        <v>-7.105427357601e-15</v>
      </c>
      <c r="X25" s="8">
        <v>0.416666666666667</v>
      </c>
      <c r="Y25" s="17"/>
    </row>
    <row r="26" customHeight="1" spans="1:25">
      <c r="A26" s="21">
        <v>10252106</v>
      </c>
      <c r="B26" s="21" t="s">
        <v>43</v>
      </c>
      <c r="C26" s="21" t="s">
        <v>20</v>
      </c>
      <c r="D26" s="21" t="s">
        <v>21</v>
      </c>
      <c r="E26" s="21" t="s">
        <v>22</v>
      </c>
      <c r="F26" s="21">
        <v>2</v>
      </c>
      <c r="G26" s="21" t="s">
        <v>23</v>
      </c>
      <c r="H26" s="54" t="s">
        <v>23</v>
      </c>
      <c r="I26" s="54">
        <v>0.375</v>
      </c>
      <c r="J26" s="54">
        <v>0.75</v>
      </c>
      <c r="K26" s="21" t="s">
        <v>23</v>
      </c>
      <c r="L26" s="54" t="s">
        <v>23</v>
      </c>
      <c r="M26" s="54">
        <v>0.375</v>
      </c>
      <c r="N26" s="54">
        <v>0.75</v>
      </c>
      <c r="O26" s="54">
        <v>0.375</v>
      </c>
      <c r="P26" s="54">
        <v>0.75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v>37</v>
      </c>
      <c r="V26" s="7">
        <v>37</v>
      </c>
      <c r="W26" s="7">
        <v>0</v>
      </c>
      <c r="X26" s="8">
        <v>0.375</v>
      </c>
      <c r="Y26" s="17"/>
    </row>
    <row r="27" customHeight="1" spans="1:25">
      <c r="A27" s="21">
        <v>10316538</v>
      </c>
      <c r="B27" s="21" t="s">
        <v>44</v>
      </c>
      <c r="C27" s="21" t="s">
        <v>20</v>
      </c>
      <c r="D27" s="21" t="s">
        <v>21</v>
      </c>
      <c r="E27" s="21" t="s">
        <v>22</v>
      </c>
      <c r="F27" s="21">
        <v>1</v>
      </c>
      <c r="G27" s="54">
        <v>0.5</v>
      </c>
      <c r="H27" s="54">
        <v>0.875</v>
      </c>
      <c r="I27" s="54">
        <v>0.5</v>
      </c>
      <c r="J27" s="54">
        <v>0.875</v>
      </c>
      <c r="K27" s="21" t="s">
        <v>23</v>
      </c>
      <c r="L27" s="54" t="s">
        <v>23</v>
      </c>
      <c r="M27" s="21" t="s">
        <v>23</v>
      </c>
      <c r="N27" s="54" t="s">
        <v>23</v>
      </c>
      <c r="O27" s="54">
        <v>0.5</v>
      </c>
      <c r="P27" s="54">
        <v>0.875</v>
      </c>
      <c r="Q27" s="54">
        <v>0.458333333333333</v>
      </c>
      <c r="R27" s="54">
        <v>0.666666666666667</v>
      </c>
      <c r="S27" s="54">
        <v>0.458333333333333</v>
      </c>
      <c r="T27" s="54">
        <v>0.666666666666667</v>
      </c>
      <c r="U27" s="21">
        <v>37</v>
      </c>
      <c r="V27" s="7">
        <v>37</v>
      </c>
      <c r="W27" s="7">
        <v>0</v>
      </c>
      <c r="X27" s="8">
        <v>0.375</v>
      </c>
      <c r="Y27" s="17"/>
    </row>
    <row r="28" customHeight="1" spans="1:25">
      <c r="A28" s="21">
        <v>10316545</v>
      </c>
      <c r="B28" s="21" t="s">
        <v>45</v>
      </c>
      <c r="C28" s="21" t="s">
        <v>20</v>
      </c>
      <c r="D28" s="21" t="s">
        <v>21</v>
      </c>
      <c r="E28" s="21" t="s">
        <v>22</v>
      </c>
      <c r="F28" s="21">
        <v>1</v>
      </c>
      <c r="G28" s="21" t="s">
        <v>23</v>
      </c>
      <c r="H28" s="54" t="s">
        <v>23</v>
      </c>
      <c r="I28" s="54">
        <v>0.375</v>
      </c>
      <c r="J28" s="54">
        <v>0.791666666666667</v>
      </c>
      <c r="K28" s="54">
        <v>0.375</v>
      </c>
      <c r="L28" s="54">
        <v>0.791666666666667</v>
      </c>
      <c r="M28" s="54">
        <v>0.375</v>
      </c>
      <c r="N28" s="54">
        <v>0.791666666666667</v>
      </c>
      <c r="O28" s="54">
        <v>0.375</v>
      </c>
      <c r="P28" s="54">
        <v>0.791666666666667</v>
      </c>
      <c r="Q28" s="54">
        <v>0.458333333333333</v>
      </c>
      <c r="R28" s="54">
        <v>0.666666666666667</v>
      </c>
      <c r="S28" s="21" t="s">
        <v>23</v>
      </c>
      <c r="T28" s="21" t="s">
        <v>23</v>
      </c>
      <c r="U28" s="21">
        <v>45</v>
      </c>
      <c r="V28" s="7">
        <v>45</v>
      </c>
      <c r="W28" s="7">
        <v>-7.105427357601e-15</v>
      </c>
      <c r="X28" s="8">
        <v>0.416666666666667</v>
      </c>
      <c r="Y28" s="17"/>
    </row>
    <row r="29" customHeight="1" spans="1:25">
      <c r="A29" s="21">
        <v>10316572</v>
      </c>
      <c r="B29" s="21" t="s">
        <v>46</v>
      </c>
      <c r="C29" s="21" t="s">
        <v>20</v>
      </c>
      <c r="D29" s="21" t="s">
        <v>21</v>
      </c>
      <c r="E29" s="21" t="s">
        <v>22</v>
      </c>
      <c r="F29" s="21">
        <v>2</v>
      </c>
      <c r="G29" s="54">
        <v>0.458333333333333</v>
      </c>
      <c r="H29" s="54">
        <v>0.875</v>
      </c>
      <c r="I29" s="54">
        <v>0.458333333333333</v>
      </c>
      <c r="J29" s="54">
        <v>0.875</v>
      </c>
      <c r="K29" s="54">
        <v>0.458333333333333</v>
      </c>
      <c r="L29" s="54">
        <v>0.875</v>
      </c>
      <c r="M29" s="54">
        <v>0.458333333333333</v>
      </c>
      <c r="N29" s="54">
        <v>0.875</v>
      </c>
      <c r="O29" s="21" t="s">
        <v>23</v>
      </c>
      <c r="P29" s="54" t="s">
        <v>23</v>
      </c>
      <c r="Q29" s="21" t="s">
        <v>23</v>
      </c>
      <c r="R29" s="21" t="s">
        <v>23</v>
      </c>
      <c r="S29" s="54">
        <v>0.458333333333333</v>
      </c>
      <c r="T29" s="54">
        <v>0.666666666666667</v>
      </c>
      <c r="U29" s="21">
        <v>45</v>
      </c>
      <c r="V29" s="7">
        <v>45</v>
      </c>
      <c r="W29" s="7">
        <v>-1.4210854715202e-14</v>
      </c>
      <c r="X29" s="8">
        <v>0.416666666666667</v>
      </c>
      <c r="Y29" s="17"/>
    </row>
    <row r="30" customHeight="1" spans="1:25">
      <c r="A30" s="21">
        <v>10316685</v>
      </c>
      <c r="B30" s="21" t="s">
        <v>47</v>
      </c>
      <c r="C30" s="21" t="s">
        <v>20</v>
      </c>
      <c r="D30" s="21" t="s">
        <v>21</v>
      </c>
      <c r="E30" s="21" t="s">
        <v>22</v>
      </c>
      <c r="F30" s="21">
        <v>1</v>
      </c>
      <c r="G30" s="21" t="s">
        <v>23</v>
      </c>
      <c r="H30" s="54" t="s">
        <v>23</v>
      </c>
      <c r="I30" s="54">
        <v>0.458333333333333</v>
      </c>
      <c r="J30" s="54">
        <v>0.875</v>
      </c>
      <c r="K30" s="54">
        <v>0.458333333333333</v>
      </c>
      <c r="L30" s="54">
        <v>0.875</v>
      </c>
      <c r="M30" s="54">
        <v>0.458333333333333</v>
      </c>
      <c r="N30" s="54">
        <v>0.875</v>
      </c>
      <c r="O30" s="54">
        <v>0.458333333333333</v>
      </c>
      <c r="P30" s="54">
        <v>0.875</v>
      </c>
      <c r="Q30" s="54">
        <v>0.458333333333333</v>
      </c>
      <c r="R30" s="54">
        <v>0.666666666666667</v>
      </c>
      <c r="S30" s="21" t="s">
        <v>23</v>
      </c>
      <c r="T30" s="21" t="s">
        <v>23</v>
      </c>
      <c r="U30" s="21">
        <v>45</v>
      </c>
      <c r="V30" s="7">
        <v>45</v>
      </c>
      <c r="W30" s="7">
        <v>-1.4210854715202e-14</v>
      </c>
      <c r="X30" s="8">
        <v>0.416666666666667</v>
      </c>
      <c r="Y30" s="17"/>
    </row>
    <row r="31" customHeight="1" spans="1:25">
      <c r="A31" s="21">
        <v>10274446</v>
      </c>
      <c r="B31" s="21" t="s">
        <v>48</v>
      </c>
      <c r="C31" s="21" t="s">
        <v>20</v>
      </c>
      <c r="D31" s="21" t="s">
        <v>21</v>
      </c>
      <c r="E31" s="21" t="s">
        <v>22</v>
      </c>
      <c r="F31" s="21">
        <v>2</v>
      </c>
      <c r="G31" s="54">
        <v>0.5</v>
      </c>
      <c r="H31" s="54">
        <v>0.875</v>
      </c>
      <c r="I31" s="54">
        <v>0.5</v>
      </c>
      <c r="J31" s="54">
        <v>0.875</v>
      </c>
      <c r="K31" s="21" t="s">
        <v>23</v>
      </c>
      <c r="L31" s="54" t="s">
        <v>23</v>
      </c>
      <c r="M31" s="21" t="s">
        <v>23</v>
      </c>
      <c r="N31" s="54" t="s">
        <v>23</v>
      </c>
      <c r="O31" s="54">
        <v>0.5</v>
      </c>
      <c r="P31" s="54">
        <v>0.875</v>
      </c>
      <c r="Q31" s="54">
        <v>0.458333333333333</v>
      </c>
      <c r="R31" s="54">
        <v>0.666666666666667</v>
      </c>
      <c r="S31" s="54">
        <v>0.458333333333333</v>
      </c>
      <c r="T31" s="54">
        <v>0.666666666666667</v>
      </c>
      <c r="U31" s="21">
        <v>37</v>
      </c>
      <c r="V31" s="7">
        <v>37</v>
      </c>
      <c r="W31" s="7">
        <v>0</v>
      </c>
      <c r="X31" s="8">
        <v>0.375</v>
      </c>
      <c r="Y31" s="17"/>
    </row>
    <row r="32" customHeight="1" spans="1:25">
      <c r="A32" s="21">
        <v>10316546</v>
      </c>
      <c r="B32" s="86" t="s">
        <v>49</v>
      </c>
      <c r="C32" s="21" t="s">
        <v>20</v>
      </c>
      <c r="D32" s="21" t="s">
        <v>21</v>
      </c>
      <c r="E32" s="21" t="s">
        <v>22</v>
      </c>
      <c r="F32" s="21">
        <v>1</v>
      </c>
      <c r="G32" s="54">
        <v>0.375</v>
      </c>
      <c r="H32" s="54">
        <v>0.791666666666667</v>
      </c>
      <c r="I32" s="54">
        <v>0.375</v>
      </c>
      <c r="J32" s="54">
        <v>0.791666666666667</v>
      </c>
      <c r="K32" s="54">
        <v>0.375</v>
      </c>
      <c r="L32" s="54">
        <v>0.791666666666667</v>
      </c>
      <c r="M32" s="54">
        <v>0.375</v>
      </c>
      <c r="N32" s="54">
        <v>0.791666666666667</v>
      </c>
      <c r="O32" s="21" t="s">
        <v>23</v>
      </c>
      <c r="P32" s="54" t="s">
        <v>23</v>
      </c>
      <c r="Q32" s="21" t="s">
        <v>23</v>
      </c>
      <c r="R32" s="54" t="s">
        <v>23</v>
      </c>
      <c r="S32" s="54">
        <v>0.458333333333333</v>
      </c>
      <c r="T32" s="54">
        <v>0.666666666666667</v>
      </c>
      <c r="U32" s="21">
        <v>45</v>
      </c>
      <c r="V32" s="7">
        <v>45</v>
      </c>
      <c r="W32" s="7">
        <v>7.105427357601e-15</v>
      </c>
      <c r="X32" s="8">
        <v>0.416666666666667</v>
      </c>
      <c r="Y32" s="17"/>
    </row>
    <row r="33" customHeight="1" spans="1:25">
      <c r="A33" s="21">
        <v>10316551</v>
      </c>
      <c r="B33" s="86" t="s">
        <v>50</v>
      </c>
      <c r="C33" s="21" t="s">
        <v>20</v>
      </c>
      <c r="D33" s="21" t="s">
        <v>21</v>
      </c>
      <c r="E33" s="21" t="s">
        <v>22</v>
      </c>
      <c r="F33" s="21">
        <v>1</v>
      </c>
      <c r="G33" s="54">
        <v>0.375</v>
      </c>
      <c r="H33" s="54">
        <v>0.791666666666667</v>
      </c>
      <c r="I33" s="54">
        <v>0.375</v>
      </c>
      <c r="J33" s="54">
        <v>0.791666666666667</v>
      </c>
      <c r="K33" s="54">
        <v>0.375</v>
      </c>
      <c r="L33" s="54">
        <v>0.791666666666667</v>
      </c>
      <c r="M33" s="54">
        <v>0.375</v>
      </c>
      <c r="N33" s="54">
        <v>0.791666666666667</v>
      </c>
      <c r="O33" s="21" t="s">
        <v>23</v>
      </c>
      <c r="P33" s="54" t="s">
        <v>23</v>
      </c>
      <c r="Q33" s="21" t="s">
        <v>23</v>
      </c>
      <c r="R33" s="54" t="s">
        <v>23</v>
      </c>
      <c r="S33" s="54">
        <v>0.458333333333333</v>
      </c>
      <c r="T33" s="54">
        <v>0.666666666666667</v>
      </c>
      <c r="U33" s="21">
        <v>45</v>
      </c>
      <c r="V33" s="7">
        <v>45</v>
      </c>
      <c r="W33" s="7">
        <v>7.105427357601e-15</v>
      </c>
      <c r="X33" s="8">
        <v>0.416666666666667</v>
      </c>
      <c r="Y33" s="17"/>
    </row>
    <row r="34" customHeight="1" spans="1:25">
      <c r="A34" s="21">
        <v>10316683</v>
      </c>
      <c r="B34" s="86" t="s">
        <v>51</v>
      </c>
      <c r="C34" s="21" t="s">
        <v>20</v>
      </c>
      <c r="D34" s="21" t="s">
        <v>21</v>
      </c>
      <c r="E34" s="21" t="s">
        <v>22</v>
      </c>
      <c r="F34" s="21">
        <v>1</v>
      </c>
      <c r="G34" s="21" t="s">
        <v>23</v>
      </c>
      <c r="H34" s="54" t="s">
        <v>23</v>
      </c>
      <c r="I34" s="54">
        <v>0.375</v>
      </c>
      <c r="J34" s="54">
        <v>0.791666666666667</v>
      </c>
      <c r="K34" s="54">
        <v>0.375</v>
      </c>
      <c r="L34" s="54">
        <v>0.791666666666667</v>
      </c>
      <c r="M34" s="54">
        <v>0.375</v>
      </c>
      <c r="N34" s="54">
        <v>0.791666666666667</v>
      </c>
      <c r="O34" s="54">
        <v>0.375</v>
      </c>
      <c r="P34" s="54">
        <v>0.791666666666667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v>45</v>
      </c>
      <c r="V34" s="7">
        <v>45</v>
      </c>
      <c r="W34" s="7">
        <v>1.4210854715202e-14</v>
      </c>
      <c r="X34" s="8">
        <v>0.416666666666667</v>
      </c>
      <c r="Y34" s="17"/>
    </row>
    <row r="35" customHeight="1" spans="1:25">
      <c r="A35" s="21">
        <v>10317151</v>
      </c>
      <c r="B35" s="86" t="s">
        <v>52</v>
      </c>
      <c r="C35" s="21" t="s">
        <v>20</v>
      </c>
      <c r="D35" s="21" t="s">
        <v>21</v>
      </c>
      <c r="E35" s="21" t="s">
        <v>22</v>
      </c>
      <c r="F35" s="21">
        <v>1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v>45</v>
      </c>
      <c r="V35" s="7">
        <v>45</v>
      </c>
      <c r="W35" s="7">
        <v>0</v>
      </c>
      <c r="X35" s="8">
        <v>0.416666666666667</v>
      </c>
      <c r="Y35" s="17"/>
    </row>
    <row r="36" customHeight="1" spans="1:25">
      <c r="A36" s="21">
        <v>10317524</v>
      </c>
      <c r="B36" s="86" t="s">
        <v>53</v>
      </c>
      <c r="C36" s="21" t="s">
        <v>20</v>
      </c>
      <c r="D36" s="21" t="s">
        <v>21</v>
      </c>
      <c r="E36" s="21" t="s">
        <v>22</v>
      </c>
      <c r="F36" s="21">
        <v>2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54" t="s">
        <v>23</v>
      </c>
      <c r="S36" s="21" t="s">
        <v>23</v>
      </c>
      <c r="T36" s="21" t="s">
        <v>23</v>
      </c>
      <c r="U36" s="21">
        <v>45</v>
      </c>
      <c r="V36" s="7">
        <v>45</v>
      </c>
      <c r="W36" s="7">
        <v>0</v>
      </c>
      <c r="X36" s="8">
        <v>0.375</v>
      </c>
      <c r="Y36" s="17"/>
    </row>
    <row r="37" customHeight="1" spans="1:25">
      <c r="A37" s="86">
        <v>10276839</v>
      </c>
      <c r="B37" s="51" t="s">
        <v>54</v>
      </c>
      <c r="C37" s="21" t="s">
        <v>20</v>
      </c>
      <c r="D37" s="21" t="s">
        <v>21</v>
      </c>
      <c r="E37" s="21" t="s">
        <v>22</v>
      </c>
      <c r="F37" s="21">
        <v>2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v>45</v>
      </c>
      <c r="V37" s="7">
        <v>45</v>
      </c>
      <c r="W37" s="7">
        <v>0</v>
      </c>
      <c r="X37" s="8">
        <v>0.375</v>
      </c>
      <c r="Y37" s="17"/>
    </row>
    <row r="38" customHeight="1" spans="1:25">
      <c r="A38" s="86">
        <v>10320407</v>
      </c>
      <c r="B38" s="51" t="s">
        <v>55</v>
      </c>
      <c r="C38" s="21" t="s">
        <v>20</v>
      </c>
      <c r="D38" s="21" t="s">
        <v>219</v>
      </c>
      <c r="E38" s="21" t="s">
        <v>22</v>
      </c>
      <c r="F38" s="87">
        <v>3</v>
      </c>
      <c r="G38" s="54">
        <v>0.375</v>
      </c>
      <c r="H38" s="54">
        <v>0.75</v>
      </c>
      <c r="I38" s="54">
        <v>0.375</v>
      </c>
      <c r="J38" s="54">
        <v>0.75</v>
      </c>
      <c r="K38" s="54">
        <v>0.375</v>
      </c>
      <c r="L38" s="54">
        <v>0.75</v>
      </c>
      <c r="M38" s="54">
        <v>0.375</v>
      </c>
      <c r="N38" s="54">
        <v>0.75</v>
      </c>
      <c r="O38" s="54">
        <v>0.375</v>
      </c>
      <c r="P38" s="54">
        <v>0.75</v>
      </c>
      <c r="Q38" s="21" t="s">
        <v>23</v>
      </c>
      <c r="R38" s="21" t="s">
        <v>23</v>
      </c>
      <c r="S38" s="21" t="s">
        <v>23</v>
      </c>
      <c r="T38" s="21" t="s">
        <v>23</v>
      </c>
      <c r="U38" s="21">
        <v>45</v>
      </c>
      <c r="V38" s="7">
        <v>45</v>
      </c>
      <c r="W38" s="7"/>
      <c r="X38" s="7"/>
      <c r="Y38" s="17"/>
    </row>
    <row r="39" customHeight="1" spans="1:25">
      <c r="A39" s="86">
        <v>10320408</v>
      </c>
      <c r="B39" s="51" t="s">
        <v>56</v>
      </c>
      <c r="C39" s="21" t="s">
        <v>20</v>
      </c>
      <c r="D39" s="21" t="s">
        <v>219</v>
      </c>
      <c r="E39" s="21" t="s">
        <v>22</v>
      </c>
      <c r="F39" s="87">
        <v>3</v>
      </c>
      <c r="G39" s="54">
        <v>0.375</v>
      </c>
      <c r="H39" s="54">
        <v>0.75</v>
      </c>
      <c r="I39" s="54">
        <v>0.375</v>
      </c>
      <c r="J39" s="54">
        <v>0.75</v>
      </c>
      <c r="K39" s="54">
        <v>0.375</v>
      </c>
      <c r="L39" s="54">
        <v>0.75</v>
      </c>
      <c r="M39" s="54">
        <v>0.375</v>
      </c>
      <c r="N39" s="54">
        <v>0.75</v>
      </c>
      <c r="O39" s="54">
        <v>0.375</v>
      </c>
      <c r="P39" s="54">
        <v>0.75</v>
      </c>
      <c r="Q39" s="21" t="s">
        <v>23</v>
      </c>
      <c r="R39" s="21" t="s">
        <v>23</v>
      </c>
      <c r="S39" s="21" t="s">
        <v>23</v>
      </c>
      <c r="T39" s="21" t="s">
        <v>23</v>
      </c>
      <c r="U39" s="21">
        <v>45</v>
      </c>
      <c r="V39" s="7">
        <v>45</v>
      </c>
      <c r="W39" s="7"/>
      <c r="X39" s="7"/>
      <c r="Y39" s="17"/>
    </row>
    <row r="40" customHeight="1" spans="1:24">
      <c r="A40" s="86">
        <v>10320409</v>
      </c>
      <c r="B40" s="51" t="s">
        <v>57</v>
      </c>
      <c r="C40" s="21" t="s">
        <v>20</v>
      </c>
      <c r="D40" s="21" t="s">
        <v>219</v>
      </c>
      <c r="E40" s="21" t="s">
        <v>22</v>
      </c>
      <c r="F40" s="87">
        <v>3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v>45</v>
      </c>
      <c r="V40" s="7">
        <v>45</v>
      </c>
      <c r="W40" s="90"/>
      <c r="X40" s="90"/>
    </row>
    <row r="41" customHeight="1" spans="1:24">
      <c r="A41" s="86">
        <v>10320410</v>
      </c>
      <c r="B41" s="51" t="s">
        <v>58</v>
      </c>
      <c r="C41" s="21" t="s">
        <v>20</v>
      </c>
      <c r="D41" s="21" t="s">
        <v>219</v>
      </c>
      <c r="E41" s="21" t="s">
        <v>22</v>
      </c>
      <c r="F41" s="87"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v>45</v>
      </c>
      <c r="V41" s="7">
        <v>45</v>
      </c>
      <c r="W41" s="90"/>
      <c r="X41" s="90"/>
    </row>
    <row r="42" customHeight="1" spans="1:24">
      <c r="A42" s="86">
        <v>10320412</v>
      </c>
      <c r="B42" s="51" t="s">
        <v>59</v>
      </c>
      <c r="C42" s="21" t="s">
        <v>20</v>
      </c>
      <c r="D42" s="21" t="s">
        <v>219</v>
      </c>
      <c r="E42" s="21" t="s">
        <v>22</v>
      </c>
      <c r="F42" s="87">
        <v>3</v>
      </c>
      <c r="G42" s="54">
        <v>0.375</v>
      </c>
      <c r="H42" s="54">
        <v>0.75</v>
      </c>
      <c r="I42" s="54">
        <v>0.375</v>
      </c>
      <c r="J42" s="54">
        <v>0.75</v>
      </c>
      <c r="K42" s="54">
        <v>0.375</v>
      </c>
      <c r="L42" s="54">
        <v>0.75</v>
      </c>
      <c r="M42" s="54">
        <v>0.375</v>
      </c>
      <c r="N42" s="54">
        <v>0.75</v>
      </c>
      <c r="O42" s="54">
        <v>0.375</v>
      </c>
      <c r="P42" s="54">
        <v>0.75</v>
      </c>
      <c r="Q42" s="21" t="s">
        <v>23</v>
      </c>
      <c r="R42" s="21" t="s">
        <v>23</v>
      </c>
      <c r="S42" s="21" t="s">
        <v>23</v>
      </c>
      <c r="T42" s="21" t="s">
        <v>23</v>
      </c>
      <c r="U42" s="21">
        <v>45</v>
      </c>
      <c r="V42" s="7">
        <v>45</v>
      </c>
      <c r="W42" s="90"/>
      <c r="X42" s="90"/>
    </row>
    <row r="43" customHeight="1" spans="1:24">
      <c r="A43" s="86">
        <v>10320413</v>
      </c>
      <c r="B43" s="51" t="s">
        <v>60</v>
      </c>
      <c r="C43" s="21" t="s">
        <v>20</v>
      </c>
      <c r="D43" s="21" t="s">
        <v>219</v>
      </c>
      <c r="E43" s="21" t="s">
        <v>22</v>
      </c>
      <c r="F43" s="87">
        <v>3</v>
      </c>
      <c r="G43" s="54">
        <v>0.375</v>
      </c>
      <c r="H43" s="54">
        <v>0.75</v>
      </c>
      <c r="I43" s="54">
        <v>0.375</v>
      </c>
      <c r="J43" s="54">
        <v>0.75</v>
      </c>
      <c r="K43" s="54">
        <v>0.375</v>
      </c>
      <c r="L43" s="54">
        <v>0.75</v>
      </c>
      <c r="M43" s="54">
        <v>0.375</v>
      </c>
      <c r="N43" s="54">
        <v>0.75</v>
      </c>
      <c r="O43" s="54">
        <v>0.375</v>
      </c>
      <c r="P43" s="54">
        <v>0.75</v>
      </c>
      <c r="Q43" s="21" t="s">
        <v>23</v>
      </c>
      <c r="R43" s="21" t="s">
        <v>23</v>
      </c>
      <c r="S43" s="21" t="s">
        <v>23</v>
      </c>
      <c r="T43" s="21" t="s">
        <v>23</v>
      </c>
      <c r="U43" s="21">
        <v>45</v>
      </c>
      <c r="V43" s="7">
        <v>45</v>
      </c>
      <c r="W43" s="90"/>
      <c r="X43" s="90"/>
    </row>
    <row r="44" customHeight="1" spans="1:24">
      <c r="A44" s="86">
        <v>10250966</v>
      </c>
      <c r="B44" s="51" t="s">
        <v>61</v>
      </c>
      <c r="C44" s="21" t="s">
        <v>20</v>
      </c>
      <c r="D44" s="21" t="s">
        <v>219</v>
      </c>
      <c r="E44" s="21" t="s">
        <v>22</v>
      </c>
      <c r="F44" s="87">
        <v>3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v>45</v>
      </c>
      <c r="V44" s="7">
        <v>45</v>
      </c>
      <c r="W44" s="90"/>
      <c r="X44" s="90"/>
    </row>
    <row r="45" customHeight="1" spans="1:25">
      <c r="A45" s="86">
        <v>10320414</v>
      </c>
      <c r="B45" s="51" t="s">
        <v>62</v>
      </c>
      <c r="C45" s="21" t="s">
        <v>20</v>
      </c>
      <c r="D45" s="21" t="s">
        <v>219</v>
      </c>
      <c r="E45" s="21" t="s">
        <v>22</v>
      </c>
      <c r="F45" s="87"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v>45</v>
      </c>
      <c r="V45" s="7">
        <v>45</v>
      </c>
      <c r="W45" s="7"/>
      <c r="X45" s="7"/>
      <c r="Y45" s="17"/>
    </row>
    <row r="46" customHeight="1" spans="1:25">
      <c r="A46" s="86">
        <v>10320415</v>
      </c>
      <c r="B46" s="51" t="s">
        <v>63</v>
      </c>
      <c r="C46" s="21" t="s">
        <v>20</v>
      </c>
      <c r="D46" s="21" t="s">
        <v>219</v>
      </c>
      <c r="E46" s="21" t="s">
        <v>22</v>
      </c>
      <c r="F46" s="87">
        <v>3</v>
      </c>
      <c r="G46" s="54">
        <v>0.375</v>
      </c>
      <c r="H46" s="54">
        <v>0.75</v>
      </c>
      <c r="I46" s="54">
        <v>0.375</v>
      </c>
      <c r="J46" s="54">
        <v>0.75</v>
      </c>
      <c r="K46" s="54">
        <v>0.375</v>
      </c>
      <c r="L46" s="54">
        <v>0.75</v>
      </c>
      <c r="M46" s="54">
        <v>0.375</v>
      </c>
      <c r="N46" s="54">
        <v>0.75</v>
      </c>
      <c r="O46" s="54">
        <v>0.375</v>
      </c>
      <c r="P46" s="54">
        <v>0.75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v>45</v>
      </c>
      <c r="V46" s="7">
        <v>45</v>
      </c>
      <c r="W46" s="7"/>
      <c r="X46" s="7"/>
      <c r="Y46" s="17"/>
    </row>
    <row r="47" customHeight="1" spans="1:25">
      <c r="A47" s="86">
        <v>10293627</v>
      </c>
      <c r="B47" s="51" t="s">
        <v>64</v>
      </c>
      <c r="C47" s="21" t="s">
        <v>20</v>
      </c>
      <c r="D47" s="21" t="s">
        <v>219</v>
      </c>
      <c r="E47" s="21" t="s">
        <v>22</v>
      </c>
      <c r="F47" s="87">
        <v>3</v>
      </c>
      <c r="G47" s="54">
        <v>0.375</v>
      </c>
      <c r="H47" s="54">
        <v>0.75</v>
      </c>
      <c r="I47" s="54">
        <v>0.375</v>
      </c>
      <c r="J47" s="54">
        <v>0.75</v>
      </c>
      <c r="K47" s="54">
        <v>0.375</v>
      </c>
      <c r="L47" s="54">
        <v>0.75</v>
      </c>
      <c r="M47" s="54">
        <v>0.375</v>
      </c>
      <c r="N47" s="54">
        <v>0.75</v>
      </c>
      <c r="O47" s="54">
        <v>0.375</v>
      </c>
      <c r="P47" s="54">
        <v>0.75</v>
      </c>
      <c r="Q47" s="21" t="s">
        <v>23</v>
      </c>
      <c r="R47" s="21" t="s">
        <v>23</v>
      </c>
      <c r="S47" s="21" t="s">
        <v>23</v>
      </c>
      <c r="T47" s="21" t="s">
        <v>23</v>
      </c>
      <c r="U47" s="21">
        <v>45</v>
      </c>
      <c r="V47" s="7">
        <v>45</v>
      </c>
      <c r="W47" s="7"/>
      <c r="X47" s="7"/>
      <c r="Y47" s="17"/>
    </row>
    <row r="48" customHeight="1" spans="1:25">
      <c r="A48" s="86">
        <v>10293607</v>
      </c>
      <c r="B48" s="51" t="s">
        <v>65</v>
      </c>
      <c r="C48" s="21" t="s">
        <v>20</v>
      </c>
      <c r="D48" s="21" t="s">
        <v>219</v>
      </c>
      <c r="E48" s="21" t="s">
        <v>22</v>
      </c>
      <c r="F48" s="87"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v>45</v>
      </c>
      <c r="V48" s="7">
        <v>45</v>
      </c>
      <c r="W48" s="7"/>
      <c r="X48" s="7"/>
      <c r="Y48" s="17"/>
    </row>
    <row r="49" customHeight="1" spans="1:25">
      <c r="A49" s="86">
        <v>10320416</v>
      </c>
      <c r="B49" s="51" t="s">
        <v>66</v>
      </c>
      <c r="C49" s="21" t="s">
        <v>20</v>
      </c>
      <c r="D49" s="21" t="s">
        <v>219</v>
      </c>
      <c r="E49" s="21" t="s">
        <v>22</v>
      </c>
      <c r="F49" s="87">
        <v>3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21" t="s">
        <v>23</v>
      </c>
      <c r="R49" s="21" t="s">
        <v>23</v>
      </c>
      <c r="S49" s="21" t="s">
        <v>23</v>
      </c>
      <c r="T49" s="21" t="s">
        <v>23</v>
      </c>
      <c r="U49" s="21">
        <v>45</v>
      </c>
      <c r="V49" s="7">
        <v>45</v>
      </c>
      <c r="W49" s="7"/>
      <c r="X49" s="7"/>
      <c r="Y49" s="17"/>
    </row>
    <row r="50" customHeight="1" spans="1:25">
      <c r="A50" s="86">
        <v>10320417</v>
      </c>
      <c r="B50" s="51" t="s">
        <v>67</v>
      </c>
      <c r="C50" s="21" t="s">
        <v>20</v>
      </c>
      <c r="D50" s="21" t="s">
        <v>219</v>
      </c>
      <c r="E50" s="21" t="s">
        <v>22</v>
      </c>
      <c r="F50" s="87">
        <v>3</v>
      </c>
      <c r="G50" s="54">
        <v>0.375</v>
      </c>
      <c r="H50" s="54">
        <v>0.75</v>
      </c>
      <c r="I50" s="54">
        <v>0.375</v>
      </c>
      <c r="J50" s="54">
        <v>0.75</v>
      </c>
      <c r="K50" s="54">
        <v>0.375</v>
      </c>
      <c r="L50" s="54">
        <v>0.75</v>
      </c>
      <c r="M50" s="54">
        <v>0.375</v>
      </c>
      <c r="N50" s="54">
        <v>0.75</v>
      </c>
      <c r="O50" s="54">
        <v>0.375</v>
      </c>
      <c r="P50" s="54">
        <v>0.75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v>45</v>
      </c>
      <c r="V50" s="7">
        <v>45</v>
      </c>
      <c r="W50" s="7"/>
      <c r="X50" s="7"/>
      <c r="Y50" s="17"/>
    </row>
    <row r="51" customHeight="1" spans="1:25">
      <c r="A51" s="86">
        <v>10320418</v>
      </c>
      <c r="B51" s="51" t="s">
        <v>68</v>
      </c>
      <c r="C51" s="21" t="s">
        <v>20</v>
      </c>
      <c r="D51" s="21" t="s">
        <v>219</v>
      </c>
      <c r="E51" s="21" t="s">
        <v>22</v>
      </c>
      <c r="F51" s="87"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v>45</v>
      </c>
      <c r="V51" s="7">
        <v>45</v>
      </c>
      <c r="W51" s="7"/>
      <c r="X51" s="7"/>
      <c r="Y51" s="17"/>
    </row>
    <row r="52" customHeight="1" spans="1:25">
      <c r="A52" s="86">
        <v>10320419</v>
      </c>
      <c r="B52" s="51" t="s">
        <v>69</v>
      </c>
      <c r="C52" s="21" t="s">
        <v>20</v>
      </c>
      <c r="D52" s="21" t="s">
        <v>219</v>
      </c>
      <c r="E52" s="21" t="s">
        <v>22</v>
      </c>
      <c r="F52" s="87">
        <v>3</v>
      </c>
      <c r="G52" s="54">
        <v>0.375</v>
      </c>
      <c r="H52" s="54">
        <v>0.75</v>
      </c>
      <c r="I52" s="54">
        <v>0.375</v>
      </c>
      <c r="J52" s="54">
        <v>0.75</v>
      </c>
      <c r="K52" s="54">
        <v>0.375</v>
      </c>
      <c r="L52" s="54">
        <v>0.75</v>
      </c>
      <c r="M52" s="54">
        <v>0.375</v>
      </c>
      <c r="N52" s="54">
        <v>0.75</v>
      </c>
      <c r="O52" s="54">
        <v>0.375</v>
      </c>
      <c r="P52" s="54">
        <v>0.75</v>
      </c>
      <c r="Q52" s="21" t="s">
        <v>23</v>
      </c>
      <c r="R52" s="21" t="s">
        <v>23</v>
      </c>
      <c r="S52" s="21" t="s">
        <v>23</v>
      </c>
      <c r="T52" s="21" t="s">
        <v>23</v>
      </c>
      <c r="U52" s="21">
        <v>45</v>
      </c>
      <c r="V52" s="7">
        <v>45</v>
      </c>
      <c r="W52" s="7"/>
      <c r="X52" s="7"/>
      <c r="Y52" s="17"/>
    </row>
    <row r="53" customHeight="1" spans="1:25">
      <c r="A53" s="86">
        <v>10317154</v>
      </c>
      <c r="B53" s="51" t="s">
        <v>70</v>
      </c>
      <c r="C53" s="21" t="s">
        <v>20</v>
      </c>
      <c r="D53" s="21" t="s">
        <v>219</v>
      </c>
      <c r="E53" s="21" t="s">
        <v>22</v>
      </c>
      <c r="F53" s="87">
        <v>3</v>
      </c>
      <c r="G53" s="54">
        <v>0.375</v>
      </c>
      <c r="H53" s="54">
        <v>0.75</v>
      </c>
      <c r="I53" s="54">
        <v>0.375</v>
      </c>
      <c r="J53" s="54">
        <v>0.75</v>
      </c>
      <c r="K53" s="54">
        <v>0.375</v>
      </c>
      <c r="L53" s="54">
        <v>0.75</v>
      </c>
      <c r="M53" s="54">
        <v>0.375</v>
      </c>
      <c r="N53" s="54">
        <v>0.75</v>
      </c>
      <c r="O53" s="54">
        <v>0.375</v>
      </c>
      <c r="P53" s="54">
        <v>0.75</v>
      </c>
      <c r="Q53" s="21" t="s">
        <v>23</v>
      </c>
      <c r="R53" s="21" t="s">
        <v>23</v>
      </c>
      <c r="S53" s="21" t="s">
        <v>23</v>
      </c>
      <c r="T53" s="21" t="s">
        <v>23</v>
      </c>
      <c r="U53" s="21">
        <v>45</v>
      </c>
      <c r="V53" s="7">
        <v>45</v>
      </c>
      <c r="W53" s="7"/>
      <c r="X53" s="7"/>
      <c r="Y53" s="17"/>
    </row>
    <row r="54" customHeight="1" spans="1:25">
      <c r="A54" s="86">
        <v>10320435</v>
      </c>
      <c r="B54" s="51" t="s">
        <v>71</v>
      </c>
      <c r="C54" s="21" t="s">
        <v>20</v>
      </c>
      <c r="D54" s="21" t="s">
        <v>219</v>
      </c>
      <c r="E54" s="21" t="s">
        <v>22</v>
      </c>
      <c r="F54" s="87">
        <v>3</v>
      </c>
      <c r="G54" s="54">
        <v>0.375</v>
      </c>
      <c r="H54" s="54">
        <v>0.75</v>
      </c>
      <c r="I54" s="54">
        <v>0.375</v>
      </c>
      <c r="J54" s="54">
        <v>0.75</v>
      </c>
      <c r="K54" s="54">
        <v>0.375</v>
      </c>
      <c r="L54" s="54">
        <v>0.75</v>
      </c>
      <c r="M54" s="54">
        <v>0.375</v>
      </c>
      <c r="N54" s="54">
        <v>0.75</v>
      </c>
      <c r="O54" s="54">
        <v>0.375</v>
      </c>
      <c r="P54" s="54">
        <v>0.75</v>
      </c>
      <c r="Q54" s="21" t="s">
        <v>23</v>
      </c>
      <c r="R54" s="21" t="s">
        <v>23</v>
      </c>
      <c r="S54" s="21" t="s">
        <v>23</v>
      </c>
      <c r="T54" s="21" t="s">
        <v>23</v>
      </c>
      <c r="U54" s="21">
        <v>45</v>
      </c>
      <c r="V54" s="7">
        <v>45</v>
      </c>
      <c r="W54" s="7"/>
      <c r="X54" s="7"/>
      <c r="Y54" s="17"/>
    </row>
    <row r="55" customHeight="1" spans="1:25">
      <c r="A55" s="86">
        <v>10320436</v>
      </c>
      <c r="B55" s="51" t="s">
        <v>72</v>
      </c>
      <c r="C55" s="21" t="s">
        <v>20</v>
      </c>
      <c r="D55" s="21" t="s">
        <v>219</v>
      </c>
      <c r="E55" s="21" t="s">
        <v>22</v>
      </c>
      <c r="F55" s="87">
        <v>3</v>
      </c>
      <c r="G55" s="54">
        <v>0.375</v>
      </c>
      <c r="H55" s="54">
        <v>0.75</v>
      </c>
      <c r="I55" s="54">
        <v>0.375</v>
      </c>
      <c r="J55" s="54">
        <v>0.75</v>
      </c>
      <c r="K55" s="54">
        <v>0.375</v>
      </c>
      <c r="L55" s="54">
        <v>0.75</v>
      </c>
      <c r="M55" s="54">
        <v>0.375</v>
      </c>
      <c r="N55" s="54">
        <v>0.75</v>
      </c>
      <c r="O55" s="54">
        <v>0.375</v>
      </c>
      <c r="P55" s="54">
        <v>0.75</v>
      </c>
      <c r="Q55" s="21" t="s">
        <v>23</v>
      </c>
      <c r="R55" s="21" t="s">
        <v>23</v>
      </c>
      <c r="S55" s="21" t="s">
        <v>23</v>
      </c>
      <c r="T55" s="21" t="s">
        <v>23</v>
      </c>
      <c r="U55" s="21">
        <v>45</v>
      </c>
      <c r="V55" s="7">
        <v>45</v>
      </c>
      <c r="W55" s="7"/>
      <c r="X55" s="7"/>
      <c r="Y55" s="17"/>
    </row>
    <row r="56" customHeight="1" spans="1: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customHeight="1" spans="1: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customHeight="1" spans="1: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customHeight="1" spans="1:25">
      <c r="A59" s="17"/>
      <c r="B59" s="17"/>
      <c r="C59" s="17"/>
      <c r="D59" s="17"/>
      <c r="E59" s="17"/>
      <c r="F59" s="7"/>
      <c r="G59" s="50" t="s">
        <v>6</v>
      </c>
      <c r="H59" s="50" t="s">
        <v>7</v>
      </c>
      <c r="I59" s="50" t="s">
        <v>8</v>
      </c>
      <c r="J59" s="50" t="s">
        <v>9</v>
      </c>
      <c r="K59" s="50" t="s">
        <v>10</v>
      </c>
      <c r="L59" s="50" t="s">
        <v>11</v>
      </c>
      <c r="M59" s="50" t="s">
        <v>12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customHeight="1" spans="1:25">
      <c r="A60" s="17"/>
      <c r="B60" s="17"/>
      <c r="C60" s="17"/>
      <c r="D60" s="17"/>
      <c r="E60" s="17"/>
      <c r="F60" s="7" t="s">
        <v>76</v>
      </c>
      <c r="G60" s="7">
        <f>IFERROR(__xludf.DUMMYFUNCTION("COUNTA(FILTER($C$4:$C$55, $C$4:$C$55=""CSR"", H4:H55&lt;&gt;"""", NOT(ISTEXT(H4:H55))))"),38)</f>
        <v>38</v>
      </c>
      <c r="H60" s="7">
        <f>IFERROR(__xludf.DUMMYFUNCTION("COUNTA(FILTER($C$4:$C$55, $C$4:$C$55=""CSR"", J4:J55&lt;&gt;"""", NOT(ISTEXT(J4:J55))))"),51)</f>
        <v>51</v>
      </c>
      <c r="I60" s="7">
        <f>IFERROR(__xludf.DUMMYFUNCTION("COUNTA(FILTER($C$4:$C$55, $C$4:$C$55=""CSR"", L4:L55&lt;&gt;"""", NOT(ISTEXT(L4:L55))))"),48)</f>
        <v>48</v>
      </c>
      <c r="J60" s="7">
        <f>IFERROR(__xludf.DUMMYFUNCTION("COUNTA(FILTER($C$4:$C$55, $C$4:$C$55=""CSR"", N4:N55&lt;&gt;"""", NOT(ISTEXT(N4:N55))))"),49)</f>
        <v>49</v>
      </c>
      <c r="K60" s="7">
        <f>IFERROR(__xludf.DUMMYFUNCTION("COUNTA(FILTER($C$4:$C$55, $C$4:$C$55=""CSR"", P4:P55&lt;&gt;"""", NOT(ISTEXT(P4:P55))))"),38)</f>
        <v>38</v>
      </c>
      <c r="L60" s="7">
        <f>IFERROR(__xludf.DUMMYFUNCTION("COUNTA(FILTER($C$4:$C$55, $C$4:$C$55=""CSR"", R4:R55&lt;&gt;"""", NOT(ISTEXT(R4:R55))))"),17)</f>
        <v>17</v>
      </c>
      <c r="M60" s="7">
        <f>IFERROR(__xludf.DUMMYFUNCTION("COUNTA(FILTER($C$4:$C$55, $C$4:$C$55=""CSR"", T4:T55&lt;&gt;"""", NOT(ISTEXT(T4:T55))))"),17)</f>
        <v>17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customHeight="1" spans="1:25">
      <c r="A61" s="17"/>
      <c r="B61" s="17"/>
      <c r="C61" s="17"/>
      <c r="D61" s="17"/>
      <c r="E61" s="17"/>
      <c r="F61" s="7" t="s">
        <v>77</v>
      </c>
      <c r="G61" s="56">
        <f t="shared" ref="G61:M61" si="0">G63/8</f>
        <v>32.6125</v>
      </c>
      <c r="H61" s="56">
        <f t="shared" si="0"/>
        <v>27.6625</v>
      </c>
      <c r="I61" s="56">
        <f t="shared" si="0"/>
        <v>26.8625</v>
      </c>
      <c r="J61" s="56">
        <f t="shared" si="0"/>
        <v>24.2875</v>
      </c>
      <c r="K61" s="56">
        <f t="shared" si="0"/>
        <v>26.6375</v>
      </c>
      <c r="L61" s="56">
        <f t="shared" si="0"/>
        <v>14.9125</v>
      </c>
      <c r="M61" s="56">
        <f t="shared" si="0"/>
        <v>10.8375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customHeight="1" spans="1:25">
      <c r="A62" s="17"/>
      <c r="B62" s="17"/>
      <c r="C62" s="17"/>
      <c r="D62" s="17"/>
      <c r="E62" s="17"/>
      <c r="F62" s="7" t="s">
        <v>75</v>
      </c>
      <c r="G62" s="57">
        <f t="shared" ref="G62:M62" si="1">G60-G61</f>
        <v>5.3875</v>
      </c>
      <c r="H62" s="57">
        <f t="shared" si="1"/>
        <v>23.3375</v>
      </c>
      <c r="I62" s="57">
        <f t="shared" si="1"/>
        <v>21.1375</v>
      </c>
      <c r="J62" s="57">
        <f t="shared" si="1"/>
        <v>24.7125</v>
      </c>
      <c r="K62" s="57">
        <f t="shared" si="1"/>
        <v>11.3625</v>
      </c>
      <c r="L62" s="57">
        <f t="shared" si="1"/>
        <v>2.0875</v>
      </c>
      <c r="M62" s="57">
        <f t="shared" si="1"/>
        <v>6.1625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customHeight="1" spans="1:25">
      <c r="A63" s="17"/>
      <c r="B63" s="17"/>
      <c r="C63" s="17"/>
      <c r="D63" s="17"/>
      <c r="E63" s="17"/>
      <c r="F63" s="7" t="s">
        <v>73</v>
      </c>
      <c r="G63" s="88">
        <v>260.9</v>
      </c>
      <c r="H63" s="88">
        <v>221.3</v>
      </c>
      <c r="I63" s="88">
        <v>214.9</v>
      </c>
      <c r="J63" s="88">
        <v>194.3</v>
      </c>
      <c r="K63" s="88">
        <v>213.1</v>
      </c>
      <c r="L63" s="88">
        <v>119.3</v>
      </c>
      <c r="M63" s="88">
        <v>86.7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customHeight="1" spans="1:25">
      <c r="A64" s="17"/>
      <c r="B64" s="17"/>
      <c r="C64" s="17"/>
      <c r="D64" s="17"/>
      <c r="E64" s="17"/>
      <c r="F64" s="7" t="s">
        <v>74</v>
      </c>
      <c r="G64" s="7">
        <f>G60*8</f>
        <v>304</v>
      </c>
      <c r="H64" s="7">
        <f t="shared" ref="H64:M64" si="2">H60*7</f>
        <v>357</v>
      </c>
      <c r="I64" s="7">
        <f t="shared" si="2"/>
        <v>336</v>
      </c>
      <c r="J64" s="7">
        <f t="shared" si="2"/>
        <v>343</v>
      </c>
      <c r="K64" s="7">
        <f t="shared" si="2"/>
        <v>266</v>
      </c>
      <c r="L64" s="7">
        <f t="shared" si="2"/>
        <v>119</v>
      </c>
      <c r="M64" s="7">
        <f t="shared" si="2"/>
        <v>119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customHeight="1" spans="1:25">
      <c r="A65" s="17"/>
      <c r="B65" s="17"/>
      <c r="C65" s="17"/>
      <c r="D65" s="17"/>
      <c r="E65" s="17"/>
      <c r="F65" s="7" t="s">
        <v>75</v>
      </c>
      <c r="G65" s="57">
        <f t="shared" ref="G65:M65" si="3">G64-G63</f>
        <v>43.1</v>
      </c>
      <c r="H65" s="57">
        <f t="shared" si="3"/>
        <v>135.7</v>
      </c>
      <c r="I65" s="57">
        <f t="shared" si="3"/>
        <v>121.1</v>
      </c>
      <c r="J65" s="57">
        <f t="shared" si="3"/>
        <v>148.7</v>
      </c>
      <c r="K65" s="57">
        <f t="shared" si="3"/>
        <v>52.9</v>
      </c>
      <c r="L65" s="57">
        <f t="shared" si="3"/>
        <v>-0.299999999999997</v>
      </c>
      <c r="M65" s="57">
        <f t="shared" si="3"/>
        <v>32.3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customHeight="1" spans="1: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customHeight="1" spans="1: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customHeight="1" spans="1: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customHeight="1" spans="2:2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customHeight="1" spans="1:25">
      <c r="A70" s="22" t="s">
        <v>0</v>
      </c>
      <c r="B70" s="67" t="s">
        <v>98</v>
      </c>
      <c r="C70" s="67" t="s">
        <v>2</v>
      </c>
      <c r="D70" s="68">
        <v>45607</v>
      </c>
      <c r="E70" s="14"/>
      <c r="F70" s="68">
        <v>45608</v>
      </c>
      <c r="G70" s="14"/>
      <c r="H70" s="68">
        <v>45609</v>
      </c>
      <c r="I70" s="14"/>
      <c r="J70" s="68">
        <v>45610</v>
      </c>
      <c r="K70" s="14"/>
      <c r="L70" s="68">
        <v>45611</v>
      </c>
      <c r="M70" s="14"/>
      <c r="N70" s="68">
        <v>45612</v>
      </c>
      <c r="O70" s="14"/>
      <c r="P70" s="68">
        <v>45613</v>
      </c>
      <c r="Q70" s="14"/>
      <c r="R70" s="17"/>
      <c r="S70" s="17"/>
      <c r="T70" s="17"/>
      <c r="U70" s="17"/>
      <c r="V70" s="17"/>
      <c r="W70" s="17"/>
      <c r="X70" s="17"/>
      <c r="Y70" s="17"/>
    </row>
    <row r="71" customHeight="1" spans="1:25">
      <c r="A71" s="15"/>
      <c r="B71" s="69"/>
      <c r="C71" s="69"/>
      <c r="D71" s="70" t="s">
        <v>6</v>
      </c>
      <c r="E71" s="71"/>
      <c r="F71" s="70" t="s">
        <v>7</v>
      </c>
      <c r="G71" s="71"/>
      <c r="H71" s="70" t="s">
        <v>8</v>
      </c>
      <c r="I71" s="71"/>
      <c r="J71" s="70" t="s">
        <v>9</v>
      </c>
      <c r="K71" s="71"/>
      <c r="L71" s="70" t="s">
        <v>10</v>
      </c>
      <c r="M71" s="71"/>
      <c r="N71" s="70" t="s">
        <v>11</v>
      </c>
      <c r="O71" s="71"/>
      <c r="P71" s="70" t="s">
        <v>12</v>
      </c>
      <c r="Q71" s="71"/>
      <c r="R71" s="17"/>
      <c r="S71" s="17"/>
      <c r="T71" s="17"/>
      <c r="U71" s="17"/>
      <c r="V71" s="17"/>
      <c r="W71" s="17"/>
      <c r="X71" s="17"/>
      <c r="Y71" s="17"/>
    </row>
    <row r="72" customHeight="1" spans="1:25">
      <c r="A72" s="5"/>
      <c r="B72" s="71"/>
      <c r="C72" s="71"/>
      <c r="D72" s="73" t="s">
        <v>13</v>
      </c>
      <c r="E72" s="73" t="s">
        <v>14</v>
      </c>
      <c r="F72" s="73" t="s">
        <v>13</v>
      </c>
      <c r="G72" s="73" t="s">
        <v>14</v>
      </c>
      <c r="H72" s="73" t="s">
        <v>13</v>
      </c>
      <c r="I72" s="73" t="s">
        <v>14</v>
      </c>
      <c r="J72" s="73" t="s">
        <v>13</v>
      </c>
      <c r="K72" s="73" t="s">
        <v>14</v>
      </c>
      <c r="L72" s="73" t="s">
        <v>13</v>
      </c>
      <c r="M72" s="73" t="s">
        <v>14</v>
      </c>
      <c r="N72" s="73" t="s">
        <v>13</v>
      </c>
      <c r="O72" s="73" t="s">
        <v>14</v>
      </c>
      <c r="P72" s="73" t="s">
        <v>13</v>
      </c>
      <c r="Q72" s="73" t="s">
        <v>14</v>
      </c>
      <c r="R72" s="17"/>
      <c r="S72" s="17"/>
      <c r="T72" s="17"/>
      <c r="U72" s="17"/>
      <c r="V72" s="17"/>
      <c r="W72" s="17"/>
      <c r="X72" s="17"/>
      <c r="Y72" s="17"/>
    </row>
    <row r="73" customHeight="1" spans="1:25">
      <c r="A73" s="75">
        <v>10316835</v>
      </c>
      <c r="B73" s="76" t="s">
        <v>171</v>
      </c>
      <c r="C73" s="76" t="s">
        <v>172</v>
      </c>
      <c r="D73" s="77">
        <v>0.458333333333333</v>
      </c>
      <c r="E73" s="78">
        <v>0.875</v>
      </c>
      <c r="F73" s="77">
        <v>0.458333333333333</v>
      </c>
      <c r="G73" s="78">
        <v>0.875</v>
      </c>
      <c r="H73" s="77">
        <v>0.458333333333333</v>
      </c>
      <c r="I73" s="78">
        <v>0.875</v>
      </c>
      <c r="J73" s="77">
        <v>0.458333333333333</v>
      </c>
      <c r="K73" s="78">
        <v>0.875</v>
      </c>
      <c r="L73" s="79" t="s">
        <v>23</v>
      </c>
      <c r="M73" s="79" t="s">
        <v>23</v>
      </c>
      <c r="N73" s="81" t="s">
        <v>23</v>
      </c>
      <c r="O73" s="81" t="s">
        <v>23</v>
      </c>
      <c r="P73" s="82">
        <v>0.458333333333333</v>
      </c>
      <c r="Q73" s="83">
        <v>0.666666666666667</v>
      </c>
      <c r="R73" s="17"/>
      <c r="S73" s="17"/>
      <c r="T73" s="17"/>
      <c r="U73" s="17"/>
      <c r="V73" s="17"/>
      <c r="W73" s="17"/>
      <c r="X73" s="17"/>
      <c r="Y73" s="17"/>
    </row>
    <row r="74" customHeight="1" spans="1:25">
      <c r="A74" s="75">
        <v>10225640</v>
      </c>
      <c r="B74" s="76" t="s">
        <v>100</v>
      </c>
      <c r="C74" s="76" t="s">
        <v>172</v>
      </c>
      <c r="D74" s="79" t="s">
        <v>23</v>
      </c>
      <c r="E74" s="79" t="s">
        <v>23</v>
      </c>
      <c r="F74" s="77">
        <v>0.375</v>
      </c>
      <c r="G74" s="78">
        <v>0.791666666666667</v>
      </c>
      <c r="H74" s="77">
        <v>0.375</v>
      </c>
      <c r="I74" s="78">
        <v>0.791666666666667</v>
      </c>
      <c r="J74" s="77">
        <v>0.375</v>
      </c>
      <c r="K74" s="78">
        <v>0.791666666666667</v>
      </c>
      <c r="L74" s="77">
        <v>0.375</v>
      </c>
      <c r="M74" s="78">
        <v>0.791666666666667</v>
      </c>
      <c r="N74" s="82">
        <v>0.458333333333333</v>
      </c>
      <c r="O74" s="83">
        <v>0.666666666666667</v>
      </c>
      <c r="P74" s="81" t="s">
        <v>23</v>
      </c>
      <c r="Q74" s="81" t="s">
        <v>23</v>
      </c>
      <c r="R74" s="17"/>
      <c r="S74" s="17"/>
      <c r="T74" s="17"/>
      <c r="U74" s="17"/>
      <c r="V74" s="17"/>
      <c r="W74" s="17"/>
      <c r="X74" s="17"/>
      <c r="Y74" s="17"/>
    </row>
    <row r="75" customHeight="1" spans="1:25">
      <c r="A75" s="75">
        <v>10303312</v>
      </c>
      <c r="B75" s="76" t="s">
        <v>173</v>
      </c>
      <c r="C75" s="76" t="s">
        <v>174</v>
      </c>
      <c r="D75" s="78">
        <v>0.875</v>
      </c>
      <c r="E75" s="77">
        <v>0.75</v>
      </c>
      <c r="F75" s="78">
        <v>0.875</v>
      </c>
      <c r="G75" s="77">
        <v>0.75</v>
      </c>
      <c r="H75" s="78">
        <v>0.875</v>
      </c>
      <c r="I75" s="77">
        <v>0.75</v>
      </c>
      <c r="J75" s="78">
        <v>0.875</v>
      </c>
      <c r="K75" s="77">
        <v>0.75</v>
      </c>
      <c r="L75" s="78">
        <v>0.875</v>
      </c>
      <c r="M75" s="77">
        <v>0.75</v>
      </c>
      <c r="N75" s="79" t="s">
        <v>23</v>
      </c>
      <c r="O75" s="79" t="s">
        <v>23</v>
      </c>
      <c r="P75" s="79" t="s">
        <v>23</v>
      </c>
      <c r="Q75" s="79" t="s">
        <v>23</v>
      </c>
      <c r="R75" s="17"/>
      <c r="S75" s="17"/>
      <c r="T75" s="17"/>
      <c r="U75" s="17"/>
      <c r="V75" s="17"/>
      <c r="W75" s="17"/>
      <c r="X75" s="17"/>
      <c r="Y75" s="17"/>
    </row>
    <row r="76" customHeight="1" spans="1:25">
      <c r="A76" s="75">
        <v>10306591</v>
      </c>
      <c r="B76" s="76" t="s">
        <v>107</v>
      </c>
      <c r="C76" s="76" t="s">
        <v>174</v>
      </c>
      <c r="D76" s="78">
        <v>0.875</v>
      </c>
      <c r="E76" s="77">
        <v>0.75</v>
      </c>
      <c r="F76" s="78">
        <v>0.875</v>
      </c>
      <c r="G76" s="77">
        <v>0.75</v>
      </c>
      <c r="H76" s="78">
        <v>0.875</v>
      </c>
      <c r="I76" s="77">
        <v>0.75</v>
      </c>
      <c r="J76" s="78">
        <v>0.875</v>
      </c>
      <c r="K76" s="77">
        <v>0.75</v>
      </c>
      <c r="L76" s="78">
        <v>0.875</v>
      </c>
      <c r="M76" s="77">
        <v>0.75</v>
      </c>
      <c r="N76" s="79" t="s">
        <v>23</v>
      </c>
      <c r="O76" s="79" t="s">
        <v>23</v>
      </c>
      <c r="P76" s="79" t="s">
        <v>23</v>
      </c>
      <c r="Q76" s="79" t="s">
        <v>23</v>
      </c>
      <c r="R76" s="17"/>
      <c r="S76" s="17"/>
      <c r="T76" s="17"/>
      <c r="U76" s="17"/>
      <c r="V76" s="17"/>
      <c r="W76" s="17"/>
      <c r="X76" s="17"/>
      <c r="Y76" s="17"/>
    </row>
    <row r="77" customHeight="1" spans="1:25">
      <c r="A77" s="75">
        <v>10271545</v>
      </c>
      <c r="B77" s="76" t="s">
        <v>175</v>
      </c>
      <c r="C77" s="76" t="s">
        <v>176</v>
      </c>
      <c r="D77" s="78">
        <v>0.875</v>
      </c>
      <c r="E77" s="77">
        <v>0.75</v>
      </c>
      <c r="F77" s="78">
        <v>0.875</v>
      </c>
      <c r="G77" s="77">
        <v>0.75</v>
      </c>
      <c r="H77" s="78">
        <v>0.875</v>
      </c>
      <c r="I77" s="77">
        <v>0.75</v>
      </c>
      <c r="J77" s="78">
        <v>0.875</v>
      </c>
      <c r="K77" s="77">
        <v>0.75</v>
      </c>
      <c r="L77" s="78">
        <v>0.875</v>
      </c>
      <c r="M77" s="77">
        <v>0.75</v>
      </c>
      <c r="N77" s="79" t="s">
        <v>23</v>
      </c>
      <c r="O77" s="79" t="s">
        <v>23</v>
      </c>
      <c r="P77" s="79" t="s">
        <v>23</v>
      </c>
      <c r="Q77" s="79" t="s">
        <v>23</v>
      </c>
      <c r="R77" s="17"/>
      <c r="S77" s="17"/>
      <c r="T77" s="17"/>
      <c r="U77" s="17"/>
      <c r="V77" s="17"/>
      <c r="W77" s="17"/>
      <c r="X77" s="17"/>
      <c r="Y77" s="17"/>
    </row>
    <row r="78" customHeight="1" spans="1: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customHeight="1" spans="1: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customHeight="1" spans="1: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customHeight="1" spans="1: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customHeight="1" spans="1: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customHeight="1" spans="1: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customHeight="1" spans="1: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customHeight="1" spans="1: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customHeight="1" spans="1: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customHeight="1" spans="1: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customHeight="1" spans="1: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customHeight="1" spans="1: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customHeight="1" spans="1: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customHeight="1" spans="1: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customHeight="1" spans="1: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customHeight="1" spans="1: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customHeight="1" spans="1: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customHeight="1" spans="1: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customHeight="1" spans="1: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customHeight="1" spans="1: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customHeight="1" spans="1: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customHeight="1" spans="1: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customHeight="1" spans="1: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customHeight="1" spans="1: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customHeight="1" spans="1: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customHeight="1" spans="1: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customHeight="1" spans="1: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customHeight="1" spans="1: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customHeight="1" spans="1: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customHeight="1" spans="1: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customHeight="1" spans="1: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customHeight="1" spans="1: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customHeight="1" spans="1: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customHeight="1" spans="1: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customHeight="1" spans="1: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customHeight="1" spans="1: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customHeight="1" spans="1: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customHeight="1" spans="1: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customHeight="1" spans="1: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customHeight="1" spans="1: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customHeight="1" spans="1: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customHeight="1" spans="1: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customHeight="1" spans="1: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customHeight="1" spans="1: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customHeight="1" spans="1: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customHeight="1" spans="1: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customHeight="1" spans="1: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customHeight="1" spans="1: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customHeight="1" spans="1: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customHeight="1" spans="1: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customHeight="1" spans="1: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customHeight="1" spans="1: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customHeight="1" spans="1: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customHeight="1" spans="1: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customHeight="1" spans="1: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customHeight="1" spans="1: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customHeight="1" spans="1: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customHeight="1" spans="1: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customHeight="1" spans="1: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customHeight="1" spans="1: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customHeight="1" spans="1: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customHeight="1" spans="1: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customHeight="1" spans="1: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customHeight="1" spans="1: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customHeight="1" spans="1: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customHeight="1" spans="1: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customHeight="1" spans="1: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customHeight="1" spans="1: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customHeight="1" spans="1: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customHeight="1" spans="1: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customHeight="1" spans="1: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customHeight="1" spans="1: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customHeight="1" spans="1: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customHeight="1" spans="1: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customHeight="1" spans="1: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customHeight="1" spans="1: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customHeight="1" spans="1: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customHeight="1" spans="1: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customHeight="1" spans="1: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customHeight="1" spans="1: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customHeight="1" spans="1: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customHeight="1" spans="1: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customHeight="1" spans="1: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customHeight="1" spans="1: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customHeight="1" spans="1: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customHeight="1" spans="1: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customHeight="1" spans="1: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customHeight="1" spans="1: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customHeight="1" spans="1: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customHeight="1" spans="1: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customHeight="1" spans="1: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customHeight="1" spans="1: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customHeight="1" spans="1: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customHeight="1" spans="1: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customHeight="1" spans="1: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customHeight="1" spans="1: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customHeight="1" spans="1: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customHeight="1" spans="1: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customHeight="1" spans="1: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customHeight="1" spans="1: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customHeight="1" spans="1: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customHeight="1" spans="1: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customHeight="1" spans="1: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customHeight="1" spans="1: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customHeight="1" spans="1: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customHeight="1" spans="1: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customHeight="1" spans="1: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customHeight="1" spans="1: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customHeight="1" spans="1: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customHeight="1" spans="1: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customHeight="1" spans="1: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customHeight="1" spans="1: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customHeight="1" spans="1: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customHeight="1" spans="1: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customHeight="1" spans="1: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customHeight="1" spans="1: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customHeight="1" spans="1: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customHeight="1" spans="1: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customHeight="1" spans="1: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customHeight="1" spans="1: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customHeight="1" spans="1: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customHeight="1" spans="1: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customHeight="1" spans="1: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customHeight="1" spans="1: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customHeight="1" spans="1: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customHeight="1" spans="1: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customHeight="1" spans="1: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customHeight="1" spans="1: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customHeight="1" spans="1: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customHeight="1" spans="1: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customHeight="1" spans="1: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customHeight="1" spans="1: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customHeight="1" spans="1: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customHeight="1" spans="1: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customHeight="1" spans="1: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customHeight="1" spans="1: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customHeight="1" spans="1: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customHeight="1" spans="1: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customHeight="1" spans="1: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customHeight="1" spans="1: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customHeight="1" spans="1: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customHeight="1" spans="1: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customHeight="1" spans="1: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customHeight="1" spans="1: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customHeight="1" spans="1: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customHeight="1" spans="1: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customHeight="1" spans="1: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customHeight="1" spans="1: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customHeight="1" spans="1: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customHeight="1" spans="1: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customHeight="1" spans="1: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customHeight="1" spans="1: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customHeight="1" spans="1: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customHeight="1" spans="1: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customHeight="1" spans="1: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customHeight="1" spans="1: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customHeight="1" spans="1: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customHeight="1" spans="1: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customHeight="1" spans="1: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customHeight="1" spans="1: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customHeight="1" spans="1: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customHeight="1" spans="1: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customHeight="1" spans="1: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customHeight="1" spans="1: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customHeight="1" spans="1: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customHeight="1" spans="1: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customHeight="1" spans="1: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customHeight="1" spans="1: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customHeight="1" spans="1: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customHeight="1" spans="1: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customHeight="1" spans="1: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customHeight="1" spans="1: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customHeight="1" spans="1: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customHeight="1" spans="1: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customHeight="1" spans="1: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customHeight="1" spans="1: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customHeight="1" spans="1: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customHeight="1" spans="1: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customHeight="1" spans="1: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customHeight="1" spans="1: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customHeight="1" spans="1: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customHeight="1" spans="1: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customHeight="1" spans="1: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customHeight="1" spans="1: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customHeight="1" spans="1: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customHeight="1" spans="1: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customHeight="1" spans="1: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customHeight="1" spans="1: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customHeight="1" spans="1: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customHeight="1" spans="1: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customHeight="1" spans="1: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customHeight="1" spans="1: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customHeight="1" spans="1: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customHeight="1" spans="1: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customHeight="1" spans="1: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customHeight="1" spans="1: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customHeight="1" spans="1: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customHeight="1" spans="1: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customHeight="1" spans="1: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customHeight="1" spans="1: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customHeight="1" spans="1: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customHeight="1" spans="1: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customHeight="1" spans="1: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customHeight="1" spans="1: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customHeight="1" spans="1: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customHeight="1" spans="1: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customHeight="1" spans="1: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customHeight="1" spans="1: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customHeight="1" spans="1: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customHeight="1" spans="1: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customHeight="1" spans="1: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customHeight="1" spans="1: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customHeight="1" spans="1: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customHeight="1" spans="1: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customHeight="1" spans="1: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customHeight="1" spans="1: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customHeight="1" spans="1: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customHeight="1" spans="1: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customHeight="1" spans="1: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customHeight="1" spans="1: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customHeight="1" spans="1: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customHeight="1" spans="1: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customHeight="1" spans="1: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customHeight="1" spans="1: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customHeight="1" spans="1: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customHeight="1" spans="1: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customHeight="1" spans="1: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customHeight="1" spans="1: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customHeight="1" spans="1: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customHeight="1" spans="1: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customHeight="1" spans="1: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customHeight="1" spans="1: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customHeight="1" spans="1: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customHeight="1" spans="1: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customHeight="1" spans="1: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customHeight="1" spans="1: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customHeight="1" spans="1: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customHeight="1" spans="1: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customHeight="1" spans="1: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customHeight="1" spans="1: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customHeight="1" spans="1: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customHeight="1" spans="1: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customHeight="1" spans="1: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customHeight="1" spans="1: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customHeight="1" spans="1: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customHeight="1" spans="1: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customHeight="1" spans="1: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customHeight="1" spans="1: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customHeight="1" spans="1: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customHeight="1" spans="1: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customHeight="1" spans="1: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customHeight="1" spans="1: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customHeight="1" spans="1: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customHeight="1" spans="1: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customHeight="1" spans="1: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customHeight="1" spans="1: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customHeight="1" spans="1: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customHeight="1" spans="1: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customHeight="1" spans="1: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customHeight="1" spans="1: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customHeight="1" spans="1: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customHeight="1" spans="1: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customHeight="1" spans="1: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customHeight="1" spans="1: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customHeight="1" spans="1: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customHeight="1" spans="1: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customHeight="1" spans="1: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customHeight="1" spans="1: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customHeight="1" spans="1: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customHeight="1" spans="1: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customHeight="1" spans="1: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customHeight="1" spans="1: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customHeight="1" spans="1: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customHeight="1" spans="1: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customHeight="1" spans="1: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customHeight="1" spans="1: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customHeight="1" spans="1: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customHeight="1" spans="1: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customHeight="1" spans="1: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customHeight="1" spans="1: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customHeight="1" spans="1: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customHeight="1" spans="1: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customHeight="1" spans="1: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customHeight="1" spans="1: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customHeight="1" spans="1: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customHeight="1" spans="1: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customHeight="1" spans="1: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customHeight="1" spans="1: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customHeight="1" spans="1: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customHeight="1" spans="1: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customHeight="1" spans="1: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customHeight="1" spans="1: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customHeight="1" spans="1: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customHeight="1" spans="1: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customHeight="1" spans="1: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customHeight="1" spans="1: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customHeight="1" spans="1: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customHeight="1" spans="1: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customHeight="1" spans="1: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customHeight="1" spans="1: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customHeight="1" spans="1: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customHeight="1" spans="1: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customHeight="1" spans="1: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customHeight="1" spans="1: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customHeight="1" spans="1: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customHeight="1" spans="1: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customHeight="1" spans="1: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customHeight="1" spans="1: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customHeight="1" spans="1: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customHeight="1" spans="1: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customHeight="1" spans="1: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customHeight="1" spans="1: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customHeight="1" spans="1: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customHeight="1" spans="1: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customHeight="1" spans="1: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customHeight="1" spans="1: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customHeight="1" spans="1: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customHeight="1" spans="1: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customHeight="1" spans="1: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customHeight="1" spans="1: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customHeight="1" spans="1: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customHeight="1" spans="1: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customHeight="1" spans="1: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customHeight="1" spans="1: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customHeight="1" spans="1: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customHeight="1" spans="1: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customHeight="1" spans="1: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customHeight="1" spans="1: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customHeight="1" spans="1: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customHeight="1" spans="1: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customHeight="1" spans="1: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customHeight="1" spans="1: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customHeight="1" spans="1: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customHeight="1" spans="1: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customHeight="1" spans="1: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customHeight="1" spans="1: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customHeight="1" spans="1: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customHeight="1" spans="1: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customHeight="1" spans="1: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customHeight="1" spans="1: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customHeight="1" spans="1: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customHeight="1" spans="1: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customHeight="1" spans="1: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customHeight="1" spans="1: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customHeight="1" spans="1: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customHeight="1" spans="1: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customHeight="1" spans="1: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customHeight="1" spans="1: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customHeight="1" spans="1: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customHeight="1" spans="1: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customHeight="1" spans="1: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customHeight="1" spans="1: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customHeight="1" spans="1: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customHeight="1" spans="1: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customHeight="1" spans="1: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customHeight="1" spans="1: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customHeight="1" spans="1: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customHeight="1" spans="1: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customHeight="1" spans="1: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customHeight="1" spans="1: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customHeight="1" spans="1: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customHeight="1" spans="1: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customHeight="1" spans="1: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customHeight="1" spans="1: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customHeight="1" spans="1: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customHeight="1" spans="1: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customHeight="1" spans="1: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customHeight="1" spans="1: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customHeight="1" spans="1: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customHeight="1" spans="1: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customHeight="1" spans="1: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customHeight="1" spans="1: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customHeight="1" spans="1: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customHeight="1" spans="1: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customHeight="1" spans="1: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customHeight="1" spans="1: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customHeight="1" spans="1: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customHeight="1" spans="1: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customHeight="1" spans="1: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customHeight="1" spans="1: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customHeight="1" spans="1: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customHeight="1" spans="1: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customHeight="1" spans="1: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customHeight="1" spans="1: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customHeight="1" spans="1: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customHeight="1" spans="1: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customHeight="1" spans="1: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customHeight="1" spans="1: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customHeight="1" spans="1: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customHeight="1" spans="1: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customHeight="1" spans="1: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customHeight="1" spans="1: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customHeight="1" spans="1: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customHeight="1" spans="1: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customHeight="1" spans="1: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customHeight="1" spans="1: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customHeight="1" spans="1: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customHeight="1" spans="1: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customHeight="1" spans="1: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customHeight="1" spans="1: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customHeight="1" spans="1: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customHeight="1" spans="1: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customHeight="1" spans="1: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customHeight="1" spans="1: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customHeight="1" spans="1: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customHeight="1" spans="1: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customHeight="1" spans="1: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customHeight="1" spans="1: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customHeight="1" spans="1: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customHeight="1" spans="1: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customHeight="1" spans="1: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customHeight="1" spans="1: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customHeight="1" spans="1: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customHeight="1" spans="1: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customHeight="1" spans="1: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customHeight="1" spans="1: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customHeight="1" spans="1: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customHeight="1" spans="1: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customHeight="1" spans="1: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customHeight="1" spans="1: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customHeight="1" spans="1: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customHeight="1" spans="1: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customHeight="1" spans="1: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customHeight="1" spans="1: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customHeight="1" spans="1: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customHeight="1" spans="1: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customHeight="1" spans="1: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customHeight="1" spans="1: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customHeight="1" spans="1: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customHeight="1" spans="1: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customHeight="1" spans="1: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customHeight="1" spans="1: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customHeight="1" spans="1: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customHeight="1" spans="1: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customHeight="1" spans="1: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customHeight="1" spans="1: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customHeight="1" spans="1: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customHeight="1" spans="1: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customHeight="1" spans="1: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customHeight="1" spans="1: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customHeight="1" spans="1: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customHeight="1" spans="1: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customHeight="1" spans="1: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customHeight="1" spans="1: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customHeight="1" spans="1: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customHeight="1" spans="1: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customHeight="1" spans="1: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customHeight="1" spans="1: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customHeight="1" spans="1: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customHeight="1" spans="1: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customHeight="1" spans="1: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customHeight="1" spans="1: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customHeight="1" spans="1: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customHeight="1" spans="1: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customHeight="1" spans="1: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customHeight="1" spans="1: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customHeight="1" spans="1: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customHeight="1" spans="1: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customHeight="1" spans="1: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customHeight="1" spans="1: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customHeight="1" spans="1: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customHeight="1" spans="1: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customHeight="1" spans="1: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customHeight="1" spans="1: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customHeight="1" spans="1: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customHeight="1" spans="1: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customHeight="1" spans="1: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customHeight="1" spans="1: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customHeight="1" spans="1: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customHeight="1" spans="1: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customHeight="1" spans="1: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customHeight="1" spans="1: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customHeight="1" spans="1: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customHeight="1" spans="1: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customHeight="1" spans="1: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customHeight="1" spans="1: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customHeight="1" spans="1: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customHeight="1" spans="1: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customHeight="1" spans="1: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customHeight="1" spans="1: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customHeight="1" spans="1: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customHeight="1" spans="1: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customHeight="1" spans="1: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customHeight="1" spans="1: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customHeight="1" spans="1: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customHeight="1" spans="1: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customHeight="1" spans="1: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customHeight="1" spans="1: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customHeight="1" spans="1: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customHeight="1" spans="1: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customHeight="1" spans="1: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customHeight="1" spans="1: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customHeight="1" spans="1: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customHeight="1" spans="1: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customHeight="1" spans="1: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customHeight="1" spans="1: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customHeight="1" spans="1: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customHeight="1" spans="1: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customHeight="1" spans="1: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customHeight="1" spans="1: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customHeight="1" spans="1: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customHeight="1" spans="1: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customHeight="1" spans="1: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customHeight="1" spans="1: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customHeight="1" spans="1: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customHeight="1" spans="1: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customHeight="1" spans="1: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customHeight="1" spans="1: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customHeight="1" spans="1: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customHeight="1" spans="1: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customHeight="1" spans="1: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customHeight="1" spans="1: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customHeight="1" spans="1: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customHeight="1" spans="1: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customHeight="1" spans="1: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customHeight="1" spans="1: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customHeight="1" spans="1: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customHeight="1" spans="1: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customHeight="1" spans="1: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customHeight="1" spans="1: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customHeight="1" spans="1: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customHeight="1" spans="1: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customHeight="1" spans="1: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customHeight="1" spans="1: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customHeight="1" spans="1: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customHeight="1" spans="1: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customHeight="1" spans="1: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customHeight="1" spans="1: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customHeight="1" spans="1: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customHeight="1" spans="1: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customHeight="1" spans="1: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customHeight="1" spans="1: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customHeight="1" spans="1: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customHeight="1" spans="1: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customHeight="1" spans="1: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customHeight="1" spans="1: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customHeight="1" spans="1: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customHeight="1" spans="1: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customHeight="1" spans="1: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customHeight="1" spans="1: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customHeight="1" spans="1: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customHeight="1" spans="1: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customHeight="1" spans="1: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customHeight="1" spans="1: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customHeight="1" spans="1: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customHeight="1" spans="1: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customHeight="1" spans="1: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customHeight="1" spans="1: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customHeight="1" spans="1: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customHeight="1" spans="1: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customHeight="1" spans="1: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customHeight="1" spans="1: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customHeight="1" spans="1: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customHeight="1" spans="1: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customHeight="1" spans="1: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customHeight="1" spans="1: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customHeight="1" spans="1: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customHeight="1" spans="1: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customHeight="1" spans="1: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customHeight="1" spans="1: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customHeight="1" spans="1: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customHeight="1" spans="1: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customHeight="1" spans="1: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customHeight="1" spans="1: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customHeight="1" spans="1: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customHeight="1" spans="1: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customHeight="1" spans="1: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customHeight="1" spans="1: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customHeight="1" spans="1: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customHeight="1" spans="1: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customHeight="1" spans="1: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customHeight="1" spans="1: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customHeight="1" spans="1: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customHeight="1" spans="1: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customHeight="1" spans="1: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customHeight="1" spans="1: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customHeight="1" spans="1: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customHeight="1" spans="1: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customHeight="1" spans="1: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customHeight="1" spans="1: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customHeight="1" spans="1: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customHeight="1" spans="1: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customHeight="1" spans="1: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customHeight="1" spans="1: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customHeight="1" spans="1: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customHeight="1" spans="1: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customHeight="1" spans="1: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customHeight="1" spans="1: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customHeight="1" spans="1: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customHeight="1" spans="1: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customHeight="1" spans="1: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customHeight="1" spans="1: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customHeight="1" spans="1: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customHeight="1" spans="1: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customHeight="1" spans="1: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customHeight="1" spans="1: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customHeight="1" spans="1: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customHeight="1" spans="1: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customHeight="1" spans="1: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customHeight="1" spans="1: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customHeight="1" spans="1: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customHeight="1" spans="1: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customHeight="1" spans="1: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customHeight="1" spans="1: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customHeight="1" spans="1: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customHeight="1" spans="1: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customHeight="1" spans="1: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customHeight="1" spans="1: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customHeight="1" spans="1: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customHeight="1" spans="1: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customHeight="1" spans="1: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customHeight="1" spans="1: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customHeight="1" spans="1: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customHeight="1" spans="1: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customHeight="1" spans="1: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customHeight="1" spans="1: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customHeight="1" spans="1: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customHeight="1" spans="1: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customHeight="1" spans="1: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customHeight="1" spans="1: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customHeight="1" spans="1: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customHeight="1" spans="1: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customHeight="1" spans="1: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customHeight="1" spans="1: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customHeight="1" spans="1: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customHeight="1" spans="1: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customHeight="1" spans="1: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customHeight="1" spans="1: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customHeight="1" spans="1: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customHeight="1" spans="1: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customHeight="1" spans="1: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customHeight="1" spans="1: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customHeight="1" spans="1: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customHeight="1" spans="1: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customHeight="1" spans="1: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customHeight="1" spans="1: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customHeight="1" spans="1: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customHeight="1" spans="1: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customHeight="1" spans="1: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customHeight="1" spans="1: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customHeight="1" spans="1: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customHeight="1" spans="1: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customHeight="1" spans="1: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customHeight="1" spans="1: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customHeight="1" spans="1: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customHeight="1" spans="1: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customHeight="1" spans="1: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customHeight="1" spans="1: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customHeight="1" spans="1: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customHeight="1" spans="1: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customHeight="1" spans="1: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customHeight="1" spans="1: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customHeight="1" spans="1: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customHeight="1" spans="1: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customHeight="1" spans="1: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customHeight="1" spans="1: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customHeight="1" spans="1: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customHeight="1" spans="1: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customHeight="1" spans="1: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customHeight="1" spans="1: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customHeight="1" spans="1: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customHeight="1" spans="1: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customHeight="1" spans="1: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customHeight="1" spans="1: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customHeight="1" spans="1: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customHeight="1" spans="1: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customHeight="1" spans="1: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customHeight="1" spans="1: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customHeight="1" spans="1: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customHeight="1" spans="1: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customHeight="1" spans="1: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customHeight="1" spans="1: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customHeight="1" spans="1: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customHeight="1" spans="1: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customHeight="1" spans="1: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customHeight="1" spans="1: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customHeight="1" spans="1: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customHeight="1" spans="1: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customHeight="1" spans="1: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customHeight="1" spans="1: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customHeight="1" spans="1: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customHeight="1" spans="1: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customHeight="1" spans="1: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customHeight="1" spans="1: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customHeight="1" spans="1: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customHeight="1" spans="1: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customHeight="1" spans="1: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customHeight="1" spans="1: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customHeight="1" spans="1: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customHeight="1" spans="1: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customHeight="1" spans="1: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customHeight="1" spans="1: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customHeight="1" spans="1: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customHeight="1" spans="1: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customHeight="1" spans="1: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customHeight="1" spans="1: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customHeight="1" spans="1: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customHeight="1" spans="1: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customHeight="1" spans="1: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customHeight="1" spans="1: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customHeight="1" spans="1: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customHeight="1" spans="1: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customHeight="1" spans="1: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customHeight="1" spans="1: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customHeight="1" spans="1: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customHeight="1" spans="1: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customHeight="1" spans="1: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customHeight="1" spans="1: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customHeight="1" spans="1: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customHeight="1" spans="1: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customHeight="1" spans="1: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customHeight="1" spans="1: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customHeight="1" spans="1: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customHeight="1" spans="1: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customHeight="1" spans="1: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customHeight="1" spans="1: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customHeight="1" spans="1: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customHeight="1" spans="1: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customHeight="1" spans="1: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customHeight="1" spans="1: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customHeight="1" spans="1: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customHeight="1" spans="1: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customHeight="1" spans="1: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customHeight="1" spans="1: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customHeight="1" spans="1: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customHeight="1" spans="1: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customHeight="1" spans="1: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customHeight="1" spans="1: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customHeight="1" spans="1: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customHeight="1" spans="1: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customHeight="1" spans="1: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customHeight="1" spans="1: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customHeight="1" spans="1: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customHeight="1" spans="1: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customHeight="1" spans="1: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customHeight="1" spans="1: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customHeight="1" spans="1: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customHeight="1" spans="1: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customHeight="1" spans="1: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customHeight="1" spans="1: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customHeight="1" spans="1: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customHeight="1" spans="1: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customHeight="1" spans="1: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customHeight="1" spans="1: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customHeight="1" spans="1: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customHeight="1" spans="1: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customHeight="1" spans="1: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customHeight="1" spans="1: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customHeight="1" spans="1: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customHeight="1" spans="1: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customHeight="1" spans="1: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customHeight="1" spans="1: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customHeight="1" spans="1: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customHeight="1" spans="1: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customHeight="1" spans="1: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customHeight="1" spans="1: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customHeight="1" spans="1: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customHeight="1" spans="1: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customHeight="1" spans="1: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customHeight="1" spans="1: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customHeight="1" spans="1: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customHeight="1" spans="1: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customHeight="1" spans="1: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customHeight="1" spans="1: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customHeight="1" spans="1: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customHeight="1" spans="1: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customHeight="1" spans="1: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customHeight="1" spans="1: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customHeight="1" spans="1: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customHeight="1" spans="1: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customHeight="1" spans="1: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customHeight="1" spans="1: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customHeight="1" spans="1: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customHeight="1" spans="1: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customHeight="1" spans="1: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customHeight="1" spans="1: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customHeight="1" spans="1: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customHeight="1" spans="1: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customHeight="1" spans="1: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customHeight="1" spans="1: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customHeight="1" spans="1: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customHeight="1" spans="1: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customHeight="1" spans="1: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customHeight="1" spans="1: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customHeight="1" spans="1: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customHeight="1" spans="1: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customHeight="1" spans="1: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customHeight="1" spans="1: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customHeight="1" spans="1: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customHeight="1" spans="1: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customHeight="1" spans="1: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customHeight="1" spans="1: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customHeight="1" spans="1: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customHeight="1" spans="1: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customHeight="1" spans="1: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customHeight="1" spans="1: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customHeight="1" spans="1: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customHeight="1" spans="1: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customHeight="1" spans="1: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customHeight="1" spans="1: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customHeight="1" spans="1: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customHeight="1" spans="1: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customHeight="1" spans="1: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customHeight="1" spans="1: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customHeight="1" spans="1: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customHeight="1" spans="1: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customHeight="1" spans="1: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customHeight="1" spans="1: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customHeight="1" spans="1: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customHeight="1" spans="1: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customHeight="1" spans="1: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customHeight="1" spans="1: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customHeight="1" spans="1: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customHeight="1" spans="1: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customHeight="1" spans="1: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customHeight="1" spans="1: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customHeight="1" spans="1: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customHeight="1" spans="1: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customHeight="1" spans="1: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customHeight="1" spans="1: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customHeight="1" spans="1: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customHeight="1" spans="1: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customHeight="1" spans="1: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customHeight="1" spans="1: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customHeight="1" spans="1: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customHeight="1" spans="1: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customHeight="1" spans="1: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customHeight="1" spans="1: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customHeight="1" spans="1: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customHeight="1" spans="1: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customHeight="1" spans="1: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customHeight="1" spans="1: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customHeight="1" spans="1: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customHeight="1" spans="1: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customHeight="1" spans="1: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customHeight="1" spans="1: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customHeight="1" spans="1: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customHeight="1" spans="1: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customHeight="1" spans="1: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customHeight="1" spans="1: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customHeight="1" spans="1: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customHeight="1" spans="1: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customHeight="1" spans="1: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customHeight="1" spans="1: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customHeight="1" spans="1: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customHeight="1" spans="1: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customHeight="1" spans="1: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customHeight="1" spans="1: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customHeight="1" spans="1: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customHeight="1" spans="1: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customHeight="1" spans="1: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customHeight="1" spans="1: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customHeight="1" spans="1: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customHeight="1" spans="1: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customHeight="1" spans="1: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customHeight="1" spans="1: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customHeight="1" spans="1: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customHeight="1" spans="1: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customHeight="1" spans="1: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customHeight="1" spans="1: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customHeight="1" spans="1: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customHeight="1" spans="1: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customHeight="1" spans="1: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customHeight="1" spans="1: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customHeight="1" spans="1: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customHeight="1" spans="1: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customHeight="1" spans="1: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customHeight="1" spans="1: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customHeight="1" spans="1: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customHeight="1" spans="1: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customHeight="1" spans="1: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customHeight="1" spans="1: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customHeight="1" spans="1: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customHeight="1" spans="1: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customHeight="1" spans="1: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customHeight="1" spans="1: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customHeight="1" spans="1: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customHeight="1" spans="1: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customHeight="1" spans="1: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customHeight="1" spans="1: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customHeight="1" spans="1: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customHeight="1" spans="1: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customHeight="1" spans="1: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customHeight="1" spans="1: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customHeight="1" spans="1: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customHeight="1" spans="1: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customHeight="1" spans="1: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customHeight="1" spans="1: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customHeight="1" spans="1: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customHeight="1" spans="1: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customHeight="1" spans="1: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customHeight="1" spans="1: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customHeight="1" spans="1: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customHeight="1" spans="1: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customHeight="1" spans="1: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customHeight="1" spans="1: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customHeight="1" spans="1: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customHeight="1" spans="1: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customHeight="1" spans="1: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customHeight="1" spans="1: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customHeight="1" spans="1: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customHeight="1" spans="1: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customHeight="1" spans="1: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customHeight="1" spans="1: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customHeight="1" spans="1: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customHeight="1" spans="1: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customHeight="1" spans="1: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customHeight="1" spans="1: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customHeight="1" spans="1: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customHeight="1" spans="1: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customHeight="1" spans="1: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customHeight="1" spans="1: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customHeight="1" spans="1: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customHeight="1" spans="1: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customHeight="1" spans="1: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customHeight="1" spans="1: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customHeight="1" spans="1: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customHeight="1" spans="1: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customHeight="1" spans="1: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customHeight="1" spans="1: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</sheetData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70:E70"/>
    <mergeCell ref="F70:G70"/>
    <mergeCell ref="H70:I70"/>
    <mergeCell ref="J70:K70"/>
    <mergeCell ref="L70:M70"/>
    <mergeCell ref="N70:O70"/>
    <mergeCell ref="P70:Q70"/>
    <mergeCell ref="D71:E71"/>
    <mergeCell ref="F71:G71"/>
    <mergeCell ref="H71:I71"/>
    <mergeCell ref="J71:K71"/>
    <mergeCell ref="L71:M71"/>
    <mergeCell ref="N71:O71"/>
    <mergeCell ref="P71:Q71"/>
    <mergeCell ref="A1:A3"/>
    <mergeCell ref="A70:A72"/>
    <mergeCell ref="B1:B3"/>
    <mergeCell ref="B70:B72"/>
    <mergeCell ref="C1:C3"/>
    <mergeCell ref="C70:C72"/>
    <mergeCell ref="D1:D3"/>
    <mergeCell ref="E1:E3"/>
    <mergeCell ref="F1:F3"/>
  </mergeCells>
  <conditionalFormatting sqref="G65:M65">
    <cfRule type="cellIs" dxfId="0" priority="4" operator="lessThan">
      <formula>0</formula>
    </cfRule>
  </conditionalFormatting>
  <conditionalFormatting sqref="W4:W37">
    <cfRule type="cellIs" dxfId="0" priority="2" operator="greaterThanOrEqual">
      <formula>1</formula>
    </cfRule>
    <cfRule type="cellIs" dxfId="0" priority="3" operator="lessThanOrEqual">
      <formula>-1</formula>
    </cfRule>
  </conditionalFormatting>
  <conditionalFormatting sqref="A4:A55 A78:A997">
    <cfRule type="expression" dxfId="1" priority="1">
      <formula>COUNTIF(A:A,A4)&gt;1</formula>
    </cfRule>
  </conditionalFormatting>
  <conditionalFormatting sqref="G4:T55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37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7.5" customWidth="1"/>
    <col min="3" max="3" width="6.5" customWidth="1"/>
    <col min="4" max="4" width="8.5" customWidth="1"/>
    <col min="5" max="6" width="4.75454545454545" customWidth="1"/>
    <col min="7" max="7" width="6.5" customWidth="1"/>
    <col min="8" max="8" width="5.12727272727273" customWidth="1"/>
    <col min="9" max="9" width="6.38181818181818" customWidth="1"/>
    <col min="10" max="10" width="5.12727272727273" customWidth="1"/>
    <col min="11" max="11" width="8.88181818181818" customWidth="1"/>
    <col min="12" max="12" width="5.12727272727273" customWidth="1"/>
    <col min="13" max="13" width="7.12727272727273" customWidth="1"/>
    <col min="14" max="16" width="5.12727272727273" customWidth="1"/>
    <col min="17" max="17" width="6.88181818181818" customWidth="1"/>
    <col min="18" max="18" width="5.12727272727273" customWidth="1"/>
    <col min="19" max="19" width="5.88181818181818" customWidth="1"/>
    <col min="20" max="20" width="5.12727272727273" customWidth="1"/>
    <col min="21" max="21" width="10.1272727272727" customWidth="1"/>
    <col min="22" max="22" width="12.6272727272727" customWidth="1"/>
    <col min="23" max="23" width="8.62727272727273" customWidth="1"/>
    <col min="24" max="24" width="6.38181818181818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45600</v>
      </c>
      <c r="H1" s="14"/>
      <c r="I1" s="46">
        <f>G1+1</f>
        <v>45601</v>
      </c>
      <c r="J1" s="14"/>
      <c r="K1" s="46">
        <f>I1+1</f>
        <v>45602</v>
      </c>
      <c r="L1" s="14"/>
      <c r="M1" s="46">
        <f>K1+1</f>
        <v>45603</v>
      </c>
      <c r="N1" s="14"/>
      <c r="O1" s="46">
        <f>M1+1</f>
        <v>45604</v>
      </c>
      <c r="P1" s="14"/>
      <c r="Q1" s="46">
        <f>O1+1</f>
        <v>45605</v>
      </c>
      <c r="R1" s="14"/>
      <c r="S1" s="46">
        <f>Q1+1</f>
        <v>45606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4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11" t="s">
        <v>18</v>
      </c>
    </row>
    <row r="4" customHeight="1" spans="1:24">
      <c r="A4" s="7">
        <v>10316549</v>
      </c>
      <c r="B4" s="51" t="s">
        <v>19</v>
      </c>
      <c r="C4" s="52" t="s">
        <v>20</v>
      </c>
      <c r="D4" s="52" t="s">
        <v>21</v>
      </c>
      <c r="E4" s="52" t="s">
        <v>22</v>
      </c>
      <c r="F4" s="53">
        <v>1</v>
      </c>
      <c r="G4" s="54">
        <v>0.458333333333333</v>
      </c>
      <c r="H4" s="54">
        <f t="shared" ref="H4:H28" si="0">IFERROR(G4+$X4,"OFF")</f>
        <v>0.875</v>
      </c>
      <c r="I4" s="54">
        <v>0.458333333333333</v>
      </c>
      <c r="J4" s="54">
        <f t="shared" ref="J4:J37" si="1">IFERROR(I4+$X4,"OFF")</f>
        <v>0.875</v>
      </c>
      <c r="K4" s="54">
        <v>0.458333333333333</v>
      </c>
      <c r="L4" s="54">
        <f t="shared" ref="L4:L37" si="2">IFERROR(K4+$X4,"OFF")</f>
        <v>0.875</v>
      </c>
      <c r="M4" s="54">
        <v>0.458333333333333</v>
      </c>
      <c r="N4" s="54">
        <f t="shared" ref="N4:N37" si="3">IFERROR(M4+$X4,"OFF")</f>
        <v>0.875</v>
      </c>
      <c r="O4" s="21" t="s">
        <v>23</v>
      </c>
      <c r="P4" s="54" t="str">
        <f t="shared" ref="P4:P30" si="4">IFERROR(O4+$X4,"OFF")</f>
        <v>OFF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7" si="5">V4-U4</f>
        <v>0</v>
      </c>
      <c r="X4" s="58">
        <v>0.416666666666667</v>
      </c>
    </row>
    <row r="5" customHeight="1" spans="1:24">
      <c r="A5" s="7">
        <v>10250963</v>
      </c>
      <c r="B5" s="51" t="s">
        <v>25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0.458333333333333</v>
      </c>
      <c r="H5" s="54">
        <f t="shared" si="0"/>
        <v>0.875</v>
      </c>
      <c r="I5" s="54">
        <v>0.458333333333333</v>
      </c>
      <c r="J5" s="54">
        <f t="shared" si="1"/>
        <v>0.875</v>
      </c>
      <c r="K5" s="54">
        <v>0.458333333333333</v>
      </c>
      <c r="L5" s="54">
        <f t="shared" si="2"/>
        <v>0.875</v>
      </c>
      <c r="M5" s="54">
        <v>0.458333333333333</v>
      </c>
      <c r="N5" s="54">
        <f t="shared" si="3"/>
        <v>0.875</v>
      </c>
      <c r="O5" s="21" t="s">
        <v>23</v>
      </c>
      <c r="P5" s="54" t="str">
        <f t="shared" si="4"/>
        <v>OFF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5"/>
        <v>0</v>
      </c>
      <c r="X5" s="58">
        <v>0.416666666666667</v>
      </c>
    </row>
    <row r="6" customHeight="1" spans="1:24">
      <c r="A6" s="7">
        <v>10317153</v>
      </c>
      <c r="B6" s="51" t="s">
        <v>42</v>
      </c>
      <c r="C6" s="52" t="s">
        <v>20</v>
      </c>
      <c r="D6" s="52" t="s">
        <v>21</v>
      </c>
      <c r="E6" s="52" t="s">
        <v>22</v>
      </c>
      <c r="F6" s="53">
        <v>1</v>
      </c>
      <c r="G6" s="54">
        <v>0.458333333333333</v>
      </c>
      <c r="H6" s="54">
        <f t="shared" si="0"/>
        <v>0.875</v>
      </c>
      <c r="I6" s="54">
        <v>0.458333333333333</v>
      </c>
      <c r="J6" s="54">
        <f t="shared" si="1"/>
        <v>0.875</v>
      </c>
      <c r="K6" s="54">
        <v>0.458333333333333</v>
      </c>
      <c r="L6" s="54">
        <f t="shared" si="2"/>
        <v>0.875</v>
      </c>
      <c r="M6" s="54">
        <v>0.458333333333333</v>
      </c>
      <c r="N6" s="54">
        <f t="shared" si="3"/>
        <v>0.875</v>
      </c>
      <c r="O6" s="21" t="s">
        <v>23</v>
      </c>
      <c r="P6" s="54" t="str">
        <f t="shared" si="4"/>
        <v>OFF</v>
      </c>
      <c r="Q6" s="21" t="s">
        <v>23</v>
      </c>
      <c r="R6" s="21" t="s">
        <v>23</v>
      </c>
      <c r="S6" s="54">
        <v>0.458333333333333</v>
      </c>
      <c r="T6" s="54">
        <v>0.666666666666667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5"/>
        <v>0</v>
      </c>
      <c r="X6" s="58">
        <v>0.416666666666667</v>
      </c>
    </row>
    <row r="7" customHeight="1" spans="1:24">
      <c r="A7" s="7">
        <v>10317520</v>
      </c>
      <c r="B7" s="51" t="s">
        <v>37</v>
      </c>
      <c r="C7" s="52" t="s">
        <v>20</v>
      </c>
      <c r="D7" s="52" t="s">
        <v>21</v>
      </c>
      <c r="E7" s="52" t="s">
        <v>22</v>
      </c>
      <c r="F7" s="53">
        <v>2</v>
      </c>
      <c r="G7" s="54">
        <v>0.5</v>
      </c>
      <c r="H7" s="54">
        <f t="shared" si="0"/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4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21">
        <v>45</v>
      </c>
      <c r="W7" s="21">
        <f t="shared" si="5"/>
        <v>0</v>
      </c>
      <c r="X7" s="58">
        <v>0.375</v>
      </c>
    </row>
    <row r="8" customHeight="1" spans="1:24">
      <c r="A8" s="7">
        <v>10316650</v>
      </c>
      <c r="B8" s="51" t="s">
        <v>39</v>
      </c>
      <c r="C8" s="52" t="s">
        <v>20</v>
      </c>
      <c r="D8" s="52" t="s">
        <v>21</v>
      </c>
      <c r="E8" s="52" t="s">
        <v>22</v>
      </c>
      <c r="F8" s="53">
        <v>2</v>
      </c>
      <c r="G8" s="54">
        <v>0.5</v>
      </c>
      <c r="H8" s="54">
        <f t="shared" si="0"/>
        <v>0.875</v>
      </c>
      <c r="I8" s="54">
        <v>0.5</v>
      </c>
      <c r="J8" s="54">
        <f t="shared" si="1"/>
        <v>0.875</v>
      </c>
      <c r="K8" s="54">
        <v>0.5</v>
      </c>
      <c r="L8" s="54">
        <f t="shared" si="2"/>
        <v>0.875</v>
      </c>
      <c r="M8" s="54">
        <v>0.5</v>
      </c>
      <c r="N8" s="54">
        <f t="shared" si="3"/>
        <v>0.875</v>
      </c>
      <c r="O8" s="54">
        <v>0.5</v>
      </c>
      <c r="P8" s="54">
        <f t="shared" si="4"/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5"/>
        <v>0</v>
      </c>
      <c r="X8" s="58">
        <v>0.375</v>
      </c>
    </row>
    <row r="9" customHeight="1" spans="1:24">
      <c r="A9" s="7">
        <v>10317521</v>
      </c>
      <c r="B9" s="51" t="s">
        <v>28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0.5</v>
      </c>
      <c r="H9" s="54">
        <f t="shared" si="0"/>
        <v>0.875</v>
      </c>
      <c r="I9" s="54">
        <v>0.5</v>
      </c>
      <c r="J9" s="54">
        <f t="shared" si="1"/>
        <v>0.875</v>
      </c>
      <c r="K9" s="54">
        <v>0.5</v>
      </c>
      <c r="L9" s="54">
        <f t="shared" si="2"/>
        <v>0.875</v>
      </c>
      <c r="M9" s="54">
        <v>0.5</v>
      </c>
      <c r="N9" s="54">
        <f t="shared" si="3"/>
        <v>0.875</v>
      </c>
      <c r="O9" s="54">
        <v>0.5</v>
      </c>
      <c r="P9" s="54">
        <f t="shared" si="4"/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21">
        <v>45</v>
      </c>
      <c r="W9" s="21">
        <f t="shared" si="5"/>
        <v>0</v>
      </c>
      <c r="X9" s="58">
        <v>0.375</v>
      </c>
    </row>
    <row r="10" customHeight="1" spans="1:24">
      <c r="A10" s="7">
        <v>10317517</v>
      </c>
      <c r="B10" s="51" t="s">
        <v>29</v>
      </c>
      <c r="C10" s="52" t="s">
        <v>20</v>
      </c>
      <c r="D10" s="52" t="s">
        <v>21</v>
      </c>
      <c r="E10" s="52" t="s">
        <v>22</v>
      </c>
      <c r="F10" s="53">
        <v>2</v>
      </c>
      <c r="G10" s="54">
        <v>0.375</v>
      </c>
      <c r="H10" s="54">
        <f t="shared" si="0"/>
        <v>0.75</v>
      </c>
      <c r="I10" s="54">
        <v>0.375</v>
      </c>
      <c r="J10" s="54">
        <f t="shared" si="1"/>
        <v>0.75</v>
      </c>
      <c r="K10" s="54">
        <v>0.375</v>
      </c>
      <c r="L10" s="54">
        <f t="shared" si="2"/>
        <v>0.75</v>
      </c>
      <c r="M10" s="54">
        <v>0.5</v>
      </c>
      <c r="N10" s="54">
        <f t="shared" si="3"/>
        <v>0.875</v>
      </c>
      <c r="O10" s="54">
        <v>0.5</v>
      </c>
      <c r="P10" s="54">
        <f t="shared" si="4"/>
        <v>0.875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21">
        <v>45</v>
      </c>
      <c r="W10" s="21">
        <f t="shared" si="5"/>
        <v>0</v>
      </c>
      <c r="X10" s="58">
        <v>0.375</v>
      </c>
    </row>
    <row r="11" customHeight="1" spans="1:24">
      <c r="A11" s="7">
        <v>10316531</v>
      </c>
      <c r="B11" s="51" t="s">
        <v>215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0.5</v>
      </c>
      <c r="H11" s="54">
        <f t="shared" si="0"/>
        <v>0.875</v>
      </c>
      <c r="I11" s="54">
        <v>0.5</v>
      </c>
      <c r="J11" s="54">
        <f t="shared" si="1"/>
        <v>0.875</v>
      </c>
      <c r="K11" s="54">
        <v>0.5</v>
      </c>
      <c r="L11" s="54">
        <f t="shared" si="2"/>
        <v>0.875</v>
      </c>
      <c r="M11" s="54">
        <v>0.5</v>
      </c>
      <c r="N11" s="54">
        <f t="shared" si="3"/>
        <v>0.875</v>
      </c>
      <c r="O11" s="54">
        <v>0.5</v>
      </c>
      <c r="P11" s="54">
        <f t="shared" si="4"/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21">
        <v>45</v>
      </c>
      <c r="W11" s="21">
        <f t="shared" si="5"/>
        <v>0</v>
      </c>
      <c r="X11" s="58">
        <v>0.375</v>
      </c>
    </row>
    <row r="12" customHeight="1" spans="1:24">
      <c r="A12" s="7">
        <v>10316572</v>
      </c>
      <c r="B12" s="51" t="s">
        <v>46</v>
      </c>
      <c r="C12" s="52" t="s">
        <v>20</v>
      </c>
      <c r="D12" s="52" t="s">
        <v>21</v>
      </c>
      <c r="E12" s="52" t="s">
        <v>22</v>
      </c>
      <c r="F12" s="53">
        <v>2</v>
      </c>
      <c r="G12" s="54">
        <v>0.5</v>
      </c>
      <c r="H12" s="54">
        <f t="shared" si="0"/>
        <v>0.875</v>
      </c>
      <c r="I12" s="54">
        <v>0.5</v>
      </c>
      <c r="J12" s="54">
        <f t="shared" si="1"/>
        <v>0.875</v>
      </c>
      <c r="K12" s="54">
        <v>0.5</v>
      </c>
      <c r="L12" s="54">
        <f t="shared" si="2"/>
        <v>0.875</v>
      </c>
      <c r="M12" s="54">
        <v>0.5</v>
      </c>
      <c r="N12" s="54">
        <f t="shared" si="3"/>
        <v>0.875</v>
      </c>
      <c r="O12" s="54">
        <v>0.5</v>
      </c>
      <c r="P12" s="54">
        <f t="shared" si="4"/>
        <v>0.875</v>
      </c>
      <c r="Q12" s="21" t="s">
        <v>23</v>
      </c>
      <c r="R12" s="21" t="s">
        <v>23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5"/>
        <v>0</v>
      </c>
      <c r="X12" s="58">
        <v>0.375</v>
      </c>
    </row>
    <row r="13" customHeight="1" spans="1:24">
      <c r="A13" s="7">
        <v>10252500</v>
      </c>
      <c r="B13" s="51" t="s">
        <v>217</v>
      </c>
      <c r="C13" s="52" t="s">
        <v>20</v>
      </c>
      <c r="D13" s="52" t="s">
        <v>21</v>
      </c>
      <c r="E13" s="52" t="s">
        <v>22</v>
      </c>
      <c r="F13" s="53">
        <v>2</v>
      </c>
      <c r="G13" s="54">
        <v>0.5</v>
      </c>
      <c r="H13" s="54">
        <f t="shared" si="0"/>
        <v>0.875</v>
      </c>
      <c r="I13" s="54">
        <v>0.5</v>
      </c>
      <c r="J13" s="54">
        <f t="shared" si="1"/>
        <v>0.875</v>
      </c>
      <c r="K13" s="54">
        <v>0.5</v>
      </c>
      <c r="L13" s="54">
        <f t="shared" si="2"/>
        <v>0.875</v>
      </c>
      <c r="M13" s="54">
        <v>0.5</v>
      </c>
      <c r="N13" s="54">
        <f t="shared" si="3"/>
        <v>0.875</v>
      </c>
      <c r="O13" s="54">
        <v>0.5</v>
      </c>
      <c r="P13" s="54">
        <f t="shared" si="4"/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5"/>
        <v>0</v>
      </c>
      <c r="X13" s="58">
        <v>0.375</v>
      </c>
    </row>
    <row r="14" customHeight="1" spans="1:24">
      <c r="A14" s="7">
        <v>10275375</v>
      </c>
      <c r="B14" s="51" t="s">
        <v>218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0.5</v>
      </c>
      <c r="H14" s="54">
        <f t="shared" si="0"/>
        <v>0.875</v>
      </c>
      <c r="I14" s="54">
        <v>0.5</v>
      </c>
      <c r="J14" s="54">
        <f t="shared" si="1"/>
        <v>0.875</v>
      </c>
      <c r="K14" s="54">
        <v>0.5</v>
      </c>
      <c r="L14" s="54">
        <f t="shared" si="2"/>
        <v>0.875</v>
      </c>
      <c r="M14" s="54">
        <v>0.5</v>
      </c>
      <c r="N14" s="54">
        <f t="shared" si="3"/>
        <v>0.875</v>
      </c>
      <c r="O14" s="54">
        <v>0.5</v>
      </c>
      <c r="P14" s="54">
        <f t="shared" si="4"/>
        <v>0.875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21">
        <v>45</v>
      </c>
      <c r="W14" s="21">
        <f t="shared" si="5"/>
        <v>0</v>
      </c>
      <c r="X14" s="58">
        <v>0.375</v>
      </c>
    </row>
    <row r="15" customHeight="1" spans="1:24">
      <c r="A15" s="62">
        <v>10272259</v>
      </c>
      <c r="B15" s="51" t="s">
        <v>103</v>
      </c>
      <c r="C15" s="52" t="s">
        <v>20</v>
      </c>
      <c r="D15" s="52" t="s">
        <v>21</v>
      </c>
      <c r="E15" s="52" t="s">
        <v>22</v>
      </c>
      <c r="F15" s="53">
        <v>2</v>
      </c>
      <c r="G15" s="54">
        <v>0.5</v>
      </c>
      <c r="H15" s="54">
        <f t="shared" si="0"/>
        <v>0.875</v>
      </c>
      <c r="I15" s="54">
        <v>0.5</v>
      </c>
      <c r="J15" s="54">
        <f t="shared" si="1"/>
        <v>0.875</v>
      </c>
      <c r="K15" s="54">
        <v>0.5</v>
      </c>
      <c r="L15" s="54">
        <f t="shared" si="2"/>
        <v>0.875</v>
      </c>
      <c r="M15" s="21" t="s">
        <v>23</v>
      </c>
      <c r="N15" s="54" t="str">
        <f t="shared" si="3"/>
        <v>OFF</v>
      </c>
      <c r="O15" s="21" t="s">
        <v>23</v>
      </c>
      <c r="P15" s="54" t="str">
        <f t="shared" si="4"/>
        <v>OFF</v>
      </c>
      <c r="Q15" s="54">
        <v>0.458333333333333</v>
      </c>
      <c r="R15" s="54">
        <v>0.666666666666667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ISODD(COLUMN(G15:T15)))))*24"),37)</f>
        <v>37</v>
      </c>
      <c r="V15" s="21">
        <v>37</v>
      </c>
      <c r="W15" s="21">
        <f t="shared" si="5"/>
        <v>0</v>
      </c>
      <c r="X15" s="58">
        <v>0.375</v>
      </c>
    </row>
    <row r="16" customHeight="1" spans="1:24">
      <c r="A16" s="62">
        <v>10276839</v>
      </c>
      <c r="B16" s="51" t="s">
        <v>54</v>
      </c>
      <c r="C16" s="52" t="s">
        <v>20</v>
      </c>
      <c r="D16" s="52" t="s">
        <v>21</v>
      </c>
      <c r="E16" s="52" t="s">
        <v>22</v>
      </c>
      <c r="F16" s="52">
        <v>2</v>
      </c>
      <c r="G16" s="54">
        <v>0.5</v>
      </c>
      <c r="H16" s="54">
        <f t="shared" si="0"/>
        <v>0.875</v>
      </c>
      <c r="I16" s="54">
        <v>0.5</v>
      </c>
      <c r="J16" s="54">
        <f t="shared" si="1"/>
        <v>0.875</v>
      </c>
      <c r="K16" s="54">
        <v>0.5</v>
      </c>
      <c r="L16" s="54">
        <f t="shared" si="2"/>
        <v>0.875</v>
      </c>
      <c r="M16" s="54">
        <v>0.5</v>
      </c>
      <c r="N16" s="54">
        <f t="shared" si="3"/>
        <v>0.875</v>
      </c>
      <c r="O16" s="54">
        <v>0.5</v>
      </c>
      <c r="P16" s="54">
        <f t="shared" si="4"/>
        <v>0.875</v>
      </c>
      <c r="Q16" s="21" t="s">
        <v>23</v>
      </c>
      <c r="R16" s="54" t="s">
        <v>23</v>
      </c>
      <c r="S16" s="54" t="s">
        <v>23</v>
      </c>
      <c r="T16" s="54" t="s">
        <v>23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5"/>
        <v>0</v>
      </c>
      <c r="X16" s="58">
        <v>0.375</v>
      </c>
    </row>
    <row r="17" customHeight="1" spans="1:24">
      <c r="A17" s="62">
        <v>10317943</v>
      </c>
      <c r="B17" s="51" t="s">
        <v>27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0.375</v>
      </c>
      <c r="H17" s="54">
        <f t="shared" si="0"/>
        <v>0.75</v>
      </c>
      <c r="I17" s="54">
        <v>0.375</v>
      </c>
      <c r="J17" s="54">
        <f t="shared" si="1"/>
        <v>0.75</v>
      </c>
      <c r="K17" s="54">
        <v>0.375</v>
      </c>
      <c r="L17" s="54">
        <f t="shared" si="2"/>
        <v>0.75</v>
      </c>
      <c r="M17" s="54">
        <v>0.375</v>
      </c>
      <c r="N17" s="54">
        <f t="shared" si="3"/>
        <v>0.75</v>
      </c>
      <c r="O17" s="54">
        <v>0.375</v>
      </c>
      <c r="P17" s="54">
        <f t="shared" si="4"/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21">
        <v>45</v>
      </c>
      <c r="W17" s="21">
        <f t="shared" si="5"/>
        <v>0</v>
      </c>
      <c r="X17" s="85">
        <v>0.375</v>
      </c>
    </row>
    <row r="18" customHeight="1" spans="1:24">
      <c r="A18" s="62">
        <v>10295555</v>
      </c>
      <c r="B18" s="51" t="s">
        <v>220</v>
      </c>
      <c r="C18" s="52" t="s">
        <v>20</v>
      </c>
      <c r="D18" s="52" t="s">
        <v>21</v>
      </c>
      <c r="E18" s="52" t="s">
        <v>35</v>
      </c>
      <c r="F18" s="53">
        <v>2</v>
      </c>
      <c r="G18" s="54">
        <v>0.375</v>
      </c>
      <c r="H18" s="54">
        <f t="shared" si="0"/>
        <v>0.583333333333333</v>
      </c>
      <c r="I18" s="54">
        <v>0.375</v>
      </c>
      <c r="J18" s="54">
        <f t="shared" si="1"/>
        <v>0.583333333333333</v>
      </c>
      <c r="K18" s="54">
        <v>0.375</v>
      </c>
      <c r="L18" s="54">
        <f t="shared" si="2"/>
        <v>0.583333333333333</v>
      </c>
      <c r="M18" s="21" t="s">
        <v>23</v>
      </c>
      <c r="N18" s="54" t="str">
        <f t="shared" si="3"/>
        <v>OFF</v>
      </c>
      <c r="O18" s="21" t="s">
        <v>23</v>
      </c>
      <c r="P18" s="54" t="str">
        <f t="shared" si="4"/>
        <v>OFF</v>
      </c>
      <c r="Q18" s="54">
        <v>0.458333333333333</v>
      </c>
      <c r="R18" s="54">
        <v>0.666666666666667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ISODD(COLUMN(G18:T18)))))*24"),24.9999999999999)</f>
        <v>24.9999999999999</v>
      </c>
      <c r="V18" s="21">
        <v>25</v>
      </c>
      <c r="W18" s="21">
        <f t="shared" si="5"/>
        <v>9.9475983006414e-14</v>
      </c>
      <c r="X18" s="58">
        <v>0.208333333333333</v>
      </c>
    </row>
    <row r="19" customHeight="1" spans="1:24">
      <c r="A19" s="62">
        <v>10316618</v>
      </c>
      <c r="B19" s="51" t="s">
        <v>33</v>
      </c>
      <c r="C19" s="52" t="s">
        <v>20</v>
      </c>
      <c r="D19" s="52" t="s">
        <v>21</v>
      </c>
      <c r="E19" s="52" t="s">
        <v>22</v>
      </c>
      <c r="F19" s="53">
        <v>1</v>
      </c>
      <c r="G19" s="54">
        <v>0.375</v>
      </c>
      <c r="H19" s="54">
        <f t="shared" si="0"/>
        <v>0.791666666666667</v>
      </c>
      <c r="I19" s="54">
        <v>0.375</v>
      </c>
      <c r="J19" s="54">
        <f t="shared" si="1"/>
        <v>0.791666666666667</v>
      </c>
      <c r="K19" s="54">
        <v>0.375</v>
      </c>
      <c r="L19" s="54">
        <f t="shared" si="2"/>
        <v>0.791666666666667</v>
      </c>
      <c r="M19" s="54">
        <v>0.375</v>
      </c>
      <c r="N19" s="54">
        <f t="shared" si="3"/>
        <v>0.791666666666667</v>
      </c>
      <c r="O19" s="21" t="s">
        <v>23</v>
      </c>
      <c r="P19" s="54" t="str">
        <f t="shared" si="4"/>
        <v>OFF</v>
      </c>
      <c r="Q19" s="21" t="s">
        <v>23</v>
      </c>
      <c r="R19" s="21" t="s">
        <v>23</v>
      </c>
      <c r="S19" s="54">
        <v>0.458333333333333</v>
      </c>
      <c r="T19" s="54">
        <v>0.666666666666667</v>
      </c>
      <c r="U19" s="21">
        <f>IFERROR(__xludf.DUMMYFUNCTION("TO_PURE_NUMBER(SUM(FILTER(G19:T19, ISEVEN(COLUMN(G19:T19))))-SUM(FILTER(G19:T19, ISODD(COLUMN(G19:T19)))))*24"),44.9999999999999)</f>
        <v>44.9999999999999</v>
      </c>
      <c r="V19" s="21">
        <v>45</v>
      </c>
      <c r="W19" s="21">
        <f t="shared" si="5"/>
        <v>9.9475983006414e-14</v>
      </c>
      <c r="X19" s="58">
        <v>0.416666666666667</v>
      </c>
    </row>
    <row r="20" customHeight="1" spans="1:24">
      <c r="A20" s="62">
        <v>10316680</v>
      </c>
      <c r="B20" s="51" t="s">
        <v>40</v>
      </c>
      <c r="C20" s="52" t="s">
        <v>20</v>
      </c>
      <c r="D20" s="52" t="s">
        <v>21</v>
      </c>
      <c r="E20" s="52" t="s">
        <v>22</v>
      </c>
      <c r="F20" s="53">
        <v>1</v>
      </c>
      <c r="G20" s="54">
        <v>0.375</v>
      </c>
      <c r="H20" s="54">
        <f t="shared" si="0"/>
        <v>0.791666666666667</v>
      </c>
      <c r="I20" s="54">
        <v>0.375</v>
      </c>
      <c r="J20" s="54">
        <f t="shared" si="1"/>
        <v>0.791666666666667</v>
      </c>
      <c r="K20" s="54">
        <v>0.375</v>
      </c>
      <c r="L20" s="54">
        <f t="shared" si="2"/>
        <v>0.791666666666667</v>
      </c>
      <c r="M20" s="54">
        <v>0.375</v>
      </c>
      <c r="N20" s="54">
        <f t="shared" si="3"/>
        <v>0.791666666666667</v>
      </c>
      <c r="O20" s="21" t="s">
        <v>23</v>
      </c>
      <c r="P20" s="54" t="str">
        <f t="shared" si="4"/>
        <v>OFF</v>
      </c>
      <c r="Q20" s="21" t="s">
        <v>23</v>
      </c>
      <c r="R20" s="54" t="str">
        <f>IFERROR(Q20+$X20,"OFF")</f>
        <v>OFF</v>
      </c>
      <c r="S20" s="54">
        <v>0.458333333333333</v>
      </c>
      <c r="T20" s="54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  <c r="V20" s="21">
        <v>45</v>
      </c>
      <c r="W20" s="21">
        <f t="shared" si="5"/>
        <v>9.9475983006414e-14</v>
      </c>
      <c r="X20" s="58">
        <v>0.416666666666667</v>
      </c>
    </row>
    <row r="21" customHeight="1" spans="1:24">
      <c r="A21" s="62">
        <v>10316543</v>
      </c>
      <c r="B21" s="63" t="s">
        <v>41</v>
      </c>
      <c r="C21" s="52" t="s">
        <v>20</v>
      </c>
      <c r="D21" s="52" t="s">
        <v>21</v>
      </c>
      <c r="E21" s="52" t="s">
        <v>22</v>
      </c>
      <c r="F21" s="53">
        <v>1</v>
      </c>
      <c r="G21" s="54">
        <v>0.375</v>
      </c>
      <c r="H21" s="54">
        <f t="shared" si="0"/>
        <v>0.791666666666667</v>
      </c>
      <c r="I21" s="54">
        <v>0.375</v>
      </c>
      <c r="J21" s="54">
        <f t="shared" si="1"/>
        <v>0.791666666666667</v>
      </c>
      <c r="K21" s="54">
        <v>0.375</v>
      </c>
      <c r="L21" s="54">
        <f t="shared" si="2"/>
        <v>0.791666666666667</v>
      </c>
      <c r="M21" s="54">
        <v>0.375</v>
      </c>
      <c r="N21" s="54">
        <f t="shared" si="3"/>
        <v>0.791666666666667</v>
      </c>
      <c r="O21" s="21" t="s">
        <v>23</v>
      </c>
      <c r="P21" s="54" t="str">
        <f t="shared" si="4"/>
        <v>OFF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5"/>
        <v>9.9475983006414e-14</v>
      </c>
      <c r="X21" s="58">
        <v>0.416666666666667</v>
      </c>
    </row>
    <row r="22" customHeight="1" spans="1:24">
      <c r="A22" s="62">
        <v>10316546</v>
      </c>
      <c r="B22" s="51" t="s">
        <v>49</v>
      </c>
      <c r="C22" s="52" t="s">
        <v>20</v>
      </c>
      <c r="D22" s="52" t="s">
        <v>21</v>
      </c>
      <c r="E22" s="52" t="s">
        <v>22</v>
      </c>
      <c r="F22" s="53">
        <v>1</v>
      </c>
      <c r="G22" s="54">
        <v>0.375</v>
      </c>
      <c r="H22" s="54">
        <f t="shared" si="0"/>
        <v>0.791666666666667</v>
      </c>
      <c r="I22" s="54">
        <v>0.375</v>
      </c>
      <c r="J22" s="54">
        <f t="shared" si="1"/>
        <v>0.791666666666667</v>
      </c>
      <c r="K22" s="54">
        <v>0.375</v>
      </c>
      <c r="L22" s="54">
        <f t="shared" si="2"/>
        <v>0.791666666666667</v>
      </c>
      <c r="M22" s="54">
        <v>0.375</v>
      </c>
      <c r="N22" s="54">
        <f t="shared" si="3"/>
        <v>0.791666666666667</v>
      </c>
      <c r="O22" s="21" t="s">
        <v>23</v>
      </c>
      <c r="P22" s="54" t="str">
        <f t="shared" si="4"/>
        <v>OFF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f>IFERROR(__xludf.DUMMYFUNCTION("TO_PURE_NUMBER(SUM(FILTER(G22:T22, ISEVEN(COLUMN(G22:T22))))-SUM(FILTER(G22:T22, ISODD(COLUMN(G22:T22)))))*24"),44.9999999999999)</f>
        <v>44.9999999999999</v>
      </c>
      <c r="V22" s="21">
        <v>45</v>
      </c>
      <c r="W22" s="21">
        <f t="shared" si="5"/>
        <v>9.9475983006414e-14</v>
      </c>
      <c r="X22" s="58">
        <v>0.416666666666667</v>
      </c>
    </row>
    <row r="23" customHeight="1" spans="1:24">
      <c r="A23" s="62">
        <v>10317151</v>
      </c>
      <c r="B23" s="51" t="s">
        <v>52</v>
      </c>
      <c r="C23" s="52" t="s">
        <v>20</v>
      </c>
      <c r="D23" s="52" t="s">
        <v>21</v>
      </c>
      <c r="E23" s="52" t="s">
        <v>22</v>
      </c>
      <c r="F23" s="53">
        <v>1</v>
      </c>
      <c r="G23" s="54">
        <v>0.375</v>
      </c>
      <c r="H23" s="54">
        <f t="shared" si="0"/>
        <v>0.791666666666667</v>
      </c>
      <c r="I23" s="54">
        <v>0.375</v>
      </c>
      <c r="J23" s="54">
        <f t="shared" si="1"/>
        <v>0.791666666666667</v>
      </c>
      <c r="K23" s="54">
        <v>0.375</v>
      </c>
      <c r="L23" s="54">
        <f t="shared" si="2"/>
        <v>0.791666666666667</v>
      </c>
      <c r="M23" s="54">
        <v>0.375</v>
      </c>
      <c r="N23" s="54">
        <f t="shared" si="3"/>
        <v>0.791666666666667</v>
      </c>
      <c r="O23" s="21" t="s">
        <v>23</v>
      </c>
      <c r="P23" s="54" t="str">
        <f t="shared" si="4"/>
        <v>OFF</v>
      </c>
      <c r="Q23" s="21" t="s">
        <v>23</v>
      </c>
      <c r="R23" s="21" t="s">
        <v>23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5"/>
        <v>9.9475983006414e-14</v>
      </c>
      <c r="X23" s="58">
        <v>0.416666666666667</v>
      </c>
    </row>
    <row r="24" customHeight="1" spans="1:24">
      <c r="A24" s="62">
        <v>10317522</v>
      </c>
      <c r="B24" s="63" t="s">
        <v>31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0.375</v>
      </c>
      <c r="H24" s="54">
        <f t="shared" si="0"/>
        <v>0.75</v>
      </c>
      <c r="I24" s="54">
        <v>0.375</v>
      </c>
      <c r="J24" s="54">
        <f t="shared" si="1"/>
        <v>0.75</v>
      </c>
      <c r="K24" s="54">
        <v>0.375</v>
      </c>
      <c r="L24" s="54">
        <f t="shared" si="2"/>
        <v>0.75</v>
      </c>
      <c r="M24" s="54">
        <v>0.375</v>
      </c>
      <c r="N24" s="54">
        <f t="shared" si="3"/>
        <v>0.75</v>
      </c>
      <c r="O24" s="54">
        <v>0.375</v>
      </c>
      <c r="P24" s="54">
        <f t="shared" si="4"/>
        <v>0.75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5"/>
        <v>0</v>
      </c>
      <c r="X24" s="58">
        <v>0.375</v>
      </c>
    </row>
    <row r="25" customHeight="1" spans="1:24">
      <c r="A25" s="62">
        <v>10212379</v>
      </c>
      <c r="B25" s="51" t="s">
        <v>216</v>
      </c>
      <c r="C25" s="52" t="s">
        <v>20</v>
      </c>
      <c r="D25" s="52" t="s">
        <v>21</v>
      </c>
      <c r="E25" s="52" t="s">
        <v>22</v>
      </c>
      <c r="F25" s="53">
        <v>2</v>
      </c>
      <c r="G25" s="54">
        <v>0.375</v>
      </c>
      <c r="H25" s="54">
        <f t="shared" si="0"/>
        <v>0.75</v>
      </c>
      <c r="I25" s="54">
        <v>0.375</v>
      </c>
      <c r="J25" s="54">
        <f t="shared" si="1"/>
        <v>0.75</v>
      </c>
      <c r="K25" s="54">
        <v>0.375</v>
      </c>
      <c r="L25" s="54">
        <f t="shared" si="2"/>
        <v>0.75</v>
      </c>
      <c r="M25" s="54">
        <v>0.375</v>
      </c>
      <c r="N25" s="54">
        <f t="shared" si="3"/>
        <v>0.75</v>
      </c>
      <c r="O25" s="54">
        <v>0.375</v>
      </c>
      <c r="P25" s="54">
        <f t="shared" si="4"/>
        <v>0.75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5"/>
        <v>0</v>
      </c>
      <c r="X25" s="58">
        <v>0.375</v>
      </c>
    </row>
    <row r="26" customHeight="1" spans="1:24">
      <c r="A26" s="62">
        <v>10274446</v>
      </c>
      <c r="B26" s="51" t="s">
        <v>88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0.5</v>
      </c>
      <c r="H26" s="54">
        <f t="shared" si="0"/>
        <v>0.875</v>
      </c>
      <c r="I26" s="54">
        <v>0.5</v>
      </c>
      <c r="J26" s="54">
        <f t="shared" si="1"/>
        <v>0.875</v>
      </c>
      <c r="K26" s="54">
        <v>0.5</v>
      </c>
      <c r="L26" s="54">
        <f t="shared" si="2"/>
        <v>0.875</v>
      </c>
      <c r="M26" s="54">
        <v>0.375</v>
      </c>
      <c r="N26" s="54">
        <f t="shared" si="3"/>
        <v>0.75</v>
      </c>
      <c r="O26" s="21" t="s">
        <v>23</v>
      </c>
      <c r="P26" s="54" t="str">
        <f t="shared" si="4"/>
        <v>OFF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ISODD(COLUMN(G26:T26)))))*24"),41)</f>
        <v>41</v>
      </c>
      <c r="V26" s="21">
        <v>37</v>
      </c>
      <c r="W26" s="21">
        <f t="shared" si="5"/>
        <v>-4</v>
      </c>
      <c r="X26" s="58">
        <v>0.375</v>
      </c>
    </row>
    <row r="27" customHeight="1" spans="1:24">
      <c r="A27" s="62">
        <v>10316551</v>
      </c>
      <c r="B27" s="51" t="s">
        <v>87</v>
      </c>
      <c r="C27" s="52" t="s">
        <v>20</v>
      </c>
      <c r="D27" s="52" t="s">
        <v>21</v>
      </c>
      <c r="E27" s="52" t="s">
        <v>22</v>
      </c>
      <c r="F27" s="53">
        <v>1</v>
      </c>
      <c r="G27" s="54">
        <v>0.375</v>
      </c>
      <c r="H27" s="54">
        <f t="shared" si="0"/>
        <v>0.75</v>
      </c>
      <c r="I27" s="54">
        <v>0.375</v>
      </c>
      <c r="J27" s="54">
        <f t="shared" si="1"/>
        <v>0.75</v>
      </c>
      <c r="K27" s="54">
        <v>0.375</v>
      </c>
      <c r="L27" s="54">
        <f t="shared" si="2"/>
        <v>0.75</v>
      </c>
      <c r="M27" s="54">
        <v>0.375</v>
      </c>
      <c r="N27" s="54">
        <f t="shared" si="3"/>
        <v>0.75</v>
      </c>
      <c r="O27" s="21" t="s">
        <v>23</v>
      </c>
      <c r="P27" s="54" t="str">
        <f t="shared" si="4"/>
        <v>OFF</v>
      </c>
      <c r="Q27" s="21" t="s">
        <v>23</v>
      </c>
      <c r="R27" s="54" t="str">
        <f>IFERROR(Q27+$X27,"OFF")</f>
        <v>OFF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21">
        <v>37</v>
      </c>
      <c r="W27" s="21">
        <f t="shared" si="5"/>
        <v>-4</v>
      </c>
      <c r="X27" s="58">
        <v>0.375</v>
      </c>
    </row>
    <row r="28" customHeight="1" spans="1:24">
      <c r="A28" s="62">
        <v>10317524</v>
      </c>
      <c r="B28" s="51" t="s">
        <v>53</v>
      </c>
      <c r="C28" s="52" t="s">
        <v>20</v>
      </c>
      <c r="D28" s="52" t="s">
        <v>21</v>
      </c>
      <c r="E28" s="52" t="s">
        <v>22</v>
      </c>
      <c r="F28" s="53">
        <v>2</v>
      </c>
      <c r="G28" s="54">
        <v>0.375</v>
      </c>
      <c r="H28" s="54">
        <f t="shared" si="0"/>
        <v>0.75</v>
      </c>
      <c r="I28" s="54">
        <v>0.375</v>
      </c>
      <c r="J28" s="54">
        <f t="shared" si="1"/>
        <v>0.75</v>
      </c>
      <c r="K28" s="54">
        <v>0.375</v>
      </c>
      <c r="L28" s="54">
        <f t="shared" si="2"/>
        <v>0.75</v>
      </c>
      <c r="M28" s="54">
        <v>0.375</v>
      </c>
      <c r="N28" s="54">
        <f t="shared" si="3"/>
        <v>0.75</v>
      </c>
      <c r="O28" s="54">
        <v>0.375</v>
      </c>
      <c r="P28" s="54">
        <f t="shared" si="4"/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21">
        <v>45</v>
      </c>
      <c r="W28" s="21">
        <f t="shared" si="5"/>
        <v>0</v>
      </c>
      <c r="X28" s="58">
        <v>0.375</v>
      </c>
    </row>
    <row r="29" customHeight="1" spans="1:24">
      <c r="A29" s="62">
        <v>10316681</v>
      </c>
      <c r="B29" s="51" t="s">
        <v>38</v>
      </c>
      <c r="C29" s="52" t="s">
        <v>20</v>
      </c>
      <c r="D29" s="52" t="s">
        <v>21</v>
      </c>
      <c r="E29" s="52" t="s">
        <v>22</v>
      </c>
      <c r="F29" s="53">
        <v>1</v>
      </c>
      <c r="G29" s="21" t="s">
        <v>23</v>
      </c>
      <c r="H29" s="21" t="s">
        <v>23</v>
      </c>
      <c r="I29" s="54">
        <v>0.5</v>
      </c>
      <c r="J29" s="54">
        <f t="shared" si="1"/>
        <v>0.875</v>
      </c>
      <c r="K29" s="54">
        <v>0.5</v>
      </c>
      <c r="L29" s="54">
        <f t="shared" si="2"/>
        <v>0.875</v>
      </c>
      <c r="M29" s="54">
        <v>0.5</v>
      </c>
      <c r="N29" s="54">
        <f t="shared" si="3"/>
        <v>0.875</v>
      </c>
      <c r="O29" s="54">
        <v>0.5</v>
      </c>
      <c r="P29" s="54">
        <f t="shared" si="4"/>
        <v>0.875</v>
      </c>
      <c r="Q29" s="54">
        <v>0.458333333333333</v>
      </c>
      <c r="R29" s="54">
        <v>0.666666666666667</v>
      </c>
      <c r="S29" s="21" t="s">
        <v>23</v>
      </c>
      <c r="T29" s="21" t="s">
        <v>23</v>
      </c>
      <c r="U29" s="21">
        <f>IFERROR(__xludf.DUMMYFUNCTION("TO_PURE_NUMBER(SUM(FILTER(G29:T29, ISEVEN(COLUMN(G29:T29))))-SUM(FILTER(G29:T29, ISODD(COLUMN(G29:T29)))))*24"),41)</f>
        <v>41</v>
      </c>
      <c r="V29" s="21">
        <v>41</v>
      </c>
      <c r="W29" s="21">
        <f t="shared" si="5"/>
        <v>0</v>
      </c>
      <c r="X29" s="58">
        <v>0.375</v>
      </c>
    </row>
    <row r="30" customHeight="1" spans="1:24">
      <c r="A30" s="62">
        <v>10252106</v>
      </c>
      <c r="B30" s="51" t="s">
        <v>43</v>
      </c>
      <c r="C30" s="52" t="s">
        <v>20</v>
      </c>
      <c r="D30" s="52" t="s">
        <v>21</v>
      </c>
      <c r="E30" s="52" t="s">
        <v>22</v>
      </c>
      <c r="F30" s="53">
        <v>2</v>
      </c>
      <c r="G30" s="21" t="s">
        <v>23</v>
      </c>
      <c r="H30" s="21" t="s">
        <v>23</v>
      </c>
      <c r="I30" s="54">
        <v>0.5</v>
      </c>
      <c r="J30" s="54">
        <f t="shared" si="1"/>
        <v>0.875</v>
      </c>
      <c r="K30" s="21" t="s">
        <v>23</v>
      </c>
      <c r="L30" s="54" t="str">
        <f t="shared" si="2"/>
        <v>OFF</v>
      </c>
      <c r="M30" s="54">
        <v>0.5</v>
      </c>
      <c r="N30" s="54">
        <f t="shared" si="3"/>
        <v>0.875</v>
      </c>
      <c r="O30" s="54">
        <v>0.5</v>
      </c>
      <c r="P30" s="54">
        <f t="shared" si="4"/>
        <v>0.875</v>
      </c>
      <c r="Q30" s="54">
        <v>0.458333333333333</v>
      </c>
      <c r="R30" s="54">
        <v>0.666666666666667</v>
      </c>
      <c r="S30" s="54">
        <v>0.458333333333333</v>
      </c>
      <c r="T30" s="54">
        <v>0.666666666666667</v>
      </c>
      <c r="U30" s="21">
        <f>IFERROR(__xludf.DUMMYFUNCTION("TO_PURE_NUMBER(SUM(FILTER(G30:T30, ISEVEN(COLUMN(G30:T30))))-SUM(FILTER(G30:T30, ISODD(COLUMN(G30:T30)))))*24"),37)</f>
        <v>37</v>
      </c>
      <c r="V30" s="21">
        <v>37</v>
      </c>
      <c r="W30" s="21">
        <f t="shared" si="5"/>
        <v>0</v>
      </c>
      <c r="X30" s="58">
        <v>0.375</v>
      </c>
    </row>
    <row r="31" customHeight="1" spans="1:24">
      <c r="A31" s="62">
        <v>10316683</v>
      </c>
      <c r="B31" s="51" t="s">
        <v>51</v>
      </c>
      <c r="C31" s="52" t="s">
        <v>20</v>
      </c>
      <c r="D31" s="52" t="s">
        <v>21</v>
      </c>
      <c r="E31" s="52" t="s">
        <v>22</v>
      </c>
      <c r="F31" s="53">
        <v>1</v>
      </c>
      <c r="G31" s="54">
        <v>0.458333333333333</v>
      </c>
      <c r="H31" s="54">
        <f>IFERROR(G31+$X31,"OFF")</f>
        <v>0.875</v>
      </c>
      <c r="I31" s="54">
        <v>0.458333333333333</v>
      </c>
      <c r="J31" s="54">
        <f t="shared" si="1"/>
        <v>0.875</v>
      </c>
      <c r="K31" s="54">
        <v>0.458333333333333</v>
      </c>
      <c r="L31" s="54">
        <f t="shared" si="2"/>
        <v>0.875</v>
      </c>
      <c r="M31" s="54">
        <v>0.458333333333333</v>
      </c>
      <c r="N31" s="54">
        <f t="shared" si="3"/>
        <v>0.875</v>
      </c>
      <c r="O31" s="21" t="s">
        <v>23</v>
      </c>
      <c r="P31" s="21" t="s">
        <v>23</v>
      </c>
      <c r="Q31" s="21" t="s">
        <v>23</v>
      </c>
      <c r="R31" s="21" t="s">
        <v>23</v>
      </c>
      <c r="S31" s="54">
        <v>0.458333333333333</v>
      </c>
      <c r="T31" s="54">
        <v>0.666666666666667</v>
      </c>
      <c r="U31" s="21">
        <f>IFERROR(__xludf.DUMMYFUNCTION("TO_PURE_NUMBER(SUM(FILTER(G31:T31, ISEVEN(COLUMN(G31:T31))))-SUM(FILTER(G31:T31, ISODD(COLUMN(G31:T31)))))*24"),44.9999999999999)</f>
        <v>44.9999999999999</v>
      </c>
      <c r="V31" s="21">
        <v>45</v>
      </c>
      <c r="W31" s="21">
        <f t="shared" si="5"/>
        <v>9.9475983006414e-14</v>
      </c>
      <c r="X31" s="58">
        <v>0.416666666666667</v>
      </c>
    </row>
    <row r="32" customHeight="1" spans="1:24">
      <c r="A32" s="62">
        <v>10317147</v>
      </c>
      <c r="B32" s="51" t="s">
        <v>24</v>
      </c>
      <c r="C32" s="52" t="s">
        <v>20</v>
      </c>
      <c r="D32" s="52" t="s">
        <v>21</v>
      </c>
      <c r="E32" s="52" t="s">
        <v>22</v>
      </c>
      <c r="F32" s="53">
        <v>1</v>
      </c>
      <c r="G32" s="21" t="s">
        <v>23</v>
      </c>
      <c r="H32" s="21" t="s">
        <v>23</v>
      </c>
      <c r="I32" s="54">
        <v>0.458333333333333</v>
      </c>
      <c r="J32" s="54">
        <f t="shared" si="1"/>
        <v>0.875</v>
      </c>
      <c r="K32" s="54">
        <v>0.458333333333333</v>
      </c>
      <c r="L32" s="54">
        <f t="shared" si="2"/>
        <v>0.875</v>
      </c>
      <c r="M32" s="54">
        <v>0.458333333333333</v>
      </c>
      <c r="N32" s="54">
        <f t="shared" si="3"/>
        <v>0.875</v>
      </c>
      <c r="O32" s="54">
        <v>0.458333333333333</v>
      </c>
      <c r="P32" s="54">
        <f t="shared" ref="P32:P37" si="6">IFERROR(O32+$X32,"OFF")</f>
        <v>0.875</v>
      </c>
      <c r="Q32" s="54">
        <v>0.458333333333333</v>
      </c>
      <c r="R32" s="54">
        <v>0.666666666666667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5"/>
        <v>0</v>
      </c>
      <c r="X32" s="58">
        <v>0.416666666666667</v>
      </c>
    </row>
    <row r="33" customHeight="1" spans="1:24">
      <c r="A33" s="62">
        <v>10316538</v>
      </c>
      <c r="B33" s="51" t="s">
        <v>44</v>
      </c>
      <c r="C33" s="52" t="s">
        <v>20</v>
      </c>
      <c r="D33" s="52" t="s">
        <v>21</v>
      </c>
      <c r="E33" s="52" t="s">
        <v>22</v>
      </c>
      <c r="F33" s="53">
        <v>1</v>
      </c>
      <c r="G33" s="21" t="s">
        <v>23</v>
      </c>
      <c r="H33" s="21" t="s">
        <v>23</v>
      </c>
      <c r="I33" s="54">
        <v>0.375</v>
      </c>
      <c r="J33" s="54">
        <f t="shared" si="1"/>
        <v>0.791666666666667</v>
      </c>
      <c r="K33" s="54">
        <v>0.375</v>
      </c>
      <c r="L33" s="54">
        <f t="shared" si="2"/>
        <v>0.791666666666667</v>
      </c>
      <c r="M33" s="54">
        <v>0.375</v>
      </c>
      <c r="N33" s="54">
        <f t="shared" si="3"/>
        <v>0.791666666666667</v>
      </c>
      <c r="O33" s="54">
        <v>0.375</v>
      </c>
      <c r="P33" s="54">
        <f t="shared" si="6"/>
        <v>0.791666666666667</v>
      </c>
      <c r="Q33" s="54">
        <v>0.458333333333333</v>
      </c>
      <c r="R33" s="54">
        <v>0.666666666666667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5"/>
        <v>9.9475983006414e-14</v>
      </c>
      <c r="X33" s="58">
        <v>0.416666666666667</v>
      </c>
    </row>
    <row r="34" customHeight="1" spans="1:24">
      <c r="A34" s="62">
        <v>10316530</v>
      </c>
      <c r="B34" s="51" t="s">
        <v>26</v>
      </c>
      <c r="C34" s="52" t="s">
        <v>20</v>
      </c>
      <c r="D34" s="52" t="s">
        <v>21</v>
      </c>
      <c r="E34" s="52" t="s">
        <v>22</v>
      </c>
      <c r="F34" s="53">
        <v>1</v>
      </c>
      <c r="G34" s="21" t="s">
        <v>23</v>
      </c>
      <c r="H34" s="21" t="s">
        <v>23</v>
      </c>
      <c r="I34" s="54">
        <v>0.458333333333333</v>
      </c>
      <c r="J34" s="54">
        <f t="shared" si="1"/>
        <v>0.875</v>
      </c>
      <c r="K34" s="54">
        <v>0.458333333333333</v>
      </c>
      <c r="L34" s="54">
        <f t="shared" si="2"/>
        <v>0.875</v>
      </c>
      <c r="M34" s="54">
        <v>0.458333333333333</v>
      </c>
      <c r="N34" s="54">
        <f t="shared" si="3"/>
        <v>0.875</v>
      </c>
      <c r="O34" s="54">
        <v>0.458333333333333</v>
      </c>
      <c r="P34" s="54">
        <f t="shared" si="6"/>
        <v>0.875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21">
        <v>45</v>
      </c>
      <c r="W34" s="21">
        <f t="shared" si="5"/>
        <v>0</v>
      </c>
      <c r="X34" s="58">
        <v>0.416666666666667</v>
      </c>
    </row>
    <row r="35" customHeight="1" spans="1:24">
      <c r="A35" s="62">
        <v>10316545</v>
      </c>
      <c r="B35" s="51" t="s">
        <v>45</v>
      </c>
      <c r="C35" s="52" t="s">
        <v>20</v>
      </c>
      <c r="D35" s="52" t="s">
        <v>21</v>
      </c>
      <c r="E35" s="52" t="s">
        <v>22</v>
      </c>
      <c r="F35" s="53">
        <v>1</v>
      </c>
      <c r="G35" s="21" t="s">
        <v>23</v>
      </c>
      <c r="H35" s="21" t="s">
        <v>23</v>
      </c>
      <c r="I35" s="54">
        <v>0.458333333333333</v>
      </c>
      <c r="J35" s="54">
        <f t="shared" si="1"/>
        <v>0.875</v>
      </c>
      <c r="K35" s="54">
        <v>0.458333333333333</v>
      </c>
      <c r="L35" s="54">
        <f t="shared" si="2"/>
        <v>0.875</v>
      </c>
      <c r="M35" s="54">
        <v>0.458333333333333</v>
      </c>
      <c r="N35" s="54">
        <f t="shared" si="3"/>
        <v>0.875</v>
      </c>
      <c r="O35" s="54">
        <v>0.458333333333333</v>
      </c>
      <c r="P35" s="54">
        <f t="shared" si="6"/>
        <v>0.875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5"/>
        <v>0</v>
      </c>
      <c r="X35" s="58">
        <v>0.416666666666667</v>
      </c>
    </row>
    <row r="36" customHeight="1" spans="1:24">
      <c r="A36" s="62">
        <v>10316685</v>
      </c>
      <c r="B36" s="51" t="s">
        <v>47</v>
      </c>
      <c r="C36" s="52" t="s">
        <v>20</v>
      </c>
      <c r="D36" s="52" t="s">
        <v>21</v>
      </c>
      <c r="E36" s="52" t="s">
        <v>22</v>
      </c>
      <c r="F36" s="53">
        <v>1</v>
      </c>
      <c r="G36" s="21" t="s">
        <v>23</v>
      </c>
      <c r="H36" s="21" t="s">
        <v>23</v>
      </c>
      <c r="I36" s="54">
        <v>0.458333333333333</v>
      </c>
      <c r="J36" s="54">
        <f t="shared" si="1"/>
        <v>0.875</v>
      </c>
      <c r="K36" s="54">
        <v>0.458333333333333</v>
      </c>
      <c r="L36" s="54">
        <f t="shared" si="2"/>
        <v>0.875</v>
      </c>
      <c r="M36" s="54">
        <v>0.458333333333333</v>
      </c>
      <c r="N36" s="54">
        <f t="shared" si="3"/>
        <v>0.875</v>
      </c>
      <c r="O36" s="54">
        <v>0.458333333333333</v>
      </c>
      <c r="P36" s="54">
        <f t="shared" si="6"/>
        <v>0.875</v>
      </c>
      <c r="Q36" s="54">
        <v>0.458333333333333</v>
      </c>
      <c r="R36" s="54">
        <v>0.666666666666667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21">
        <v>45</v>
      </c>
      <c r="W36" s="21">
        <f t="shared" si="5"/>
        <v>0</v>
      </c>
      <c r="X36" s="58">
        <v>0.416666666666667</v>
      </c>
    </row>
    <row r="37" customHeight="1" spans="1:24">
      <c r="A37" s="62">
        <v>10316540</v>
      </c>
      <c r="B37" s="51" t="s">
        <v>30</v>
      </c>
      <c r="C37" s="52" t="s">
        <v>20</v>
      </c>
      <c r="D37" s="52" t="s">
        <v>21</v>
      </c>
      <c r="E37" s="52" t="s">
        <v>22</v>
      </c>
      <c r="F37" s="53">
        <v>1</v>
      </c>
      <c r="G37" s="21" t="s">
        <v>23</v>
      </c>
      <c r="H37" s="21" t="s">
        <v>23</v>
      </c>
      <c r="I37" s="54">
        <v>0.375</v>
      </c>
      <c r="J37" s="54">
        <f t="shared" si="1"/>
        <v>0.791666666666667</v>
      </c>
      <c r="K37" s="54">
        <v>0.375</v>
      </c>
      <c r="L37" s="54">
        <f t="shared" si="2"/>
        <v>0.791666666666667</v>
      </c>
      <c r="M37" s="54">
        <v>0.375</v>
      </c>
      <c r="N37" s="54">
        <f t="shared" si="3"/>
        <v>0.791666666666667</v>
      </c>
      <c r="O37" s="54">
        <v>0.375</v>
      </c>
      <c r="P37" s="54">
        <f t="shared" si="6"/>
        <v>0.791666666666667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ISODD(COLUMN(G37:T37)))))*24"),44.9999999999999)</f>
        <v>44.9999999999999</v>
      </c>
      <c r="V37" s="21">
        <v>45</v>
      </c>
      <c r="W37" s="21">
        <f t="shared" si="5"/>
        <v>9.9475983006414e-14</v>
      </c>
      <c r="X37" s="58">
        <v>0.416666666666667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W4:W37">
    <cfRule type="cellIs" dxfId="0" priority="2" operator="notBetween">
      <formula>-0.2</formula>
      <formula>0.2</formula>
    </cfRule>
  </conditionalFormatting>
  <conditionalFormatting sqref="X4:X37">
    <cfRule type="colorScale" priority="3">
      <colorScale>
        <cfvo type="min"/>
        <cfvo type="max"/>
        <color rgb="FFFFFFFF"/>
        <color rgb="FF57BB8A"/>
      </colorScale>
    </cfRule>
  </conditionalFormatting>
  <conditionalFormatting sqref="G4:T3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67"/>
  <sheetViews>
    <sheetView workbookViewId="0">
      <selection activeCell="A1" sqref="A1"/>
    </sheetView>
  </sheetViews>
  <sheetFormatPr defaultColWidth="12.6272727272727" defaultRowHeight="15.75" customHeight="1"/>
  <cols>
    <col min="1" max="1" width="15.7545454545455" customWidth="1"/>
    <col min="2" max="2" width="17.5" customWidth="1"/>
    <col min="3" max="3" width="6.5" customWidth="1"/>
    <col min="4" max="4" width="8.5" customWidth="1"/>
    <col min="5" max="5" width="4.75454545454545" customWidth="1"/>
    <col min="6" max="6" width="13.3818181818182" customWidth="1"/>
    <col min="7" max="12" width="8.62727272727273" customWidth="1"/>
    <col min="13" max="13" width="7.12727272727273" customWidth="1"/>
    <col min="14" max="20" width="8.62727272727273" customWidth="1"/>
    <col min="21" max="21" width="10.1272727272727" customWidth="1"/>
    <col min="22" max="22" width="6.62727272727273" customWidth="1"/>
    <col min="23" max="23" width="8.62727272727273" customWidth="1"/>
    <col min="24" max="26" width="13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45600</v>
      </c>
      <c r="H1" s="14"/>
      <c r="I1" s="46">
        <f>G1+1</f>
        <v>45601</v>
      </c>
      <c r="J1" s="14"/>
      <c r="K1" s="46">
        <f>I1+1</f>
        <v>45602</v>
      </c>
      <c r="L1" s="14"/>
      <c r="M1" s="46">
        <f>K1+1</f>
        <v>45603</v>
      </c>
      <c r="N1" s="14"/>
      <c r="O1" s="46">
        <f>M1+1</f>
        <v>45604</v>
      </c>
      <c r="P1" s="14"/>
      <c r="Q1" s="46">
        <f>O1+1</f>
        <v>45605</v>
      </c>
      <c r="R1" s="14"/>
      <c r="S1" s="46">
        <f>Q1+1</f>
        <v>45606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4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11" t="s">
        <v>18</v>
      </c>
    </row>
    <row r="4" customHeight="1" spans="1:24">
      <c r="A4" s="7">
        <v>10316549</v>
      </c>
      <c r="B4" s="51" t="s">
        <v>19</v>
      </c>
      <c r="C4" s="52" t="s">
        <v>20</v>
      </c>
      <c r="D4" s="52" t="s">
        <v>21</v>
      </c>
      <c r="E4" s="52" t="s">
        <v>22</v>
      </c>
      <c r="F4" s="53">
        <v>1</v>
      </c>
      <c r="G4" s="54">
        <v>0.458333333333333</v>
      </c>
      <c r="H4" s="54">
        <f t="shared" ref="H4:H28" si="0">IFERROR(G4+$X4,"OFF")</f>
        <v>0.875</v>
      </c>
      <c r="I4" s="54">
        <v>0.458333333333333</v>
      </c>
      <c r="J4" s="54">
        <f t="shared" ref="J4:J37" si="1">IFERROR(I4+$X4,"OFF")</f>
        <v>0.875</v>
      </c>
      <c r="K4" s="54">
        <v>0.458333333333333</v>
      </c>
      <c r="L4" s="54">
        <f t="shared" ref="L4:L37" si="2">IFERROR(K4+$X4,"OFF")</f>
        <v>0.875</v>
      </c>
      <c r="M4" s="54">
        <v>0.458333333333333</v>
      </c>
      <c r="N4" s="54">
        <f t="shared" ref="N4:N37" si="3">IFERROR(M4+$X4,"OFF")</f>
        <v>0.875</v>
      </c>
      <c r="O4" s="21" t="s">
        <v>23</v>
      </c>
      <c r="P4" s="54" t="str">
        <f t="shared" ref="P4:P30" si="4">IFERROR(O4+$X4,"OFF")</f>
        <v>OFF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7" si="5">V4-U4</f>
        <v>0</v>
      </c>
      <c r="X4" s="58">
        <v>0.416666666666667</v>
      </c>
    </row>
    <row r="5" customHeight="1" spans="1:24">
      <c r="A5" s="7">
        <v>10250963</v>
      </c>
      <c r="B5" s="51" t="s">
        <v>25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0.458333333333333</v>
      </c>
      <c r="H5" s="54">
        <f t="shared" si="0"/>
        <v>0.875</v>
      </c>
      <c r="I5" s="54">
        <v>0.458333333333333</v>
      </c>
      <c r="J5" s="54">
        <f t="shared" si="1"/>
        <v>0.875</v>
      </c>
      <c r="K5" s="54">
        <v>0.458333333333333</v>
      </c>
      <c r="L5" s="54">
        <f t="shared" si="2"/>
        <v>0.875</v>
      </c>
      <c r="M5" s="54">
        <v>0.458333333333333</v>
      </c>
      <c r="N5" s="54">
        <f t="shared" si="3"/>
        <v>0.875</v>
      </c>
      <c r="O5" s="21" t="s">
        <v>23</v>
      </c>
      <c r="P5" s="54" t="str">
        <f t="shared" si="4"/>
        <v>OFF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5"/>
        <v>0</v>
      </c>
      <c r="X5" s="58">
        <v>0.416666666666667</v>
      </c>
    </row>
    <row r="6" customHeight="1" spans="1:24">
      <c r="A6" s="7">
        <v>10317153</v>
      </c>
      <c r="B6" s="51" t="s">
        <v>42</v>
      </c>
      <c r="C6" s="52" t="s">
        <v>20</v>
      </c>
      <c r="D6" s="52" t="s">
        <v>21</v>
      </c>
      <c r="E6" s="52" t="s">
        <v>22</v>
      </c>
      <c r="F6" s="53">
        <v>1</v>
      </c>
      <c r="G6" s="54">
        <v>0.458333333333333</v>
      </c>
      <c r="H6" s="54">
        <f t="shared" si="0"/>
        <v>0.875</v>
      </c>
      <c r="I6" s="54">
        <v>0.458333333333333</v>
      </c>
      <c r="J6" s="54">
        <f t="shared" si="1"/>
        <v>0.875</v>
      </c>
      <c r="K6" s="54">
        <v>0.458333333333333</v>
      </c>
      <c r="L6" s="54">
        <f t="shared" si="2"/>
        <v>0.875</v>
      </c>
      <c r="M6" s="54">
        <v>0.458333333333333</v>
      </c>
      <c r="N6" s="54">
        <f t="shared" si="3"/>
        <v>0.875</v>
      </c>
      <c r="O6" s="21" t="s">
        <v>23</v>
      </c>
      <c r="P6" s="54" t="str">
        <f t="shared" si="4"/>
        <v>OFF</v>
      </c>
      <c r="Q6" s="21" t="s">
        <v>23</v>
      </c>
      <c r="R6" s="21" t="s">
        <v>23</v>
      </c>
      <c r="S6" s="54">
        <v>0.458333333333333</v>
      </c>
      <c r="T6" s="54">
        <v>0.666666666666667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5"/>
        <v>0</v>
      </c>
      <c r="X6" s="58">
        <v>0.416666666666667</v>
      </c>
    </row>
    <row r="7" customHeight="1" spans="1:24">
      <c r="A7" s="7">
        <v>10317520</v>
      </c>
      <c r="B7" s="51" t="s">
        <v>37</v>
      </c>
      <c r="C7" s="52" t="s">
        <v>20</v>
      </c>
      <c r="D7" s="52" t="s">
        <v>21</v>
      </c>
      <c r="E7" s="52" t="s">
        <v>22</v>
      </c>
      <c r="F7" s="53">
        <v>2</v>
      </c>
      <c r="G7" s="54">
        <v>0.5</v>
      </c>
      <c r="H7" s="54">
        <f t="shared" si="0"/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4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21">
        <v>45</v>
      </c>
      <c r="W7" s="21">
        <f t="shared" si="5"/>
        <v>0</v>
      </c>
      <c r="X7" s="58">
        <v>0.375</v>
      </c>
    </row>
    <row r="8" customHeight="1" spans="1:24">
      <c r="A8" s="7">
        <v>10316650</v>
      </c>
      <c r="B8" s="51" t="s">
        <v>39</v>
      </c>
      <c r="C8" s="52" t="s">
        <v>20</v>
      </c>
      <c r="D8" s="52" t="s">
        <v>21</v>
      </c>
      <c r="E8" s="52" t="s">
        <v>22</v>
      </c>
      <c r="F8" s="53">
        <v>2</v>
      </c>
      <c r="G8" s="54">
        <v>0.5</v>
      </c>
      <c r="H8" s="54">
        <f t="shared" si="0"/>
        <v>0.875</v>
      </c>
      <c r="I8" s="54">
        <v>0.5</v>
      </c>
      <c r="J8" s="54">
        <f t="shared" si="1"/>
        <v>0.875</v>
      </c>
      <c r="K8" s="54">
        <v>0.5</v>
      </c>
      <c r="L8" s="54">
        <f t="shared" si="2"/>
        <v>0.875</v>
      </c>
      <c r="M8" s="54">
        <v>0.5</v>
      </c>
      <c r="N8" s="54">
        <f t="shared" si="3"/>
        <v>0.875</v>
      </c>
      <c r="O8" s="54">
        <v>0.5</v>
      </c>
      <c r="P8" s="54">
        <f t="shared" si="4"/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5"/>
        <v>0</v>
      </c>
      <c r="X8" s="58">
        <v>0.375</v>
      </c>
    </row>
    <row r="9" customHeight="1" spans="1:24">
      <c r="A9" s="7">
        <v>10317521</v>
      </c>
      <c r="B9" s="51" t="s">
        <v>28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0.5</v>
      </c>
      <c r="H9" s="54">
        <f t="shared" si="0"/>
        <v>0.875</v>
      </c>
      <c r="I9" s="54">
        <v>0.5</v>
      </c>
      <c r="J9" s="54">
        <f t="shared" si="1"/>
        <v>0.875</v>
      </c>
      <c r="K9" s="54">
        <v>0.5</v>
      </c>
      <c r="L9" s="54">
        <f t="shared" si="2"/>
        <v>0.875</v>
      </c>
      <c r="M9" s="54">
        <v>0.5</v>
      </c>
      <c r="N9" s="54">
        <f t="shared" si="3"/>
        <v>0.875</v>
      </c>
      <c r="O9" s="54">
        <v>0.5</v>
      </c>
      <c r="P9" s="54">
        <f t="shared" si="4"/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21">
        <v>45</v>
      </c>
      <c r="W9" s="21">
        <f t="shared" si="5"/>
        <v>0</v>
      </c>
      <c r="X9" s="58">
        <v>0.375</v>
      </c>
    </row>
    <row r="10" customHeight="1" spans="1:24">
      <c r="A10" s="7">
        <v>10317517</v>
      </c>
      <c r="B10" s="51" t="s">
        <v>29</v>
      </c>
      <c r="C10" s="52" t="s">
        <v>20</v>
      </c>
      <c r="D10" s="52" t="s">
        <v>21</v>
      </c>
      <c r="E10" s="52" t="s">
        <v>22</v>
      </c>
      <c r="F10" s="53">
        <v>2</v>
      </c>
      <c r="G10" s="54">
        <v>0.375</v>
      </c>
      <c r="H10" s="54">
        <f t="shared" si="0"/>
        <v>0.75</v>
      </c>
      <c r="I10" s="54">
        <v>0.375</v>
      </c>
      <c r="J10" s="54">
        <f t="shared" si="1"/>
        <v>0.75</v>
      </c>
      <c r="K10" s="54">
        <v>0.375</v>
      </c>
      <c r="L10" s="54">
        <f t="shared" si="2"/>
        <v>0.75</v>
      </c>
      <c r="M10" s="54">
        <v>0.5</v>
      </c>
      <c r="N10" s="54">
        <f t="shared" si="3"/>
        <v>0.875</v>
      </c>
      <c r="O10" s="54">
        <v>0.5</v>
      </c>
      <c r="P10" s="54">
        <f t="shared" si="4"/>
        <v>0.875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21">
        <v>45</v>
      </c>
      <c r="W10" s="21">
        <f t="shared" si="5"/>
        <v>0</v>
      </c>
      <c r="X10" s="58">
        <v>0.375</v>
      </c>
    </row>
    <row r="11" customHeight="1" spans="1:24">
      <c r="A11" s="7">
        <v>10316531</v>
      </c>
      <c r="B11" s="51" t="s">
        <v>215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0.5</v>
      </c>
      <c r="H11" s="54">
        <f t="shared" si="0"/>
        <v>0.875</v>
      </c>
      <c r="I11" s="54">
        <v>0.5</v>
      </c>
      <c r="J11" s="54">
        <f t="shared" si="1"/>
        <v>0.875</v>
      </c>
      <c r="K11" s="54">
        <v>0.5</v>
      </c>
      <c r="L11" s="54">
        <f t="shared" si="2"/>
        <v>0.875</v>
      </c>
      <c r="M11" s="54">
        <v>0.5</v>
      </c>
      <c r="N11" s="54">
        <f t="shared" si="3"/>
        <v>0.875</v>
      </c>
      <c r="O11" s="54">
        <v>0.5</v>
      </c>
      <c r="P11" s="54">
        <f t="shared" si="4"/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21">
        <v>45</v>
      </c>
      <c r="W11" s="21">
        <f t="shared" si="5"/>
        <v>0</v>
      </c>
      <c r="X11" s="58">
        <v>0.375</v>
      </c>
    </row>
    <row r="12" customHeight="1" spans="1:24">
      <c r="A12" s="7">
        <v>10316572</v>
      </c>
      <c r="B12" s="51" t="s">
        <v>46</v>
      </c>
      <c r="C12" s="52" t="s">
        <v>20</v>
      </c>
      <c r="D12" s="52" t="s">
        <v>21</v>
      </c>
      <c r="E12" s="52" t="s">
        <v>22</v>
      </c>
      <c r="F12" s="53">
        <v>2</v>
      </c>
      <c r="G12" s="54">
        <v>0.5</v>
      </c>
      <c r="H12" s="54">
        <f t="shared" si="0"/>
        <v>0.875</v>
      </c>
      <c r="I12" s="54">
        <v>0.5</v>
      </c>
      <c r="J12" s="54">
        <f t="shared" si="1"/>
        <v>0.875</v>
      </c>
      <c r="K12" s="54">
        <v>0.5</v>
      </c>
      <c r="L12" s="54">
        <f t="shared" si="2"/>
        <v>0.875</v>
      </c>
      <c r="M12" s="54">
        <v>0.5</v>
      </c>
      <c r="N12" s="54">
        <f t="shared" si="3"/>
        <v>0.875</v>
      </c>
      <c r="O12" s="54">
        <v>0.5</v>
      </c>
      <c r="P12" s="54">
        <f t="shared" si="4"/>
        <v>0.875</v>
      </c>
      <c r="Q12" s="21" t="s">
        <v>23</v>
      </c>
      <c r="R12" s="21" t="s">
        <v>23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5"/>
        <v>0</v>
      </c>
      <c r="X12" s="58">
        <v>0.375</v>
      </c>
    </row>
    <row r="13" customHeight="1" spans="1:24">
      <c r="A13" s="7">
        <v>10252500</v>
      </c>
      <c r="B13" s="51" t="s">
        <v>217</v>
      </c>
      <c r="C13" s="52" t="s">
        <v>20</v>
      </c>
      <c r="D13" s="52" t="s">
        <v>21</v>
      </c>
      <c r="E13" s="52" t="s">
        <v>22</v>
      </c>
      <c r="F13" s="53">
        <v>2</v>
      </c>
      <c r="G13" s="54">
        <v>0.5</v>
      </c>
      <c r="H13" s="54">
        <f t="shared" si="0"/>
        <v>0.875</v>
      </c>
      <c r="I13" s="54">
        <v>0.5</v>
      </c>
      <c r="J13" s="54">
        <f t="shared" si="1"/>
        <v>0.875</v>
      </c>
      <c r="K13" s="54">
        <v>0.5</v>
      </c>
      <c r="L13" s="54">
        <f t="shared" si="2"/>
        <v>0.875</v>
      </c>
      <c r="M13" s="54">
        <v>0.5</v>
      </c>
      <c r="N13" s="54">
        <f t="shared" si="3"/>
        <v>0.875</v>
      </c>
      <c r="O13" s="54">
        <v>0.5</v>
      </c>
      <c r="P13" s="54">
        <f t="shared" si="4"/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5"/>
        <v>0</v>
      </c>
      <c r="X13" s="58">
        <v>0.375</v>
      </c>
    </row>
    <row r="14" customHeight="1" spans="1:24">
      <c r="A14" s="7">
        <v>10275375</v>
      </c>
      <c r="B14" s="51" t="s">
        <v>218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0.5</v>
      </c>
      <c r="H14" s="54">
        <f t="shared" si="0"/>
        <v>0.875</v>
      </c>
      <c r="I14" s="54">
        <v>0.5</v>
      </c>
      <c r="J14" s="54">
        <f t="shared" si="1"/>
        <v>0.875</v>
      </c>
      <c r="K14" s="54">
        <v>0.5</v>
      </c>
      <c r="L14" s="54">
        <f t="shared" si="2"/>
        <v>0.875</v>
      </c>
      <c r="M14" s="54">
        <v>0.5</v>
      </c>
      <c r="N14" s="54">
        <f t="shared" si="3"/>
        <v>0.875</v>
      </c>
      <c r="O14" s="54">
        <v>0.5</v>
      </c>
      <c r="P14" s="54">
        <f t="shared" si="4"/>
        <v>0.875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21">
        <v>45</v>
      </c>
      <c r="W14" s="21">
        <f t="shared" si="5"/>
        <v>0</v>
      </c>
      <c r="X14" s="58">
        <v>0.375</v>
      </c>
    </row>
    <row r="15" customHeight="1" spans="1:24">
      <c r="A15" s="62">
        <v>10272259</v>
      </c>
      <c r="B15" s="51" t="s">
        <v>103</v>
      </c>
      <c r="C15" s="52" t="s">
        <v>20</v>
      </c>
      <c r="D15" s="52" t="s">
        <v>21</v>
      </c>
      <c r="E15" s="52" t="s">
        <v>22</v>
      </c>
      <c r="F15" s="53">
        <v>2</v>
      </c>
      <c r="G15" s="54">
        <v>0.5</v>
      </c>
      <c r="H15" s="54">
        <f t="shared" si="0"/>
        <v>0.875</v>
      </c>
      <c r="I15" s="54">
        <v>0.5</v>
      </c>
      <c r="J15" s="54">
        <f t="shared" si="1"/>
        <v>0.875</v>
      </c>
      <c r="K15" s="54">
        <v>0.5</v>
      </c>
      <c r="L15" s="54">
        <f t="shared" si="2"/>
        <v>0.875</v>
      </c>
      <c r="M15" s="21" t="s">
        <v>23</v>
      </c>
      <c r="N15" s="54" t="str">
        <f t="shared" si="3"/>
        <v>OFF</v>
      </c>
      <c r="O15" s="21" t="s">
        <v>23</v>
      </c>
      <c r="P15" s="54" t="str">
        <f t="shared" si="4"/>
        <v>OFF</v>
      </c>
      <c r="Q15" s="54">
        <v>0.458333333333333</v>
      </c>
      <c r="R15" s="54">
        <v>0.666666666666667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ISODD(COLUMN(G15:T15)))))*24"),37)</f>
        <v>37</v>
      </c>
      <c r="V15" s="21">
        <v>37</v>
      </c>
      <c r="W15" s="21">
        <f t="shared" si="5"/>
        <v>0</v>
      </c>
      <c r="X15" s="58">
        <v>0.375</v>
      </c>
    </row>
    <row r="16" customHeight="1" spans="1:24">
      <c r="A16" s="62">
        <v>10276839</v>
      </c>
      <c r="B16" s="51" t="s">
        <v>54</v>
      </c>
      <c r="C16" s="52" t="s">
        <v>20</v>
      </c>
      <c r="D16" s="52" t="s">
        <v>21</v>
      </c>
      <c r="E16" s="52" t="s">
        <v>22</v>
      </c>
      <c r="F16" s="52">
        <v>2</v>
      </c>
      <c r="G16" s="54">
        <v>0.5</v>
      </c>
      <c r="H16" s="54">
        <f t="shared" si="0"/>
        <v>0.875</v>
      </c>
      <c r="I16" s="54">
        <v>0.5</v>
      </c>
      <c r="J16" s="54">
        <f t="shared" si="1"/>
        <v>0.875</v>
      </c>
      <c r="K16" s="54">
        <v>0.5</v>
      </c>
      <c r="L16" s="54">
        <f t="shared" si="2"/>
        <v>0.875</v>
      </c>
      <c r="M16" s="54">
        <v>0.5</v>
      </c>
      <c r="N16" s="54">
        <f t="shared" si="3"/>
        <v>0.875</v>
      </c>
      <c r="O16" s="54">
        <v>0.5</v>
      </c>
      <c r="P16" s="54">
        <f t="shared" si="4"/>
        <v>0.875</v>
      </c>
      <c r="Q16" s="21" t="s">
        <v>23</v>
      </c>
      <c r="R16" s="54" t="s">
        <v>23</v>
      </c>
      <c r="S16" s="54" t="s">
        <v>23</v>
      </c>
      <c r="T16" s="54" t="s">
        <v>23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5"/>
        <v>0</v>
      </c>
      <c r="X16" s="58">
        <v>0.375</v>
      </c>
    </row>
    <row r="17" customHeight="1" spans="1:24">
      <c r="A17" s="62">
        <v>10317943</v>
      </c>
      <c r="B17" s="51" t="s">
        <v>27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0.375</v>
      </c>
      <c r="H17" s="54">
        <f t="shared" si="0"/>
        <v>0.75</v>
      </c>
      <c r="I17" s="54">
        <v>0.375</v>
      </c>
      <c r="J17" s="54">
        <f t="shared" si="1"/>
        <v>0.75</v>
      </c>
      <c r="K17" s="54">
        <v>0.375</v>
      </c>
      <c r="L17" s="54">
        <f t="shared" si="2"/>
        <v>0.75</v>
      </c>
      <c r="M17" s="54">
        <v>0.375</v>
      </c>
      <c r="N17" s="54">
        <f t="shared" si="3"/>
        <v>0.75</v>
      </c>
      <c r="O17" s="54">
        <v>0.375</v>
      </c>
      <c r="P17" s="54">
        <f t="shared" si="4"/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21">
        <v>45</v>
      </c>
      <c r="W17" s="21">
        <f t="shared" si="5"/>
        <v>0</v>
      </c>
      <c r="X17" s="85">
        <v>0.375</v>
      </c>
    </row>
    <row r="18" customHeight="1" spans="1:24">
      <c r="A18" s="62">
        <v>10295555</v>
      </c>
      <c r="B18" s="51" t="s">
        <v>220</v>
      </c>
      <c r="C18" s="52" t="s">
        <v>20</v>
      </c>
      <c r="D18" s="52" t="s">
        <v>21</v>
      </c>
      <c r="E18" s="52" t="s">
        <v>35</v>
      </c>
      <c r="F18" s="53">
        <v>2</v>
      </c>
      <c r="G18" s="54">
        <v>0.375</v>
      </c>
      <c r="H18" s="54">
        <f t="shared" si="0"/>
        <v>0.583333333333333</v>
      </c>
      <c r="I18" s="54">
        <v>0.375</v>
      </c>
      <c r="J18" s="54">
        <f t="shared" si="1"/>
        <v>0.583333333333333</v>
      </c>
      <c r="K18" s="54">
        <v>0.375</v>
      </c>
      <c r="L18" s="54">
        <f t="shared" si="2"/>
        <v>0.583333333333333</v>
      </c>
      <c r="M18" s="21" t="s">
        <v>23</v>
      </c>
      <c r="N18" s="54" t="str">
        <f t="shared" si="3"/>
        <v>OFF</v>
      </c>
      <c r="O18" s="21" t="s">
        <v>23</v>
      </c>
      <c r="P18" s="54" t="str">
        <f t="shared" si="4"/>
        <v>OFF</v>
      </c>
      <c r="Q18" s="54">
        <v>0.458333333333333</v>
      </c>
      <c r="R18" s="54">
        <v>0.666666666666667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ISODD(COLUMN(G18:T18)))))*24"),24.9999999999999)</f>
        <v>24.9999999999999</v>
      </c>
      <c r="V18" s="21">
        <v>25</v>
      </c>
      <c r="W18" s="21">
        <f t="shared" si="5"/>
        <v>9.9475983006414e-14</v>
      </c>
      <c r="X18" s="58">
        <v>0.208333333333333</v>
      </c>
    </row>
    <row r="19" customHeight="1" spans="1:24">
      <c r="A19" s="62">
        <v>10316618</v>
      </c>
      <c r="B19" s="51" t="s">
        <v>33</v>
      </c>
      <c r="C19" s="52" t="s">
        <v>20</v>
      </c>
      <c r="D19" s="52" t="s">
        <v>21</v>
      </c>
      <c r="E19" s="52" t="s">
        <v>22</v>
      </c>
      <c r="F19" s="53">
        <v>1</v>
      </c>
      <c r="G19" s="54">
        <v>0.375</v>
      </c>
      <c r="H19" s="54">
        <f t="shared" si="0"/>
        <v>0.791666666666667</v>
      </c>
      <c r="I19" s="54">
        <v>0.375</v>
      </c>
      <c r="J19" s="54">
        <f t="shared" si="1"/>
        <v>0.791666666666667</v>
      </c>
      <c r="K19" s="54">
        <v>0.375</v>
      </c>
      <c r="L19" s="54">
        <f t="shared" si="2"/>
        <v>0.791666666666667</v>
      </c>
      <c r="M19" s="54">
        <v>0.375</v>
      </c>
      <c r="N19" s="54">
        <f t="shared" si="3"/>
        <v>0.791666666666667</v>
      </c>
      <c r="O19" s="21" t="s">
        <v>23</v>
      </c>
      <c r="P19" s="54" t="str">
        <f t="shared" si="4"/>
        <v>OFF</v>
      </c>
      <c r="Q19" s="21" t="s">
        <v>23</v>
      </c>
      <c r="R19" s="21" t="s">
        <v>23</v>
      </c>
      <c r="S19" s="54">
        <v>0.458333333333333</v>
      </c>
      <c r="T19" s="54">
        <v>0.666666666666667</v>
      </c>
      <c r="U19" s="21">
        <f>IFERROR(__xludf.DUMMYFUNCTION("TO_PURE_NUMBER(SUM(FILTER(G19:T19, ISEVEN(COLUMN(G19:T19))))-SUM(FILTER(G19:T19, ISODD(COLUMN(G19:T19)))))*24"),44.9999999999999)</f>
        <v>44.9999999999999</v>
      </c>
      <c r="V19" s="21">
        <v>45</v>
      </c>
      <c r="W19" s="21">
        <f t="shared" si="5"/>
        <v>9.9475983006414e-14</v>
      </c>
      <c r="X19" s="58">
        <v>0.416666666666667</v>
      </c>
    </row>
    <row r="20" customHeight="1" spans="1:24">
      <c r="A20" s="62">
        <v>10316680</v>
      </c>
      <c r="B20" s="51" t="s">
        <v>40</v>
      </c>
      <c r="C20" s="52" t="s">
        <v>20</v>
      </c>
      <c r="D20" s="52" t="s">
        <v>21</v>
      </c>
      <c r="E20" s="52" t="s">
        <v>22</v>
      </c>
      <c r="F20" s="53">
        <v>1</v>
      </c>
      <c r="G20" s="54">
        <v>0.375</v>
      </c>
      <c r="H20" s="54">
        <f t="shared" si="0"/>
        <v>0.791666666666667</v>
      </c>
      <c r="I20" s="54">
        <v>0.375</v>
      </c>
      <c r="J20" s="54">
        <f t="shared" si="1"/>
        <v>0.791666666666667</v>
      </c>
      <c r="K20" s="54">
        <v>0.375</v>
      </c>
      <c r="L20" s="54">
        <f t="shared" si="2"/>
        <v>0.791666666666667</v>
      </c>
      <c r="M20" s="54">
        <v>0.375</v>
      </c>
      <c r="N20" s="54">
        <f t="shared" si="3"/>
        <v>0.791666666666667</v>
      </c>
      <c r="O20" s="21" t="s">
        <v>23</v>
      </c>
      <c r="P20" s="54" t="str">
        <f t="shared" si="4"/>
        <v>OFF</v>
      </c>
      <c r="Q20" s="21" t="s">
        <v>23</v>
      </c>
      <c r="R20" s="54" t="str">
        <f>IFERROR(Q20+$X20,"OFF")</f>
        <v>OFF</v>
      </c>
      <c r="S20" s="54">
        <v>0.458333333333333</v>
      </c>
      <c r="T20" s="54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  <c r="V20" s="21">
        <v>45</v>
      </c>
      <c r="W20" s="21">
        <f t="shared" si="5"/>
        <v>9.9475983006414e-14</v>
      </c>
      <c r="X20" s="58">
        <v>0.416666666666667</v>
      </c>
    </row>
    <row r="21" customHeight="1" spans="1:24">
      <c r="A21" s="62">
        <v>10316543</v>
      </c>
      <c r="B21" s="63" t="s">
        <v>41</v>
      </c>
      <c r="C21" s="52" t="s">
        <v>20</v>
      </c>
      <c r="D21" s="52" t="s">
        <v>21</v>
      </c>
      <c r="E21" s="52" t="s">
        <v>22</v>
      </c>
      <c r="F21" s="53">
        <v>1</v>
      </c>
      <c r="G21" s="54">
        <v>0.375</v>
      </c>
      <c r="H21" s="54">
        <f t="shared" si="0"/>
        <v>0.791666666666667</v>
      </c>
      <c r="I21" s="54">
        <v>0.375</v>
      </c>
      <c r="J21" s="54">
        <f t="shared" si="1"/>
        <v>0.791666666666667</v>
      </c>
      <c r="K21" s="54">
        <v>0.375</v>
      </c>
      <c r="L21" s="54">
        <f t="shared" si="2"/>
        <v>0.791666666666667</v>
      </c>
      <c r="M21" s="54">
        <v>0.375</v>
      </c>
      <c r="N21" s="54">
        <f t="shared" si="3"/>
        <v>0.791666666666667</v>
      </c>
      <c r="O21" s="21" t="s">
        <v>23</v>
      </c>
      <c r="P21" s="54" t="str">
        <f t="shared" si="4"/>
        <v>OFF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5"/>
        <v>9.9475983006414e-14</v>
      </c>
      <c r="X21" s="58">
        <v>0.416666666666667</v>
      </c>
    </row>
    <row r="22" customHeight="1" spans="1:24">
      <c r="A22" s="62">
        <v>10316546</v>
      </c>
      <c r="B22" s="51" t="s">
        <v>49</v>
      </c>
      <c r="C22" s="52" t="s">
        <v>20</v>
      </c>
      <c r="D22" s="52" t="s">
        <v>21</v>
      </c>
      <c r="E22" s="52" t="s">
        <v>22</v>
      </c>
      <c r="F22" s="53">
        <v>1</v>
      </c>
      <c r="G22" s="54">
        <v>0.375</v>
      </c>
      <c r="H22" s="54">
        <f t="shared" si="0"/>
        <v>0.791666666666667</v>
      </c>
      <c r="I22" s="54">
        <v>0.375</v>
      </c>
      <c r="J22" s="54">
        <f t="shared" si="1"/>
        <v>0.791666666666667</v>
      </c>
      <c r="K22" s="54">
        <v>0.375</v>
      </c>
      <c r="L22" s="54">
        <f t="shared" si="2"/>
        <v>0.791666666666667</v>
      </c>
      <c r="M22" s="54">
        <v>0.375</v>
      </c>
      <c r="N22" s="54">
        <f t="shared" si="3"/>
        <v>0.791666666666667</v>
      </c>
      <c r="O22" s="21" t="s">
        <v>23</v>
      </c>
      <c r="P22" s="54" t="str">
        <f t="shared" si="4"/>
        <v>OFF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f>IFERROR(__xludf.DUMMYFUNCTION("TO_PURE_NUMBER(SUM(FILTER(G22:T22, ISEVEN(COLUMN(G22:T22))))-SUM(FILTER(G22:T22, ISODD(COLUMN(G22:T22)))))*24"),44.9999999999999)</f>
        <v>44.9999999999999</v>
      </c>
      <c r="V22" s="21">
        <v>45</v>
      </c>
      <c r="W22" s="21">
        <f t="shared" si="5"/>
        <v>9.9475983006414e-14</v>
      </c>
      <c r="X22" s="58">
        <v>0.416666666666667</v>
      </c>
    </row>
    <row r="23" customHeight="1" spans="1:24">
      <c r="A23" s="62">
        <v>10317151</v>
      </c>
      <c r="B23" s="51" t="s">
        <v>52</v>
      </c>
      <c r="C23" s="52" t="s">
        <v>20</v>
      </c>
      <c r="D23" s="52" t="s">
        <v>21</v>
      </c>
      <c r="E23" s="52" t="s">
        <v>22</v>
      </c>
      <c r="F23" s="53">
        <v>1</v>
      </c>
      <c r="G23" s="54">
        <v>0.375</v>
      </c>
      <c r="H23" s="54">
        <f t="shared" si="0"/>
        <v>0.791666666666667</v>
      </c>
      <c r="I23" s="54">
        <v>0.375</v>
      </c>
      <c r="J23" s="54">
        <f t="shared" si="1"/>
        <v>0.791666666666667</v>
      </c>
      <c r="K23" s="54">
        <v>0.375</v>
      </c>
      <c r="L23" s="54">
        <f t="shared" si="2"/>
        <v>0.791666666666667</v>
      </c>
      <c r="M23" s="54">
        <v>0.375</v>
      </c>
      <c r="N23" s="54">
        <f t="shared" si="3"/>
        <v>0.791666666666667</v>
      </c>
      <c r="O23" s="21" t="s">
        <v>23</v>
      </c>
      <c r="P23" s="54" t="str">
        <f t="shared" si="4"/>
        <v>OFF</v>
      </c>
      <c r="Q23" s="21" t="s">
        <v>23</v>
      </c>
      <c r="R23" s="21" t="s">
        <v>23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5"/>
        <v>9.9475983006414e-14</v>
      </c>
      <c r="X23" s="58">
        <v>0.416666666666667</v>
      </c>
    </row>
    <row r="24" customHeight="1" spans="1:24">
      <c r="A24" s="62">
        <v>10317522</v>
      </c>
      <c r="B24" s="63" t="s">
        <v>31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0.375</v>
      </c>
      <c r="H24" s="54">
        <f t="shared" si="0"/>
        <v>0.75</v>
      </c>
      <c r="I24" s="54">
        <v>0.375</v>
      </c>
      <c r="J24" s="54">
        <f t="shared" si="1"/>
        <v>0.75</v>
      </c>
      <c r="K24" s="54">
        <v>0.375</v>
      </c>
      <c r="L24" s="54">
        <f t="shared" si="2"/>
        <v>0.75</v>
      </c>
      <c r="M24" s="54">
        <v>0.375</v>
      </c>
      <c r="N24" s="54">
        <f t="shared" si="3"/>
        <v>0.75</v>
      </c>
      <c r="O24" s="54">
        <v>0.375</v>
      </c>
      <c r="P24" s="54">
        <f t="shared" si="4"/>
        <v>0.75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5"/>
        <v>0</v>
      </c>
      <c r="X24" s="58">
        <v>0.375</v>
      </c>
    </row>
    <row r="25" customHeight="1" spans="1:24">
      <c r="A25" s="62">
        <v>10212379</v>
      </c>
      <c r="B25" s="51" t="s">
        <v>216</v>
      </c>
      <c r="C25" s="52" t="s">
        <v>20</v>
      </c>
      <c r="D25" s="52" t="s">
        <v>21</v>
      </c>
      <c r="E25" s="52" t="s">
        <v>22</v>
      </c>
      <c r="F25" s="53">
        <v>2</v>
      </c>
      <c r="G25" s="54">
        <v>0.375</v>
      </c>
      <c r="H25" s="54">
        <f t="shared" si="0"/>
        <v>0.75</v>
      </c>
      <c r="I25" s="54">
        <v>0.375</v>
      </c>
      <c r="J25" s="54">
        <f t="shared" si="1"/>
        <v>0.75</v>
      </c>
      <c r="K25" s="54">
        <v>0.375</v>
      </c>
      <c r="L25" s="54">
        <f t="shared" si="2"/>
        <v>0.75</v>
      </c>
      <c r="M25" s="54">
        <v>0.375</v>
      </c>
      <c r="N25" s="54">
        <f t="shared" si="3"/>
        <v>0.75</v>
      </c>
      <c r="O25" s="54">
        <v>0.375</v>
      </c>
      <c r="P25" s="54">
        <f t="shared" si="4"/>
        <v>0.75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5"/>
        <v>0</v>
      </c>
      <c r="X25" s="58">
        <v>0.375</v>
      </c>
    </row>
    <row r="26" customHeight="1" spans="1:24">
      <c r="A26" s="62">
        <v>10274446</v>
      </c>
      <c r="B26" s="51" t="s">
        <v>88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0.5</v>
      </c>
      <c r="H26" s="54">
        <f t="shared" si="0"/>
        <v>0.875</v>
      </c>
      <c r="I26" s="54">
        <v>0.5</v>
      </c>
      <c r="J26" s="54">
        <f t="shared" si="1"/>
        <v>0.875</v>
      </c>
      <c r="K26" s="54">
        <v>0.5</v>
      </c>
      <c r="L26" s="54">
        <f t="shared" si="2"/>
        <v>0.875</v>
      </c>
      <c r="M26" s="54">
        <v>0.375</v>
      </c>
      <c r="N26" s="54">
        <f t="shared" si="3"/>
        <v>0.75</v>
      </c>
      <c r="O26" s="21" t="s">
        <v>23</v>
      </c>
      <c r="P26" s="54" t="str">
        <f t="shared" si="4"/>
        <v>OFF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ISODD(COLUMN(G26:T26)))))*24"),41)</f>
        <v>41</v>
      </c>
      <c r="V26" s="21">
        <v>37</v>
      </c>
      <c r="W26" s="21">
        <f t="shared" si="5"/>
        <v>-4</v>
      </c>
      <c r="X26" s="58">
        <v>0.375</v>
      </c>
    </row>
    <row r="27" customHeight="1" spans="1:24">
      <c r="A27" s="62">
        <v>10316551</v>
      </c>
      <c r="B27" s="51" t="s">
        <v>87</v>
      </c>
      <c r="C27" s="52" t="s">
        <v>20</v>
      </c>
      <c r="D27" s="52" t="s">
        <v>21</v>
      </c>
      <c r="E27" s="52" t="s">
        <v>22</v>
      </c>
      <c r="F27" s="53">
        <v>1</v>
      </c>
      <c r="G27" s="54">
        <v>0.375</v>
      </c>
      <c r="H27" s="54">
        <f t="shared" si="0"/>
        <v>0.75</v>
      </c>
      <c r="I27" s="54">
        <v>0.375</v>
      </c>
      <c r="J27" s="54">
        <f t="shared" si="1"/>
        <v>0.75</v>
      </c>
      <c r="K27" s="54">
        <v>0.375</v>
      </c>
      <c r="L27" s="54">
        <f t="shared" si="2"/>
        <v>0.75</v>
      </c>
      <c r="M27" s="54">
        <v>0.375</v>
      </c>
      <c r="N27" s="54">
        <f t="shared" si="3"/>
        <v>0.75</v>
      </c>
      <c r="O27" s="21" t="s">
        <v>23</v>
      </c>
      <c r="P27" s="54" t="str">
        <f t="shared" si="4"/>
        <v>OFF</v>
      </c>
      <c r="Q27" s="21" t="s">
        <v>23</v>
      </c>
      <c r="R27" s="54" t="str">
        <f>IFERROR(Q27+$X27,"OFF")</f>
        <v>OFF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21">
        <v>37</v>
      </c>
      <c r="W27" s="21">
        <f t="shared" si="5"/>
        <v>-4</v>
      </c>
      <c r="X27" s="58">
        <v>0.375</v>
      </c>
    </row>
    <row r="28" customHeight="1" spans="1:24">
      <c r="A28" s="62">
        <v>10317524</v>
      </c>
      <c r="B28" s="51" t="s">
        <v>53</v>
      </c>
      <c r="C28" s="52" t="s">
        <v>20</v>
      </c>
      <c r="D28" s="52" t="s">
        <v>21</v>
      </c>
      <c r="E28" s="52" t="s">
        <v>22</v>
      </c>
      <c r="F28" s="53">
        <v>2</v>
      </c>
      <c r="G28" s="54">
        <v>0.375</v>
      </c>
      <c r="H28" s="54">
        <f t="shared" si="0"/>
        <v>0.75</v>
      </c>
      <c r="I28" s="54">
        <v>0.375</v>
      </c>
      <c r="J28" s="54">
        <f t="shared" si="1"/>
        <v>0.75</v>
      </c>
      <c r="K28" s="54">
        <v>0.375</v>
      </c>
      <c r="L28" s="54">
        <f t="shared" si="2"/>
        <v>0.75</v>
      </c>
      <c r="M28" s="54">
        <v>0.375</v>
      </c>
      <c r="N28" s="54">
        <f t="shared" si="3"/>
        <v>0.75</v>
      </c>
      <c r="O28" s="54">
        <v>0.375</v>
      </c>
      <c r="P28" s="54">
        <f t="shared" si="4"/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21">
        <v>45</v>
      </c>
      <c r="W28" s="21">
        <f t="shared" si="5"/>
        <v>0</v>
      </c>
      <c r="X28" s="58">
        <v>0.375</v>
      </c>
    </row>
    <row r="29" customHeight="1" spans="1:24">
      <c r="A29" s="62">
        <v>10316681</v>
      </c>
      <c r="B29" s="51" t="s">
        <v>38</v>
      </c>
      <c r="C29" s="52" t="s">
        <v>20</v>
      </c>
      <c r="D29" s="52" t="s">
        <v>21</v>
      </c>
      <c r="E29" s="52" t="s">
        <v>22</v>
      </c>
      <c r="F29" s="53">
        <v>1</v>
      </c>
      <c r="G29" s="21" t="s">
        <v>23</v>
      </c>
      <c r="H29" s="21" t="s">
        <v>23</v>
      </c>
      <c r="I29" s="54">
        <v>0.5</v>
      </c>
      <c r="J29" s="54">
        <f t="shared" si="1"/>
        <v>0.875</v>
      </c>
      <c r="K29" s="54">
        <v>0.5</v>
      </c>
      <c r="L29" s="54">
        <f t="shared" si="2"/>
        <v>0.875</v>
      </c>
      <c r="M29" s="54">
        <v>0.5</v>
      </c>
      <c r="N29" s="54">
        <f t="shared" si="3"/>
        <v>0.875</v>
      </c>
      <c r="O29" s="54">
        <v>0.5</v>
      </c>
      <c r="P29" s="54">
        <f t="shared" si="4"/>
        <v>0.875</v>
      </c>
      <c r="Q29" s="54">
        <v>0.458333333333333</v>
      </c>
      <c r="R29" s="54">
        <v>0.666666666666667</v>
      </c>
      <c r="S29" s="21" t="s">
        <v>23</v>
      </c>
      <c r="T29" s="21" t="s">
        <v>23</v>
      </c>
      <c r="U29" s="21">
        <f>IFERROR(__xludf.DUMMYFUNCTION("TO_PURE_NUMBER(SUM(FILTER(G29:T29, ISEVEN(COLUMN(G29:T29))))-SUM(FILTER(G29:T29, ISODD(COLUMN(G29:T29)))))*24"),41)</f>
        <v>41</v>
      </c>
      <c r="V29" s="21">
        <v>41</v>
      </c>
      <c r="W29" s="21">
        <f t="shared" si="5"/>
        <v>0</v>
      </c>
      <c r="X29" s="58">
        <v>0.375</v>
      </c>
    </row>
    <row r="30" customHeight="1" spans="1:24">
      <c r="A30" s="62">
        <v>10252106</v>
      </c>
      <c r="B30" s="51" t="s">
        <v>43</v>
      </c>
      <c r="C30" s="52" t="s">
        <v>20</v>
      </c>
      <c r="D30" s="52" t="s">
        <v>21</v>
      </c>
      <c r="E30" s="52" t="s">
        <v>22</v>
      </c>
      <c r="F30" s="53">
        <v>2</v>
      </c>
      <c r="G30" s="21" t="s">
        <v>23</v>
      </c>
      <c r="H30" s="21" t="s">
        <v>23</v>
      </c>
      <c r="I30" s="54">
        <v>0.5</v>
      </c>
      <c r="J30" s="54">
        <f t="shared" si="1"/>
        <v>0.875</v>
      </c>
      <c r="K30" s="21" t="s">
        <v>23</v>
      </c>
      <c r="L30" s="54" t="str">
        <f t="shared" si="2"/>
        <v>OFF</v>
      </c>
      <c r="M30" s="54">
        <v>0.5</v>
      </c>
      <c r="N30" s="54">
        <f t="shared" si="3"/>
        <v>0.875</v>
      </c>
      <c r="O30" s="54">
        <v>0.5</v>
      </c>
      <c r="P30" s="54">
        <f t="shared" si="4"/>
        <v>0.875</v>
      </c>
      <c r="Q30" s="54">
        <v>0.458333333333333</v>
      </c>
      <c r="R30" s="54">
        <v>0.666666666666667</v>
      </c>
      <c r="S30" s="54">
        <v>0.458333333333333</v>
      </c>
      <c r="T30" s="54">
        <v>0.666666666666667</v>
      </c>
      <c r="U30" s="21">
        <f>IFERROR(__xludf.DUMMYFUNCTION("TO_PURE_NUMBER(SUM(FILTER(G30:T30, ISEVEN(COLUMN(G30:T30))))-SUM(FILTER(G30:T30, ISODD(COLUMN(G30:T30)))))*24"),37)</f>
        <v>37</v>
      </c>
      <c r="V30" s="21">
        <v>37</v>
      </c>
      <c r="W30" s="21">
        <f t="shared" si="5"/>
        <v>0</v>
      </c>
      <c r="X30" s="58">
        <v>0.375</v>
      </c>
    </row>
    <row r="31" customHeight="1" spans="1:24">
      <c r="A31" s="62">
        <v>10316683</v>
      </c>
      <c r="B31" s="51" t="s">
        <v>51</v>
      </c>
      <c r="C31" s="52" t="s">
        <v>20</v>
      </c>
      <c r="D31" s="52" t="s">
        <v>21</v>
      </c>
      <c r="E31" s="52" t="s">
        <v>22</v>
      </c>
      <c r="F31" s="53">
        <v>1</v>
      </c>
      <c r="G31" s="54">
        <v>0.458333333333333</v>
      </c>
      <c r="H31" s="54">
        <f>IFERROR(G31+$X31,"OFF")</f>
        <v>0.875</v>
      </c>
      <c r="I31" s="54">
        <v>0.458333333333333</v>
      </c>
      <c r="J31" s="54">
        <f t="shared" si="1"/>
        <v>0.875</v>
      </c>
      <c r="K31" s="54">
        <v>0.458333333333333</v>
      </c>
      <c r="L31" s="54">
        <f t="shared" si="2"/>
        <v>0.875</v>
      </c>
      <c r="M31" s="54">
        <v>0.458333333333333</v>
      </c>
      <c r="N31" s="54">
        <f t="shared" si="3"/>
        <v>0.875</v>
      </c>
      <c r="O31" s="21" t="s">
        <v>23</v>
      </c>
      <c r="P31" s="21" t="s">
        <v>23</v>
      </c>
      <c r="Q31" s="21" t="s">
        <v>23</v>
      </c>
      <c r="R31" s="21" t="s">
        <v>23</v>
      </c>
      <c r="S31" s="54">
        <v>0.458333333333333</v>
      </c>
      <c r="T31" s="54">
        <v>0.666666666666667</v>
      </c>
      <c r="U31" s="21">
        <f>IFERROR(__xludf.DUMMYFUNCTION("TO_PURE_NUMBER(SUM(FILTER(G31:T31, ISEVEN(COLUMN(G31:T31))))-SUM(FILTER(G31:T31, ISODD(COLUMN(G31:T31)))))*24"),44.9999999999999)</f>
        <v>44.9999999999999</v>
      </c>
      <c r="V31" s="21">
        <v>45</v>
      </c>
      <c r="W31" s="21">
        <f t="shared" si="5"/>
        <v>9.9475983006414e-14</v>
      </c>
      <c r="X31" s="58">
        <v>0.416666666666667</v>
      </c>
    </row>
    <row r="32" customHeight="1" spans="1:24">
      <c r="A32" s="62">
        <v>10317147</v>
      </c>
      <c r="B32" s="51" t="s">
        <v>24</v>
      </c>
      <c r="C32" s="52" t="s">
        <v>20</v>
      </c>
      <c r="D32" s="52" t="s">
        <v>21</v>
      </c>
      <c r="E32" s="52" t="s">
        <v>22</v>
      </c>
      <c r="F32" s="53">
        <v>1</v>
      </c>
      <c r="G32" s="21" t="s">
        <v>23</v>
      </c>
      <c r="H32" s="21" t="s">
        <v>23</v>
      </c>
      <c r="I32" s="54">
        <v>0.458333333333333</v>
      </c>
      <c r="J32" s="54">
        <f t="shared" si="1"/>
        <v>0.875</v>
      </c>
      <c r="K32" s="54">
        <v>0.458333333333333</v>
      </c>
      <c r="L32" s="54">
        <f t="shared" si="2"/>
        <v>0.875</v>
      </c>
      <c r="M32" s="54">
        <v>0.458333333333333</v>
      </c>
      <c r="N32" s="54">
        <f t="shared" si="3"/>
        <v>0.875</v>
      </c>
      <c r="O32" s="54">
        <v>0.458333333333333</v>
      </c>
      <c r="P32" s="54">
        <f t="shared" ref="P32:P37" si="6">IFERROR(O32+$X32,"OFF")</f>
        <v>0.875</v>
      </c>
      <c r="Q32" s="54">
        <v>0.458333333333333</v>
      </c>
      <c r="R32" s="54">
        <v>0.666666666666667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5"/>
        <v>0</v>
      </c>
      <c r="X32" s="58">
        <v>0.416666666666667</v>
      </c>
    </row>
    <row r="33" customHeight="1" spans="1:24">
      <c r="A33" s="62">
        <v>10316538</v>
      </c>
      <c r="B33" s="51" t="s">
        <v>44</v>
      </c>
      <c r="C33" s="52" t="s">
        <v>20</v>
      </c>
      <c r="D33" s="52" t="s">
        <v>21</v>
      </c>
      <c r="E33" s="52" t="s">
        <v>22</v>
      </c>
      <c r="F33" s="53">
        <v>1</v>
      </c>
      <c r="G33" s="21" t="s">
        <v>23</v>
      </c>
      <c r="H33" s="21" t="s">
        <v>23</v>
      </c>
      <c r="I33" s="54">
        <v>0.375</v>
      </c>
      <c r="J33" s="54">
        <f t="shared" si="1"/>
        <v>0.791666666666667</v>
      </c>
      <c r="K33" s="54">
        <v>0.375</v>
      </c>
      <c r="L33" s="54">
        <f t="shared" si="2"/>
        <v>0.791666666666667</v>
      </c>
      <c r="M33" s="54">
        <v>0.375</v>
      </c>
      <c r="N33" s="54">
        <f t="shared" si="3"/>
        <v>0.791666666666667</v>
      </c>
      <c r="O33" s="54">
        <v>0.375</v>
      </c>
      <c r="P33" s="54">
        <f t="shared" si="6"/>
        <v>0.791666666666667</v>
      </c>
      <c r="Q33" s="54">
        <v>0.458333333333333</v>
      </c>
      <c r="R33" s="54">
        <v>0.666666666666667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5"/>
        <v>9.9475983006414e-14</v>
      </c>
      <c r="X33" s="58">
        <v>0.416666666666667</v>
      </c>
    </row>
    <row r="34" customHeight="1" spans="1:24">
      <c r="A34" s="62">
        <v>10316530</v>
      </c>
      <c r="B34" s="51" t="s">
        <v>26</v>
      </c>
      <c r="C34" s="52" t="s">
        <v>20</v>
      </c>
      <c r="D34" s="52" t="s">
        <v>21</v>
      </c>
      <c r="E34" s="52" t="s">
        <v>22</v>
      </c>
      <c r="F34" s="53">
        <v>1</v>
      </c>
      <c r="G34" s="21" t="s">
        <v>23</v>
      </c>
      <c r="H34" s="21" t="s">
        <v>23</v>
      </c>
      <c r="I34" s="54">
        <v>0.458333333333333</v>
      </c>
      <c r="J34" s="54">
        <f t="shared" si="1"/>
        <v>0.875</v>
      </c>
      <c r="K34" s="54">
        <v>0.458333333333333</v>
      </c>
      <c r="L34" s="54">
        <f t="shared" si="2"/>
        <v>0.875</v>
      </c>
      <c r="M34" s="54">
        <v>0.458333333333333</v>
      </c>
      <c r="N34" s="54">
        <f t="shared" si="3"/>
        <v>0.875</v>
      </c>
      <c r="O34" s="54">
        <v>0.458333333333333</v>
      </c>
      <c r="P34" s="54">
        <f t="shared" si="6"/>
        <v>0.875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21">
        <v>45</v>
      </c>
      <c r="W34" s="21">
        <f t="shared" si="5"/>
        <v>0</v>
      </c>
      <c r="X34" s="58">
        <v>0.416666666666667</v>
      </c>
    </row>
    <row r="35" customHeight="1" spans="1:24">
      <c r="A35" s="62">
        <v>10316545</v>
      </c>
      <c r="B35" s="51" t="s">
        <v>45</v>
      </c>
      <c r="C35" s="52" t="s">
        <v>20</v>
      </c>
      <c r="D35" s="52" t="s">
        <v>21</v>
      </c>
      <c r="E35" s="52" t="s">
        <v>22</v>
      </c>
      <c r="F35" s="53">
        <v>1</v>
      </c>
      <c r="G35" s="21" t="s">
        <v>23</v>
      </c>
      <c r="H35" s="21" t="s">
        <v>23</v>
      </c>
      <c r="I35" s="54">
        <v>0.458333333333333</v>
      </c>
      <c r="J35" s="54">
        <f t="shared" si="1"/>
        <v>0.875</v>
      </c>
      <c r="K35" s="54">
        <v>0.458333333333333</v>
      </c>
      <c r="L35" s="54">
        <f t="shared" si="2"/>
        <v>0.875</v>
      </c>
      <c r="M35" s="54">
        <v>0.458333333333333</v>
      </c>
      <c r="N35" s="54">
        <f t="shared" si="3"/>
        <v>0.875</v>
      </c>
      <c r="O35" s="54">
        <v>0.458333333333333</v>
      </c>
      <c r="P35" s="54">
        <f t="shared" si="6"/>
        <v>0.875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5"/>
        <v>0</v>
      </c>
      <c r="X35" s="58">
        <v>0.416666666666667</v>
      </c>
    </row>
    <row r="36" customHeight="1" spans="1:24">
      <c r="A36" s="62">
        <v>10316685</v>
      </c>
      <c r="B36" s="51" t="s">
        <v>47</v>
      </c>
      <c r="C36" s="52" t="s">
        <v>20</v>
      </c>
      <c r="D36" s="52" t="s">
        <v>21</v>
      </c>
      <c r="E36" s="52" t="s">
        <v>22</v>
      </c>
      <c r="F36" s="53">
        <v>1</v>
      </c>
      <c r="G36" s="21" t="s">
        <v>23</v>
      </c>
      <c r="H36" s="21" t="s">
        <v>23</v>
      </c>
      <c r="I36" s="54">
        <v>0.458333333333333</v>
      </c>
      <c r="J36" s="54">
        <f t="shared" si="1"/>
        <v>0.875</v>
      </c>
      <c r="K36" s="54">
        <v>0.458333333333333</v>
      </c>
      <c r="L36" s="54">
        <f t="shared" si="2"/>
        <v>0.875</v>
      </c>
      <c r="M36" s="54">
        <v>0.458333333333333</v>
      </c>
      <c r="N36" s="54">
        <f t="shared" si="3"/>
        <v>0.875</v>
      </c>
      <c r="O36" s="54">
        <v>0.458333333333333</v>
      </c>
      <c r="P36" s="54">
        <f t="shared" si="6"/>
        <v>0.875</v>
      </c>
      <c r="Q36" s="54">
        <v>0.458333333333333</v>
      </c>
      <c r="R36" s="54">
        <v>0.666666666666667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21">
        <v>45</v>
      </c>
      <c r="W36" s="21">
        <f t="shared" si="5"/>
        <v>0</v>
      </c>
      <c r="X36" s="58">
        <v>0.416666666666667</v>
      </c>
    </row>
    <row r="37" customHeight="1" spans="1:24">
      <c r="A37" s="62">
        <v>10316540</v>
      </c>
      <c r="B37" s="51" t="s">
        <v>30</v>
      </c>
      <c r="C37" s="52" t="s">
        <v>20</v>
      </c>
      <c r="D37" s="52" t="s">
        <v>21</v>
      </c>
      <c r="E37" s="52" t="s">
        <v>22</v>
      </c>
      <c r="F37" s="53">
        <v>1</v>
      </c>
      <c r="G37" s="21" t="s">
        <v>23</v>
      </c>
      <c r="H37" s="21" t="s">
        <v>23</v>
      </c>
      <c r="I37" s="54">
        <v>0.375</v>
      </c>
      <c r="J37" s="54">
        <f t="shared" si="1"/>
        <v>0.791666666666667</v>
      </c>
      <c r="K37" s="54">
        <v>0.375</v>
      </c>
      <c r="L37" s="54">
        <f t="shared" si="2"/>
        <v>0.791666666666667</v>
      </c>
      <c r="M37" s="54">
        <v>0.375</v>
      </c>
      <c r="N37" s="54">
        <f t="shared" si="3"/>
        <v>0.791666666666667</v>
      </c>
      <c r="O37" s="54">
        <v>0.375</v>
      </c>
      <c r="P37" s="54">
        <f t="shared" si="6"/>
        <v>0.791666666666667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ISODD(COLUMN(G37:T37)))))*24"),44.9999999999999)</f>
        <v>44.9999999999999</v>
      </c>
      <c r="V37" s="21">
        <v>45</v>
      </c>
      <c r="W37" s="21">
        <f t="shared" si="5"/>
        <v>9.9475983006414e-14</v>
      </c>
      <c r="X37" s="58">
        <v>0.416666666666667</v>
      </c>
    </row>
    <row r="38" customHeight="1" spans="1:23">
      <c r="A38" s="1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customHeight="1" spans="1:23">
      <c r="A39" s="10"/>
      <c r="B39" s="17"/>
      <c r="C39" s="17"/>
      <c r="D39" s="17"/>
      <c r="E39" s="17"/>
      <c r="T39" s="17"/>
      <c r="U39" s="17"/>
      <c r="V39" s="17"/>
      <c r="W39" s="17"/>
    </row>
    <row r="40" customHeight="1" spans="1:23">
      <c r="A40" s="10"/>
      <c r="B40" s="17"/>
      <c r="C40" s="17"/>
      <c r="D40" s="17"/>
      <c r="E40" s="17"/>
      <c r="G40" s="48" t="s">
        <v>6</v>
      </c>
      <c r="H40" s="48" t="s">
        <v>7</v>
      </c>
      <c r="I40" s="48" t="s">
        <v>8</v>
      </c>
      <c r="J40" s="48" t="s">
        <v>9</v>
      </c>
      <c r="K40" s="48" t="s">
        <v>10</v>
      </c>
      <c r="L40" s="48" t="s">
        <v>11</v>
      </c>
      <c r="M40" s="48" t="s">
        <v>12</v>
      </c>
      <c r="T40" s="60"/>
      <c r="U40" s="17"/>
      <c r="V40" s="17"/>
      <c r="W40" s="17"/>
    </row>
    <row r="41" customHeight="1" spans="1:23">
      <c r="A41" s="10"/>
      <c r="B41" s="17"/>
      <c r="C41" s="17"/>
      <c r="D41" s="17"/>
      <c r="E41" s="17"/>
      <c r="F41" s="7" t="s">
        <v>76</v>
      </c>
      <c r="G41" s="7">
        <f>IFERROR(__xludf.DUMMYFUNCTION("COUNTA(FILTER($C$2:$C$37, $C$2:$C$37=""CSR"", G2:G37&lt;&gt;"""", NOT(ISTEXT(G2:G37))))"),26)</f>
        <v>26</v>
      </c>
      <c r="H41" s="7">
        <f>IFERROR(__xludf.DUMMYFUNCTION("COUNTA(FILTER($C$2:$C$37, $C$2:$C$37=""CSR"", I2:I37&lt;&gt;"""", NOT(ISTEXT(I2:I37))))"),34)</f>
        <v>34</v>
      </c>
      <c r="I41" s="7">
        <f>IFERROR(__xludf.DUMMYFUNCTION("COUNTA(FILTER($C$2:$C$37, $C$2:$C$37=""CSR"", K2:K37&lt;&gt;"""", NOT(ISTEXT(K2:K37))))"),33)</f>
        <v>33</v>
      </c>
      <c r="J41" s="7">
        <f>IFERROR(__xludf.DUMMYFUNCTION("COUNTA(FILTER($C$2:$C$37, $C$2:$C$37=""CSR"", M2:M37&lt;&gt;"""", NOT(ISTEXT(M2:M37))))"),32)</f>
        <v>32</v>
      </c>
      <c r="K41" s="7">
        <f>IFERROR(__xludf.DUMMYFUNCTION("COUNTA(FILTER($C$2:$C$37, $C$2:$C$37=""CSR"", O2:O37&lt;&gt;"""", NOT(ISTEXT(O2:O37))))"),21)</f>
        <v>21</v>
      </c>
      <c r="L41" s="7">
        <f>IFERROR(__xludf.DUMMYFUNCTION("COUNTA(FILTER($C$2:$C$37, $C$2:$C$37=""CSR"", Q2:Q37&lt;&gt;"""", NOT(ISTEXT(Q2:Q37))))"),10)</f>
        <v>10</v>
      </c>
      <c r="M41" s="7">
        <f>IFERROR(__xludf.DUMMYFUNCTION("COUNTA(FILTER($C$2:$C$37, $C$2:$C$37=""CSR"", S2:S37&lt;&gt;"""", NOT(ISTEXT(S2:S37))))"),14)</f>
        <v>14</v>
      </c>
      <c r="T41" s="17"/>
      <c r="U41" s="17"/>
      <c r="V41" s="17"/>
      <c r="W41" s="17"/>
    </row>
    <row r="42" customHeight="1" spans="1:23">
      <c r="A42" s="10"/>
      <c r="B42" s="17"/>
      <c r="C42" s="17"/>
      <c r="D42" s="17"/>
      <c r="E42" s="17"/>
      <c r="F42" s="7" t="s">
        <v>77</v>
      </c>
      <c r="G42" s="56">
        <f t="shared" ref="G42:M42" si="7">G44/8</f>
        <v>20.35</v>
      </c>
      <c r="H42" s="56">
        <f t="shared" si="7"/>
        <v>17.35</v>
      </c>
      <c r="I42" s="56">
        <f t="shared" si="7"/>
        <v>16.9375</v>
      </c>
      <c r="J42" s="56">
        <f t="shared" si="7"/>
        <v>15.525</v>
      </c>
      <c r="K42" s="56">
        <f t="shared" si="7"/>
        <v>17</v>
      </c>
      <c r="L42" s="56">
        <f t="shared" si="7"/>
        <v>7.4</v>
      </c>
      <c r="M42" s="56">
        <f t="shared" si="7"/>
        <v>5.525</v>
      </c>
      <c r="T42" s="17"/>
      <c r="U42" s="17"/>
      <c r="V42" s="17"/>
      <c r="W42" s="17"/>
    </row>
    <row r="43" customHeight="1" spans="1:23">
      <c r="A43" s="10"/>
      <c r="B43" s="17"/>
      <c r="C43" s="17"/>
      <c r="D43" s="17"/>
      <c r="E43" s="17"/>
      <c r="F43" s="7" t="s">
        <v>75</v>
      </c>
      <c r="G43" s="57">
        <f t="shared" ref="G43:M43" si="8">G41-G42</f>
        <v>5.65</v>
      </c>
      <c r="H43" s="57">
        <f t="shared" si="8"/>
        <v>16.65</v>
      </c>
      <c r="I43" s="57">
        <f t="shared" si="8"/>
        <v>16.0625</v>
      </c>
      <c r="J43" s="57">
        <f t="shared" si="8"/>
        <v>16.475</v>
      </c>
      <c r="K43" s="57">
        <f t="shared" si="8"/>
        <v>4</v>
      </c>
      <c r="L43" s="57">
        <f t="shared" si="8"/>
        <v>2.6</v>
      </c>
      <c r="M43" s="57">
        <f t="shared" si="8"/>
        <v>8.475</v>
      </c>
      <c r="T43" s="17"/>
      <c r="U43" s="17"/>
      <c r="V43" s="17"/>
      <c r="W43" s="17"/>
    </row>
    <row r="44" customHeight="1" spans="1:23">
      <c r="A44" s="10"/>
      <c r="B44" s="17"/>
      <c r="C44" s="17"/>
      <c r="D44" s="17"/>
      <c r="E44" s="17"/>
      <c r="F44" s="17" t="s">
        <v>73</v>
      </c>
      <c r="G44" s="64">
        <v>162.8</v>
      </c>
      <c r="H44" s="65">
        <v>138.8</v>
      </c>
      <c r="I44" s="65">
        <v>135.5</v>
      </c>
      <c r="J44" s="65">
        <v>124.2</v>
      </c>
      <c r="K44" s="65">
        <v>136</v>
      </c>
      <c r="L44" s="65">
        <v>59.2</v>
      </c>
      <c r="M44" s="80">
        <v>44.2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customHeight="1" spans="1:23">
      <c r="A45" s="10"/>
      <c r="B45" s="17"/>
      <c r="C45" s="17"/>
      <c r="D45" s="17"/>
      <c r="E45" s="17"/>
      <c r="F45" s="17" t="s">
        <v>74</v>
      </c>
      <c r="G45" s="17">
        <f>G41*8</f>
        <v>208</v>
      </c>
      <c r="H45" s="17">
        <f t="shared" ref="H45:M45" si="9">H41*7</f>
        <v>238</v>
      </c>
      <c r="I45" s="17">
        <f t="shared" si="9"/>
        <v>231</v>
      </c>
      <c r="J45" s="17">
        <f t="shared" si="9"/>
        <v>224</v>
      </c>
      <c r="K45" s="17">
        <f t="shared" si="9"/>
        <v>147</v>
      </c>
      <c r="L45" s="17">
        <f t="shared" si="9"/>
        <v>70</v>
      </c>
      <c r="M45" s="17">
        <f t="shared" si="9"/>
        <v>98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customHeight="1" spans="1:23">
      <c r="A46" s="10"/>
      <c r="B46" s="17"/>
      <c r="C46" s="17"/>
      <c r="D46" s="17"/>
      <c r="E46" s="17"/>
      <c r="F46" s="17" t="s">
        <v>75</v>
      </c>
      <c r="G46" s="66">
        <f t="shared" ref="G46:M46" si="10">G45-G44</f>
        <v>45.2</v>
      </c>
      <c r="H46" s="66">
        <f t="shared" si="10"/>
        <v>99.2</v>
      </c>
      <c r="I46" s="66">
        <f t="shared" si="10"/>
        <v>95.5</v>
      </c>
      <c r="J46" s="66">
        <f t="shared" si="10"/>
        <v>99.8</v>
      </c>
      <c r="K46" s="66">
        <f t="shared" si="10"/>
        <v>11</v>
      </c>
      <c r="L46" s="66">
        <f t="shared" si="10"/>
        <v>10.8</v>
      </c>
      <c r="M46" s="66">
        <f t="shared" si="10"/>
        <v>53.8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customHeight="1" spans="1:23">
      <c r="A47" s="10" t="s">
        <v>221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customHeight="1" spans="1:23">
      <c r="A48" s="10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46">
        <v>45593</v>
      </c>
      <c r="H48" s="14"/>
      <c r="I48" s="46">
        <f>G48+1</f>
        <v>45594</v>
      </c>
      <c r="J48" s="14"/>
      <c r="K48" s="46">
        <f>I48+1</f>
        <v>45595</v>
      </c>
      <c r="L48" s="14"/>
      <c r="M48" s="46">
        <f>K48+1</f>
        <v>45596</v>
      </c>
      <c r="N48" s="14"/>
      <c r="O48" s="46">
        <f>M48+1</f>
        <v>45597</v>
      </c>
      <c r="P48" s="14"/>
      <c r="Q48" s="46">
        <f>O48+1</f>
        <v>45598</v>
      </c>
      <c r="R48" s="14"/>
      <c r="S48" s="46">
        <f>Q48+1</f>
        <v>45599</v>
      </c>
      <c r="T48" s="14"/>
      <c r="U48" s="17"/>
      <c r="V48" s="17"/>
      <c r="W48" s="17"/>
    </row>
    <row r="49" customHeight="1" spans="1:23">
      <c r="A49" s="10">
        <v>10316681</v>
      </c>
      <c r="B49" s="51" t="s">
        <v>38</v>
      </c>
      <c r="C49" s="52" t="s">
        <v>20</v>
      </c>
      <c r="D49" s="52" t="s">
        <v>21</v>
      </c>
      <c r="E49" s="52" t="s">
        <v>22</v>
      </c>
      <c r="F49" s="53">
        <v>1</v>
      </c>
      <c r="G49" s="58">
        <v>0.375</v>
      </c>
      <c r="H49" s="58">
        <v>0.791666666666667</v>
      </c>
      <c r="I49" s="10" t="s">
        <v>23</v>
      </c>
      <c r="J49" s="10" t="s">
        <v>23</v>
      </c>
      <c r="K49" s="58">
        <v>0.375</v>
      </c>
      <c r="L49" s="58">
        <v>0.791666666666667</v>
      </c>
      <c r="M49" s="58">
        <v>0.375</v>
      </c>
      <c r="N49" s="58">
        <v>0.791666666666667</v>
      </c>
      <c r="O49" s="58">
        <v>0.333333333333333</v>
      </c>
      <c r="P49" s="58">
        <v>0.75</v>
      </c>
      <c r="Q49" s="58">
        <v>0.416666666666667</v>
      </c>
      <c r="R49" s="58">
        <v>0.625</v>
      </c>
      <c r="S49" s="10" t="s">
        <v>23</v>
      </c>
      <c r="T49" s="10" t="s">
        <v>23</v>
      </c>
      <c r="U49" s="17"/>
      <c r="V49" s="17"/>
      <c r="W49" s="17"/>
    </row>
    <row r="50" customHeight="1" spans="1:23">
      <c r="A50" s="10">
        <v>10316530</v>
      </c>
      <c r="B50" s="51" t="s">
        <v>26</v>
      </c>
      <c r="C50" s="52" t="s">
        <v>20</v>
      </c>
      <c r="D50" s="52" t="s">
        <v>21</v>
      </c>
      <c r="E50" s="52" t="s">
        <v>22</v>
      </c>
      <c r="F50" s="53">
        <v>1</v>
      </c>
      <c r="G50" s="58">
        <v>0.375</v>
      </c>
      <c r="H50" s="58">
        <v>0.791666666666667</v>
      </c>
      <c r="I50" s="58">
        <v>0.375</v>
      </c>
      <c r="J50" s="58">
        <v>0.791666666666667</v>
      </c>
      <c r="K50" s="58">
        <v>0.375</v>
      </c>
      <c r="L50" s="58">
        <v>0.791666666666667</v>
      </c>
      <c r="M50" s="10" t="s">
        <v>23</v>
      </c>
      <c r="N50" s="10" t="s">
        <v>23</v>
      </c>
      <c r="O50" s="58">
        <v>0.333333333333333</v>
      </c>
      <c r="P50" s="58">
        <v>0.75</v>
      </c>
      <c r="Q50" s="58">
        <v>0.416666666666667</v>
      </c>
      <c r="R50" s="58">
        <v>0.625</v>
      </c>
      <c r="S50" s="10" t="s">
        <v>23</v>
      </c>
      <c r="T50" s="10" t="s">
        <v>23</v>
      </c>
      <c r="U50" s="17"/>
      <c r="V50" s="17"/>
      <c r="W50" s="17"/>
    </row>
    <row r="51" customHeight="1" spans="1:23">
      <c r="A51" s="10">
        <v>10316680</v>
      </c>
      <c r="B51" s="51" t="s">
        <v>40</v>
      </c>
      <c r="C51" s="52" t="s">
        <v>20</v>
      </c>
      <c r="D51" s="52" t="s">
        <v>21</v>
      </c>
      <c r="E51" s="52" t="s">
        <v>22</v>
      </c>
      <c r="F51" s="53">
        <v>1</v>
      </c>
      <c r="G51" s="58">
        <v>0.458333333333333</v>
      </c>
      <c r="H51" s="58">
        <v>0.875</v>
      </c>
      <c r="I51" s="58">
        <v>0.458333333333333</v>
      </c>
      <c r="J51" s="58">
        <v>0.875</v>
      </c>
      <c r="K51" s="10" t="s">
        <v>23</v>
      </c>
      <c r="L51" s="10" t="s">
        <v>23</v>
      </c>
      <c r="M51" s="58">
        <v>0.458333333333333</v>
      </c>
      <c r="N51" s="58">
        <v>0.875</v>
      </c>
      <c r="O51" s="58">
        <v>0.416666666666667</v>
      </c>
      <c r="P51" s="58">
        <v>0.833333333333333</v>
      </c>
      <c r="Q51" s="58">
        <v>0.416666666666667</v>
      </c>
      <c r="R51" s="58">
        <v>0.625</v>
      </c>
      <c r="S51" s="10" t="s">
        <v>23</v>
      </c>
      <c r="T51" s="10" t="s">
        <v>23</v>
      </c>
      <c r="U51" s="17"/>
      <c r="V51" s="17"/>
      <c r="W51" s="17"/>
    </row>
    <row r="52" customHeight="1" spans="1:23">
      <c r="A52" s="10">
        <v>10317153</v>
      </c>
      <c r="B52" s="51" t="s">
        <v>42</v>
      </c>
      <c r="C52" s="52" t="s">
        <v>20</v>
      </c>
      <c r="D52" s="52" t="s">
        <v>21</v>
      </c>
      <c r="E52" s="52" t="s">
        <v>22</v>
      </c>
      <c r="F52" s="53">
        <v>1</v>
      </c>
      <c r="G52" s="58">
        <v>0.375</v>
      </c>
      <c r="H52" s="58">
        <v>0.791666666666667</v>
      </c>
      <c r="I52" s="58">
        <v>0.375</v>
      </c>
      <c r="J52" s="58">
        <v>0.791666666666667</v>
      </c>
      <c r="K52" s="58">
        <v>0.375</v>
      </c>
      <c r="L52" s="58">
        <v>0.791666666666667</v>
      </c>
      <c r="M52" s="58">
        <v>0.375</v>
      </c>
      <c r="N52" s="58">
        <v>0.791666666666667</v>
      </c>
      <c r="O52" s="10" t="s">
        <v>23</v>
      </c>
      <c r="P52" s="10" t="s">
        <v>23</v>
      </c>
      <c r="Q52" s="10" t="s">
        <v>23</v>
      </c>
      <c r="R52" s="10" t="s">
        <v>23</v>
      </c>
      <c r="S52" s="58">
        <v>0.416666666666667</v>
      </c>
      <c r="T52" s="58">
        <v>0.625</v>
      </c>
      <c r="U52" s="17"/>
      <c r="V52" s="17"/>
      <c r="W52" s="17"/>
    </row>
    <row r="53" customHeight="1" spans="1:23">
      <c r="A53" s="10">
        <v>10316538</v>
      </c>
      <c r="B53" s="51" t="s">
        <v>44</v>
      </c>
      <c r="C53" s="52" t="s">
        <v>20</v>
      </c>
      <c r="D53" s="52" t="s">
        <v>21</v>
      </c>
      <c r="E53" s="52" t="s">
        <v>22</v>
      </c>
      <c r="F53" s="53">
        <v>1</v>
      </c>
      <c r="G53" s="58">
        <v>0.458333333333333</v>
      </c>
      <c r="H53" s="58">
        <v>0.875</v>
      </c>
      <c r="I53" s="58">
        <v>0.458333333333333</v>
      </c>
      <c r="J53" s="58">
        <v>0.875</v>
      </c>
      <c r="K53" s="58">
        <v>0.458333333333333</v>
      </c>
      <c r="L53" s="58">
        <v>0.875</v>
      </c>
      <c r="M53" s="10" t="s">
        <v>23</v>
      </c>
      <c r="N53" s="10" t="s">
        <v>23</v>
      </c>
      <c r="O53" s="58">
        <v>0.416666666666667</v>
      </c>
      <c r="P53" s="58">
        <v>0.833333333333333</v>
      </c>
      <c r="Q53" s="58">
        <v>0.416666666666667</v>
      </c>
      <c r="R53" s="58">
        <v>0.625</v>
      </c>
      <c r="S53" s="10" t="s">
        <v>23</v>
      </c>
      <c r="T53" s="10" t="s">
        <v>23</v>
      </c>
      <c r="U53" s="17"/>
      <c r="V53" s="17"/>
      <c r="W53" s="17"/>
    </row>
    <row r="54" customHeight="1" spans="1:23">
      <c r="A54" s="10">
        <v>10316545</v>
      </c>
      <c r="B54" s="51" t="s">
        <v>45</v>
      </c>
      <c r="C54" s="52" t="s">
        <v>20</v>
      </c>
      <c r="D54" s="52" t="s">
        <v>21</v>
      </c>
      <c r="E54" s="52" t="s">
        <v>22</v>
      </c>
      <c r="F54" s="53">
        <v>1</v>
      </c>
      <c r="G54" s="58">
        <v>0.375</v>
      </c>
      <c r="H54" s="58">
        <v>0.791666666666667</v>
      </c>
      <c r="I54" s="58">
        <v>0.375</v>
      </c>
      <c r="J54" s="58">
        <v>0.791666666666667</v>
      </c>
      <c r="K54" s="10" t="s">
        <v>23</v>
      </c>
      <c r="L54" s="10" t="s">
        <v>23</v>
      </c>
      <c r="M54" s="58">
        <v>0.375</v>
      </c>
      <c r="N54" s="58">
        <v>0.791666666666667</v>
      </c>
      <c r="O54" s="58">
        <v>0.333333333333333</v>
      </c>
      <c r="P54" s="58">
        <v>0.75</v>
      </c>
      <c r="Q54" s="58">
        <v>0.416666666666667</v>
      </c>
      <c r="R54" s="58">
        <v>0.625</v>
      </c>
      <c r="S54" s="10" t="s">
        <v>23</v>
      </c>
      <c r="T54" s="10" t="s">
        <v>23</v>
      </c>
      <c r="U54" s="17"/>
      <c r="V54" s="17"/>
      <c r="W54" s="17"/>
    </row>
    <row r="55" customHeight="1" spans="1:23">
      <c r="A55" s="10">
        <v>10316685</v>
      </c>
      <c r="B55" s="51" t="s">
        <v>47</v>
      </c>
      <c r="C55" s="52" t="s">
        <v>20</v>
      </c>
      <c r="D55" s="52" t="s">
        <v>21</v>
      </c>
      <c r="E55" s="52" t="s">
        <v>22</v>
      </c>
      <c r="F55" s="53">
        <v>1</v>
      </c>
      <c r="G55" s="58">
        <v>0.375</v>
      </c>
      <c r="H55" s="58">
        <v>0.791666666666667</v>
      </c>
      <c r="I55" s="10" t="s">
        <v>23</v>
      </c>
      <c r="J55" s="10" t="s">
        <v>23</v>
      </c>
      <c r="K55" s="58">
        <v>0.375</v>
      </c>
      <c r="L55" s="58">
        <v>0.791666666666667</v>
      </c>
      <c r="M55" s="58">
        <v>0.375</v>
      </c>
      <c r="N55" s="58">
        <v>0.791666666666667</v>
      </c>
      <c r="O55" s="58">
        <v>0.333333333333333</v>
      </c>
      <c r="P55" s="58">
        <v>0.75</v>
      </c>
      <c r="Q55" s="58">
        <v>0.416666666666667</v>
      </c>
      <c r="R55" s="58">
        <v>0.625</v>
      </c>
      <c r="S55" s="10" t="s">
        <v>23</v>
      </c>
      <c r="T55" s="10" t="s">
        <v>23</v>
      </c>
      <c r="U55" s="17"/>
      <c r="V55" s="17"/>
      <c r="W55" s="17"/>
    </row>
    <row r="60" customHeight="1" spans="1:17">
      <c r="A60" s="22" t="s">
        <v>0</v>
      </c>
      <c r="B60" s="67" t="s">
        <v>98</v>
      </c>
      <c r="C60" s="67" t="s">
        <v>2</v>
      </c>
      <c r="D60" s="68">
        <v>45600</v>
      </c>
      <c r="E60" s="14"/>
      <c r="F60" s="68">
        <v>45601</v>
      </c>
      <c r="G60" s="14"/>
      <c r="H60" s="68">
        <v>45602</v>
      </c>
      <c r="I60" s="14"/>
      <c r="J60" s="68">
        <v>45603</v>
      </c>
      <c r="K60" s="14"/>
      <c r="L60" s="68">
        <v>45604</v>
      </c>
      <c r="M60" s="14"/>
      <c r="N60" s="68">
        <v>45605</v>
      </c>
      <c r="O60" s="14"/>
      <c r="P60" s="68">
        <v>45606</v>
      </c>
      <c r="Q60" s="14"/>
    </row>
    <row r="61" customHeight="1" spans="1:17">
      <c r="A61" s="15"/>
      <c r="B61" s="69"/>
      <c r="C61" s="69"/>
      <c r="D61" s="70" t="s">
        <v>6</v>
      </c>
      <c r="E61" s="71"/>
      <c r="F61" s="70" t="s">
        <v>7</v>
      </c>
      <c r="G61" s="71"/>
      <c r="H61" s="72" t="s">
        <v>8</v>
      </c>
      <c r="I61" s="71"/>
      <c r="J61" s="70" t="s">
        <v>9</v>
      </c>
      <c r="K61" s="71"/>
      <c r="L61" s="70" t="s">
        <v>10</v>
      </c>
      <c r="M61" s="71"/>
      <c r="N61" s="70" t="s">
        <v>11</v>
      </c>
      <c r="O61" s="71"/>
      <c r="P61" s="70" t="s">
        <v>12</v>
      </c>
      <c r="Q61" s="71"/>
    </row>
    <row r="62" customHeight="1" spans="1:17">
      <c r="A62" s="5"/>
      <c r="B62" s="71"/>
      <c r="C62" s="71"/>
      <c r="D62" s="73" t="s">
        <v>13</v>
      </c>
      <c r="E62" s="73" t="s">
        <v>14</v>
      </c>
      <c r="F62" s="73" t="s">
        <v>13</v>
      </c>
      <c r="G62" s="73" t="s">
        <v>14</v>
      </c>
      <c r="H62" s="74" t="s">
        <v>13</v>
      </c>
      <c r="I62" s="73" t="s">
        <v>14</v>
      </c>
      <c r="J62" s="73" t="s">
        <v>13</v>
      </c>
      <c r="K62" s="73" t="s">
        <v>14</v>
      </c>
      <c r="L62" s="73" t="s">
        <v>13</v>
      </c>
      <c r="M62" s="73" t="s">
        <v>14</v>
      </c>
      <c r="N62" s="73" t="s">
        <v>13</v>
      </c>
      <c r="O62" s="73" t="s">
        <v>14</v>
      </c>
      <c r="P62" s="73" t="s">
        <v>13</v>
      </c>
      <c r="Q62" s="73" t="s">
        <v>14</v>
      </c>
    </row>
    <row r="63" customHeight="1" spans="1:17">
      <c r="A63" s="75">
        <v>10316835</v>
      </c>
      <c r="B63" s="76" t="s">
        <v>171</v>
      </c>
      <c r="C63" s="76" t="s">
        <v>172</v>
      </c>
      <c r="D63" s="77">
        <v>0.458333333333333</v>
      </c>
      <c r="E63" s="78">
        <v>0.875</v>
      </c>
      <c r="F63" s="77">
        <v>0.458333333333333</v>
      </c>
      <c r="G63" s="78">
        <v>0.875</v>
      </c>
      <c r="H63" s="77">
        <v>0.458333333333333</v>
      </c>
      <c r="I63" s="78">
        <v>0.875</v>
      </c>
      <c r="J63" s="77">
        <v>0.458333333333333</v>
      </c>
      <c r="K63" s="78">
        <v>0.875</v>
      </c>
      <c r="L63" s="79" t="s">
        <v>23</v>
      </c>
      <c r="M63" s="79" t="s">
        <v>23</v>
      </c>
      <c r="N63" s="81" t="s">
        <v>23</v>
      </c>
      <c r="O63" s="81" t="s">
        <v>23</v>
      </c>
      <c r="P63" s="82">
        <v>0.458333333333333</v>
      </c>
      <c r="Q63" s="83">
        <v>0.666666666666667</v>
      </c>
    </row>
    <row r="64" customHeight="1" spans="1:17">
      <c r="A64" s="75">
        <v>10225640</v>
      </c>
      <c r="B64" s="76" t="s">
        <v>100</v>
      </c>
      <c r="C64" s="76" t="s">
        <v>172</v>
      </c>
      <c r="D64" s="79" t="s">
        <v>23</v>
      </c>
      <c r="E64" s="79" t="s">
        <v>23</v>
      </c>
      <c r="F64" s="77">
        <v>0.375</v>
      </c>
      <c r="G64" s="78">
        <v>0.791666666666667</v>
      </c>
      <c r="H64" s="77">
        <v>0.375</v>
      </c>
      <c r="I64" s="78">
        <v>0.791666666666667</v>
      </c>
      <c r="J64" s="77">
        <v>0.375</v>
      </c>
      <c r="K64" s="78">
        <v>0.791666666666667</v>
      </c>
      <c r="L64" s="77">
        <v>0.375</v>
      </c>
      <c r="M64" s="78">
        <v>0.791666666666667</v>
      </c>
      <c r="N64" s="82">
        <v>0.458333333333333</v>
      </c>
      <c r="O64" s="83">
        <v>0.666666666666667</v>
      </c>
      <c r="P64" s="81" t="s">
        <v>23</v>
      </c>
      <c r="Q64" s="81" t="s">
        <v>23</v>
      </c>
    </row>
    <row r="65" customHeight="1" spans="1:17">
      <c r="A65" s="75">
        <v>10303312</v>
      </c>
      <c r="B65" s="76" t="s">
        <v>173</v>
      </c>
      <c r="C65" s="76" t="s">
        <v>174</v>
      </c>
      <c r="D65" s="78">
        <v>0.875</v>
      </c>
      <c r="E65" s="77">
        <v>0.75</v>
      </c>
      <c r="F65" s="78">
        <v>0.875</v>
      </c>
      <c r="G65" s="77">
        <v>0.75</v>
      </c>
      <c r="H65" s="78">
        <v>0.875</v>
      </c>
      <c r="I65" s="77">
        <v>0.75</v>
      </c>
      <c r="J65" s="78">
        <v>0.875</v>
      </c>
      <c r="K65" s="77">
        <v>0.75</v>
      </c>
      <c r="L65" s="78">
        <v>0.875</v>
      </c>
      <c r="M65" s="77">
        <v>0.75</v>
      </c>
      <c r="N65" s="79" t="s">
        <v>23</v>
      </c>
      <c r="O65" s="79" t="s">
        <v>23</v>
      </c>
      <c r="P65" s="79" t="s">
        <v>23</v>
      </c>
      <c r="Q65" s="79" t="s">
        <v>23</v>
      </c>
    </row>
    <row r="66" customHeight="1" spans="1:17">
      <c r="A66" s="75">
        <v>10306591</v>
      </c>
      <c r="B66" s="76" t="s">
        <v>107</v>
      </c>
      <c r="C66" s="76" t="s">
        <v>174</v>
      </c>
      <c r="D66" s="78">
        <v>0.875</v>
      </c>
      <c r="E66" s="77">
        <v>0.75</v>
      </c>
      <c r="F66" s="78">
        <v>0.875</v>
      </c>
      <c r="G66" s="77">
        <v>0.75</v>
      </c>
      <c r="H66" s="78">
        <v>0.875</v>
      </c>
      <c r="I66" s="77">
        <v>0.75</v>
      </c>
      <c r="J66" s="78">
        <v>0.875</v>
      </c>
      <c r="K66" s="77">
        <v>0.75</v>
      </c>
      <c r="L66" s="78">
        <v>0.875</v>
      </c>
      <c r="M66" s="77">
        <v>0.75</v>
      </c>
      <c r="N66" s="79" t="s">
        <v>23</v>
      </c>
      <c r="O66" s="79" t="s">
        <v>23</v>
      </c>
      <c r="P66" s="79" t="s">
        <v>23</v>
      </c>
      <c r="Q66" s="79" t="s">
        <v>23</v>
      </c>
    </row>
    <row r="67" customHeight="1" spans="1:17">
      <c r="A67" s="75">
        <v>10271545</v>
      </c>
      <c r="B67" s="76" t="s">
        <v>175</v>
      </c>
      <c r="C67" s="76" t="s">
        <v>176</v>
      </c>
      <c r="D67" s="78">
        <v>0.875</v>
      </c>
      <c r="E67" s="77">
        <v>0.75</v>
      </c>
      <c r="F67" s="78">
        <v>0.875</v>
      </c>
      <c r="G67" s="77">
        <v>0.75</v>
      </c>
      <c r="H67" s="78">
        <v>0.875</v>
      </c>
      <c r="I67" s="77">
        <v>0.75</v>
      </c>
      <c r="J67" s="78">
        <v>0.875</v>
      </c>
      <c r="K67" s="77">
        <v>0.75</v>
      </c>
      <c r="L67" s="78">
        <v>0.875</v>
      </c>
      <c r="M67" s="77">
        <v>0.75</v>
      </c>
      <c r="N67" s="79" t="s">
        <v>23</v>
      </c>
      <c r="O67" s="79" t="s">
        <v>23</v>
      </c>
      <c r="P67" s="79" t="s">
        <v>23</v>
      </c>
      <c r="Q67" s="79" t="s">
        <v>23</v>
      </c>
    </row>
  </sheetData>
  <mergeCells count="38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8:H48"/>
    <mergeCell ref="I48:J48"/>
    <mergeCell ref="K48:L48"/>
    <mergeCell ref="M48:N48"/>
    <mergeCell ref="O48:P48"/>
    <mergeCell ref="Q48:R48"/>
    <mergeCell ref="S48:T48"/>
    <mergeCell ref="D60:E60"/>
    <mergeCell ref="F60:G60"/>
    <mergeCell ref="H60:I60"/>
    <mergeCell ref="J60:K60"/>
    <mergeCell ref="L60:M60"/>
    <mergeCell ref="N60:O60"/>
    <mergeCell ref="P60:Q60"/>
    <mergeCell ref="D61:E61"/>
    <mergeCell ref="F61:G61"/>
    <mergeCell ref="H61:I61"/>
    <mergeCell ref="J61:K61"/>
    <mergeCell ref="L61:M61"/>
    <mergeCell ref="N61:O61"/>
    <mergeCell ref="P61:Q61"/>
    <mergeCell ref="A60:A62"/>
    <mergeCell ref="B60:B62"/>
    <mergeCell ref="C60:C62"/>
  </mergeCells>
  <conditionalFormatting sqref="W4:W37">
    <cfRule type="cellIs" dxfId="0" priority="2" operator="notBetween">
      <formula>-0.2</formula>
      <formula>0.2</formula>
    </cfRule>
  </conditionalFormatting>
  <conditionalFormatting sqref="X4:X37">
    <cfRule type="colorScale" priority="4">
      <colorScale>
        <cfvo type="min"/>
        <cfvo type="max"/>
        <color rgb="FFFFFFFF"/>
        <color rgb="FF57BB8A"/>
      </colorScale>
    </cfRule>
  </conditionalFormatting>
  <conditionalFormatting sqref="G4:T3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49:T5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67"/>
  <sheetViews>
    <sheetView workbookViewId="0">
      <selection activeCell="A1" sqref="A1"/>
    </sheetView>
  </sheetViews>
  <sheetFormatPr defaultColWidth="12.6272727272727" defaultRowHeight="15.75" customHeight="1"/>
  <cols>
    <col min="1" max="1" width="11.5" customWidth="1"/>
    <col min="2" max="2" width="18.2545454545455" customWidth="1"/>
    <col min="3" max="3" width="6.5" customWidth="1"/>
    <col min="4" max="4" width="10" customWidth="1"/>
    <col min="5" max="5" width="7.62727272727273" customWidth="1"/>
    <col min="6" max="6" width="15.6272727272727" customWidth="1"/>
    <col min="7" max="8" width="7.5" customWidth="1"/>
    <col min="9" max="9" width="9.75454545454545" customWidth="1"/>
    <col min="10" max="10" width="7.5" customWidth="1"/>
    <col min="11" max="11" width="8.88181818181818" customWidth="1"/>
    <col min="12" max="12" width="7.5" customWidth="1"/>
    <col min="13" max="13" width="7.12727272727273" customWidth="1"/>
    <col min="14" max="14" width="6.62727272727273" customWidth="1"/>
    <col min="15" max="15" width="5.62727272727273" customWidth="1"/>
    <col min="16" max="16" width="6.62727272727273" customWidth="1"/>
    <col min="17" max="17" width="6.88181818181818" customWidth="1"/>
    <col min="18" max="18" width="6.62727272727273" customWidth="1"/>
    <col min="19" max="19" width="5.88181818181818" customWidth="1"/>
    <col min="20" max="20" width="6.62727272727273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45593</v>
      </c>
      <c r="H1" s="14"/>
      <c r="I1" s="46">
        <f>G1+1</f>
        <v>45594</v>
      </c>
      <c r="J1" s="14"/>
      <c r="K1" s="46">
        <f>I1+1</f>
        <v>45595</v>
      </c>
      <c r="L1" s="14"/>
      <c r="M1" s="46">
        <f>K1+1</f>
        <v>45596</v>
      </c>
      <c r="N1" s="14"/>
      <c r="O1" s="46">
        <f>M1+1</f>
        <v>45597</v>
      </c>
      <c r="P1" s="14"/>
      <c r="Q1" s="46">
        <f>O1+1</f>
        <v>45598</v>
      </c>
      <c r="R1" s="14"/>
      <c r="S1" s="46">
        <f>Q1+1</f>
        <v>45599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3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59" t="s">
        <v>16</v>
      </c>
      <c r="W3" s="59" t="s">
        <v>17</v>
      </c>
    </row>
    <row r="4" customHeight="1" spans="1:23">
      <c r="A4" s="7">
        <v>10317522</v>
      </c>
      <c r="B4" s="51" t="s">
        <v>31</v>
      </c>
      <c r="C4" s="52" t="s">
        <v>20</v>
      </c>
      <c r="D4" s="52" t="s">
        <v>21</v>
      </c>
      <c r="E4" s="52" t="s">
        <v>22</v>
      </c>
      <c r="F4" s="53">
        <v>2</v>
      </c>
      <c r="G4" s="54">
        <v>0.541666666666667</v>
      </c>
      <c r="H4" s="54">
        <v>0.916666666666667</v>
      </c>
      <c r="I4" s="54">
        <v>0.541666666666667</v>
      </c>
      <c r="J4" s="54">
        <v>0.916666666666667</v>
      </c>
      <c r="K4" s="54">
        <v>0.541666666666667</v>
      </c>
      <c r="L4" s="54">
        <v>0.916666666666667</v>
      </c>
      <c r="M4" s="54">
        <v>0.541666666666667</v>
      </c>
      <c r="N4" s="54">
        <v>0.916666666666667</v>
      </c>
      <c r="O4" s="54">
        <v>0.458333333333333</v>
      </c>
      <c r="P4" s="54">
        <v>0.833333333333333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8" si="0">V4-U4</f>
        <v>0</v>
      </c>
    </row>
    <row r="5" customHeight="1" spans="1:23">
      <c r="A5" s="7">
        <v>10316549</v>
      </c>
      <c r="B5" s="51" t="s">
        <v>19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0.416666666666667</v>
      </c>
      <c r="H5" s="54">
        <v>0.833333333333333</v>
      </c>
      <c r="I5" s="54">
        <v>0.416666666666667</v>
      </c>
      <c r="J5" s="54">
        <v>0.833333333333333</v>
      </c>
      <c r="K5" s="54">
        <v>0.416666666666667</v>
      </c>
      <c r="L5" s="54">
        <v>0.833333333333333</v>
      </c>
      <c r="M5" s="54">
        <v>0.416666666666667</v>
      </c>
      <c r="N5" s="54">
        <v>0.833333333333333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0.416666666666667</v>
      </c>
      <c r="T5" s="54">
        <v>0.625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0"/>
        <v>0</v>
      </c>
    </row>
    <row r="6" customHeight="1" spans="1:23">
      <c r="A6" s="7">
        <v>10317147</v>
      </c>
      <c r="B6" s="51" t="s">
        <v>24</v>
      </c>
      <c r="C6" s="52" t="s">
        <v>20</v>
      </c>
      <c r="D6" s="52" t="s">
        <v>21</v>
      </c>
      <c r="E6" s="52" t="s">
        <v>22</v>
      </c>
      <c r="F6" s="53">
        <v>1</v>
      </c>
      <c r="G6" s="21" t="s">
        <v>23</v>
      </c>
      <c r="H6" s="21" t="s">
        <v>23</v>
      </c>
      <c r="I6" s="54">
        <v>0.416666666666667</v>
      </c>
      <c r="J6" s="54">
        <v>0.833333333333333</v>
      </c>
      <c r="K6" s="54">
        <v>0.416666666666667</v>
      </c>
      <c r="L6" s="54">
        <v>0.833333333333333</v>
      </c>
      <c r="M6" s="54">
        <v>0.416666666666667</v>
      </c>
      <c r="N6" s="54">
        <v>0.833333333333333</v>
      </c>
      <c r="O6" s="54">
        <v>0.333333333333333</v>
      </c>
      <c r="P6" s="54">
        <v>0.75</v>
      </c>
      <c r="Q6" s="54">
        <v>0.416666666666667</v>
      </c>
      <c r="R6" s="54">
        <v>0.625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0"/>
        <v>0</v>
      </c>
    </row>
    <row r="7" customHeight="1" spans="1:23">
      <c r="A7" s="55">
        <v>10316618</v>
      </c>
      <c r="B7" s="51" t="s">
        <v>33</v>
      </c>
      <c r="C7" s="52" t="s">
        <v>20</v>
      </c>
      <c r="D7" s="52" t="s">
        <v>21</v>
      </c>
      <c r="E7" s="52" t="s">
        <v>22</v>
      </c>
      <c r="F7" s="53">
        <v>1</v>
      </c>
      <c r="G7" s="54">
        <v>0.5</v>
      </c>
      <c r="H7" s="54">
        <v>0.916666666666667</v>
      </c>
      <c r="I7" s="54">
        <v>0.5</v>
      </c>
      <c r="J7" s="54">
        <v>0.916666666666667</v>
      </c>
      <c r="K7" s="54">
        <v>0.5</v>
      </c>
      <c r="L7" s="54">
        <v>0.916666666666667</v>
      </c>
      <c r="M7" s="54">
        <v>0.5</v>
      </c>
      <c r="N7" s="54">
        <v>0.916666666666667</v>
      </c>
      <c r="O7" s="21" t="s">
        <v>23</v>
      </c>
      <c r="P7" s="21" t="s">
        <v>23</v>
      </c>
      <c r="Q7" s="21" t="s">
        <v>23</v>
      </c>
      <c r="R7" s="21" t="s">
        <v>23</v>
      </c>
      <c r="S7" s="54">
        <v>0.416666666666667</v>
      </c>
      <c r="T7" s="54">
        <v>0.625</v>
      </c>
      <c r="U7" s="21">
        <f>IFERROR(__xludf.DUMMYFUNCTION("TO_PURE_NUMBER(SUM(FILTER(G7:T7, ISEVEN(COLUMN(G7:T7))))-SUM(FILTER(G7:T7, ISODD(COLUMN(G7:T7)))))*24"),44.9999999999999)</f>
        <v>44.9999999999999</v>
      </c>
      <c r="V7" s="21">
        <v>45</v>
      </c>
      <c r="W7" s="21">
        <f t="shared" si="0"/>
        <v>9.9475983006414e-14</v>
      </c>
    </row>
    <row r="8" customHeight="1" spans="1:23">
      <c r="A8" s="7">
        <v>10250963</v>
      </c>
      <c r="B8" s="51" t="s">
        <v>25</v>
      </c>
      <c r="C8" s="52" t="s">
        <v>20</v>
      </c>
      <c r="D8" s="52" t="s">
        <v>21</v>
      </c>
      <c r="E8" s="52" t="s">
        <v>22</v>
      </c>
      <c r="F8" s="53">
        <v>1</v>
      </c>
      <c r="G8" s="54">
        <v>0.416666666666667</v>
      </c>
      <c r="H8" s="54">
        <v>0.833333333333333</v>
      </c>
      <c r="I8" s="54">
        <v>0.416666666666667</v>
      </c>
      <c r="J8" s="54">
        <v>0.833333333333333</v>
      </c>
      <c r="K8" s="54">
        <v>0.416666666666667</v>
      </c>
      <c r="L8" s="54">
        <v>0.833333333333333</v>
      </c>
      <c r="M8" s="54">
        <v>0.416666666666667</v>
      </c>
      <c r="N8" s="54">
        <v>0.833333333333333</v>
      </c>
      <c r="O8" s="21" t="s">
        <v>23</v>
      </c>
      <c r="P8" s="21" t="s">
        <v>23</v>
      </c>
      <c r="Q8" s="21" t="s">
        <v>23</v>
      </c>
      <c r="R8" s="21" t="s">
        <v>23</v>
      </c>
      <c r="S8" s="54">
        <v>0.416666666666667</v>
      </c>
      <c r="T8" s="54">
        <v>0.625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0"/>
        <v>0</v>
      </c>
    </row>
    <row r="9" customHeight="1" spans="1:23">
      <c r="A9" s="7">
        <v>10317520</v>
      </c>
      <c r="B9" s="51" t="s">
        <v>37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0.416666666666667</v>
      </c>
      <c r="H9" s="54">
        <v>0.791666666666667</v>
      </c>
      <c r="I9" s="54">
        <v>0.416666666666667</v>
      </c>
      <c r="J9" s="54">
        <v>0.791666666666667</v>
      </c>
      <c r="K9" s="54">
        <v>0.416666666666667</v>
      </c>
      <c r="L9" s="54">
        <v>0.791666666666667</v>
      </c>
      <c r="M9" s="54">
        <v>0.416666666666667</v>
      </c>
      <c r="N9" s="54">
        <v>0.791666666666667</v>
      </c>
      <c r="O9" s="54">
        <v>0.375</v>
      </c>
      <c r="P9" s="54">
        <v>0.75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ISODD(COLUMN(G9:T9)))))*24"),44.9999999999999)</f>
        <v>44.9999999999999</v>
      </c>
      <c r="V9" s="21">
        <v>45</v>
      </c>
      <c r="W9" s="21">
        <f t="shared" si="0"/>
        <v>9.9475983006414e-14</v>
      </c>
    </row>
    <row r="10" customHeight="1" spans="1:23">
      <c r="A10" s="7">
        <v>10316681</v>
      </c>
      <c r="B10" s="51" t="s">
        <v>38</v>
      </c>
      <c r="C10" s="52" t="s">
        <v>20</v>
      </c>
      <c r="D10" s="52" t="s">
        <v>21</v>
      </c>
      <c r="E10" s="52" t="s">
        <v>22</v>
      </c>
      <c r="F10" s="53">
        <v>1</v>
      </c>
      <c r="G10" s="21" t="s">
        <v>23</v>
      </c>
      <c r="H10" s="21" t="s">
        <v>23</v>
      </c>
      <c r="I10" s="54">
        <v>0.416666666666667</v>
      </c>
      <c r="J10" s="54">
        <v>0.791666666666667</v>
      </c>
      <c r="K10" s="54">
        <v>0.416666666666667</v>
      </c>
      <c r="L10" s="54">
        <v>0.791666666666667</v>
      </c>
      <c r="M10" s="54">
        <v>0.416666666666667</v>
      </c>
      <c r="N10" s="54">
        <v>0.791666666666667</v>
      </c>
      <c r="O10" s="54">
        <v>0.333333333333333</v>
      </c>
      <c r="P10" s="54">
        <v>0.75</v>
      </c>
      <c r="Q10" s="54">
        <v>0.416666666666667</v>
      </c>
      <c r="R10" s="54">
        <v>0.625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ISODD(COLUMN(G10:T10)))))*24"),42)</f>
        <v>42</v>
      </c>
      <c r="V10" s="21">
        <v>41</v>
      </c>
      <c r="W10" s="21">
        <f t="shared" si="0"/>
        <v>-1</v>
      </c>
    </row>
    <row r="11" customHeight="1" spans="1:23">
      <c r="A11" s="7">
        <v>10316650</v>
      </c>
      <c r="B11" s="51" t="s">
        <v>39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0.416666666666667</v>
      </c>
      <c r="H11" s="54">
        <v>0.791666666666667</v>
      </c>
      <c r="I11" s="54">
        <v>0.416666666666667</v>
      </c>
      <c r="J11" s="54">
        <v>0.791666666666667</v>
      </c>
      <c r="K11" s="54">
        <v>0.416666666666667</v>
      </c>
      <c r="L11" s="54">
        <v>0.791666666666667</v>
      </c>
      <c r="M11" s="54">
        <v>0.416666666666667</v>
      </c>
      <c r="N11" s="54">
        <v>0.791666666666667</v>
      </c>
      <c r="O11" s="54">
        <v>0.375</v>
      </c>
      <c r="P11" s="54">
        <v>0.75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ISODD(COLUMN(G11:T11)))))*24"),44.9999999999999)</f>
        <v>44.9999999999999</v>
      </c>
      <c r="V11" s="21">
        <v>45</v>
      </c>
      <c r="W11" s="21">
        <f t="shared" si="0"/>
        <v>9.9475983006414e-14</v>
      </c>
    </row>
    <row r="12" customHeight="1" spans="1:23">
      <c r="A12" s="7">
        <v>10316530</v>
      </c>
      <c r="B12" s="51" t="s">
        <v>26</v>
      </c>
      <c r="C12" s="52" t="s">
        <v>20</v>
      </c>
      <c r="D12" s="52" t="s">
        <v>21</v>
      </c>
      <c r="E12" s="52" t="s">
        <v>22</v>
      </c>
      <c r="F12" s="53">
        <v>1</v>
      </c>
      <c r="G12" s="21" t="s">
        <v>23</v>
      </c>
      <c r="H12" s="21" t="s">
        <v>23</v>
      </c>
      <c r="I12" s="54">
        <v>0.416666666666667</v>
      </c>
      <c r="J12" s="54">
        <v>0.833333333333333</v>
      </c>
      <c r="K12" s="54">
        <v>0.416666666666667</v>
      </c>
      <c r="L12" s="54">
        <v>0.833333333333333</v>
      </c>
      <c r="M12" s="54">
        <v>0.416666666666667</v>
      </c>
      <c r="N12" s="54">
        <v>0.833333333333333</v>
      </c>
      <c r="O12" s="54">
        <v>0.333333333333333</v>
      </c>
      <c r="P12" s="54">
        <v>0.75</v>
      </c>
      <c r="Q12" s="54">
        <v>0.416666666666667</v>
      </c>
      <c r="R12" s="54">
        <v>0.625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0"/>
        <v>0</v>
      </c>
    </row>
    <row r="13" customHeight="1" spans="1:23">
      <c r="A13" s="7">
        <v>10316680</v>
      </c>
      <c r="B13" s="51" t="s">
        <v>40</v>
      </c>
      <c r="C13" s="52" t="s">
        <v>20</v>
      </c>
      <c r="D13" s="52" t="s">
        <v>21</v>
      </c>
      <c r="E13" s="52" t="s">
        <v>22</v>
      </c>
      <c r="F13" s="53">
        <v>1</v>
      </c>
      <c r="G13" s="54">
        <v>0.5</v>
      </c>
      <c r="H13" s="54">
        <v>0.916666666666667</v>
      </c>
      <c r="I13" s="21" t="s">
        <v>23</v>
      </c>
      <c r="J13" s="21" t="s">
        <v>23</v>
      </c>
      <c r="K13" s="54">
        <v>0.5</v>
      </c>
      <c r="L13" s="54">
        <v>0.916666666666667</v>
      </c>
      <c r="M13" s="54">
        <v>0.5</v>
      </c>
      <c r="N13" s="54">
        <v>0.916666666666667</v>
      </c>
      <c r="O13" s="54">
        <v>0.416666666666667</v>
      </c>
      <c r="P13" s="54">
        <v>0.833333333333333</v>
      </c>
      <c r="Q13" s="54">
        <v>0.416666666666667</v>
      </c>
      <c r="R13" s="54">
        <v>0.625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0"/>
        <v>0</v>
      </c>
    </row>
    <row r="14" customHeight="1" spans="1:23">
      <c r="A14" s="55">
        <v>10317943</v>
      </c>
      <c r="B14" s="51" t="s">
        <v>27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0.416666666666667</v>
      </c>
      <c r="H14" s="54">
        <v>0.75</v>
      </c>
      <c r="I14" s="54">
        <v>0.416666666666667</v>
      </c>
      <c r="J14" s="54">
        <v>0.75</v>
      </c>
      <c r="K14" s="54">
        <v>0.416666666666667</v>
      </c>
      <c r="L14" s="54">
        <v>0.75</v>
      </c>
      <c r="M14" s="54">
        <v>0.416666666666667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ISODD(COLUMN(G14:T14)))))*24"),40.9999999999999)</f>
        <v>40.9999999999999</v>
      </c>
      <c r="V14" s="21">
        <v>45</v>
      </c>
      <c r="W14" s="21">
        <f t="shared" si="0"/>
        <v>4.0000000000001</v>
      </c>
    </row>
    <row r="15" customHeight="1" spans="1:23">
      <c r="A15" s="7">
        <v>10316543</v>
      </c>
      <c r="B15" s="51" t="s">
        <v>41</v>
      </c>
      <c r="C15" s="52" t="s">
        <v>20</v>
      </c>
      <c r="D15" s="52" t="s">
        <v>21</v>
      </c>
      <c r="E15" s="52" t="s">
        <v>22</v>
      </c>
      <c r="F15" s="53">
        <v>1</v>
      </c>
      <c r="G15" s="54">
        <v>0.5</v>
      </c>
      <c r="H15" s="54">
        <v>0.916666666666667</v>
      </c>
      <c r="I15" s="54">
        <v>0.5</v>
      </c>
      <c r="J15" s="54">
        <v>0.916666666666667</v>
      </c>
      <c r="K15" s="54">
        <v>0.5</v>
      </c>
      <c r="L15" s="54">
        <v>0.916666666666667</v>
      </c>
      <c r="M15" s="54">
        <v>0.5</v>
      </c>
      <c r="N15" s="54">
        <v>0.916666666666667</v>
      </c>
      <c r="O15" s="21" t="s">
        <v>23</v>
      </c>
      <c r="P15" s="21" t="s">
        <v>23</v>
      </c>
      <c r="Q15" s="21" t="s">
        <v>23</v>
      </c>
      <c r="R15" s="21" t="s">
        <v>23</v>
      </c>
      <c r="S15" s="54">
        <v>0.416666666666667</v>
      </c>
      <c r="T15" s="54">
        <v>0.625</v>
      </c>
      <c r="U15" s="21">
        <f>IFERROR(__xludf.DUMMYFUNCTION("TO_PURE_NUMBER(SUM(FILTER(G15:T15, ISEVEN(COLUMN(G15:T15))))-SUM(FILTER(G15:T15, ISODD(COLUMN(G15:T15)))))*24"),44.9999999999999)</f>
        <v>44.9999999999999</v>
      </c>
      <c r="V15" s="21">
        <v>45</v>
      </c>
      <c r="W15" s="21">
        <f t="shared" si="0"/>
        <v>9.9475983006414e-14</v>
      </c>
    </row>
    <row r="16" customHeight="1" spans="1:23">
      <c r="A16" s="7">
        <v>10317153</v>
      </c>
      <c r="B16" s="51" t="s">
        <v>42</v>
      </c>
      <c r="C16" s="52" t="s">
        <v>20</v>
      </c>
      <c r="D16" s="52" t="s">
        <v>21</v>
      </c>
      <c r="E16" s="52" t="s">
        <v>22</v>
      </c>
      <c r="F16" s="53">
        <v>1</v>
      </c>
      <c r="G16" s="54">
        <v>0.416666666666667</v>
      </c>
      <c r="H16" s="54">
        <v>0.833333333333333</v>
      </c>
      <c r="I16" s="54">
        <v>0.416666666666667</v>
      </c>
      <c r="J16" s="54">
        <v>0.833333333333333</v>
      </c>
      <c r="K16" s="54">
        <v>0.416666666666667</v>
      </c>
      <c r="L16" s="54">
        <v>0.833333333333333</v>
      </c>
      <c r="M16" s="54">
        <v>0.416666666666667</v>
      </c>
      <c r="N16" s="54">
        <v>0.833333333333333</v>
      </c>
      <c r="O16" s="21" t="s">
        <v>23</v>
      </c>
      <c r="P16" s="21" t="s">
        <v>23</v>
      </c>
      <c r="Q16" s="21" t="s">
        <v>23</v>
      </c>
      <c r="R16" s="21" t="s">
        <v>23</v>
      </c>
      <c r="S16" s="54">
        <v>0.416666666666667</v>
      </c>
      <c r="T16" s="54">
        <v>0.625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0"/>
        <v>0</v>
      </c>
    </row>
    <row r="17" customHeight="1" spans="1:23">
      <c r="A17" s="7">
        <v>10317521</v>
      </c>
      <c r="B17" s="51" t="s">
        <v>28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0.416666666666667</v>
      </c>
      <c r="H17" s="54">
        <v>0.791666666666667</v>
      </c>
      <c r="I17" s="54">
        <v>0.416666666666667</v>
      </c>
      <c r="J17" s="54">
        <v>0.791666666666667</v>
      </c>
      <c r="K17" s="54">
        <v>0.416666666666667</v>
      </c>
      <c r="L17" s="54">
        <v>0.791666666666667</v>
      </c>
      <c r="M17" s="54">
        <v>0.416666666666667</v>
      </c>
      <c r="N17" s="54">
        <v>0.791666666666667</v>
      </c>
      <c r="O17" s="54">
        <v>0.375</v>
      </c>
      <c r="P17" s="54"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ISODD(COLUMN(G17:T17)))))*24"),44.9999999999999)</f>
        <v>44.9999999999999</v>
      </c>
      <c r="V17" s="21">
        <v>45</v>
      </c>
      <c r="W17" s="21">
        <f t="shared" si="0"/>
        <v>9.9475983006414e-14</v>
      </c>
    </row>
    <row r="18" customHeight="1" spans="1:23">
      <c r="A18" s="7">
        <v>10317517</v>
      </c>
      <c r="B18" s="51" t="s">
        <v>29</v>
      </c>
      <c r="C18" s="52" t="s">
        <v>20</v>
      </c>
      <c r="D18" s="52" t="s">
        <v>21</v>
      </c>
      <c r="E18" s="52" t="s">
        <v>22</v>
      </c>
      <c r="F18" s="53">
        <v>2</v>
      </c>
      <c r="G18" s="54">
        <v>0.416666666666667</v>
      </c>
      <c r="H18" s="54">
        <v>0.791666666666667</v>
      </c>
      <c r="I18" s="54">
        <v>0.416666666666667</v>
      </c>
      <c r="J18" s="54">
        <v>0.791666666666667</v>
      </c>
      <c r="K18" s="54">
        <v>0.416666666666667</v>
      </c>
      <c r="L18" s="54">
        <v>0.791666666666667</v>
      </c>
      <c r="M18" s="54">
        <v>0.416666666666667</v>
      </c>
      <c r="N18" s="54">
        <v>0.791666666666667</v>
      </c>
      <c r="O18" s="54">
        <v>0.375</v>
      </c>
      <c r="P18" s="54">
        <v>0.75</v>
      </c>
      <c r="Q18" s="21" t="s">
        <v>23</v>
      </c>
      <c r="R18" s="21" t="s">
        <v>23</v>
      </c>
      <c r="S18" s="21" t="s">
        <v>23</v>
      </c>
      <c r="T18" s="21" t="s">
        <v>23</v>
      </c>
      <c r="U18" s="21">
        <f>IFERROR(__xludf.DUMMYFUNCTION("TO_PURE_NUMBER(SUM(FILTER(G18:T18, ISEVEN(COLUMN(G18:T18))))-SUM(FILTER(G18:T18, ISODD(COLUMN(G18:T18)))))*24"),44.9999999999999)</f>
        <v>44.9999999999999</v>
      </c>
      <c r="V18" s="21">
        <v>45</v>
      </c>
      <c r="W18" s="21">
        <f t="shared" si="0"/>
        <v>9.9475983006414e-14</v>
      </c>
    </row>
    <row r="19" customHeight="1" spans="1:23">
      <c r="A19" s="7">
        <v>10252106</v>
      </c>
      <c r="B19" s="51" t="s">
        <v>43</v>
      </c>
      <c r="C19" s="52" t="s">
        <v>20</v>
      </c>
      <c r="D19" s="52" t="s">
        <v>21</v>
      </c>
      <c r="E19" s="52" t="s">
        <v>22</v>
      </c>
      <c r="F19" s="53">
        <v>2</v>
      </c>
      <c r="G19" s="21" t="s">
        <v>23</v>
      </c>
      <c r="H19" s="21" t="s">
        <v>23</v>
      </c>
      <c r="I19" s="54">
        <v>0.416666666666667</v>
      </c>
      <c r="J19" s="54">
        <v>0.791666666666667</v>
      </c>
      <c r="K19" s="21" t="s">
        <v>23</v>
      </c>
      <c r="L19" s="21" t="s">
        <v>23</v>
      </c>
      <c r="M19" s="54">
        <v>0.416666666666667</v>
      </c>
      <c r="N19" s="54">
        <v>0.791666666666667</v>
      </c>
      <c r="O19" s="54">
        <v>0.333333333333333</v>
      </c>
      <c r="P19" s="54">
        <v>0.708333333333333</v>
      </c>
      <c r="Q19" s="54">
        <v>0.416666666666667</v>
      </c>
      <c r="R19" s="54">
        <v>0.625</v>
      </c>
      <c r="S19" s="54">
        <v>0.416666666666667</v>
      </c>
      <c r="T19" s="54">
        <v>0.625</v>
      </c>
      <c r="U19" s="21">
        <f>IFERROR(__xludf.DUMMYFUNCTION("TO_PURE_NUMBER(SUM(FILTER(G19:T19, ISEVEN(COLUMN(G19:T19))))-SUM(FILTER(G19:T19, ISODD(COLUMN(G19:T19)))))*24"),37)</f>
        <v>37</v>
      </c>
      <c r="V19" s="21">
        <v>37</v>
      </c>
      <c r="W19" s="21">
        <f t="shared" si="0"/>
        <v>0</v>
      </c>
    </row>
    <row r="20" customHeight="1" spans="1:23">
      <c r="A20" s="7">
        <v>10316538</v>
      </c>
      <c r="B20" s="51" t="s">
        <v>44</v>
      </c>
      <c r="C20" s="52" t="s">
        <v>20</v>
      </c>
      <c r="D20" s="52" t="s">
        <v>21</v>
      </c>
      <c r="E20" s="52" t="s">
        <v>22</v>
      </c>
      <c r="F20" s="53">
        <v>1</v>
      </c>
      <c r="G20" s="21" t="s">
        <v>23</v>
      </c>
      <c r="H20" s="21" t="s">
        <v>23</v>
      </c>
      <c r="I20" s="54">
        <v>0.5</v>
      </c>
      <c r="J20" s="54">
        <v>0.916666666666667</v>
      </c>
      <c r="K20" s="54">
        <v>0.5</v>
      </c>
      <c r="L20" s="54">
        <v>0.916666666666667</v>
      </c>
      <c r="M20" s="54">
        <v>0.5</v>
      </c>
      <c r="N20" s="54">
        <v>0.916666666666667</v>
      </c>
      <c r="O20" s="54">
        <v>0.416666666666667</v>
      </c>
      <c r="P20" s="54">
        <v>0.833333333333333</v>
      </c>
      <c r="Q20" s="54">
        <v>0.416666666666667</v>
      </c>
      <c r="R20" s="54">
        <v>0.625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21">
        <v>45</v>
      </c>
      <c r="W20" s="21">
        <f t="shared" si="0"/>
        <v>0</v>
      </c>
    </row>
    <row r="21" customHeight="1" spans="1:23">
      <c r="A21" s="7">
        <v>10316531</v>
      </c>
      <c r="B21" s="51" t="s">
        <v>215</v>
      </c>
      <c r="C21" s="52" t="s">
        <v>20</v>
      </c>
      <c r="D21" s="52" t="s">
        <v>21</v>
      </c>
      <c r="E21" s="52" t="s">
        <v>22</v>
      </c>
      <c r="F21" s="53">
        <v>2</v>
      </c>
      <c r="G21" s="54">
        <v>0.416666666666667</v>
      </c>
      <c r="H21" s="54">
        <v>0.791666666666667</v>
      </c>
      <c r="I21" s="54">
        <v>0.416666666666667</v>
      </c>
      <c r="J21" s="54">
        <v>0.791666666666667</v>
      </c>
      <c r="K21" s="54">
        <v>0.416666666666667</v>
      </c>
      <c r="L21" s="54">
        <v>0.791666666666667</v>
      </c>
      <c r="M21" s="54">
        <v>0.416666666666667</v>
      </c>
      <c r="N21" s="54">
        <v>0.791666666666667</v>
      </c>
      <c r="O21" s="54">
        <v>0.375</v>
      </c>
      <c r="P21" s="54">
        <v>0.75</v>
      </c>
      <c r="Q21" s="21" t="s">
        <v>23</v>
      </c>
      <c r="R21" s="21" t="s">
        <v>23</v>
      </c>
      <c r="S21" s="21" t="s">
        <v>23</v>
      </c>
      <c r="T21" s="21" t="s">
        <v>23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0"/>
        <v>9.9475983006414e-14</v>
      </c>
    </row>
    <row r="22" customHeight="1" spans="1:23">
      <c r="A22" s="7">
        <v>10316545</v>
      </c>
      <c r="B22" s="51" t="s">
        <v>45</v>
      </c>
      <c r="C22" s="52" t="s">
        <v>20</v>
      </c>
      <c r="D22" s="52" t="s">
        <v>21</v>
      </c>
      <c r="E22" s="52" t="s">
        <v>22</v>
      </c>
      <c r="F22" s="53">
        <v>1</v>
      </c>
      <c r="G22" s="21" t="s">
        <v>23</v>
      </c>
      <c r="H22" s="21" t="s">
        <v>23</v>
      </c>
      <c r="I22" s="54">
        <v>0.416666666666667</v>
      </c>
      <c r="J22" s="54">
        <v>0.833333333333333</v>
      </c>
      <c r="K22" s="54">
        <v>0.416666666666667</v>
      </c>
      <c r="L22" s="54">
        <v>0.833333333333333</v>
      </c>
      <c r="M22" s="54">
        <v>0.416666666666667</v>
      </c>
      <c r="N22" s="54">
        <v>0.833333333333333</v>
      </c>
      <c r="O22" s="54">
        <v>0.333333333333333</v>
      </c>
      <c r="P22" s="54">
        <v>0.75</v>
      </c>
      <c r="Q22" s="54">
        <v>0.416666666666667</v>
      </c>
      <c r="R22" s="54">
        <v>0.625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21">
        <v>45</v>
      </c>
      <c r="W22" s="21">
        <f t="shared" si="0"/>
        <v>0</v>
      </c>
    </row>
    <row r="23" customHeight="1" spans="1:23">
      <c r="A23" s="7">
        <v>10316572</v>
      </c>
      <c r="B23" s="51" t="s">
        <v>46</v>
      </c>
      <c r="C23" s="52" t="s">
        <v>20</v>
      </c>
      <c r="D23" s="52" t="s">
        <v>21</v>
      </c>
      <c r="E23" s="52" t="s">
        <v>22</v>
      </c>
      <c r="F23" s="53">
        <v>2</v>
      </c>
      <c r="G23" s="54">
        <v>0.416666666666667</v>
      </c>
      <c r="H23" s="54">
        <v>0.791666666666667</v>
      </c>
      <c r="I23" s="54">
        <v>0.416666666666667</v>
      </c>
      <c r="J23" s="54">
        <v>0.791666666666667</v>
      </c>
      <c r="K23" s="54">
        <v>0.416666666666667</v>
      </c>
      <c r="L23" s="54">
        <v>0.791666666666667</v>
      </c>
      <c r="M23" s="54">
        <v>0.416666666666667</v>
      </c>
      <c r="N23" s="54">
        <v>0.791666666666667</v>
      </c>
      <c r="O23" s="54">
        <v>0.375</v>
      </c>
      <c r="P23" s="54">
        <v>0.75</v>
      </c>
      <c r="Q23" s="21" t="s">
        <v>23</v>
      </c>
      <c r="R23" s="21" t="s">
        <v>23</v>
      </c>
      <c r="S23" s="21" t="s">
        <v>23</v>
      </c>
      <c r="T23" s="21" t="s">
        <v>23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0"/>
        <v>9.9475983006414e-14</v>
      </c>
    </row>
    <row r="24" customHeight="1" spans="1:23">
      <c r="A24" s="7">
        <v>10212379</v>
      </c>
      <c r="B24" s="51" t="s">
        <v>216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0.541666666666667</v>
      </c>
      <c r="H24" s="54">
        <v>0.916666666666667</v>
      </c>
      <c r="I24" s="54">
        <v>0.541666666666667</v>
      </c>
      <c r="J24" s="54">
        <v>0.916666666666667</v>
      </c>
      <c r="K24" s="54">
        <v>0.541666666666667</v>
      </c>
      <c r="L24" s="54">
        <v>0.916666666666667</v>
      </c>
      <c r="M24" s="54">
        <v>0.541666666666667</v>
      </c>
      <c r="N24" s="54">
        <v>0.916666666666667</v>
      </c>
      <c r="O24" s="54">
        <v>0.458333333333333</v>
      </c>
      <c r="P24" s="54">
        <v>0.833333333333333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0"/>
        <v>0</v>
      </c>
    </row>
    <row r="25" customHeight="1" spans="1:23">
      <c r="A25" s="7">
        <v>10316685</v>
      </c>
      <c r="B25" s="51" t="s">
        <v>47</v>
      </c>
      <c r="C25" s="52" t="s">
        <v>20</v>
      </c>
      <c r="D25" s="52" t="s">
        <v>21</v>
      </c>
      <c r="E25" s="52" t="s">
        <v>22</v>
      </c>
      <c r="F25" s="53">
        <v>1</v>
      </c>
      <c r="G25" s="21" t="s">
        <v>23</v>
      </c>
      <c r="H25" s="21" t="s">
        <v>23</v>
      </c>
      <c r="I25" s="54">
        <v>0.416666666666667</v>
      </c>
      <c r="J25" s="54">
        <v>0.833333333333333</v>
      </c>
      <c r="K25" s="54">
        <v>0.416666666666667</v>
      </c>
      <c r="L25" s="54">
        <v>0.833333333333333</v>
      </c>
      <c r="M25" s="54">
        <v>0.416666666666667</v>
      </c>
      <c r="N25" s="54">
        <v>0.833333333333333</v>
      </c>
      <c r="O25" s="54">
        <v>0.333333333333333</v>
      </c>
      <c r="P25" s="54">
        <v>0.75</v>
      </c>
      <c r="Q25" s="54">
        <v>0.416666666666667</v>
      </c>
      <c r="R25" s="54">
        <v>0.625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0"/>
        <v>0</v>
      </c>
    </row>
    <row r="26" customHeight="1" spans="1:23">
      <c r="A26" s="7">
        <v>10252500</v>
      </c>
      <c r="B26" s="51" t="s">
        <v>217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0.416666666666667</v>
      </c>
      <c r="H26" s="54">
        <v>0.791666666666667</v>
      </c>
      <c r="I26" s="54">
        <v>0.416666666666667</v>
      </c>
      <c r="J26" s="54">
        <v>0.791666666666667</v>
      </c>
      <c r="K26" s="54">
        <v>0.416666666666667</v>
      </c>
      <c r="L26" s="54">
        <v>0.791666666666667</v>
      </c>
      <c r="M26" s="54">
        <v>0.416666666666667</v>
      </c>
      <c r="N26" s="54">
        <v>0.791666666666667</v>
      </c>
      <c r="O26" s="54">
        <v>0.375</v>
      </c>
      <c r="P26" s="54">
        <v>0.75</v>
      </c>
      <c r="Q26" s="21" t="s">
        <v>23</v>
      </c>
      <c r="R26" s="21" t="s">
        <v>23</v>
      </c>
      <c r="S26" s="21" t="s">
        <v>23</v>
      </c>
      <c r="T26" s="21" t="s">
        <v>23</v>
      </c>
      <c r="U26" s="21">
        <f>IFERROR(__xludf.DUMMYFUNCTION("TO_PURE_NUMBER(SUM(FILTER(G26:T26, ISEVEN(COLUMN(G26:T26))))-SUM(FILTER(G26:T26, ISODD(COLUMN(G26:T26)))))*24"),44.9999999999999)</f>
        <v>44.9999999999999</v>
      </c>
      <c r="V26" s="21">
        <v>45</v>
      </c>
      <c r="W26" s="21">
        <f t="shared" si="0"/>
        <v>9.9475983006414e-14</v>
      </c>
    </row>
    <row r="27" customHeight="1" spans="1:23">
      <c r="A27" s="7">
        <v>10274446</v>
      </c>
      <c r="B27" s="51" t="s">
        <v>88</v>
      </c>
      <c r="C27" s="52" t="s">
        <v>20</v>
      </c>
      <c r="D27" s="52" t="s">
        <v>21</v>
      </c>
      <c r="E27" s="52" t="s">
        <v>22</v>
      </c>
      <c r="F27" s="53">
        <v>2</v>
      </c>
      <c r="G27" s="54">
        <v>0.541666666666667</v>
      </c>
      <c r="H27" s="54">
        <v>0.916666666666667</v>
      </c>
      <c r="I27" s="54">
        <v>0.541666666666667</v>
      </c>
      <c r="J27" s="54">
        <v>0.916666666666667</v>
      </c>
      <c r="K27" s="54">
        <v>0.541666666666667</v>
      </c>
      <c r="L27" s="54">
        <v>0.916666666666667</v>
      </c>
      <c r="M27" s="54">
        <v>0.541666666666667</v>
      </c>
      <c r="N27" s="54">
        <v>0.916666666666667</v>
      </c>
      <c r="O27" s="21" t="s">
        <v>23</v>
      </c>
      <c r="P27" s="21" t="s">
        <v>23</v>
      </c>
      <c r="Q27" s="21" t="s">
        <v>23</v>
      </c>
      <c r="R27" s="21" t="s">
        <v>23</v>
      </c>
      <c r="S27" s="54">
        <v>0.416666666666667</v>
      </c>
      <c r="T27" s="54">
        <v>0.625</v>
      </c>
      <c r="U27" s="21">
        <f>IFERROR(__xludf.DUMMYFUNCTION("TO_PURE_NUMBER(SUM(FILTER(G27:T27, ISEVEN(COLUMN(G27:T27))))-SUM(FILTER(G27:T27, ISODD(COLUMN(G27:T27)))))*24"),40.9999999999999)</f>
        <v>40.9999999999999</v>
      </c>
      <c r="V27" s="21">
        <v>37</v>
      </c>
      <c r="W27" s="21">
        <f t="shared" si="0"/>
        <v>-3.9999999999999</v>
      </c>
    </row>
    <row r="28" customHeight="1" spans="1:23">
      <c r="A28" s="7">
        <v>10316546</v>
      </c>
      <c r="B28" s="51" t="s">
        <v>49</v>
      </c>
      <c r="C28" s="52" t="s">
        <v>20</v>
      </c>
      <c r="D28" s="52" t="s">
        <v>21</v>
      </c>
      <c r="E28" s="52" t="s">
        <v>22</v>
      </c>
      <c r="F28" s="53">
        <v>1</v>
      </c>
      <c r="G28" s="54">
        <v>0.5</v>
      </c>
      <c r="H28" s="54">
        <v>0.916666666666667</v>
      </c>
      <c r="I28" s="54">
        <v>0.5</v>
      </c>
      <c r="J28" s="54">
        <v>0.916666666666667</v>
      </c>
      <c r="K28" s="54">
        <v>0.5</v>
      </c>
      <c r="L28" s="54">
        <v>0.916666666666667</v>
      </c>
      <c r="M28" s="54">
        <v>0.5</v>
      </c>
      <c r="N28" s="54">
        <v>0.916666666666667</v>
      </c>
      <c r="O28" s="21" t="s">
        <v>23</v>
      </c>
      <c r="P28" s="21" t="s">
        <v>23</v>
      </c>
      <c r="Q28" s="21" t="s">
        <v>23</v>
      </c>
      <c r="R28" s="21" t="s">
        <v>23</v>
      </c>
      <c r="S28" s="54">
        <v>0.416666666666667</v>
      </c>
      <c r="T28" s="54">
        <v>0.625</v>
      </c>
      <c r="U28" s="21">
        <f>IFERROR(__xludf.DUMMYFUNCTION("TO_PURE_NUMBER(SUM(FILTER(G28:T28, ISEVEN(COLUMN(G28:T28))))-SUM(FILTER(G28:T28, ISODD(COLUMN(G28:T28)))))*24"),44.9999999999999)</f>
        <v>44.9999999999999</v>
      </c>
      <c r="V28" s="21">
        <v>45</v>
      </c>
      <c r="W28" s="21">
        <f t="shared" si="0"/>
        <v>9.9475983006414e-14</v>
      </c>
    </row>
    <row r="29" customHeight="1" spans="1:23">
      <c r="A29" s="7">
        <v>10316551</v>
      </c>
      <c r="B29" s="51" t="s">
        <v>87</v>
      </c>
      <c r="C29" s="52" t="s">
        <v>20</v>
      </c>
      <c r="D29" s="52" t="s">
        <v>21</v>
      </c>
      <c r="E29" s="52" t="s">
        <v>22</v>
      </c>
      <c r="F29" s="53">
        <v>1</v>
      </c>
      <c r="G29" s="54">
        <v>0.541666666666667</v>
      </c>
      <c r="H29" s="54">
        <v>0.916666666666667</v>
      </c>
      <c r="I29" s="54">
        <v>0.541666666666667</v>
      </c>
      <c r="J29" s="54">
        <v>0.916666666666667</v>
      </c>
      <c r="K29" s="54">
        <v>0.541666666666667</v>
      </c>
      <c r="L29" s="54">
        <v>0.916666666666667</v>
      </c>
      <c r="M29" s="21" t="s">
        <v>23</v>
      </c>
      <c r="N29" s="21" t="s">
        <v>23</v>
      </c>
      <c r="O29" s="21" t="s">
        <v>23</v>
      </c>
      <c r="P29" s="21" t="s">
        <v>23</v>
      </c>
      <c r="Q29" s="54">
        <v>0.416666666666667</v>
      </c>
      <c r="R29" s="54">
        <v>0.625</v>
      </c>
      <c r="S29" s="54">
        <v>0.416666666666667</v>
      </c>
      <c r="T29" s="54">
        <v>0.625</v>
      </c>
      <c r="U29" s="21">
        <f>IFERROR(__xludf.DUMMYFUNCTION("TO_PURE_NUMBER(SUM(FILTER(G29:T29, ISEVEN(COLUMN(G29:T29))))-SUM(FILTER(G29:T29, ISODD(COLUMN(G29:T29)))))*24"),37)</f>
        <v>37</v>
      </c>
      <c r="V29" s="21">
        <v>37</v>
      </c>
      <c r="W29" s="21">
        <f t="shared" si="0"/>
        <v>0</v>
      </c>
    </row>
    <row r="30" customHeight="1" spans="1:23">
      <c r="A30" s="7">
        <v>10316683</v>
      </c>
      <c r="B30" s="51" t="s">
        <v>51</v>
      </c>
      <c r="C30" s="52" t="s">
        <v>20</v>
      </c>
      <c r="D30" s="52" t="s">
        <v>21</v>
      </c>
      <c r="E30" s="52" t="s">
        <v>22</v>
      </c>
      <c r="F30" s="53">
        <v>1</v>
      </c>
      <c r="G30" s="21" t="s">
        <v>23</v>
      </c>
      <c r="H30" s="21" t="s">
        <v>23</v>
      </c>
      <c r="I30" s="54">
        <v>0.416666666666667</v>
      </c>
      <c r="J30" s="54">
        <v>0.833333333333333</v>
      </c>
      <c r="K30" s="54">
        <v>0.416666666666667</v>
      </c>
      <c r="L30" s="54">
        <v>0.833333333333333</v>
      </c>
      <c r="M30" s="54">
        <v>0.416666666666667</v>
      </c>
      <c r="N30" s="54">
        <v>0.833333333333333</v>
      </c>
      <c r="O30" s="54">
        <v>0.375</v>
      </c>
      <c r="P30" s="54">
        <v>0.791666666666667</v>
      </c>
      <c r="Q30" s="54">
        <v>0.416666666666667</v>
      </c>
      <c r="R30" s="54">
        <v>0.625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21">
        <v>45</v>
      </c>
      <c r="W30" s="21">
        <f t="shared" si="0"/>
        <v>0</v>
      </c>
    </row>
    <row r="31" customHeight="1" spans="1:23">
      <c r="A31" s="55">
        <v>10316540</v>
      </c>
      <c r="B31" s="51" t="s">
        <v>30</v>
      </c>
      <c r="C31" s="52" t="s">
        <v>20</v>
      </c>
      <c r="D31" s="52" t="s">
        <v>21</v>
      </c>
      <c r="E31" s="52" t="s">
        <v>22</v>
      </c>
      <c r="F31" s="53">
        <v>1</v>
      </c>
      <c r="G31" s="21" t="s">
        <v>23</v>
      </c>
      <c r="H31" s="21" t="s">
        <v>23</v>
      </c>
      <c r="I31" s="54">
        <v>0.5</v>
      </c>
      <c r="J31" s="54">
        <v>0.916666666666667</v>
      </c>
      <c r="K31" s="54">
        <v>0.5</v>
      </c>
      <c r="L31" s="54">
        <v>0.916666666666667</v>
      </c>
      <c r="M31" s="54">
        <v>0.5</v>
      </c>
      <c r="N31" s="54">
        <v>0.916666666666667</v>
      </c>
      <c r="O31" s="54">
        <v>0.416666666666667</v>
      </c>
      <c r="P31" s="54">
        <v>0.833333333333333</v>
      </c>
      <c r="Q31" s="54">
        <v>0.416666666666667</v>
      </c>
      <c r="R31" s="54">
        <v>0.625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21">
        <v>45</v>
      </c>
      <c r="W31" s="21">
        <f t="shared" si="0"/>
        <v>0</v>
      </c>
    </row>
    <row r="32" customHeight="1" spans="1:23">
      <c r="A32" s="7">
        <v>10317523</v>
      </c>
      <c r="B32" s="51" t="s">
        <v>222</v>
      </c>
      <c r="C32" s="52" t="s">
        <v>20</v>
      </c>
      <c r="D32" s="52" t="s">
        <v>21</v>
      </c>
      <c r="E32" s="52" t="s">
        <v>22</v>
      </c>
      <c r="F32" s="53">
        <v>2</v>
      </c>
      <c r="G32" s="54">
        <v>0.541666666666667</v>
      </c>
      <c r="H32" s="54">
        <v>0.916666666666667</v>
      </c>
      <c r="I32" s="54">
        <v>0.541666666666667</v>
      </c>
      <c r="J32" s="54">
        <v>0.916666666666667</v>
      </c>
      <c r="K32" s="54">
        <v>0.541666666666667</v>
      </c>
      <c r="L32" s="54">
        <v>0.916666666666667</v>
      </c>
      <c r="M32" s="54">
        <v>0.541666666666667</v>
      </c>
      <c r="N32" s="54">
        <v>0.916666666666667</v>
      </c>
      <c r="O32" s="54">
        <v>0.458333333333333</v>
      </c>
      <c r="P32" s="54">
        <v>0.833333333333333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0"/>
        <v>0</v>
      </c>
    </row>
    <row r="33" customHeight="1" spans="1:23">
      <c r="A33" s="7">
        <v>10275375</v>
      </c>
      <c r="B33" s="51" t="s">
        <v>218</v>
      </c>
      <c r="C33" s="52" t="s">
        <v>20</v>
      </c>
      <c r="D33" s="52" t="s">
        <v>21</v>
      </c>
      <c r="E33" s="52" t="s">
        <v>22</v>
      </c>
      <c r="F33" s="53">
        <v>2</v>
      </c>
      <c r="G33" s="54">
        <v>0.416666666666667</v>
      </c>
      <c r="H33" s="54">
        <v>0.791666666666667</v>
      </c>
      <c r="I33" s="54">
        <v>0.416666666666667</v>
      </c>
      <c r="J33" s="54">
        <v>0.791666666666667</v>
      </c>
      <c r="K33" s="54">
        <v>0.416666666666667</v>
      </c>
      <c r="L33" s="54">
        <v>0.791666666666667</v>
      </c>
      <c r="M33" s="54">
        <v>0.416666666666667</v>
      </c>
      <c r="N33" s="54">
        <v>0.791666666666667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0"/>
        <v>9.9475983006414e-14</v>
      </c>
    </row>
    <row r="34" customHeight="1" spans="1:23">
      <c r="A34" s="7">
        <v>10317151</v>
      </c>
      <c r="B34" s="51" t="s">
        <v>52</v>
      </c>
      <c r="C34" s="52" t="s">
        <v>20</v>
      </c>
      <c r="D34" s="52" t="s">
        <v>21</v>
      </c>
      <c r="E34" s="52" t="s">
        <v>22</v>
      </c>
      <c r="F34" s="53">
        <v>1</v>
      </c>
      <c r="G34" s="54">
        <v>0.5</v>
      </c>
      <c r="H34" s="54">
        <v>0.916666666666667</v>
      </c>
      <c r="I34" s="54">
        <v>0.5</v>
      </c>
      <c r="J34" s="54">
        <v>0.916666666666667</v>
      </c>
      <c r="K34" s="54">
        <v>0.5</v>
      </c>
      <c r="L34" s="54">
        <v>0.916666666666667</v>
      </c>
      <c r="M34" s="54">
        <v>0.5</v>
      </c>
      <c r="N34" s="54">
        <v>0.916666666666667</v>
      </c>
      <c r="O34" s="21" t="s">
        <v>23</v>
      </c>
      <c r="P34" s="21" t="s">
        <v>23</v>
      </c>
      <c r="Q34" s="21" t="s">
        <v>23</v>
      </c>
      <c r="R34" s="21" t="s">
        <v>23</v>
      </c>
      <c r="S34" s="54">
        <v>0.416666666666667</v>
      </c>
      <c r="T34" s="54">
        <v>0.625</v>
      </c>
      <c r="U34" s="21">
        <f>IFERROR(__xludf.DUMMYFUNCTION("TO_PURE_NUMBER(SUM(FILTER(G34:T34, ISEVEN(COLUMN(G34:T34))))-SUM(FILTER(G34:T34, ISODD(COLUMN(G34:T34)))))*24"),44.9999999999999)</f>
        <v>44.9999999999999</v>
      </c>
      <c r="V34" s="21">
        <v>44</v>
      </c>
      <c r="W34" s="21">
        <f t="shared" si="0"/>
        <v>-0.999999999999901</v>
      </c>
    </row>
    <row r="35" customHeight="1" spans="1:23">
      <c r="A35" s="7">
        <v>10317524</v>
      </c>
      <c r="B35" s="51" t="s">
        <v>53</v>
      </c>
      <c r="C35" s="52" t="s">
        <v>20</v>
      </c>
      <c r="D35" s="52" t="s">
        <v>21</v>
      </c>
      <c r="E35" s="52" t="s">
        <v>22</v>
      </c>
      <c r="F35" s="53">
        <v>2</v>
      </c>
      <c r="G35" s="54">
        <v>0.541666666666667</v>
      </c>
      <c r="H35" s="54">
        <v>0.916666666666667</v>
      </c>
      <c r="I35" s="54">
        <v>0.541666666666667</v>
      </c>
      <c r="J35" s="54">
        <v>0.916666666666667</v>
      </c>
      <c r="K35" s="54">
        <v>0.541666666666667</v>
      </c>
      <c r="L35" s="54">
        <v>0.916666666666667</v>
      </c>
      <c r="M35" s="54">
        <v>0.541666666666667</v>
      </c>
      <c r="N35" s="54">
        <v>0.916666666666667</v>
      </c>
      <c r="O35" s="54">
        <v>0.458333333333333</v>
      </c>
      <c r="P35" s="54">
        <v>0.833333333333333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0"/>
        <v>0</v>
      </c>
    </row>
    <row r="36" customHeight="1" spans="1:23">
      <c r="A36" s="7">
        <v>10295555</v>
      </c>
      <c r="B36" s="51" t="s">
        <v>220</v>
      </c>
      <c r="C36" s="52" t="s">
        <v>20</v>
      </c>
      <c r="D36" s="52" t="s">
        <v>21</v>
      </c>
      <c r="E36" s="52" t="s">
        <v>35</v>
      </c>
      <c r="F36" s="53">
        <v>2</v>
      </c>
      <c r="G36" s="54">
        <v>0.416666666666667</v>
      </c>
      <c r="H36" s="54">
        <v>0.625</v>
      </c>
      <c r="I36" s="54">
        <v>0.416666666666667</v>
      </c>
      <c r="J36" s="54">
        <v>0.625</v>
      </c>
      <c r="K36" s="54">
        <v>0.416666666666667</v>
      </c>
      <c r="L36" s="54">
        <v>0.625</v>
      </c>
      <c r="M36" s="21" t="s">
        <v>23</v>
      </c>
      <c r="N36" s="21" t="s">
        <v>23</v>
      </c>
      <c r="O36" s="21" t="s">
        <v>23</v>
      </c>
      <c r="P36" s="21" t="s">
        <v>23</v>
      </c>
      <c r="Q36" s="54">
        <v>0.416666666666667</v>
      </c>
      <c r="R36" s="54">
        <v>0.625</v>
      </c>
      <c r="S36" s="54">
        <v>0.416666666666667</v>
      </c>
      <c r="T36" s="54">
        <v>0.625</v>
      </c>
      <c r="U36" s="21">
        <f>IFERROR(__xludf.DUMMYFUNCTION("TO_PURE_NUMBER(SUM(FILTER(G36:T36, ISEVEN(COLUMN(G36:T36))))-SUM(FILTER(G36:T36, ISODD(COLUMN(G36:T36)))))*24"),24.9999999999999)</f>
        <v>24.9999999999999</v>
      </c>
      <c r="V36" s="21">
        <v>25</v>
      </c>
      <c r="W36" s="21">
        <f t="shared" si="0"/>
        <v>9.9475983006414e-14</v>
      </c>
    </row>
    <row r="37" customHeight="1" spans="1:23">
      <c r="A37" s="7">
        <v>10272259</v>
      </c>
      <c r="B37" s="51" t="s">
        <v>103</v>
      </c>
      <c r="C37" s="52" t="s">
        <v>20</v>
      </c>
      <c r="D37" s="52" t="s">
        <v>21</v>
      </c>
      <c r="E37" s="52" t="s">
        <v>22</v>
      </c>
      <c r="F37" s="53">
        <v>2</v>
      </c>
      <c r="G37" s="54">
        <v>0.416666666666667</v>
      </c>
      <c r="H37" s="54">
        <v>0.791666666666667</v>
      </c>
      <c r="I37" s="54">
        <v>0.416666666666667</v>
      </c>
      <c r="J37" s="54">
        <v>0.791666666666667</v>
      </c>
      <c r="K37" s="54">
        <v>0.416666666666667</v>
      </c>
      <c r="L37" s="54">
        <v>0.791666666666667</v>
      </c>
      <c r="M37" s="21" t="s">
        <v>23</v>
      </c>
      <c r="N37" s="21" t="s">
        <v>23</v>
      </c>
      <c r="O37" s="21" t="s">
        <v>23</v>
      </c>
      <c r="P37" s="21" t="s">
        <v>23</v>
      </c>
      <c r="Q37" s="54">
        <v>0.416666666666667</v>
      </c>
      <c r="R37" s="54">
        <v>0.625</v>
      </c>
      <c r="S37" s="54">
        <v>0.416666666666667</v>
      </c>
      <c r="T37" s="54">
        <v>0.625</v>
      </c>
      <c r="U37" s="21">
        <f>IFERROR(__xludf.DUMMYFUNCTION("TO_PURE_NUMBER(SUM(FILTER(G37:T37, ISEVEN(COLUMN(G37:T37))))-SUM(FILTER(G37:T37, ISODD(COLUMN(G37:T37)))))*24"),37)</f>
        <v>37</v>
      </c>
      <c r="V37" s="21">
        <v>37</v>
      </c>
      <c r="W37" s="21">
        <f t="shared" si="0"/>
        <v>0</v>
      </c>
    </row>
    <row r="38" customHeight="1" spans="1:23">
      <c r="A38" s="7">
        <v>10276839</v>
      </c>
      <c r="B38" s="51" t="s">
        <v>54</v>
      </c>
      <c r="C38" s="52" t="s">
        <v>20</v>
      </c>
      <c r="D38" s="52" t="s">
        <v>21</v>
      </c>
      <c r="E38" s="52" t="s">
        <v>22</v>
      </c>
      <c r="F38" s="52">
        <v>2</v>
      </c>
      <c r="G38" s="54">
        <v>0.416666666666667</v>
      </c>
      <c r="H38" s="54">
        <v>0.791666666666667</v>
      </c>
      <c r="I38" s="54">
        <v>0.416666666666667</v>
      </c>
      <c r="J38" s="54">
        <v>0.791666666666667</v>
      </c>
      <c r="K38" s="54">
        <v>0.416666666666667</v>
      </c>
      <c r="L38" s="54">
        <v>0.791666666666667</v>
      </c>
      <c r="M38" s="54">
        <v>0.416666666666667</v>
      </c>
      <c r="N38" s="54">
        <v>0.791666666666667</v>
      </c>
      <c r="O38" s="54">
        <v>0.375</v>
      </c>
      <c r="P38" s="54">
        <v>0.75</v>
      </c>
      <c r="Q38" s="21" t="s">
        <v>23</v>
      </c>
      <c r="R38" s="54" t="s">
        <v>23</v>
      </c>
      <c r="S38" s="54" t="s">
        <v>23</v>
      </c>
      <c r="T38" s="54" t="s">
        <v>23</v>
      </c>
      <c r="U38" s="21">
        <f>IFERROR(__xludf.DUMMYFUNCTION("TO_PURE_NUMBER(SUM(FILTER(G38:T38, ISEVEN(COLUMN(G38:T38))))-SUM(FILTER(G38:T38, ISODD(COLUMN(G38:T38)))))*24"),44.9999999999999)</f>
        <v>44.9999999999999</v>
      </c>
      <c r="V38" s="21">
        <v>45</v>
      </c>
      <c r="W38" s="21">
        <f t="shared" si="0"/>
        <v>9.9475983006414e-14</v>
      </c>
    </row>
    <row r="39" customHeight="1" spans="1:23">
      <c r="A39" s="1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>
        <f>SUM(U2:U38)</f>
        <v>1520</v>
      </c>
      <c r="V39" s="17"/>
      <c r="W39" s="17"/>
    </row>
    <row r="40" customHeight="1" spans="1:23">
      <c r="A40" s="10"/>
      <c r="B40" s="17"/>
      <c r="C40" s="17"/>
      <c r="D40" s="17"/>
      <c r="E40" s="17"/>
      <c r="T40" s="17"/>
      <c r="U40" s="17"/>
      <c r="V40" s="17"/>
      <c r="W40" s="17"/>
    </row>
    <row r="41" customHeight="1" spans="1:23">
      <c r="A41" s="10"/>
      <c r="B41" s="17"/>
      <c r="C41" s="17"/>
      <c r="D41" s="17"/>
      <c r="E41" s="17"/>
      <c r="G41" s="48" t="s">
        <v>6</v>
      </c>
      <c r="H41" s="48" t="s">
        <v>7</v>
      </c>
      <c r="I41" s="48" t="s">
        <v>8</v>
      </c>
      <c r="J41" s="48" t="s">
        <v>9</v>
      </c>
      <c r="K41" s="48" t="s">
        <v>10</v>
      </c>
      <c r="L41" s="48" t="s">
        <v>11</v>
      </c>
      <c r="M41" s="48" t="s">
        <v>12</v>
      </c>
      <c r="T41" s="60"/>
      <c r="U41" s="17"/>
      <c r="V41" s="17"/>
      <c r="W41" s="17"/>
    </row>
    <row r="42" customHeight="1" spans="1:23">
      <c r="A42" s="10"/>
      <c r="B42" s="17"/>
      <c r="C42" s="17"/>
      <c r="D42" s="17"/>
      <c r="E42" s="17"/>
      <c r="F42" s="7" t="s">
        <v>76</v>
      </c>
      <c r="G42" s="7">
        <f>IFERROR(__xludf.DUMMYFUNCTION("COUNTA(FILTER($C$2:$C$38, $C$2:$C$38=""CSR"", G2:G38&lt;&gt;"""", NOT(ISTEXT(G2:G38))))"),26)</f>
        <v>26</v>
      </c>
      <c r="H42" s="7">
        <f>IFERROR(__xludf.DUMMYFUNCTION("COUNTA(FILTER($C$2:$C$38, $C$2:$C$38=""CSR"", I2:I38&lt;&gt;"""", NOT(ISTEXT(I2:I38))))"),34)</f>
        <v>34</v>
      </c>
      <c r="I42" s="7">
        <f>IFERROR(__xludf.DUMMYFUNCTION("COUNTA(FILTER($C$2:$C$38, $C$2:$C$38=""CSR"", K2:K38&lt;&gt;"""", NOT(ISTEXT(K2:K38))))"),34)</f>
        <v>34</v>
      </c>
      <c r="J42" s="7">
        <f>IFERROR(__xludf.DUMMYFUNCTION("COUNTA(FILTER($C$2:$C$38, $C$2:$C$38=""CSR"", M2:M38&lt;&gt;"""", NOT(ISTEXT(M2:M38))))"),32)</f>
        <v>32</v>
      </c>
      <c r="K42" s="7">
        <f>IFERROR(__xludf.DUMMYFUNCTION("COUNTA(FILTER($C$2:$C$38, $C$2:$C$38=""CSR"", O2:O38&lt;&gt;"""", NOT(ISTEXT(O2:O38))))"),24)</f>
        <v>24</v>
      </c>
      <c r="L42" s="7">
        <f>IFERROR(__xludf.DUMMYFUNCTION("COUNTA(FILTER($C$2:$C$38, $C$2:$C$38=""CSR"", Q2:Q38&lt;&gt;"""", NOT(ISTEXT(Q2:Q38))))"),13)</f>
        <v>13</v>
      </c>
      <c r="M42" s="7">
        <f>IFERROR(__xludf.DUMMYFUNCTION("COUNTA(FILTER($C$2:$C$38, $C$2:$C$38=""CSR"", S2:S38&lt;&gt;"""", NOT(ISTEXT(S2:S38))))"),12)</f>
        <v>12</v>
      </c>
      <c r="T42" s="17"/>
      <c r="U42" s="17"/>
      <c r="V42" s="17"/>
      <c r="W42" s="17"/>
    </row>
    <row r="43" customHeight="1" spans="1:23">
      <c r="A43" s="10"/>
      <c r="B43" s="17"/>
      <c r="C43" s="17"/>
      <c r="D43" s="17"/>
      <c r="E43" s="17"/>
      <c r="F43" s="7" t="s">
        <v>77</v>
      </c>
      <c r="G43" s="56">
        <v>22.6571428571429</v>
      </c>
      <c r="H43" s="56">
        <v>18.6428571428571</v>
      </c>
      <c r="I43" s="56">
        <v>17.9</v>
      </c>
      <c r="J43" s="56">
        <v>17.3714285714286</v>
      </c>
      <c r="K43" s="56">
        <v>20.1714285714286</v>
      </c>
      <c r="L43" s="56">
        <v>8.8</v>
      </c>
      <c r="M43" s="56">
        <v>6.6</v>
      </c>
      <c r="T43" s="17"/>
      <c r="U43" s="17"/>
      <c r="V43" s="17"/>
      <c r="W43" s="17"/>
    </row>
    <row r="44" customHeight="1" spans="1:23">
      <c r="A44" s="10"/>
      <c r="B44" s="17"/>
      <c r="C44" s="17"/>
      <c r="D44" s="17"/>
      <c r="E44" s="17"/>
      <c r="F44" s="7" t="s">
        <v>75</v>
      </c>
      <c r="G44" s="57">
        <f t="shared" ref="G44:M44" si="1">G42-G43</f>
        <v>3.34285714285715</v>
      </c>
      <c r="H44" s="57">
        <f t="shared" si="1"/>
        <v>15.3571428571429</v>
      </c>
      <c r="I44" s="57">
        <f t="shared" si="1"/>
        <v>16.1</v>
      </c>
      <c r="J44" s="57">
        <f t="shared" si="1"/>
        <v>14.6285714285714</v>
      </c>
      <c r="K44" s="57">
        <f t="shared" si="1"/>
        <v>3.82857142857143</v>
      </c>
      <c r="L44" s="57">
        <f t="shared" si="1"/>
        <v>4.2</v>
      </c>
      <c r="M44" s="57">
        <f t="shared" si="1"/>
        <v>5.4</v>
      </c>
      <c r="T44" s="17"/>
      <c r="U44" s="17"/>
      <c r="V44" s="17"/>
      <c r="W44" s="17"/>
    </row>
    <row r="45" customHeight="1" spans="1:23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customHeight="1" spans="1:23">
      <c r="A46" s="1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customHeight="1" spans="1:23">
      <c r="A47" s="1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customHeight="1" spans="1:23">
      <c r="A48" s="10" t="s">
        <v>221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customHeight="1" spans="1:23">
      <c r="A49" s="10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46">
        <v>45593</v>
      </c>
      <c r="H49" s="14"/>
      <c r="I49" s="46">
        <f>G49+1</f>
        <v>45594</v>
      </c>
      <c r="J49" s="14"/>
      <c r="K49" s="46">
        <f>I49+1</f>
        <v>45595</v>
      </c>
      <c r="L49" s="14"/>
      <c r="M49" s="46">
        <f>K49+1</f>
        <v>45596</v>
      </c>
      <c r="N49" s="14"/>
      <c r="O49" s="46">
        <f>M49+1</f>
        <v>45597</v>
      </c>
      <c r="P49" s="14"/>
      <c r="Q49" s="46">
        <f>O49+1</f>
        <v>45598</v>
      </c>
      <c r="R49" s="14"/>
      <c r="S49" s="46">
        <f>Q49+1</f>
        <v>45599</v>
      </c>
      <c r="T49" s="14"/>
      <c r="U49" s="17"/>
      <c r="V49" s="17"/>
      <c r="W49" s="17"/>
    </row>
    <row r="50" customHeight="1" spans="1:23">
      <c r="A50" s="10">
        <v>10316681</v>
      </c>
      <c r="B50" s="51" t="s">
        <v>38</v>
      </c>
      <c r="C50" s="52" t="s">
        <v>20</v>
      </c>
      <c r="D50" s="52" t="s">
        <v>21</v>
      </c>
      <c r="E50" s="52" t="s">
        <v>22</v>
      </c>
      <c r="F50" s="53">
        <v>1</v>
      </c>
      <c r="G50" s="58">
        <v>0.375</v>
      </c>
      <c r="H50" s="58">
        <v>0.791666666666667</v>
      </c>
      <c r="I50" s="10" t="s">
        <v>23</v>
      </c>
      <c r="J50" s="10" t="s">
        <v>23</v>
      </c>
      <c r="K50" s="58">
        <v>0.375</v>
      </c>
      <c r="L50" s="58">
        <v>0.791666666666667</v>
      </c>
      <c r="M50" s="58">
        <v>0.375</v>
      </c>
      <c r="N50" s="58">
        <v>0.791666666666667</v>
      </c>
      <c r="O50" s="58">
        <v>0.333333333333333</v>
      </c>
      <c r="P50" s="58">
        <v>0.75</v>
      </c>
      <c r="Q50" s="58">
        <v>0.416666666666667</v>
      </c>
      <c r="R50" s="58">
        <v>0.625</v>
      </c>
      <c r="S50" s="10" t="s">
        <v>23</v>
      </c>
      <c r="T50" s="10" t="s">
        <v>23</v>
      </c>
      <c r="U50" s="17"/>
      <c r="V50" s="17"/>
      <c r="W50" s="17"/>
    </row>
    <row r="51" customHeight="1" spans="1:23">
      <c r="A51" s="10">
        <v>10316530</v>
      </c>
      <c r="B51" s="51" t="s">
        <v>26</v>
      </c>
      <c r="C51" s="52" t="s">
        <v>20</v>
      </c>
      <c r="D51" s="52" t="s">
        <v>21</v>
      </c>
      <c r="E51" s="52" t="s">
        <v>22</v>
      </c>
      <c r="F51" s="53">
        <v>1</v>
      </c>
      <c r="G51" s="58">
        <v>0.375</v>
      </c>
      <c r="H51" s="58">
        <v>0.791666666666667</v>
      </c>
      <c r="I51" s="58">
        <v>0.375</v>
      </c>
      <c r="J51" s="58">
        <v>0.791666666666667</v>
      </c>
      <c r="K51" s="58">
        <v>0.375</v>
      </c>
      <c r="L51" s="58">
        <v>0.791666666666667</v>
      </c>
      <c r="M51" s="10" t="s">
        <v>23</v>
      </c>
      <c r="N51" s="10" t="s">
        <v>23</v>
      </c>
      <c r="O51" s="58">
        <v>0.333333333333333</v>
      </c>
      <c r="P51" s="58">
        <v>0.75</v>
      </c>
      <c r="Q51" s="58">
        <v>0.416666666666667</v>
      </c>
      <c r="R51" s="58">
        <v>0.625</v>
      </c>
      <c r="S51" s="10" t="s">
        <v>23</v>
      </c>
      <c r="T51" s="10" t="s">
        <v>23</v>
      </c>
      <c r="U51" s="17"/>
      <c r="V51" s="17"/>
      <c r="W51" s="17"/>
    </row>
    <row r="52" customHeight="1" spans="1:23">
      <c r="A52" s="10">
        <v>10316680</v>
      </c>
      <c r="B52" s="51" t="s">
        <v>40</v>
      </c>
      <c r="C52" s="52" t="s">
        <v>20</v>
      </c>
      <c r="D52" s="52" t="s">
        <v>21</v>
      </c>
      <c r="E52" s="52" t="s">
        <v>22</v>
      </c>
      <c r="F52" s="53">
        <v>1</v>
      </c>
      <c r="G52" s="58">
        <v>0.458333333333333</v>
      </c>
      <c r="H52" s="58">
        <v>0.875</v>
      </c>
      <c r="I52" s="58">
        <v>0.458333333333333</v>
      </c>
      <c r="J52" s="58">
        <v>0.875</v>
      </c>
      <c r="K52" s="10" t="s">
        <v>23</v>
      </c>
      <c r="L52" s="10" t="s">
        <v>23</v>
      </c>
      <c r="M52" s="58">
        <v>0.458333333333333</v>
      </c>
      <c r="N52" s="58">
        <v>0.875</v>
      </c>
      <c r="O52" s="58">
        <v>0.416666666666667</v>
      </c>
      <c r="P52" s="58">
        <v>0.833333333333333</v>
      </c>
      <c r="Q52" s="58">
        <v>0.416666666666667</v>
      </c>
      <c r="R52" s="58">
        <v>0.625</v>
      </c>
      <c r="S52" s="10" t="s">
        <v>23</v>
      </c>
      <c r="T52" s="10" t="s">
        <v>23</v>
      </c>
      <c r="U52" s="17"/>
      <c r="V52" s="17"/>
      <c r="W52" s="17"/>
    </row>
    <row r="53" customHeight="1" spans="1:23">
      <c r="A53" s="10">
        <v>10317153</v>
      </c>
      <c r="B53" s="51" t="s">
        <v>42</v>
      </c>
      <c r="C53" s="52" t="s">
        <v>20</v>
      </c>
      <c r="D53" s="52" t="s">
        <v>21</v>
      </c>
      <c r="E53" s="52" t="s">
        <v>22</v>
      </c>
      <c r="F53" s="53">
        <v>1</v>
      </c>
      <c r="G53" s="58">
        <v>0.375</v>
      </c>
      <c r="H53" s="58">
        <v>0.791666666666667</v>
      </c>
      <c r="I53" s="58">
        <v>0.375</v>
      </c>
      <c r="J53" s="58">
        <v>0.791666666666667</v>
      </c>
      <c r="K53" s="58">
        <v>0.375</v>
      </c>
      <c r="L53" s="58">
        <v>0.791666666666667</v>
      </c>
      <c r="M53" s="58">
        <v>0.375</v>
      </c>
      <c r="N53" s="58">
        <v>0.791666666666667</v>
      </c>
      <c r="O53" s="10" t="s">
        <v>23</v>
      </c>
      <c r="P53" s="10" t="s">
        <v>23</v>
      </c>
      <c r="Q53" s="10" t="s">
        <v>23</v>
      </c>
      <c r="R53" s="10" t="s">
        <v>23</v>
      </c>
      <c r="S53" s="58">
        <v>0.416666666666667</v>
      </c>
      <c r="T53" s="58">
        <v>0.625</v>
      </c>
      <c r="U53" s="17"/>
      <c r="V53" s="17"/>
      <c r="W53" s="17"/>
    </row>
    <row r="54" customHeight="1" spans="1:23">
      <c r="A54" s="10">
        <v>10316538</v>
      </c>
      <c r="B54" s="51" t="s">
        <v>44</v>
      </c>
      <c r="C54" s="52" t="s">
        <v>20</v>
      </c>
      <c r="D54" s="52" t="s">
        <v>21</v>
      </c>
      <c r="E54" s="52" t="s">
        <v>22</v>
      </c>
      <c r="F54" s="53">
        <v>1</v>
      </c>
      <c r="G54" s="58">
        <v>0.458333333333333</v>
      </c>
      <c r="H54" s="58">
        <v>0.875</v>
      </c>
      <c r="I54" s="58">
        <v>0.458333333333333</v>
      </c>
      <c r="J54" s="58">
        <v>0.875</v>
      </c>
      <c r="K54" s="58">
        <v>0.458333333333333</v>
      </c>
      <c r="L54" s="58">
        <v>0.875</v>
      </c>
      <c r="M54" s="10" t="s">
        <v>23</v>
      </c>
      <c r="N54" s="10" t="s">
        <v>23</v>
      </c>
      <c r="O54" s="58">
        <v>0.416666666666667</v>
      </c>
      <c r="P54" s="58">
        <v>0.833333333333333</v>
      </c>
      <c r="Q54" s="58">
        <v>0.416666666666667</v>
      </c>
      <c r="R54" s="58">
        <v>0.625</v>
      </c>
      <c r="S54" s="10" t="s">
        <v>23</v>
      </c>
      <c r="T54" s="10" t="s">
        <v>23</v>
      </c>
      <c r="U54" s="17"/>
      <c r="V54" s="17"/>
      <c r="W54" s="17"/>
    </row>
    <row r="55" customHeight="1" spans="1:23">
      <c r="A55" s="10">
        <v>10316545</v>
      </c>
      <c r="B55" s="51" t="s">
        <v>45</v>
      </c>
      <c r="C55" s="52" t="s">
        <v>20</v>
      </c>
      <c r="D55" s="52" t="s">
        <v>21</v>
      </c>
      <c r="E55" s="52" t="s">
        <v>22</v>
      </c>
      <c r="F55" s="53">
        <v>1</v>
      </c>
      <c r="G55" s="58">
        <v>0.375</v>
      </c>
      <c r="H55" s="58">
        <v>0.791666666666667</v>
      </c>
      <c r="I55" s="58">
        <v>0.375</v>
      </c>
      <c r="J55" s="58">
        <v>0.791666666666667</v>
      </c>
      <c r="K55" s="10" t="s">
        <v>23</v>
      </c>
      <c r="L55" s="10" t="s">
        <v>23</v>
      </c>
      <c r="M55" s="58">
        <v>0.375</v>
      </c>
      <c r="N55" s="58">
        <v>0.791666666666667</v>
      </c>
      <c r="O55" s="58">
        <v>0.333333333333333</v>
      </c>
      <c r="P55" s="58">
        <v>0.75</v>
      </c>
      <c r="Q55" s="58">
        <v>0.416666666666667</v>
      </c>
      <c r="R55" s="58">
        <v>0.625</v>
      </c>
      <c r="S55" s="10" t="s">
        <v>23</v>
      </c>
      <c r="T55" s="10" t="s">
        <v>23</v>
      </c>
      <c r="U55" s="17"/>
      <c r="V55" s="17"/>
      <c r="W55" s="17"/>
    </row>
    <row r="56" customHeight="1" spans="1:23">
      <c r="A56" s="10">
        <v>10316685</v>
      </c>
      <c r="B56" s="51" t="s">
        <v>47</v>
      </c>
      <c r="C56" s="52" t="s">
        <v>20</v>
      </c>
      <c r="D56" s="52" t="s">
        <v>21</v>
      </c>
      <c r="E56" s="52" t="s">
        <v>22</v>
      </c>
      <c r="F56" s="53">
        <v>1</v>
      </c>
      <c r="G56" s="58">
        <v>0.375</v>
      </c>
      <c r="H56" s="58">
        <v>0.791666666666667</v>
      </c>
      <c r="I56" s="10" t="s">
        <v>23</v>
      </c>
      <c r="J56" s="10" t="s">
        <v>23</v>
      </c>
      <c r="K56" s="58">
        <v>0.375</v>
      </c>
      <c r="L56" s="58">
        <v>0.791666666666667</v>
      </c>
      <c r="M56" s="58">
        <v>0.375</v>
      </c>
      <c r="N56" s="58">
        <v>0.791666666666667</v>
      </c>
      <c r="O56" s="58">
        <v>0.333333333333333</v>
      </c>
      <c r="P56" s="58">
        <v>0.75</v>
      </c>
      <c r="Q56" s="58">
        <v>0.416666666666667</v>
      </c>
      <c r="R56" s="58">
        <v>0.625</v>
      </c>
      <c r="S56" s="10" t="s">
        <v>23</v>
      </c>
      <c r="T56" s="10" t="s">
        <v>23</v>
      </c>
      <c r="U56" s="17"/>
      <c r="V56" s="17"/>
      <c r="W56" s="17"/>
    </row>
    <row r="57" customHeight="1" spans="1:23">
      <c r="A57" s="1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customHeight="1" spans="1:23">
      <c r="A58" s="22" t="s">
        <v>0</v>
      </c>
      <c r="B58" s="22" t="s">
        <v>98</v>
      </c>
      <c r="C58" s="22" t="s">
        <v>2</v>
      </c>
      <c r="D58" s="22" t="s">
        <v>3</v>
      </c>
      <c r="E58" s="22" t="s">
        <v>4</v>
      </c>
      <c r="F58" s="22" t="s">
        <v>5</v>
      </c>
      <c r="G58" s="46">
        <v>45593</v>
      </c>
      <c r="H58" s="14"/>
      <c r="I58" s="46">
        <f>G58+1</f>
        <v>45594</v>
      </c>
      <c r="J58" s="14"/>
      <c r="K58" s="23">
        <f>I58+1</f>
        <v>45595</v>
      </c>
      <c r="L58" s="14"/>
      <c r="M58" s="23">
        <f>K58+1</f>
        <v>45596</v>
      </c>
      <c r="N58" s="14"/>
      <c r="O58" s="23">
        <f>M58+1</f>
        <v>45597</v>
      </c>
      <c r="P58" s="14"/>
      <c r="Q58" s="23">
        <f>O58+1</f>
        <v>45598</v>
      </c>
      <c r="R58" s="14"/>
      <c r="S58" s="23">
        <f>Q58+1</f>
        <v>45599</v>
      </c>
      <c r="T58" s="14"/>
      <c r="U58" s="17"/>
      <c r="V58" s="17"/>
      <c r="W58" s="17"/>
    </row>
    <row r="59" customHeight="1" spans="1:23">
      <c r="A59" s="15"/>
      <c r="B59" s="15"/>
      <c r="C59" s="15"/>
      <c r="D59" s="15"/>
      <c r="E59" s="15"/>
      <c r="F59" s="15"/>
      <c r="G59" s="24" t="s">
        <v>6</v>
      </c>
      <c r="H59" s="14"/>
      <c r="I59" s="24" t="s">
        <v>7</v>
      </c>
      <c r="J59" s="14"/>
      <c r="K59" s="24" t="s">
        <v>8</v>
      </c>
      <c r="L59" s="14"/>
      <c r="M59" s="24" t="s">
        <v>9</v>
      </c>
      <c r="N59" s="14"/>
      <c r="O59" s="24" t="s">
        <v>10</v>
      </c>
      <c r="P59" s="14"/>
      <c r="Q59" s="24" t="s">
        <v>11</v>
      </c>
      <c r="R59" s="14"/>
      <c r="S59" s="24" t="s">
        <v>12</v>
      </c>
      <c r="T59" s="14"/>
      <c r="U59" s="17"/>
      <c r="V59" s="17"/>
      <c r="W59" s="17"/>
    </row>
    <row r="60" customHeight="1" spans="1:23">
      <c r="A60" s="5"/>
      <c r="B60" s="5"/>
      <c r="C60" s="5"/>
      <c r="D60" s="5"/>
      <c r="E60" s="5"/>
      <c r="F60" s="5"/>
      <c r="G60" s="25" t="s">
        <v>13</v>
      </c>
      <c r="H60" s="25" t="s">
        <v>14</v>
      </c>
      <c r="I60" s="25" t="s">
        <v>13</v>
      </c>
      <c r="J60" s="25" t="s">
        <v>14</v>
      </c>
      <c r="K60" s="25" t="s">
        <v>13</v>
      </c>
      <c r="L60" s="25" t="s">
        <v>14</v>
      </c>
      <c r="M60" s="25" t="s">
        <v>13</v>
      </c>
      <c r="N60" s="25" t="s">
        <v>14</v>
      </c>
      <c r="O60" s="25" t="s">
        <v>13</v>
      </c>
      <c r="P60" s="25" t="s">
        <v>14</v>
      </c>
      <c r="Q60" s="25" t="s">
        <v>13</v>
      </c>
      <c r="R60" s="25" t="s">
        <v>14</v>
      </c>
      <c r="S60" s="25" t="s">
        <v>13</v>
      </c>
      <c r="T60" s="25" t="s">
        <v>14</v>
      </c>
      <c r="U60" s="17"/>
      <c r="V60" s="17"/>
      <c r="W60" s="17"/>
    </row>
    <row r="61" customHeight="1" spans="1:23">
      <c r="A61" s="26">
        <v>10316835</v>
      </c>
      <c r="B61" s="26" t="s">
        <v>171</v>
      </c>
      <c r="C61" s="26" t="s">
        <v>172</v>
      </c>
      <c r="D61" s="26" t="s">
        <v>21</v>
      </c>
      <c r="E61" s="26" t="s">
        <v>22</v>
      </c>
      <c r="F61" s="27">
        <v>1</v>
      </c>
      <c r="G61" s="30">
        <v>0.5</v>
      </c>
      <c r="H61" s="31">
        <v>0.916666666666667</v>
      </c>
      <c r="I61" s="30">
        <v>0.5</v>
      </c>
      <c r="J61" s="31">
        <v>0.916666666666667</v>
      </c>
      <c r="K61" s="30">
        <v>0.5</v>
      </c>
      <c r="L61" s="31">
        <v>0.916666666666667</v>
      </c>
      <c r="M61" s="30">
        <v>0.375</v>
      </c>
      <c r="N61" s="31">
        <v>0.791666666666667</v>
      </c>
      <c r="O61" s="33" t="s">
        <v>23</v>
      </c>
      <c r="P61" s="33" t="s">
        <v>23</v>
      </c>
      <c r="Q61" s="33" t="s">
        <v>23</v>
      </c>
      <c r="R61" s="33" t="s">
        <v>23</v>
      </c>
      <c r="S61" s="40">
        <v>0.458333333333333</v>
      </c>
      <c r="T61" s="41">
        <v>0.666666666666667</v>
      </c>
      <c r="U61" s="61">
        <f>IFERROR(__xludf.DUMMYFUNCTION("TO_PURE_NUMBER(SUM(FILTER(G61:T61, ISEVEN(COLUMN(G61:T61))))-SUM(FILTER(G61:T61, ISODD(COLUMN(G61:T61)))))*24"),44.9999999999999)</f>
        <v>44.9999999999999</v>
      </c>
      <c r="V61" s="17"/>
      <c r="W61" s="17"/>
    </row>
    <row r="62" customHeight="1" spans="1:23">
      <c r="A62" s="26">
        <v>10271545</v>
      </c>
      <c r="B62" s="26" t="s">
        <v>175</v>
      </c>
      <c r="C62" s="26" t="s">
        <v>176</v>
      </c>
      <c r="D62" s="44"/>
      <c r="E62" s="44"/>
      <c r="F62" s="44"/>
      <c r="G62" s="30">
        <v>0.375</v>
      </c>
      <c r="H62" s="34">
        <v>0.75</v>
      </c>
      <c r="I62" s="30">
        <v>0.375</v>
      </c>
      <c r="J62" s="34">
        <v>0.75</v>
      </c>
      <c r="K62" s="30">
        <v>0.375</v>
      </c>
      <c r="L62" s="34">
        <v>0.75</v>
      </c>
      <c r="M62" s="30">
        <v>0.375</v>
      </c>
      <c r="N62" s="34">
        <v>0.75</v>
      </c>
      <c r="O62" s="30">
        <v>0.375</v>
      </c>
      <c r="P62" s="34">
        <v>0.75</v>
      </c>
      <c r="Q62" s="33" t="s">
        <v>23</v>
      </c>
      <c r="R62" s="33" t="s">
        <v>23</v>
      </c>
      <c r="S62" s="33" t="s">
        <v>23</v>
      </c>
      <c r="T62" s="33" t="s">
        <v>23</v>
      </c>
      <c r="U62" s="61">
        <f>IFERROR(__xludf.DUMMYFUNCTION("TO_PURE_NUMBER(SUM(FILTER(G62:T62, ISEVEN(COLUMN(G62:T62))))-SUM(FILTER(G62:T62, ISODD(COLUMN(G62:T62)))))*24"),45)</f>
        <v>45</v>
      </c>
      <c r="V62" s="17"/>
      <c r="W62" s="17"/>
    </row>
    <row r="63" customHeight="1" spans="1:23">
      <c r="A63" s="26">
        <v>10225640</v>
      </c>
      <c r="B63" s="26" t="s">
        <v>100</v>
      </c>
      <c r="C63" s="26" t="s">
        <v>172</v>
      </c>
      <c r="D63" s="26" t="s">
        <v>21</v>
      </c>
      <c r="E63" s="26" t="s">
        <v>22</v>
      </c>
      <c r="F63" s="26">
        <v>2</v>
      </c>
      <c r="G63" s="33" t="s">
        <v>23</v>
      </c>
      <c r="H63" s="33" t="s">
        <v>23</v>
      </c>
      <c r="I63" s="30">
        <v>0.375</v>
      </c>
      <c r="J63" s="31">
        <v>0.791666666666667</v>
      </c>
      <c r="K63" s="30">
        <v>0.375</v>
      </c>
      <c r="L63" s="31">
        <v>0.791666666666667</v>
      </c>
      <c r="M63" s="30">
        <v>0.375</v>
      </c>
      <c r="N63" s="31">
        <v>0.791666666666667</v>
      </c>
      <c r="O63" s="30">
        <v>0.375</v>
      </c>
      <c r="P63" s="31">
        <v>0.791666666666667</v>
      </c>
      <c r="Q63" s="40">
        <v>0.458333333333333</v>
      </c>
      <c r="R63" s="41">
        <v>0.666666666666667</v>
      </c>
      <c r="S63" s="33" t="s">
        <v>23</v>
      </c>
      <c r="T63" s="33" t="s">
        <v>23</v>
      </c>
      <c r="U63" s="61">
        <f>IFERROR(__xludf.DUMMYFUNCTION("TO_PURE_NUMBER(SUM(FILTER(G63:T63, ISEVEN(COLUMN(G63:T63))))-SUM(FILTER(G63:T63, ISODD(COLUMN(G63:T63)))))*24"),44.9999999999999)</f>
        <v>44.9999999999999</v>
      </c>
      <c r="V63" s="17"/>
      <c r="W63" s="17"/>
    </row>
    <row r="64" customHeight="1" spans="1:23">
      <c r="A64" s="26" t="s">
        <v>223</v>
      </c>
      <c r="B64" s="26" t="s">
        <v>224</v>
      </c>
      <c r="C64" s="26" t="s">
        <v>176</v>
      </c>
      <c r="D64" s="44"/>
      <c r="E64" s="44"/>
      <c r="F64" s="44"/>
      <c r="G64" s="30">
        <v>0.375</v>
      </c>
      <c r="H64" s="34">
        <v>0.75</v>
      </c>
      <c r="I64" s="30">
        <v>0.375</v>
      </c>
      <c r="J64" s="34">
        <v>0.75</v>
      </c>
      <c r="K64" s="30">
        <v>0.375</v>
      </c>
      <c r="L64" s="34">
        <v>0.75</v>
      </c>
      <c r="M64" s="30">
        <v>0.375</v>
      </c>
      <c r="N64" s="34">
        <v>0.75</v>
      </c>
      <c r="O64" s="30">
        <v>0.375</v>
      </c>
      <c r="P64" s="34">
        <v>0.75</v>
      </c>
      <c r="Q64" s="33" t="s">
        <v>23</v>
      </c>
      <c r="R64" s="33" t="s">
        <v>23</v>
      </c>
      <c r="S64" s="33" t="s">
        <v>23</v>
      </c>
      <c r="T64" s="33" t="s">
        <v>23</v>
      </c>
      <c r="U64" s="61">
        <f>IFERROR(__xludf.DUMMYFUNCTION("TO_PURE_NUMBER(SUM(FILTER(G64:T64, ISEVEN(COLUMN(G64:T64))))-SUM(FILTER(G64:T64, ISODD(COLUMN(G64:T64)))))*24"),45)</f>
        <v>45</v>
      </c>
      <c r="V64" s="17"/>
      <c r="W64" s="17"/>
    </row>
    <row r="65" customHeight="1" spans="1:23">
      <c r="A65" s="1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customHeight="1" spans="1:23">
      <c r="A66" s="1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customHeight="1" spans="1:23">
      <c r="A67" s="1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customHeight="1" spans="1:23">
      <c r="A68" s="1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customHeight="1" spans="1:23">
      <c r="A69" s="1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customHeight="1" spans="1:23">
      <c r="A70" s="1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customHeight="1" spans="1:23">
      <c r="A71" s="1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customHeight="1" spans="1:23">
      <c r="A72" s="1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customHeight="1" spans="1:2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customHeight="1" spans="1:23">
      <c r="A74" s="1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customHeight="1" spans="1:23">
      <c r="A75" s="1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customHeight="1" spans="1:23">
      <c r="A76" s="1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customHeight="1" spans="1:23">
      <c r="A77" s="1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customHeight="1" spans="1:23">
      <c r="A78" s="1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customHeight="1" spans="1:23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customHeight="1" spans="1:23">
      <c r="A80" s="1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customHeight="1" spans="1:23">
      <c r="A81" s="1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customHeight="1" spans="1:23">
      <c r="A82" s="1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customHeight="1" spans="1:23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customHeight="1" spans="1:23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customHeight="1" spans="1:23">
      <c r="A85" s="1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customHeight="1" spans="1:23">
      <c r="A86" s="1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customHeight="1" spans="1:23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customHeight="1" spans="1:23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customHeight="1" spans="1:23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customHeight="1" spans="1:23">
      <c r="A90" s="1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customHeight="1" spans="1:23">
      <c r="A91" s="1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customHeight="1" spans="1:23">
      <c r="A92" s="1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customHeight="1" spans="1:23">
      <c r="A93" s="1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customHeight="1" spans="1:23">
      <c r="A94" s="1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customHeight="1" spans="1:23">
      <c r="A95" s="1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customHeight="1" spans="1:23">
      <c r="A96" s="1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customHeight="1" spans="1:23">
      <c r="A97" s="1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customHeight="1" spans="1:23">
      <c r="A98" s="1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customHeight="1" spans="1:23">
      <c r="A99" s="1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customHeight="1" spans="1:23">
      <c r="A100" s="1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customHeight="1" spans="1:23">
      <c r="A101" s="1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customHeight="1" spans="1:23">
      <c r="A102" s="1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customHeight="1" spans="1:23">
      <c r="A103" s="1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customHeight="1" spans="1:23">
      <c r="A104" s="1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customHeight="1" spans="1:23">
      <c r="A105" s="1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customHeight="1" spans="1:23">
      <c r="A106" s="1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customHeight="1" spans="1:23">
      <c r="A107" s="1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customHeight="1" spans="1:23">
      <c r="A108" s="1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customHeight="1" spans="1:23">
      <c r="A109" s="1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customHeight="1" spans="1:23">
      <c r="A110" s="1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customHeight="1" spans="1:23">
      <c r="A111" s="1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customHeight="1" spans="1:23">
      <c r="A112" s="1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customHeight="1" spans="1:23">
      <c r="A113" s="1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customHeight="1" spans="1:23">
      <c r="A114" s="1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customHeight="1" spans="1:23">
      <c r="A115" s="1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customHeight="1" spans="1:23">
      <c r="A116" s="1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customHeight="1" spans="1:23">
      <c r="A117" s="1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customHeight="1" spans="1:23">
      <c r="A118" s="1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customHeight="1" spans="1:23">
      <c r="A119" s="1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customHeight="1" spans="1:23">
      <c r="A120" s="1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customHeight="1" spans="1:23">
      <c r="A121" s="1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customHeight="1" spans="1:23">
      <c r="A122" s="1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customHeight="1" spans="1:23">
      <c r="A123" s="1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customHeight="1" spans="1:23">
      <c r="A124" s="1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customHeight="1" spans="1:23">
      <c r="A125" s="1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customHeight="1" spans="1:23">
      <c r="A126" s="1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customHeight="1" spans="1:23">
      <c r="A127" s="1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customHeight="1" spans="1:23">
      <c r="A128" s="1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customHeight="1" spans="1:23">
      <c r="A129" s="1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customHeight="1" spans="1:23">
      <c r="A130" s="1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customHeight="1" spans="1:23">
      <c r="A131" s="1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customHeight="1" spans="1:23">
      <c r="A132" s="1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customHeight="1" spans="1:23">
      <c r="A133" s="1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customHeight="1" spans="2:2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customHeight="1" spans="2:2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customHeight="1" spans="2:2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customHeight="1" spans="2:2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customHeight="1" spans="2:2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customHeight="1" spans="2:2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customHeight="1" spans="2:2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customHeight="1" spans="2:2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customHeight="1" spans="2:2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customHeight="1" spans="2:23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customHeight="1" spans="2:23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customHeight="1" spans="2:23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customHeight="1" spans="2:2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customHeight="1" spans="2:2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customHeight="1" spans="2:2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customHeight="1" spans="2:2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customHeight="1" spans="2:2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customHeight="1" spans="2:2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customHeight="1" spans="2:2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customHeight="1" spans="2:2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customHeight="1" spans="2:2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customHeight="1" spans="2:2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customHeight="1" spans="2:2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customHeight="1" spans="2:2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customHeight="1" spans="2:2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customHeight="1" spans="2:2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customHeight="1" spans="2:2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customHeight="1" spans="2:2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customHeight="1" spans="2:2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customHeight="1" spans="2:2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customHeight="1" spans="2:2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customHeight="1" spans="2:2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customHeight="1" spans="2:2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customHeight="1" spans="2:2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customHeight="1" spans="2:2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customHeight="1" spans="2:2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customHeight="1" spans="2:2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customHeight="1" spans="2:2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customHeight="1" spans="2:2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customHeight="1" spans="2:2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customHeight="1" spans="2:2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customHeight="1" spans="2:2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customHeight="1" spans="2:2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customHeight="1" spans="2:23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customHeight="1" spans="2:23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customHeight="1" spans="2:23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customHeight="1" spans="2:23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customHeight="1" spans="2:23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customHeight="1" spans="2:23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customHeight="1" spans="2:23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customHeight="1" spans="2:23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customHeight="1" spans="2:23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customHeight="1" spans="2:23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customHeight="1" spans="2:23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customHeight="1" spans="2:23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customHeight="1" spans="2:2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customHeight="1" spans="2:23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customHeight="1" spans="2:23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customHeight="1" spans="2:23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customHeight="1" spans="2:23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customHeight="1" spans="2:23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customHeight="1" spans="2:23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customHeight="1" spans="2:2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customHeight="1" spans="2:23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customHeight="1" spans="2:23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customHeight="1" spans="2:23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customHeight="1" spans="2:23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customHeight="1" spans="2:2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customHeight="1" spans="2:2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customHeight="1" spans="2:23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customHeight="1" spans="2:23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customHeight="1" spans="2:23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customHeight="1" spans="2:2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customHeight="1" spans="2:23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customHeight="1" spans="2:23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customHeight="1" spans="2:23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customHeight="1" spans="2:23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customHeight="1" spans="2:2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customHeight="1" spans="2:2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customHeight="1" spans="2:23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customHeight="1" spans="2:23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customHeight="1" spans="2:23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customHeight="1" spans="2:23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customHeight="1" spans="2:23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customHeight="1" spans="2:23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customHeight="1" spans="2:23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customHeight="1" spans="2:2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customHeight="1" spans="2:23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customHeight="1" spans="2:23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customHeight="1" spans="2:23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customHeight="1" spans="2:23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customHeight="1" spans="2:23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customHeight="1" spans="2:23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customHeight="1" spans="2:23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customHeight="1" spans="2:2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customHeight="1" spans="2:23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customHeight="1" spans="2:23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customHeight="1" spans="2:23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customHeight="1" spans="2:23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customHeight="1" spans="2:23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customHeight="1" spans="2:23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customHeight="1" spans="2:23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customHeight="1" spans="2:2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customHeight="1" spans="2:23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customHeight="1" spans="2:23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customHeight="1" spans="2:23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customHeight="1" spans="2:23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customHeight="1" spans="2:23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customHeight="1" spans="2:23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customHeight="1" spans="2:23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customHeight="1" spans="2:23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customHeight="1" spans="2:2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customHeight="1" spans="2:23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customHeight="1" spans="2:23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customHeight="1" spans="2:23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customHeight="1" spans="2:23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customHeight="1" spans="2:23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customHeight="1" spans="2:23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customHeight="1" spans="2:23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customHeight="1" spans="2:23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customHeight="1" spans="2:23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customHeight="1" spans="2:23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customHeight="1" spans="2:23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customHeight="1" spans="2:23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customHeight="1" spans="2:23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customHeight="1" spans="2:2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customHeight="1" spans="2:23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customHeight="1" spans="2:23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customHeight="1" spans="2:23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customHeight="1" spans="2:23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customHeight="1" spans="2:2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customHeight="1" spans="2:2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customHeight="1" spans="2:23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customHeight="1" spans="2:23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customHeight="1" spans="2:23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customHeight="1" spans="2:23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customHeight="1" spans="2:23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customHeight="1" spans="2:23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customHeight="1" spans="2:23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customHeight="1" spans="2:23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customHeight="1" spans="2:23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customHeight="1" spans="2:23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customHeight="1" spans="2:23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customHeight="1" spans="2:23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customHeight="1" spans="2:2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customHeight="1" spans="2:23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customHeight="1" spans="2:23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customHeight="1" spans="2:23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customHeight="1" spans="2:23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customHeight="1" spans="2:23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customHeight="1" spans="2:23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customHeight="1" spans="2:23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customHeight="1" spans="2:23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customHeight="1" spans="2:23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customHeight="1" spans="2:23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customHeight="1" spans="2:23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customHeight="1" spans="2:23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customHeight="1" spans="2:23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customHeight="1" spans="2:23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customHeight="1" spans="2:23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customHeight="1" spans="2:23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customHeight="1" spans="2:23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customHeight="1" spans="2:23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customHeight="1" spans="2:23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customHeight="1" spans="2:23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customHeight="1" spans="2:23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customHeight="1" spans="2:23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customHeight="1" spans="2:23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customHeight="1" spans="2:23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customHeight="1" spans="2:23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customHeight="1" spans="2:23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customHeight="1" spans="2:23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customHeight="1" spans="2:23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customHeight="1" spans="2:23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customHeight="1" spans="2:23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customHeight="1" spans="2:23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customHeight="1" spans="2:23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customHeight="1" spans="2:23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customHeight="1" spans="2:23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customHeight="1" spans="2:23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customHeight="1" spans="2:23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customHeight="1" spans="2:23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customHeight="1" spans="2:23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customHeight="1" spans="2:2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customHeight="1" spans="2:2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customHeight="1" spans="2:23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customHeight="1" spans="2:23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customHeight="1" spans="2:23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customHeight="1" spans="2:23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customHeight="1" spans="2:23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customHeight="1" spans="2:23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customHeight="1" spans="2:23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customHeight="1" spans="2:23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customHeight="1" spans="2:23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customHeight="1" spans="2:23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customHeight="1" spans="2:23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customHeight="1" spans="2:23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customHeight="1" spans="2:23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customHeight="1" spans="2:23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customHeight="1" spans="2:23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customHeight="1" spans="2:23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customHeight="1" spans="2:23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customHeight="1" spans="2:23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customHeight="1" spans="2:23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customHeight="1" spans="2:23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customHeight="1" spans="2:23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customHeight="1" spans="2:23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customHeight="1" spans="2:23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customHeight="1" spans="2:23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customHeight="1" spans="2:23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customHeight="1" spans="2:23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customHeight="1" spans="2:23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customHeight="1" spans="2:23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customHeight="1" spans="2:23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customHeight="1" spans="2:23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customHeight="1" spans="2:23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customHeight="1" spans="2:23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customHeight="1" spans="2:23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customHeight="1" spans="2:23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customHeight="1" spans="2:2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customHeight="1" spans="2:23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customHeight="1" spans="2:23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customHeight="1" spans="2:23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customHeight="1" spans="2:23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customHeight="1" spans="2:23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customHeight="1" spans="2:23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customHeight="1" spans="2:23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customHeight="1" spans="2:23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customHeight="1" spans="2:23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customHeight="1" spans="2:2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customHeight="1" spans="2:23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customHeight="1" spans="2:23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customHeight="1" spans="2:23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customHeight="1" spans="2:23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customHeight="1" spans="2:23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customHeight="1" spans="2:23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customHeight="1" spans="2:2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customHeight="1" spans="2:2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customHeight="1" spans="2:23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customHeight="1" spans="2:2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customHeight="1" spans="2:23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customHeight="1" spans="2:23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customHeight="1" spans="2:23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customHeight="1" spans="2:23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customHeight="1" spans="2:23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customHeight="1" spans="2:23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customHeight="1" spans="2:23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customHeight="1" spans="2:23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customHeight="1" spans="2:23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customHeight="1" spans="2:2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customHeight="1" spans="2:23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customHeight="1" spans="2:23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customHeight="1" spans="2:23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customHeight="1" spans="2:23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customHeight="1" spans="2:23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customHeight="1" spans="2:23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customHeight="1" spans="2:23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customHeight="1" spans="2:23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customHeight="1" spans="2:23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customHeight="1" spans="2:2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customHeight="1" spans="2:23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customHeight="1" spans="2:23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customHeight="1" spans="2:23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customHeight="1" spans="2:23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customHeight="1" spans="2:23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customHeight="1" spans="2:23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customHeight="1" spans="2:23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customHeight="1" spans="2:23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customHeight="1" spans="2:23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customHeight="1" spans="2:2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customHeight="1" spans="2:23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customHeight="1" spans="2:23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customHeight="1" spans="2:23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customHeight="1" spans="2:23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customHeight="1" spans="2:23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customHeight="1" spans="2:23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customHeight="1" spans="2:23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customHeight="1" spans="2:23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customHeight="1" spans="2:23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customHeight="1" spans="2:2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customHeight="1" spans="2:23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customHeight="1" spans="2:23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customHeight="1" spans="2:23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customHeight="1" spans="2:23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customHeight="1" spans="2:23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customHeight="1" spans="2:23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customHeight="1" spans="2:23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customHeight="1" spans="2:23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customHeight="1" spans="2:23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customHeight="1" spans="2:2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customHeight="1" spans="2:2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customHeight="1" spans="2:23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customHeight="1" spans="2:23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customHeight="1" spans="2:23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customHeight="1" spans="2:23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customHeight="1" spans="2:23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customHeight="1" spans="2:23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customHeight="1" spans="2:23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customHeight="1" spans="2:23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customHeight="1" spans="2:23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customHeight="1" spans="2:23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customHeight="1" spans="2:23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customHeight="1" spans="2:23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customHeight="1" spans="2:23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customHeight="1" spans="2:23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customHeight="1" spans="2:23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customHeight="1" spans="2:23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customHeight="1" spans="2:23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customHeight="1" spans="2:23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customHeight="1" spans="2:23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customHeight="1" spans="2:23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customHeight="1" spans="2:23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customHeight="1" spans="2:23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customHeight="1" spans="2:23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customHeight="1" spans="2:23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customHeight="1" spans="2:23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customHeight="1" spans="2:23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customHeight="1" spans="2:23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customHeight="1" spans="2:23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customHeight="1" spans="2:23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customHeight="1" spans="2:23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customHeight="1" spans="2:23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customHeight="1" spans="2:23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customHeight="1" spans="2:23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customHeight="1" spans="2:23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customHeight="1" spans="2:23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customHeight="1" spans="2:23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customHeight="1" spans="2:23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customHeight="1" spans="2:23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customHeight="1" spans="2:23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customHeight="1" spans="2:23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customHeight="1" spans="2:23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customHeight="1" spans="2:23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customHeight="1" spans="2:23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customHeight="1" spans="2:23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customHeight="1" spans="2:23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customHeight="1" spans="2:23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customHeight="1" spans="2:23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customHeight="1" spans="2:23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customHeight="1" spans="2:23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customHeight="1" spans="2:23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customHeight="1" spans="2:23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customHeight="1" spans="2:2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customHeight="1" spans="2:2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customHeight="1" spans="2:23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customHeight="1" spans="2:23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customHeight="1" spans="2:23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customHeight="1" spans="2:23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customHeight="1" spans="2:23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customHeight="1" spans="2:23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customHeight="1" spans="2:23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customHeight="1" spans="2:23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customHeight="1" spans="2:23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customHeight="1" spans="2:23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customHeight="1" spans="2:23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customHeight="1" spans="2:23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customHeight="1" spans="2:23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customHeight="1" spans="2:23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customHeight="1" spans="2:23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customHeight="1" spans="2:23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customHeight="1" spans="2:23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customHeight="1" spans="2:23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customHeight="1" spans="2:23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customHeight="1" spans="2:23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customHeight="1" spans="2:23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customHeight="1" spans="2:23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customHeight="1" spans="2:23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customHeight="1" spans="2:23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customHeight="1" spans="2:23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customHeight="1" spans="2:23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customHeight="1" spans="2:23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customHeight="1" spans="2:23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customHeight="1" spans="2:23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customHeight="1" spans="2:23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customHeight="1" spans="2:23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customHeight="1" spans="2:23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customHeight="1" spans="2:23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customHeight="1" spans="2:23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customHeight="1" spans="2:23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customHeight="1" spans="2:23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customHeight="1" spans="2:23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customHeight="1" spans="2:23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customHeight="1" spans="2:23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customHeight="1" spans="2:23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customHeight="1" spans="2:23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customHeight="1" spans="2:23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customHeight="1" spans="2:23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customHeight="1" spans="2:23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customHeight="1" spans="2:23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customHeight="1" spans="2:23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customHeight="1" spans="2:23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customHeight="1" spans="2:23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customHeight="1" spans="2:23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customHeight="1" spans="2:23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customHeight="1" spans="2:23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customHeight="1" spans="2:23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customHeight="1" spans="2:23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customHeight="1" spans="2:23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customHeight="1" spans="2:23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customHeight="1" spans="2:23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customHeight="1" spans="2:23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customHeight="1" spans="2:23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customHeight="1" spans="2:23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customHeight="1" spans="2:23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customHeight="1" spans="2:23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customHeight="1" spans="2:23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customHeight="1" spans="2:23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customHeight="1" spans="2:23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customHeight="1" spans="2:23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customHeight="1" spans="2:23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customHeight="1" spans="2:23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customHeight="1" spans="2:23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customHeight="1" spans="2:23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customHeight="1" spans="2:23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customHeight="1" spans="2:23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customHeight="1" spans="2:23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customHeight="1" spans="2:23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customHeight="1" spans="2:23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customHeight="1" spans="2:23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customHeight="1" spans="2:2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customHeight="1" spans="2:23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customHeight="1" spans="2:23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customHeight="1" spans="2:23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customHeight="1" spans="2:23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customHeight="1" spans="2:23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customHeight="1" spans="2:23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customHeight="1" spans="2:23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customHeight="1" spans="2:23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customHeight="1" spans="2:23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customHeight="1" spans="2:23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customHeight="1" spans="2:23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customHeight="1" spans="2:23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customHeight="1" spans="2:23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customHeight="1" spans="2:23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customHeight="1" spans="2:23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customHeight="1" spans="2:23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customHeight="1" spans="2:23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customHeight="1" spans="2:23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customHeight="1" spans="2:23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customHeight="1" spans="2:23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customHeight="1" spans="2:23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customHeight="1" spans="2:23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customHeight="1" spans="2:23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customHeight="1" spans="2:23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customHeight="1" spans="2:23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customHeight="1" spans="2:23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customHeight="1" spans="2:23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customHeight="1" spans="2:23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customHeight="1" spans="2:23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customHeight="1" spans="2:23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customHeight="1" spans="2:23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customHeight="1" spans="2:23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customHeight="1" spans="2:23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customHeight="1" spans="2:23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customHeight="1" spans="2:23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customHeight="1" spans="2:23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customHeight="1" spans="2:23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customHeight="1" spans="2:23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customHeight="1" spans="2:23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customHeight="1" spans="2:23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customHeight="1" spans="2:23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customHeight="1" spans="2:23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customHeight="1" spans="2:23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customHeight="1" spans="2:23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customHeight="1" spans="2:23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customHeight="1" spans="2:23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customHeight="1" spans="2:23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customHeight="1" spans="2:23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customHeight="1" spans="2:23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customHeight="1" spans="2:23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customHeight="1" spans="2:23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customHeight="1" spans="2:23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customHeight="1" spans="2:23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customHeight="1" spans="2:23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customHeight="1" spans="2:23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customHeight="1" spans="2:23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customHeight="1" spans="2:23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customHeight="1" spans="2:23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customHeight="1" spans="2:23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customHeight="1" spans="2:23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customHeight="1" spans="2:23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customHeight="1" spans="2:23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customHeight="1" spans="2:23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customHeight="1" spans="2:23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customHeight="1" spans="2:23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customHeight="1" spans="2:23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customHeight="1" spans="2:23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customHeight="1" spans="2:23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customHeight="1" spans="2:23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customHeight="1" spans="2:23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customHeight="1" spans="2:23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customHeight="1" spans="2:23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customHeight="1" spans="2:23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customHeight="1" spans="2:23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customHeight="1" spans="2:23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customHeight="1" spans="2:23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customHeight="1" spans="2:23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customHeight="1" spans="2:23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customHeight="1" spans="2:23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customHeight="1" spans="2:23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customHeight="1" spans="2:23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customHeight="1" spans="2:23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customHeight="1" spans="2:23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customHeight="1" spans="2:23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customHeight="1" spans="2:23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customHeight="1" spans="2:23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customHeight="1" spans="2:23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customHeight="1" spans="2:23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customHeight="1" spans="2:23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customHeight="1" spans="2:23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customHeight="1" spans="2:23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customHeight="1" spans="2:23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customHeight="1" spans="2:23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customHeight="1" spans="2:23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customHeight="1" spans="2:23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customHeight="1" spans="2:23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customHeight="1" spans="2:23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customHeight="1" spans="2:23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customHeight="1" spans="2:23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customHeight="1" spans="2:23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customHeight="1" spans="2:23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customHeight="1" spans="2:23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customHeight="1" spans="2:23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customHeight="1" spans="2:23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customHeight="1" spans="2:23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customHeight="1" spans="2:23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customHeight="1" spans="2:23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customHeight="1" spans="2:23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customHeight="1" spans="2:23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customHeight="1" spans="2:2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customHeight="1" spans="2:23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customHeight="1" spans="2:23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customHeight="1" spans="2:23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customHeight="1" spans="2:23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customHeight="1" spans="2:23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customHeight="1" spans="2:23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customHeight="1" spans="2:23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customHeight="1" spans="2:23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customHeight="1" spans="2:23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customHeight="1" spans="2:23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customHeight="1" spans="2:23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customHeight="1" spans="2:23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customHeight="1" spans="2:23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customHeight="1" spans="2:23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customHeight="1" spans="2:23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customHeight="1" spans="2:23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customHeight="1" spans="2:23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customHeight="1" spans="2:23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customHeight="1" spans="2:23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customHeight="1" spans="2:23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customHeight="1" spans="2:23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customHeight="1" spans="2:23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customHeight="1" spans="2:23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customHeight="1" spans="2:23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customHeight="1" spans="2:23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customHeight="1" spans="2:23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customHeight="1" spans="2:23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customHeight="1" spans="2:23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customHeight="1" spans="2:23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customHeight="1" spans="2:23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customHeight="1" spans="2:23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customHeight="1" spans="2:23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customHeight="1" spans="2:23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customHeight="1" spans="2:23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customHeight="1" spans="2:23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customHeight="1" spans="2:23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customHeight="1" spans="2:23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customHeight="1" spans="2:23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customHeight="1" spans="2:23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customHeight="1" spans="2:2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customHeight="1" spans="2:23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customHeight="1" spans="2:23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customHeight="1" spans="2:23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customHeight="1" spans="2:23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customHeight="1" spans="2:23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customHeight="1" spans="2:23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customHeight="1" spans="2:23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customHeight="1" spans="2:23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customHeight="1" spans="2:23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customHeight="1" spans="2:23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customHeight="1" spans="2:23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customHeight="1" spans="2:23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customHeight="1" spans="2:23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customHeight="1" spans="2:23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customHeight="1" spans="2:23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customHeight="1" spans="2:23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customHeight="1" spans="2:23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customHeight="1" spans="2:23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customHeight="1" spans="2:23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customHeight="1" spans="2:23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customHeight="1" spans="2:23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customHeight="1" spans="2:23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customHeight="1" spans="2:23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customHeight="1" spans="2:23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customHeight="1" spans="2:23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customHeight="1" spans="2:23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customHeight="1" spans="2:23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customHeight="1" spans="2:23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customHeight="1" spans="2:23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customHeight="1" spans="2:23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customHeight="1" spans="2:23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customHeight="1" spans="2:23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customHeight="1" spans="2:23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customHeight="1" spans="2:23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customHeight="1" spans="2:23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customHeight="1" spans="2:23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customHeight="1" spans="2:23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customHeight="1" spans="2:23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customHeight="1" spans="2:23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customHeight="1" spans="2:2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customHeight="1" spans="2:23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customHeight="1" spans="2:23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customHeight="1" spans="2:23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customHeight="1" spans="2:23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customHeight="1" spans="2:23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customHeight="1" spans="2:23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customHeight="1" spans="2:23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customHeight="1" spans="2:23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customHeight="1" spans="2:23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customHeight="1" spans="2:23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customHeight="1" spans="2:23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customHeight="1" spans="2:23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customHeight="1" spans="2:23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customHeight="1" spans="2:23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customHeight="1" spans="2:23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customHeight="1" spans="2:23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customHeight="1" spans="2:23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customHeight="1" spans="2:23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customHeight="1" spans="2:23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customHeight="1" spans="2:23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customHeight="1" spans="2:23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customHeight="1" spans="2:23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customHeight="1" spans="2:23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customHeight="1" spans="2:23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customHeight="1" spans="2:23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customHeight="1" spans="2:23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customHeight="1" spans="2:23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customHeight="1" spans="2:23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customHeight="1" spans="2:23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customHeight="1" spans="2:23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customHeight="1" spans="2:23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customHeight="1" spans="2:23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customHeight="1" spans="2:23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customHeight="1" spans="2:23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customHeight="1" spans="2:23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customHeight="1" spans="2:23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customHeight="1" spans="2:23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customHeight="1" spans="2:23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customHeight="1" spans="2:23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customHeight="1" spans="2:23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customHeight="1" spans="2:23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customHeight="1" spans="2:23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customHeight="1" spans="2:23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customHeight="1" spans="2:23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customHeight="1" spans="2:23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customHeight="1" spans="2:23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customHeight="1" spans="2:23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customHeight="1" spans="2:23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customHeight="1" spans="2:23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customHeight="1" spans="2:23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customHeight="1" spans="2:23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customHeight="1" spans="2:23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customHeight="1" spans="2:23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customHeight="1" spans="2:23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customHeight="1" spans="2:23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customHeight="1" spans="2:23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customHeight="1" spans="2:23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customHeight="1" spans="2:23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customHeight="1" spans="2:23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customHeight="1" spans="2:23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customHeight="1" spans="2:23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customHeight="1" spans="2:23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customHeight="1" spans="2:23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customHeight="1" spans="2:23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customHeight="1" spans="2:23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customHeight="1" spans="2:23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customHeight="1" spans="2:23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customHeight="1" spans="2:23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customHeight="1" spans="2:23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customHeight="1" spans="2:23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customHeight="1" spans="2:23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customHeight="1" spans="2:23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customHeight="1" spans="2:23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customHeight="1" spans="2:23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customHeight="1" spans="2:23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customHeight="1" spans="2:23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customHeight="1" spans="2:23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customHeight="1" spans="2:23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customHeight="1" spans="2:23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customHeight="1" spans="2:23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customHeight="1" spans="2:23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customHeight="1" spans="2:23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customHeight="1" spans="2:23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customHeight="1" spans="2:23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customHeight="1" spans="2:23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customHeight="1" spans="2:23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customHeight="1" spans="2:23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customHeight="1" spans="2:23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customHeight="1" spans="2:23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customHeight="1" spans="2:23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customHeight="1" spans="2:23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customHeight="1" spans="2:23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customHeight="1" spans="2:23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customHeight="1" spans="2:23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customHeight="1" spans="2:23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customHeight="1" spans="2:23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customHeight="1" spans="2:23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customHeight="1" spans="2:23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customHeight="1" spans="2:23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customHeight="1" spans="2:23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customHeight="1" spans="2:23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customHeight="1" spans="2:23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customHeight="1" spans="2:23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customHeight="1" spans="2:23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customHeight="1" spans="2:23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customHeight="1" spans="2:23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customHeight="1" spans="2:23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customHeight="1" spans="2:23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customHeight="1" spans="2:23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customHeight="1" spans="2:23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customHeight="1" spans="2:23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customHeight="1" spans="2:23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customHeight="1" spans="2:23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customHeight="1" spans="2:23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customHeight="1" spans="2:23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customHeight="1" spans="2:23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customHeight="1" spans="2:23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customHeight="1" spans="2:23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customHeight="1" spans="2:23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customHeight="1" spans="2:23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customHeight="1" spans="2:23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customHeight="1" spans="2:23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customHeight="1" spans="2:23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customHeight="1" spans="2:23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customHeight="1" spans="2:23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customHeight="1" spans="2:23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customHeight="1" spans="2:23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customHeight="1" spans="2:23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customHeight="1" spans="2:23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customHeight="1" spans="2:23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customHeight="1" spans="2:23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customHeight="1" spans="2:23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customHeight="1" spans="2:23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customHeight="1" spans="2:23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customHeight="1" spans="2:23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customHeight="1" spans="2:23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customHeight="1" spans="2:23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customHeight="1" spans="2:23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customHeight="1" spans="2:23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customHeight="1" spans="2:23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customHeight="1" spans="2:23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customHeight="1" spans="2:23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customHeight="1" spans="2:23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customHeight="1" spans="2:23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customHeight="1" spans="2:23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customHeight="1" spans="2:23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customHeight="1" spans="2:23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customHeight="1" spans="2:23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customHeight="1" spans="2:23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customHeight="1" spans="2:23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customHeight="1" spans="2:23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customHeight="1" spans="2:23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customHeight="1" spans="2:23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customHeight="1" spans="2:23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customHeight="1" spans="2:23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customHeight="1" spans="2:23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customHeight="1" spans="2:23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customHeight="1" spans="2:23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customHeight="1" spans="2:23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customHeight="1" spans="2:23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customHeight="1" spans="2:23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customHeight="1" spans="2:23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customHeight="1" spans="2:23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customHeight="1" spans="2:23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customHeight="1" spans="2:23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customHeight="1" spans="2:23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customHeight="1" spans="2:23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customHeight="1" spans="2:23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customHeight="1" spans="2:23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customHeight="1" spans="2:23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customHeight="1" spans="2:23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customHeight="1" spans="2:23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customHeight="1" spans="2:23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customHeight="1" spans="2:23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customHeight="1" spans="2:23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customHeight="1" spans="2:23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customHeight="1" spans="2:23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customHeight="1" spans="2:23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customHeight="1" spans="2:23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customHeight="1" spans="2:23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customHeight="1" spans="2:23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customHeight="1" spans="2:23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customHeight="1" spans="2:23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customHeight="1" spans="2:23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customHeight="1" spans="2:23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customHeight="1" spans="2:23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customHeight="1" spans="2:23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customHeight="1" spans="2:23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customHeight="1" spans="2:23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customHeight="1" spans="2:23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customHeight="1" spans="2:23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customHeight="1" spans="2:23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customHeight="1" spans="2:23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customHeight="1" spans="2:23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customHeight="1" spans="2:23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customHeight="1" spans="2:23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customHeight="1" spans="2:23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customHeight="1" spans="2:23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customHeight="1" spans="2:23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customHeight="1" spans="2:23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customHeight="1" spans="2:23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customHeight="1" spans="2:23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customHeight="1" spans="2:23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customHeight="1" spans="2:23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customHeight="1" spans="2:23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customHeight="1" spans="2:23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customHeight="1" spans="2:23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customHeight="1" spans="2:23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customHeight="1" spans="2:23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customHeight="1" spans="2:23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customHeight="1" spans="2:23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customHeight="1" spans="2:23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customHeight="1" spans="2:23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customHeight="1" spans="2:23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customHeight="1" spans="2:23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customHeight="1" spans="2:23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customHeight="1" spans="2:23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customHeight="1" spans="2:23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customHeight="1" spans="2:23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customHeight="1" spans="2:23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customHeight="1" spans="2:23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customHeight="1" spans="2:23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customHeight="1" spans="2:23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customHeight="1" spans="2:23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</sheetData>
  <mergeCells count="41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9:H49"/>
    <mergeCell ref="I49:J49"/>
    <mergeCell ref="K49:L49"/>
    <mergeCell ref="M49:N49"/>
    <mergeCell ref="O49:P49"/>
    <mergeCell ref="Q49:R49"/>
    <mergeCell ref="S49:T49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A58:A60"/>
    <mergeCell ref="B58:B60"/>
    <mergeCell ref="C58:C60"/>
    <mergeCell ref="D58:D60"/>
    <mergeCell ref="E58:E60"/>
    <mergeCell ref="F58:F60"/>
  </mergeCells>
  <conditionalFormatting sqref="W4:W38">
    <cfRule type="cellIs" dxfId="0" priority="2" operator="notBetween">
      <formula>-0.2</formula>
      <formula>0.2</formula>
    </cfRule>
  </conditionalFormatting>
  <conditionalFormatting sqref="G4:T3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50:T5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0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23" customWidth="1"/>
    <col min="3" max="3" width="6.62727272727273" customWidth="1"/>
    <col min="4" max="4" width="10.5" customWidth="1"/>
    <col min="5" max="6" width="4.88181818181818" customWidth="1"/>
    <col min="7" max="7" width="7.62727272727273" customWidth="1"/>
    <col min="8" max="8" width="9.75454545454545" customWidth="1"/>
    <col min="9" max="9" width="7.62727272727273" customWidth="1"/>
    <col min="10" max="10" width="9.75454545454545" customWidth="1"/>
    <col min="11" max="11" width="9" customWidth="1"/>
    <col min="12" max="12" width="9.75454545454545" customWidth="1"/>
    <col min="13" max="13" width="7.62727272727273" customWidth="1"/>
    <col min="14" max="14" width="9.75454545454545" customWidth="1"/>
    <col min="15" max="15" width="7.62727272727273" customWidth="1"/>
    <col min="16" max="16" width="9.75454545454545" customWidth="1"/>
    <col min="17" max="17" width="7.62727272727273" customWidth="1"/>
    <col min="18" max="18" width="9.75454545454545" customWidth="1"/>
    <col min="19" max="19" width="7.62727272727273" customWidth="1"/>
    <col min="20" max="20" width="9.75454545454545" customWidth="1"/>
    <col min="21" max="34" width="7.88181818181818" customWidth="1"/>
  </cols>
  <sheetData>
    <row r="1" customHeight="1" spans="1:2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>
        <v>45586</v>
      </c>
      <c r="H1" s="14"/>
      <c r="I1" s="23">
        <f>G1+1</f>
        <v>45587</v>
      </c>
      <c r="J1" s="14"/>
      <c r="K1" s="23">
        <f>I1+1</f>
        <v>45588</v>
      </c>
      <c r="L1" s="14"/>
      <c r="M1" s="23">
        <f>K1+1</f>
        <v>45589</v>
      </c>
      <c r="N1" s="14"/>
      <c r="O1" s="23">
        <f>M1+1</f>
        <v>45590</v>
      </c>
      <c r="P1" s="14"/>
      <c r="Q1" s="23">
        <f>O1+1</f>
        <v>45591</v>
      </c>
      <c r="R1" s="14"/>
      <c r="S1" s="23">
        <f>Q1+1</f>
        <v>45592</v>
      </c>
      <c r="T1" s="14"/>
    </row>
    <row r="2" customHeight="1" spans="1:20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5"/>
      <c r="B3" s="5"/>
      <c r="C3" s="5"/>
      <c r="D3" s="5"/>
      <c r="E3" s="5"/>
      <c r="F3" s="5"/>
      <c r="G3" s="25" t="s">
        <v>13</v>
      </c>
      <c r="H3" s="25" t="s">
        <v>14</v>
      </c>
      <c r="I3" s="25" t="s">
        <v>13</v>
      </c>
      <c r="J3" s="25" t="s">
        <v>14</v>
      </c>
      <c r="K3" s="25" t="s">
        <v>13</v>
      </c>
      <c r="L3" s="25" t="s">
        <v>14</v>
      </c>
      <c r="M3" s="25" t="s">
        <v>13</v>
      </c>
      <c r="N3" s="25" t="s">
        <v>14</v>
      </c>
      <c r="O3" s="25" t="s">
        <v>13</v>
      </c>
      <c r="P3" s="25" t="s">
        <v>14</v>
      </c>
      <c r="Q3" s="25" t="s">
        <v>13</v>
      </c>
      <c r="R3" s="25" t="s">
        <v>14</v>
      </c>
      <c r="S3" s="25" t="s">
        <v>13</v>
      </c>
      <c r="T3" s="25" t="s">
        <v>14</v>
      </c>
    </row>
    <row r="4" customHeight="1" spans="1:20">
      <c r="A4" s="26">
        <v>10316545</v>
      </c>
      <c r="B4" s="27" t="s">
        <v>45</v>
      </c>
      <c r="C4" s="26" t="s">
        <v>20</v>
      </c>
      <c r="D4" s="26" t="s">
        <v>21</v>
      </c>
      <c r="E4" s="26" t="s">
        <v>22</v>
      </c>
      <c r="F4" s="27">
        <v>1</v>
      </c>
      <c r="G4" s="30">
        <v>0.375</v>
      </c>
      <c r="H4" s="34">
        <v>0.75</v>
      </c>
      <c r="I4" s="30">
        <v>0.375</v>
      </c>
      <c r="J4" s="34">
        <v>0.75</v>
      </c>
      <c r="K4" s="30">
        <v>0.375</v>
      </c>
      <c r="L4" s="34">
        <v>0.75</v>
      </c>
      <c r="M4" s="30">
        <v>0.375</v>
      </c>
      <c r="N4" s="34">
        <v>0.75</v>
      </c>
      <c r="O4" s="30">
        <v>0.375</v>
      </c>
      <c r="P4" s="34">
        <v>0.75</v>
      </c>
      <c r="Q4" s="33" t="s">
        <v>23</v>
      </c>
      <c r="R4" s="33" t="s">
        <v>23</v>
      </c>
      <c r="S4" s="33" t="s">
        <v>23</v>
      </c>
      <c r="T4" s="33" t="s">
        <v>23</v>
      </c>
    </row>
    <row r="5" customHeight="1" spans="1:20">
      <c r="A5" s="26">
        <v>10316530</v>
      </c>
      <c r="B5" s="27" t="s">
        <v>225</v>
      </c>
      <c r="C5" s="26" t="s">
        <v>20</v>
      </c>
      <c r="D5" s="26" t="s">
        <v>21</v>
      </c>
      <c r="E5" s="26" t="s">
        <v>22</v>
      </c>
      <c r="F5" s="27">
        <v>1</v>
      </c>
      <c r="G5" s="30">
        <v>0.375</v>
      </c>
      <c r="H5" s="34">
        <v>0.75</v>
      </c>
      <c r="I5" s="30">
        <v>0.375</v>
      </c>
      <c r="J5" s="34">
        <v>0.75</v>
      </c>
      <c r="K5" s="30">
        <v>0.375</v>
      </c>
      <c r="L5" s="34">
        <v>0.75</v>
      </c>
      <c r="M5" s="30">
        <v>0.375</v>
      </c>
      <c r="N5" s="34">
        <v>0.75</v>
      </c>
      <c r="O5" s="30">
        <v>0.375</v>
      </c>
      <c r="P5" s="34">
        <v>0.75</v>
      </c>
      <c r="Q5" s="33" t="s">
        <v>23</v>
      </c>
      <c r="R5" s="33" t="s">
        <v>23</v>
      </c>
      <c r="S5" s="33" t="s">
        <v>23</v>
      </c>
      <c r="T5" s="33" t="s">
        <v>23</v>
      </c>
    </row>
    <row r="6" customHeight="1" spans="1:20">
      <c r="A6" s="26">
        <v>10250963</v>
      </c>
      <c r="B6" s="27" t="s">
        <v>105</v>
      </c>
      <c r="C6" s="26" t="s">
        <v>20</v>
      </c>
      <c r="D6" s="26" t="s">
        <v>21</v>
      </c>
      <c r="E6" s="26" t="s">
        <v>22</v>
      </c>
      <c r="F6" s="27">
        <v>1</v>
      </c>
      <c r="G6" s="30">
        <v>0.375</v>
      </c>
      <c r="H6" s="31">
        <v>0.791666666666667</v>
      </c>
      <c r="I6" s="30">
        <v>0.375</v>
      </c>
      <c r="J6" s="31">
        <v>0.791666666666667</v>
      </c>
      <c r="K6" s="30">
        <v>0.375</v>
      </c>
      <c r="L6" s="31">
        <v>0.791666666666667</v>
      </c>
      <c r="M6" s="30">
        <v>0.375</v>
      </c>
      <c r="N6" s="31">
        <v>0.791666666666667</v>
      </c>
      <c r="O6" s="36" t="s">
        <v>23</v>
      </c>
      <c r="P6" s="36" t="s">
        <v>23</v>
      </c>
      <c r="Q6" s="36" t="s">
        <v>23</v>
      </c>
      <c r="R6" s="36" t="s">
        <v>23</v>
      </c>
      <c r="S6" s="40">
        <v>0.458333333333333</v>
      </c>
      <c r="T6" s="41">
        <v>0.666666666666667</v>
      </c>
    </row>
    <row r="7" customHeight="1" spans="1:20">
      <c r="A7" s="26">
        <v>10316538</v>
      </c>
      <c r="B7" s="27" t="s">
        <v>226</v>
      </c>
      <c r="C7" s="26" t="s">
        <v>20</v>
      </c>
      <c r="D7" s="26" t="s">
        <v>21</v>
      </c>
      <c r="E7" s="26" t="s">
        <v>22</v>
      </c>
      <c r="F7" s="27">
        <v>1</v>
      </c>
      <c r="G7" s="30">
        <v>0.375</v>
      </c>
      <c r="H7" s="34">
        <v>0.75</v>
      </c>
      <c r="I7" s="30">
        <v>0.375</v>
      </c>
      <c r="J7" s="34">
        <v>0.75</v>
      </c>
      <c r="K7" s="30">
        <v>0.375</v>
      </c>
      <c r="L7" s="34">
        <v>0.75</v>
      </c>
      <c r="M7" s="30">
        <v>0.375</v>
      </c>
      <c r="N7" s="34">
        <v>0.75</v>
      </c>
      <c r="O7" s="30">
        <v>0.375</v>
      </c>
      <c r="P7" s="34">
        <v>0.75</v>
      </c>
      <c r="Q7" s="33" t="s">
        <v>23</v>
      </c>
      <c r="R7" s="33" t="s">
        <v>23</v>
      </c>
      <c r="S7" s="33" t="s">
        <v>23</v>
      </c>
      <c r="T7" s="33" t="s">
        <v>23</v>
      </c>
    </row>
    <row r="8" customHeight="1" spans="1:20">
      <c r="A8" s="26">
        <v>10316546</v>
      </c>
      <c r="B8" s="27" t="s">
        <v>49</v>
      </c>
      <c r="C8" s="26" t="s">
        <v>20</v>
      </c>
      <c r="D8" s="26" t="s">
        <v>21</v>
      </c>
      <c r="E8" s="26" t="s">
        <v>22</v>
      </c>
      <c r="F8" s="27">
        <v>1</v>
      </c>
      <c r="G8" s="30">
        <v>0.375</v>
      </c>
      <c r="H8" s="34">
        <v>0.75</v>
      </c>
      <c r="I8" s="30">
        <v>0.375</v>
      </c>
      <c r="J8" s="34">
        <v>0.75</v>
      </c>
      <c r="K8" s="30">
        <v>0.375</v>
      </c>
      <c r="L8" s="34">
        <v>0.75</v>
      </c>
      <c r="M8" s="30">
        <v>0.375</v>
      </c>
      <c r="N8" s="34">
        <v>0.75</v>
      </c>
      <c r="O8" s="30">
        <v>0.375</v>
      </c>
      <c r="P8" s="34">
        <v>0.75</v>
      </c>
      <c r="Q8" s="33" t="s">
        <v>23</v>
      </c>
      <c r="R8" s="33" t="s">
        <v>23</v>
      </c>
      <c r="S8" s="33" t="s">
        <v>23</v>
      </c>
      <c r="T8" s="33" t="s">
        <v>23</v>
      </c>
    </row>
    <row r="9" customHeight="1" spans="1:20">
      <c r="A9" s="26">
        <v>10316554</v>
      </c>
      <c r="B9" s="27" t="s">
        <v>227</v>
      </c>
      <c r="C9" s="26" t="s">
        <v>20</v>
      </c>
      <c r="D9" s="26" t="s">
        <v>21</v>
      </c>
      <c r="E9" s="26" t="s">
        <v>35</v>
      </c>
      <c r="F9" s="27">
        <v>1</v>
      </c>
      <c r="G9" s="30">
        <v>0.375</v>
      </c>
      <c r="H9" s="32">
        <v>0.583333333333333</v>
      </c>
      <c r="I9" s="30">
        <v>0.375</v>
      </c>
      <c r="J9" s="32">
        <v>0.583333333333333</v>
      </c>
      <c r="K9" s="30">
        <v>0.375</v>
      </c>
      <c r="L9" s="32">
        <v>0.583333333333333</v>
      </c>
      <c r="M9" s="36" t="s">
        <v>23</v>
      </c>
      <c r="N9" s="36" t="s">
        <v>23</v>
      </c>
      <c r="O9" s="36" t="s">
        <v>23</v>
      </c>
      <c r="P9" s="36" t="s">
        <v>23</v>
      </c>
      <c r="Q9" s="40">
        <v>0.458333333333333</v>
      </c>
      <c r="R9" s="41">
        <v>0.666666666666667</v>
      </c>
      <c r="S9" s="40">
        <v>0.458333333333333</v>
      </c>
      <c r="T9" s="41">
        <v>0.666666666666667</v>
      </c>
    </row>
    <row r="10" customHeight="1" spans="1:20">
      <c r="A10" s="26">
        <v>10316549</v>
      </c>
      <c r="B10" s="27" t="s">
        <v>19</v>
      </c>
      <c r="C10" s="26" t="s">
        <v>20</v>
      </c>
      <c r="D10" s="26" t="s">
        <v>21</v>
      </c>
      <c r="E10" s="26" t="s">
        <v>22</v>
      </c>
      <c r="F10" s="27">
        <v>1</v>
      </c>
      <c r="G10" s="30">
        <v>0.375</v>
      </c>
      <c r="H10" s="31">
        <v>0.791666666666667</v>
      </c>
      <c r="I10" s="40">
        <v>0.458333333333333</v>
      </c>
      <c r="J10" s="43">
        <v>0.875</v>
      </c>
      <c r="K10" s="45">
        <v>0.458333333333333</v>
      </c>
      <c r="L10" s="43">
        <v>0.875</v>
      </c>
      <c r="M10" s="45">
        <v>0.458333333333333</v>
      </c>
      <c r="N10" s="43">
        <v>0.875</v>
      </c>
      <c r="O10" s="36" t="s">
        <v>23</v>
      </c>
      <c r="P10" s="36" t="s">
        <v>23</v>
      </c>
      <c r="Q10" s="36" t="s">
        <v>23</v>
      </c>
      <c r="R10" s="36" t="s">
        <v>23</v>
      </c>
      <c r="S10" s="40">
        <v>0.458333333333333</v>
      </c>
      <c r="T10" s="41">
        <v>0.666666666666667</v>
      </c>
    </row>
    <row r="11" customHeight="1" spans="1:20">
      <c r="A11" s="26">
        <v>10316540</v>
      </c>
      <c r="B11" s="27" t="s">
        <v>104</v>
      </c>
      <c r="C11" s="26" t="s">
        <v>20</v>
      </c>
      <c r="D11" s="26" t="s">
        <v>21</v>
      </c>
      <c r="E11" s="26" t="s">
        <v>22</v>
      </c>
      <c r="F11" s="27">
        <v>1</v>
      </c>
      <c r="G11" s="33" t="s">
        <v>23</v>
      </c>
      <c r="H11" s="33" t="s">
        <v>23</v>
      </c>
      <c r="I11" s="30">
        <v>0.375</v>
      </c>
      <c r="J11" s="31">
        <v>0.791666666666667</v>
      </c>
      <c r="K11" s="30">
        <v>0.375</v>
      </c>
      <c r="L11" s="31">
        <v>0.791666666666667</v>
      </c>
      <c r="M11" s="30">
        <v>0.375</v>
      </c>
      <c r="N11" s="31">
        <v>0.791666666666667</v>
      </c>
      <c r="O11" s="30">
        <v>0.375</v>
      </c>
      <c r="P11" s="31">
        <v>0.791666666666667</v>
      </c>
      <c r="Q11" s="40">
        <v>0.458333333333333</v>
      </c>
      <c r="R11" s="41">
        <v>0.666666666666667</v>
      </c>
      <c r="S11" s="33" t="s">
        <v>23</v>
      </c>
      <c r="T11" s="33" t="s">
        <v>23</v>
      </c>
    </row>
    <row r="12" customHeight="1" spans="1:20">
      <c r="A12" s="26">
        <v>10316543</v>
      </c>
      <c r="B12" s="27" t="s">
        <v>228</v>
      </c>
      <c r="C12" s="26" t="s">
        <v>20</v>
      </c>
      <c r="D12" s="26" t="s">
        <v>21</v>
      </c>
      <c r="E12" s="26" t="s">
        <v>22</v>
      </c>
      <c r="F12" s="27">
        <v>1</v>
      </c>
      <c r="G12" s="40">
        <v>0.458333333333333</v>
      </c>
      <c r="H12" s="43">
        <v>0.875</v>
      </c>
      <c r="I12" s="45">
        <v>0.458333333333333</v>
      </c>
      <c r="J12" s="43">
        <v>0.875</v>
      </c>
      <c r="K12" s="45">
        <v>0.458333333333333</v>
      </c>
      <c r="L12" s="43">
        <v>0.875</v>
      </c>
      <c r="M12" s="45">
        <v>0.458333333333333</v>
      </c>
      <c r="N12" s="43">
        <v>0.875</v>
      </c>
      <c r="O12" s="33" t="s">
        <v>23</v>
      </c>
      <c r="P12" s="33" t="s">
        <v>23</v>
      </c>
      <c r="Q12" s="40">
        <v>0.458333333333333</v>
      </c>
      <c r="R12" s="41">
        <v>0.666666666666667</v>
      </c>
      <c r="S12" s="33" t="s">
        <v>23</v>
      </c>
      <c r="T12" s="33" t="s">
        <v>23</v>
      </c>
    </row>
    <row r="13" customHeight="1" spans="1:20">
      <c r="A13" s="26">
        <v>10316551</v>
      </c>
      <c r="B13" s="27" t="s">
        <v>229</v>
      </c>
      <c r="C13" s="26" t="s">
        <v>20</v>
      </c>
      <c r="D13" s="26" t="s">
        <v>21</v>
      </c>
      <c r="E13" s="26" t="s">
        <v>22</v>
      </c>
      <c r="F13" s="27">
        <v>1</v>
      </c>
      <c r="G13" s="30">
        <v>0.375</v>
      </c>
      <c r="H13" s="34">
        <v>0.75</v>
      </c>
      <c r="I13" s="30">
        <v>0.375</v>
      </c>
      <c r="J13" s="34">
        <v>0.75</v>
      </c>
      <c r="K13" s="30">
        <v>0.375</v>
      </c>
      <c r="L13" s="34">
        <v>0.75</v>
      </c>
      <c r="M13" s="36" t="s">
        <v>23</v>
      </c>
      <c r="N13" s="36" t="s">
        <v>23</v>
      </c>
      <c r="O13" s="36" t="s">
        <v>23</v>
      </c>
      <c r="P13" s="36" t="s">
        <v>23</v>
      </c>
      <c r="Q13" s="40">
        <v>0.458333333333333</v>
      </c>
      <c r="R13" s="41">
        <v>0.666666666666667</v>
      </c>
      <c r="S13" s="40">
        <v>0.458333333333333</v>
      </c>
      <c r="T13" s="41">
        <v>0.666666666666667</v>
      </c>
    </row>
    <row r="14" customHeight="1" spans="1:20">
      <c r="A14" s="26">
        <v>10316618</v>
      </c>
      <c r="B14" s="27" t="s">
        <v>230</v>
      </c>
      <c r="C14" s="26" t="s">
        <v>20</v>
      </c>
      <c r="D14" s="26" t="s">
        <v>21</v>
      </c>
      <c r="E14" s="26" t="s">
        <v>22</v>
      </c>
      <c r="F14" s="27">
        <v>1</v>
      </c>
      <c r="G14" s="30">
        <v>0.375</v>
      </c>
      <c r="H14" s="31">
        <v>0.791666666666667</v>
      </c>
      <c r="I14" s="30">
        <v>0.375</v>
      </c>
      <c r="J14" s="31">
        <v>0.791666666666667</v>
      </c>
      <c r="K14" s="30">
        <v>0.375</v>
      </c>
      <c r="L14" s="31">
        <v>0.791666666666667</v>
      </c>
      <c r="M14" s="30">
        <v>0.375</v>
      </c>
      <c r="N14" s="31">
        <v>0.791666666666667</v>
      </c>
      <c r="O14" s="36" t="s">
        <v>23</v>
      </c>
      <c r="P14" s="36" t="s">
        <v>23</v>
      </c>
      <c r="Q14" s="36" t="s">
        <v>23</v>
      </c>
      <c r="R14" s="36" t="s">
        <v>23</v>
      </c>
      <c r="S14" s="40">
        <v>0.458333333333333</v>
      </c>
      <c r="T14" s="41">
        <v>0.666666666666667</v>
      </c>
    </row>
    <row r="15" customHeight="1" spans="1:20">
      <c r="A15" s="26">
        <v>10316680</v>
      </c>
      <c r="B15" s="27" t="s">
        <v>231</v>
      </c>
      <c r="C15" s="26" t="s">
        <v>20</v>
      </c>
      <c r="D15" s="26" t="s">
        <v>21</v>
      </c>
      <c r="E15" s="26" t="s">
        <v>22</v>
      </c>
      <c r="F15" s="27">
        <v>1</v>
      </c>
      <c r="G15" s="30">
        <v>0.375</v>
      </c>
      <c r="H15" s="34">
        <v>0.75</v>
      </c>
      <c r="I15" s="30">
        <v>0.375</v>
      </c>
      <c r="J15" s="34">
        <v>0.75</v>
      </c>
      <c r="K15" s="30">
        <v>0.375</v>
      </c>
      <c r="L15" s="34">
        <v>0.75</v>
      </c>
      <c r="M15" s="30">
        <v>0.375</v>
      </c>
      <c r="N15" s="34">
        <v>0.75</v>
      </c>
      <c r="O15" s="30">
        <v>0.375</v>
      </c>
      <c r="P15" s="34">
        <v>0.75</v>
      </c>
      <c r="Q15" s="33" t="s">
        <v>23</v>
      </c>
      <c r="R15" s="33" t="s">
        <v>23</v>
      </c>
      <c r="S15" s="33" t="s">
        <v>23</v>
      </c>
      <c r="T15" s="33" t="s">
        <v>23</v>
      </c>
    </row>
    <row r="16" customHeight="1" spans="1:20">
      <c r="A16" s="26">
        <v>10316681</v>
      </c>
      <c r="B16" s="27" t="s">
        <v>232</v>
      </c>
      <c r="C16" s="26" t="s">
        <v>20</v>
      </c>
      <c r="D16" s="26" t="s">
        <v>21</v>
      </c>
      <c r="E16" s="26" t="s">
        <v>22</v>
      </c>
      <c r="F16" s="27">
        <v>1</v>
      </c>
      <c r="G16" s="33" t="s">
        <v>23</v>
      </c>
      <c r="H16" s="33" t="s">
        <v>23</v>
      </c>
      <c r="I16" s="30">
        <v>0.375</v>
      </c>
      <c r="J16" s="34">
        <v>0.75</v>
      </c>
      <c r="K16" s="30">
        <v>0.375</v>
      </c>
      <c r="L16" s="34">
        <v>0.75</v>
      </c>
      <c r="M16" s="30">
        <v>0.375</v>
      </c>
      <c r="N16" s="34">
        <v>0.75</v>
      </c>
      <c r="O16" s="30">
        <v>0.375</v>
      </c>
      <c r="P16" s="34">
        <v>0.75</v>
      </c>
      <c r="Q16" s="40">
        <v>0.458333333333333</v>
      </c>
      <c r="R16" s="41">
        <v>0.666666666666667</v>
      </c>
      <c r="S16" s="33" t="s">
        <v>23</v>
      </c>
      <c r="T16" s="33" t="s">
        <v>23</v>
      </c>
    </row>
    <row r="17" customHeight="1" spans="1:20">
      <c r="A17" s="26">
        <v>10316685</v>
      </c>
      <c r="B17" s="27" t="s">
        <v>101</v>
      </c>
      <c r="C17" s="26" t="s">
        <v>20</v>
      </c>
      <c r="D17" s="26" t="s">
        <v>21</v>
      </c>
      <c r="E17" s="26" t="s">
        <v>22</v>
      </c>
      <c r="F17" s="27">
        <v>1</v>
      </c>
      <c r="G17" s="30">
        <v>0.375</v>
      </c>
      <c r="H17" s="34">
        <v>0.75</v>
      </c>
      <c r="I17" s="30">
        <v>0.375</v>
      </c>
      <c r="J17" s="34">
        <v>0.75</v>
      </c>
      <c r="K17" s="30">
        <v>0.375</v>
      </c>
      <c r="L17" s="34">
        <v>0.75</v>
      </c>
      <c r="M17" s="30">
        <v>0.375</v>
      </c>
      <c r="N17" s="34">
        <v>0.75</v>
      </c>
      <c r="O17" s="30">
        <v>0.375</v>
      </c>
      <c r="P17" s="34">
        <v>0.75</v>
      </c>
      <c r="Q17" s="33" t="s">
        <v>23</v>
      </c>
      <c r="R17" s="33" t="s">
        <v>23</v>
      </c>
      <c r="S17" s="33" t="s">
        <v>23</v>
      </c>
      <c r="T17" s="33" t="s">
        <v>23</v>
      </c>
    </row>
    <row r="18" customHeight="1" spans="1:20">
      <c r="A18" s="26">
        <v>10316683</v>
      </c>
      <c r="B18" s="27" t="s">
        <v>233</v>
      </c>
      <c r="C18" s="26" t="s">
        <v>20</v>
      </c>
      <c r="D18" s="26" t="s">
        <v>21</v>
      </c>
      <c r="E18" s="26" t="s">
        <v>22</v>
      </c>
      <c r="F18" s="27">
        <v>1</v>
      </c>
      <c r="G18" s="30">
        <v>0.375</v>
      </c>
      <c r="H18" s="34">
        <v>0.75</v>
      </c>
      <c r="I18" s="30">
        <v>0.375</v>
      </c>
      <c r="J18" s="34">
        <v>0.75</v>
      </c>
      <c r="K18" s="30">
        <v>0.375</v>
      </c>
      <c r="L18" s="34">
        <v>0.75</v>
      </c>
      <c r="M18" s="30">
        <v>0.375</v>
      </c>
      <c r="N18" s="34">
        <v>0.75</v>
      </c>
      <c r="O18" s="30">
        <v>0.375</v>
      </c>
      <c r="P18" s="34">
        <v>0.75</v>
      </c>
      <c r="Q18" s="33" t="s">
        <v>23</v>
      </c>
      <c r="R18" s="33" t="s">
        <v>23</v>
      </c>
      <c r="S18" s="33" t="s">
        <v>23</v>
      </c>
      <c r="T18" s="33" t="s">
        <v>23</v>
      </c>
    </row>
    <row r="19" customHeight="1" spans="1:20">
      <c r="A19" s="26">
        <v>10317147</v>
      </c>
      <c r="B19" s="27" t="s">
        <v>106</v>
      </c>
      <c r="C19" s="26" t="s">
        <v>20</v>
      </c>
      <c r="D19" s="26" t="s">
        <v>21</v>
      </c>
      <c r="E19" s="26" t="s">
        <v>22</v>
      </c>
      <c r="F19" s="27">
        <v>1</v>
      </c>
      <c r="G19" s="33" t="s">
        <v>23</v>
      </c>
      <c r="H19" s="33" t="s">
        <v>23</v>
      </c>
      <c r="I19" s="30">
        <v>0.375</v>
      </c>
      <c r="J19" s="31">
        <v>0.791666666666667</v>
      </c>
      <c r="K19" s="30">
        <v>0.375</v>
      </c>
      <c r="L19" s="31">
        <v>0.791666666666667</v>
      </c>
      <c r="M19" s="30">
        <v>0.375</v>
      </c>
      <c r="N19" s="31">
        <v>0.791666666666667</v>
      </c>
      <c r="O19" s="30">
        <v>0.375</v>
      </c>
      <c r="P19" s="31">
        <v>0.791666666666667</v>
      </c>
      <c r="Q19" s="40">
        <v>0.458333333333333</v>
      </c>
      <c r="R19" s="41">
        <v>0.666666666666667</v>
      </c>
      <c r="S19" s="33" t="s">
        <v>23</v>
      </c>
      <c r="T19" s="33" t="s">
        <v>23</v>
      </c>
    </row>
    <row r="20" customHeight="1" spans="1:20">
      <c r="A20" s="26">
        <v>10317151</v>
      </c>
      <c r="B20" s="27" t="s">
        <v>234</v>
      </c>
      <c r="C20" s="26" t="s">
        <v>20</v>
      </c>
      <c r="D20" s="26" t="s">
        <v>21</v>
      </c>
      <c r="E20" s="26" t="s">
        <v>22</v>
      </c>
      <c r="F20" s="27">
        <v>1</v>
      </c>
      <c r="G20" s="28">
        <v>0.5</v>
      </c>
      <c r="H20" s="29">
        <v>0.875</v>
      </c>
      <c r="I20" s="40">
        <v>0.458333333333333</v>
      </c>
      <c r="J20" s="29">
        <v>0.875</v>
      </c>
      <c r="K20" s="40">
        <v>0.458333333333333</v>
      </c>
      <c r="L20" s="29">
        <v>0.875</v>
      </c>
      <c r="M20" s="40">
        <v>0.458333333333333</v>
      </c>
      <c r="N20" s="29">
        <v>0.875</v>
      </c>
      <c r="O20" s="36" t="s">
        <v>23</v>
      </c>
      <c r="P20" s="36" t="s">
        <v>23</v>
      </c>
      <c r="Q20" s="36" t="s">
        <v>23</v>
      </c>
      <c r="R20" s="36" t="s">
        <v>23</v>
      </c>
      <c r="S20" s="40">
        <v>0.458333333333333</v>
      </c>
      <c r="T20" s="41">
        <v>0.666666666666667</v>
      </c>
    </row>
    <row r="21" customHeight="1" spans="1:20">
      <c r="A21" s="26">
        <v>10317153</v>
      </c>
      <c r="B21" s="35" t="s">
        <v>235</v>
      </c>
      <c r="C21" s="26" t="s">
        <v>20</v>
      </c>
      <c r="D21" s="26" t="s">
        <v>21</v>
      </c>
      <c r="E21" s="26" t="s">
        <v>22</v>
      </c>
      <c r="F21" s="27">
        <v>1</v>
      </c>
      <c r="G21" s="33" t="s">
        <v>23</v>
      </c>
      <c r="H21" s="33" t="s">
        <v>23</v>
      </c>
      <c r="I21" s="40">
        <v>0.458333333333333</v>
      </c>
      <c r="J21" s="29">
        <v>0.875</v>
      </c>
      <c r="K21" s="40">
        <v>0.458333333333333</v>
      </c>
      <c r="L21" s="29">
        <v>0.875</v>
      </c>
      <c r="M21" s="40">
        <v>0.458333333333333</v>
      </c>
      <c r="N21" s="29">
        <v>0.875</v>
      </c>
      <c r="O21" s="40">
        <v>0.458333333333333</v>
      </c>
      <c r="P21" s="29">
        <v>0.875</v>
      </c>
      <c r="Q21" s="40">
        <v>0.458333333333333</v>
      </c>
      <c r="R21" s="41">
        <v>0.666666666666667</v>
      </c>
      <c r="S21" s="33" t="s">
        <v>23</v>
      </c>
      <c r="T21" s="33" t="s">
        <v>23</v>
      </c>
    </row>
    <row r="22" customHeight="1" spans="1:20">
      <c r="A22" s="26">
        <v>10317517</v>
      </c>
      <c r="B22" s="27" t="s">
        <v>236</v>
      </c>
      <c r="C22" s="26" t="s">
        <v>20</v>
      </c>
      <c r="D22" s="26" t="s">
        <v>21</v>
      </c>
      <c r="E22" s="26" t="s">
        <v>22</v>
      </c>
      <c r="F22" s="37">
        <v>2</v>
      </c>
      <c r="G22" s="33" t="s">
        <v>23</v>
      </c>
      <c r="H22" s="33" t="s">
        <v>23</v>
      </c>
      <c r="I22" s="30">
        <v>0.375</v>
      </c>
      <c r="J22" s="31">
        <v>0.791666666666667</v>
      </c>
      <c r="K22" s="30">
        <v>0.375</v>
      </c>
      <c r="L22" s="31">
        <v>0.791666666666667</v>
      </c>
      <c r="M22" s="30">
        <v>0.375</v>
      </c>
      <c r="N22" s="31">
        <v>0.791666666666667</v>
      </c>
      <c r="O22" s="30">
        <v>0.375</v>
      </c>
      <c r="P22" s="31">
        <v>0.791666666666667</v>
      </c>
      <c r="Q22" s="40">
        <v>0.458333333333333</v>
      </c>
      <c r="R22" s="41">
        <v>0.666666666666667</v>
      </c>
      <c r="S22" s="33" t="s">
        <v>23</v>
      </c>
      <c r="T22" s="33" t="s">
        <v>23</v>
      </c>
    </row>
    <row r="23" customHeight="1" spans="1:20">
      <c r="A23" s="26">
        <v>10317520</v>
      </c>
      <c r="B23" s="27" t="s">
        <v>237</v>
      </c>
      <c r="C23" s="26" t="s">
        <v>20</v>
      </c>
      <c r="D23" s="26" t="s">
        <v>21</v>
      </c>
      <c r="E23" s="26" t="s">
        <v>22</v>
      </c>
      <c r="F23" s="37">
        <v>2</v>
      </c>
      <c r="G23" s="33" t="s">
        <v>23</v>
      </c>
      <c r="H23" s="33" t="s">
        <v>23</v>
      </c>
      <c r="I23" s="30">
        <v>0.375</v>
      </c>
      <c r="J23" s="31">
        <v>0.791666666666667</v>
      </c>
      <c r="K23" s="30">
        <v>0.375</v>
      </c>
      <c r="L23" s="31">
        <v>0.791666666666667</v>
      </c>
      <c r="M23" s="30">
        <v>0.375</v>
      </c>
      <c r="N23" s="31">
        <v>0.791666666666667</v>
      </c>
      <c r="O23" s="30">
        <v>0.375</v>
      </c>
      <c r="P23" s="31">
        <v>0.791666666666667</v>
      </c>
      <c r="Q23" s="40">
        <v>0.458333333333333</v>
      </c>
      <c r="R23" s="41">
        <v>0.666666666666667</v>
      </c>
      <c r="S23" s="33" t="s">
        <v>23</v>
      </c>
      <c r="T23" s="33" t="s">
        <v>23</v>
      </c>
    </row>
    <row r="24" customHeight="1" spans="1:20">
      <c r="A24" s="26">
        <v>10317521</v>
      </c>
      <c r="B24" s="27" t="s">
        <v>238</v>
      </c>
      <c r="C24" s="26" t="s">
        <v>20</v>
      </c>
      <c r="D24" s="26" t="s">
        <v>21</v>
      </c>
      <c r="E24" s="26" t="s">
        <v>22</v>
      </c>
      <c r="F24" s="37">
        <v>2</v>
      </c>
      <c r="G24" s="33" t="s">
        <v>23</v>
      </c>
      <c r="H24" s="33" t="s">
        <v>23</v>
      </c>
      <c r="I24" s="30">
        <v>0.375</v>
      </c>
      <c r="J24" s="31">
        <v>0.791666666666667</v>
      </c>
      <c r="K24" s="30">
        <v>0.375</v>
      </c>
      <c r="L24" s="31">
        <v>0.791666666666667</v>
      </c>
      <c r="M24" s="30">
        <v>0.375</v>
      </c>
      <c r="N24" s="31">
        <v>0.791666666666667</v>
      </c>
      <c r="O24" s="30">
        <v>0.375</v>
      </c>
      <c r="P24" s="31">
        <v>0.791666666666667</v>
      </c>
      <c r="Q24" s="40">
        <v>0.458333333333333</v>
      </c>
      <c r="R24" s="41">
        <v>0.666666666666667</v>
      </c>
      <c r="S24" s="33" t="s">
        <v>23</v>
      </c>
      <c r="T24" s="33" t="s">
        <v>23</v>
      </c>
    </row>
    <row r="25" customHeight="1" spans="1:20">
      <c r="A25" s="26">
        <v>10317522</v>
      </c>
      <c r="B25" s="27" t="s">
        <v>31</v>
      </c>
      <c r="C25" s="26" t="s">
        <v>20</v>
      </c>
      <c r="D25" s="26" t="s">
        <v>21</v>
      </c>
      <c r="E25" s="26" t="s">
        <v>22</v>
      </c>
      <c r="F25" s="37">
        <v>2</v>
      </c>
      <c r="G25" s="28">
        <v>0.5</v>
      </c>
      <c r="H25" s="29">
        <v>0.875</v>
      </c>
      <c r="I25" s="28">
        <v>0.5</v>
      </c>
      <c r="J25" s="29">
        <v>0.875</v>
      </c>
      <c r="K25" s="28">
        <v>0.5</v>
      </c>
      <c r="L25" s="29">
        <v>0.875</v>
      </c>
      <c r="M25" s="28">
        <v>0.5</v>
      </c>
      <c r="N25" s="29">
        <v>0.875</v>
      </c>
      <c r="O25" s="28">
        <v>0.5</v>
      </c>
      <c r="P25" s="29">
        <v>0.875</v>
      </c>
      <c r="Q25" s="33" t="s">
        <v>23</v>
      </c>
      <c r="R25" s="33" t="s">
        <v>23</v>
      </c>
      <c r="S25" s="33" t="s">
        <v>23</v>
      </c>
      <c r="T25" s="33" t="s">
        <v>23</v>
      </c>
    </row>
    <row r="26" customHeight="1" spans="1:20">
      <c r="A26" s="26">
        <v>10317523</v>
      </c>
      <c r="B26" s="27" t="s">
        <v>239</v>
      </c>
      <c r="C26" s="26" t="s">
        <v>20</v>
      </c>
      <c r="D26" s="26" t="s">
        <v>21</v>
      </c>
      <c r="E26" s="26" t="s">
        <v>22</v>
      </c>
      <c r="F26" s="37">
        <v>2</v>
      </c>
      <c r="G26" s="28">
        <v>0.5</v>
      </c>
      <c r="H26" s="29">
        <v>0.875</v>
      </c>
      <c r="I26" s="28">
        <v>0.5</v>
      </c>
      <c r="J26" s="29">
        <v>0.875</v>
      </c>
      <c r="K26" s="28">
        <v>0.5</v>
      </c>
      <c r="L26" s="29">
        <v>0.875</v>
      </c>
      <c r="M26" s="28">
        <v>0.5</v>
      </c>
      <c r="N26" s="29">
        <v>0.875</v>
      </c>
      <c r="O26" s="28">
        <v>0.5</v>
      </c>
      <c r="P26" s="29">
        <v>0.875</v>
      </c>
      <c r="Q26" s="33" t="s">
        <v>23</v>
      </c>
      <c r="R26" s="33" t="s">
        <v>23</v>
      </c>
      <c r="S26" s="33" t="s">
        <v>23</v>
      </c>
      <c r="T26" s="33" t="s">
        <v>23</v>
      </c>
    </row>
    <row r="27" customHeight="1" spans="1:20">
      <c r="A27" s="26">
        <v>10317524</v>
      </c>
      <c r="B27" s="27" t="s">
        <v>53</v>
      </c>
      <c r="C27" s="26" t="s">
        <v>20</v>
      </c>
      <c r="D27" s="26" t="s">
        <v>21</v>
      </c>
      <c r="E27" s="26" t="s">
        <v>22</v>
      </c>
      <c r="F27" s="37">
        <v>2</v>
      </c>
      <c r="G27" s="28">
        <v>0.5</v>
      </c>
      <c r="H27" s="29">
        <v>0.875</v>
      </c>
      <c r="I27" s="28">
        <v>0.5</v>
      </c>
      <c r="J27" s="29">
        <v>0.875</v>
      </c>
      <c r="K27" s="28">
        <v>0.5</v>
      </c>
      <c r="L27" s="29">
        <v>0.875</v>
      </c>
      <c r="M27" s="28">
        <v>0.5</v>
      </c>
      <c r="N27" s="29">
        <v>0.875</v>
      </c>
      <c r="O27" s="28">
        <v>0.5</v>
      </c>
      <c r="P27" s="29">
        <v>0.875</v>
      </c>
      <c r="Q27" s="33" t="s">
        <v>23</v>
      </c>
      <c r="R27" s="33" t="s">
        <v>23</v>
      </c>
      <c r="S27" s="33" t="s">
        <v>23</v>
      </c>
      <c r="T27" s="33" t="s">
        <v>23</v>
      </c>
    </row>
    <row r="28" customHeight="1" spans="1:20">
      <c r="A28" s="26">
        <v>10316531</v>
      </c>
      <c r="B28" s="27" t="s">
        <v>215</v>
      </c>
      <c r="C28" s="26" t="s">
        <v>20</v>
      </c>
      <c r="D28" s="26" t="s">
        <v>21</v>
      </c>
      <c r="E28" s="26" t="s">
        <v>22</v>
      </c>
      <c r="F28" s="37">
        <v>2</v>
      </c>
      <c r="G28" s="28">
        <v>0.5</v>
      </c>
      <c r="H28" s="29">
        <v>0.875</v>
      </c>
      <c r="I28" s="28">
        <v>0.5</v>
      </c>
      <c r="J28" s="29">
        <v>0.875</v>
      </c>
      <c r="K28" s="28">
        <v>0.5</v>
      </c>
      <c r="L28" s="29">
        <v>0.875</v>
      </c>
      <c r="M28" s="28">
        <v>0.5</v>
      </c>
      <c r="N28" s="29">
        <v>0.875</v>
      </c>
      <c r="O28" s="28">
        <v>0.5</v>
      </c>
      <c r="P28" s="29">
        <v>0.875</v>
      </c>
      <c r="Q28" s="33" t="s">
        <v>23</v>
      </c>
      <c r="R28" s="33" t="s">
        <v>23</v>
      </c>
      <c r="S28" s="33" t="s">
        <v>23</v>
      </c>
      <c r="T28" s="33" t="s">
        <v>23</v>
      </c>
    </row>
    <row r="29" customHeight="1" spans="1:20">
      <c r="A29" s="26">
        <v>10316572</v>
      </c>
      <c r="B29" s="27" t="s">
        <v>240</v>
      </c>
      <c r="C29" s="26" t="s">
        <v>20</v>
      </c>
      <c r="D29" s="26" t="s">
        <v>21</v>
      </c>
      <c r="E29" s="26" t="s">
        <v>22</v>
      </c>
      <c r="F29" s="37">
        <v>2</v>
      </c>
      <c r="G29" s="28">
        <v>0.5</v>
      </c>
      <c r="H29" s="29">
        <v>0.875</v>
      </c>
      <c r="I29" s="28">
        <v>0.5</v>
      </c>
      <c r="J29" s="29">
        <v>0.875</v>
      </c>
      <c r="K29" s="28">
        <v>0.5</v>
      </c>
      <c r="L29" s="29">
        <v>0.875</v>
      </c>
      <c r="M29" s="28">
        <v>0.5</v>
      </c>
      <c r="N29" s="29">
        <v>0.875</v>
      </c>
      <c r="O29" s="28">
        <v>0.5</v>
      </c>
      <c r="P29" s="29">
        <v>0.875</v>
      </c>
      <c r="Q29" s="33" t="s">
        <v>23</v>
      </c>
      <c r="R29" s="33" t="s">
        <v>23</v>
      </c>
      <c r="S29" s="33" t="s">
        <v>23</v>
      </c>
      <c r="T29" s="33" t="s">
        <v>23</v>
      </c>
    </row>
    <row r="30" customHeight="1" spans="1:20">
      <c r="A30" s="26">
        <v>10316650</v>
      </c>
      <c r="B30" s="27" t="s">
        <v>241</v>
      </c>
      <c r="C30" s="26" t="s">
        <v>20</v>
      </c>
      <c r="D30" s="26" t="s">
        <v>21</v>
      </c>
      <c r="E30" s="26" t="s">
        <v>22</v>
      </c>
      <c r="F30" s="37">
        <v>2</v>
      </c>
      <c r="G30" s="28">
        <v>0.5</v>
      </c>
      <c r="H30" s="29">
        <v>0.875</v>
      </c>
      <c r="I30" s="28">
        <v>0.5</v>
      </c>
      <c r="J30" s="29">
        <v>0.875</v>
      </c>
      <c r="K30" s="28">
        <v>0.5</v>
      </c>
      <c r="L30" s="29">
        <v>0.875</v>
      </c>
      <c r="M30" s="28">
        <v>0.5</v>
      </c>
      <c r="N30" s="29">
        <v>0.875</v>
      </c>
      <c r="O30" s="28">
        <v>0.5</v>
      </c>
      <c r="P30" s="29">
        <v>0.875</v>
      </c>
      <c r="Q30" s="33" t="s">
        <v>23</v>
      </c>
      <c r="R30" s="33" t="s">
        <v>23</v>
      </c>
      <c r="S30" s="33" t="s">
        <v>23</v>
      </c>
      <c r="T30" s="33" t="s">
        <v>23</v>
      </c>
    </row>
    <row r="31" customHeight="1" spans="1:20">
      <c r="A31" s="26">
        <v>10275375</v>
      </c>
      <c r="B31" s="27" t="s">
        <v>218</v>
      </c>
      <c r="C31" s="26" t="s">
        <v>20</v>
      </c>
      <c r="D31" s="26" t="s">
        <v>21</v>
      </c>
      <c r="E31" s="26" t="s">
        <v>22</v>
      </c>
      <c r="F31" s="37">
        <v>2</v>
      </c>
      <c r="G31" s="33" t="s">
        <v>23</v>
      </c>
      <c r="H31" s="33" t="s">
        <v>23</v>
      </c>
      <c r="I31" s="30">
        <v>0.375</v>
      </c>
      <c r="J31" s="31">
        <v>0.791666666666667</v>
      </c>
      <c r="K31" s="30">
        <v>0.375</v>
      </c>
      <c r="L31" s="31">
        <v>0.791666666666667</v>
      </c>
      <c r="M31" s="30">
        <v>0.375</v>
      </c>
      <c r="N31" s="31">
        <v>0.791666666666667</v>
      </c>
      <c r="O31" s="30">
        <v>0.375</v>
      </c>
      <c r="P31" s="31">
        <v>0.791666666666667</v>
      </c>
      <c r="Q31" s="40">
        <v>0.458333333333333</v>
      </c>
      <c r="R31" s="41">
        <v>0.666666666666667</v>
      </c>
      <c r="S31" s="33" t="s">
        <v>23</v>
      </c>
      <c r="T31" s="33" t="s">
        <v>23</v>
      </c>
    </row>
    <row r="32" customHeight="1" spans="1:20">
      <c r="A32" s="26">
        <v>10252500</v>
      </c>
      <c r="B32" s="27" t="s">
        <v>242</v>
      </c>
      <c r="C32" s="26" t="s">
        <v>20</v>
      </c>
      <c r="D32" s="26" t="s">
        <v>21</v>
      </c>
      <c r="E32" s="26" t="s">
        <v>22</v>
      </c>
      <c r="F32" s="37">
        <v>2</v>
      </c>
      <c r="G32" s="33" t="s">
        <v>23</v>
      </c>
      <c r="H32" s="33" t="s">
        <v>23</v>
      </c>
      <c r="I32" s="30">
        <v>0.375</v>
      </c>
      <c r="J32" s="31">
        <v>0.791666666666667</v>
      </c>
      <c r="K32" s="30">
        <v>0.375</v>
      </c>
      <c r="L32" s="31">
        <v>0.791666666666667</v>
      </c>
      <c r="M32" s="30">
        <v>0.375</v>
      </c>
      <c r="N32" s="31">
        <v>0.791666666666667</v>
      </c>
      <c r="O32" s="30">
        <v>0.375</v>
      </c>
      <c r="P32" s="31">
        <v>0.791666666666667</v>
      </c>
      <c r="Q32" s="40">
        <v>0.458333333333333</v>
      </c>
      <c r="R32" s="41">
        <v>0.666666666666667</v>
      </c>
      <c r="S32" s="33" t="s">
        <v>23</v>
      </c>
      <c r="T32" s="33" t="s">
        <v>23</v>
      </c>
    </row>
    <row r="33" customHeight="1" spans="1:20">
      <c r="A33" s="26">
        <v>10252106</v>
      </c>
      <c r="B33" s="27" t="s">
        <v>243</v>
      </c>
      <c r="C33" s="26" t="s">
        <v>20</v>
      </c>
      <c r="D33" s="26" t="s">
        <v>21</v>
      </c>
      <c r="E33" s="26" t="s">
        <v>22</v>
      </c>
      <c r="F33" s="37">
        <v>2</v>
      </c>
      <c r="G33" s="36" t="s">
        <v>23</v>
      </c>
      <c r="H33" s="36" t="s">
        <v>23</v>
      </c>
      <c r="I33" s="30">
        <v>0.375</v>
      </c>
      <c r="J33" s="34">
        <v>0.75</v>
      </c>
      <c r="K33" s="36" t="s">
        <v>23</v>
      </c>
      <c r="L33" s="36" t="s">
        <v>23</v>
      </c>
      <c r="M33" s="30">
        <v>0.375</v>
      </c>
      <c r="N33" s="34">
        <v>0.75</v>
      </c>
      <c r="O33" s="30">
        <v>0.375</v>
      </c>
      <c r="P33" s="34">
        <v>0.75</v>
      </c>
      <c r="Q33" s="40">
        <v>0.458333333333333</v>
      </c>
      <c r="R33" s="41">
        <v>0.666666666666667</v>
      </c>
      <c r="S33" s="40">
        <v>0.458333333333333</v>
      </c>
      <c r="T33" s="41">
        <v>0.666666666666667</v>
      </c>
    </row>
    <row r="34" customHeight="1" spans="1:20">
      <c r="A34" s="26">
        <v>10295555</v>
      </c>
      <c r="B34" s="27" t="s">
        <v>220</v>
      </c>
      <c r="C34" s="26" t="s">
        <v>20</v>
      </c>
      <c r="D34" s="26" t="s">
        <v>21</v>
      </c>
      <c r="E34" s="26" t="s">
        <v>35</v>
      </c>
      <c r="F34" s="37">
        <v>2</v>
      </c>
      <c r="G34" s="30">
        <v>0.375</v>
      </c>
      <c r="H34" s="32">
        <v>0.583333333333333</v>
      </c>
      <c r="I34" s="30">
        <v>0.375</v>
      </c>
      <c r="J34" s="32">
        <v>0.583333333333333</v>
      </c>
      <c r="K34" s="30">
        <v>0.375</v>
      </c>
      <c r="L34" s="32">
        <v>0.583333333333333</v>
      </c>
      <c r="M34" s="36" t="s">
        <v>23</v>
      </c>
      <c r="N34" s="36" t="s">
        <v>23</v>
      </c>
      <c r="O34" s="36" t="s">
        <v>23</v>
      </c>
      <c r="P34" s="36" t="s">
        <v>23</v>
      </c>
      <c r="Q34" s="40">
        <v>0.458333333333333</v>
      </c>
      <c r="R34" s="41">
        <v>0.666666666666667</v>
      </c>
      <c r="S34" s="40">
        <v>0.458333333333333</v>
      </c>
      <c r="T34" s="41">
        <v>0.666666666666667</v>
      </c>
    </row>
    <row r="35" customHeight="1" spans="1:20">
      <c r="A35" s="26">
        <v>10272259</v>
      </c>
      <c r="B35" s="27" t="s">
        <v>103</v>
      </c>
      <c r="C35" s="26" t="s">
        <v>20</v>
      </c>
      <c r="D35" s="26" t="s">
        <v>21</v>
      </c>
      <c r="E35" s="26" t="s">
        <v>22</v>
      </c>
      <c r="F35" s="37">
        <v>2</v>
      </c>
      <c r="G35" s="28">
        <v>0.5</v>
      </c>
      <c r="H35" s="29">
        <v>0.875</v>
      </c>
      <c r="I35" s="28">
        <v>0.5</v>
      </c>
      <c r="J35" s="29">
        <v>0.875</v>
      </c>
      <c r="K35" s="28">
        <v>0.5</v>
      </c>
      <c r="L35" s="29">
        <v>0.875</v>
      </c>
      <c r="M35" s="28">
        <v>0.5</v>
      </c>
      <c r="N35" s="29">
        <v>0.875</v>
      </c>
      <c r="O35" s="28">
        <v>0.5</v>
      </c>
      <c r="P35" s="29">
        <v>0.875</v>
      </c>
      <c r="Q35" s="33" t="s">
        <v>23</v>
      </c>
      <c r="R35" s="33" t="s">
        <v>23</v>
      </c>
      <c r="S35" s="33" t="s">
        <v>23</v>
      </c>
      <c r="T35" s="33" t="s">
        <v>23</v>
      </c>
    </row>
    <row r="36" customHeight="1" spans="1:20">
      <c r="A36" s="26">
        <v>10212379</v>
      </c>
      <c r="B36" s="27" t="s">
        <v>244</v>
      </c>
      <c r="C36" s="26" t="s">
        <v>20</v>
      </c>
      <c r="D36" s="26" t="s">
        <v>21</v>
      </c>
      <c r="E36" s="26" t="s">
        <v>22</v>
      </c>
      <c r="F36" s="26">
        <v>2</v>
      </c>
      <c r="G36" s="33" t="s">
        <v>23</v>
      </c>
      <c r="H36" s="33" t="s">
        <v>23</v>
      </c>
      <c r="I36" s="30">
        <v>0.375</v>
      </c>
      <c r="J36" s="31">
        <v>0.791666666666667</v>
      </c>
      <c r="K36" s="30">
        <v>0.375</v>
      </c>
      <c r="L36" s="31">
        <v>0.791666666666667</v>
      </c>
      <c r="M36" s="30">
        <v>0.375</v>
      </c>
      <c r="N36" s="31">
        <v>0.791666666666667</v>
      </c>
      <c r="O36" s="30">
        <v>0.375</v>
      </c>
      <c r="P36" s="31">
        <v>0.791666666666667</v>
      </c>
      <c r="Q36" s="40">
        <v>0.458333333333333</v>
      </c>
      <c r="R36" s="41">
        <v>0.666666666666667</v>
      </c>
      <c r="S36" s="33" t="s">
        <v>23</v>
      </c>
      <c r="T36" s="33" t="s">
        <v>23</v>
      </c>
    </row>
    <row r="37" customHeight="1" spans="1:20">
      <c r="A37" s="26">
        <v>10276839</v>
      </c>
      <c r="B37" s="27" t="s">
        <v>54</v>
      </c>
      <c r="C37" s="26" t="s">
        <v>20</v>
      </c>
      <c r="D37" s="26" t="s">
        <v>21</v>
      </c>
      <c r="E37" s="26" t="s">
        <v>22</v>
      </c>
      <c r="F37" s="26">
        <v>2</v>
      </c>
      <c r="G37" s="28">
        <v>0.5</v>
      </c>
      <c r="H37" s="29">
        <v>0.875</v>
      </c>
      <c r="I37" s="28">
        <v>0.5</v>
      </c>
      <c r="J37" s="29">
        <v>0.875</v>
      </c>
      <c r="K37" s="28">
        <v>0.5</v>
      </c>
      <c r="L37" s="29">
        <v>0.875</v>
      </c>
      <c r="M37" s="28">
        <v>0.5</v>
      </c>
      <c r="N37" s="29">
        <v>0.875</v>
      </c>
      <c r="O37" s="28">
        <v>0.5</v>
      </c>
      <c r="P37" s="29">
        <v>0.875</v>
      </c>
      <c r="Q37" s="33" t="s">
        <v>23</v>
      </c>
      <c r="R37" s="33" t="s">
        <v>23</v>
      </c>
      <c r="S37" s="33" t="s">
        <v>23</v>
      </c>
      <c r="T37" s="33" t="s">
        <v>23</v>
      </c>
    </row>
    <row r="38" customHeight="1" spans="1:20">
      <c r="A38" s="26">
        <v>10274446</v>
      </c>
      <c r="B38" s="27" t="s">
        <v>88</v>
      </c>
      <c r="C38" s="26" t="s">
        <v>20</v>
      </c>
      <c r="D38" s="26" t="s">
        <v>21</v>
      </c>
      <c r="E38" s="26" t="s">
        <v>22</v>
      </c>
      <c r="F38" s="26">
        <v>2</v>
      </c>
      <c r="G38" s="28">
        <v>0.5</v>
      </c>
      <c r="H38" s="29">
        <v>0.875</v>
      </c>
      <c r="I38" s="28">
        <v>0.5</v>
      </c>
      <c r="J38" s="29">
        <v>0.875</v>
      </c>
      <c r="K38" s="28">
        <v>0.5</v>
      </c>
      <c r="L38" s="29">
        <v>0.875</v>
      </c>
      <c r="M38" s="36" t="s">
        <v>23</v>
      </c>
      <c r="N38" s="36" t="s">
        <v>23</v>
      </c>
      <c r="O38" s="36" t="s">
        <v>23</v>
      </c>
      <c r="P38" s="36" t="s">
        <v>23</v>
      </c>
      <c r="Q38" s="40">
        <v>0.458333333333333</v>
      </c>
      <c r="R38" s="41">
        <v>0.666666666666667</v>
      </c>
      <c r="S38" s="40">
        <v>0.458333333333333</v>
      </c>
      <c r="T38" s="41">
        <v>0.666666666666667</v>
      </c>
    </row>
    <row r="39" customHeight="1" spans="1:20">
      <c r="A39" s="26">
        <v>10317943</v>
      </c>
      <c r="B39" s="27" t="s">
        <v>245</v>
      </c>
      <c r="C39" s="26" t="s">
        <v>20</v>
      </c>
      <c r="D39" s="26" t="s">
        <v>21</v>
      </c>
      <c r="E39" s="26" t="s">
        <v>22</v>
      </c>
      <c r="F39" s="26">
        <v>2</v>
      </c>
      <c r="G39" s="28">
        <v>0.5</v>
      </c>
      <c r="H39" s="29">
        <v>0.875</v>
      </c>
      <c r="I39" s="28">
        <v>0.5</v>
      </c>
      <c r="J39" s="29">
        <v>0.875</v>
      </c>
      <c r="K39" s="28">
        <v>0.5</v>
      </c>
      <c r="L39" s="29">
        <v>0.875</v>
      </c>
      <c r="M39" s="28">
        <v>0.5</v>
      </c>
      <c r="N39" s="29">
        <v>0.875</v>
      </c>
      <c r="O39" s="28">
        <v>0.5</v>
      </c>
      <c r="P39" s="29">
        <v>0.875</v>
      </c>
      <c r="Q39" s="33" t="s">
        <v>23</v>
      </c>
      <c r="R39" s="33" t="s">
        <v>23</v>
      </c>
      <c r="S39" s="33" t="s">
        <v>23</v>
      </c>
      <c r="T39" s="33" t="s">
        <v>23</v>
      </c>
    </row>
    <row r="43" customHeight="1" spans="1:20">
      <c r="A43" s="22" t="s">
        <v>0</v>
      </c>
      <c r="B43" s="22" t="s">
        <v>98</v>
      </c>
      <c r="C43" s="22" t="s">
        <v>2</v>
      </c>
      <c r="D43" s="22" t="s">
        <v>3</v>
      </c>
      <c r="E43" s="22" t="s">
        <v>4</v>
      </c>
      <c r="F43" s="22" t="s">
        <v>5</v>
      </c>
      <c r="G43" s="23">
        <v>45586</v>
      </c>
      <c r="H43" s="14"/>
      <c r="I43" s="23">
        <f>G43+1</f>
        <v>45587</v>
      </c>
      <c r="J43" s="14"/>
      <c r="K43" s="23">
        <f>I43+1</f>
        <v>45588</v>
      </c>
      <c r="L43" s="14"/>
      <c r="M43" s="23">
        <f>K43+1</f>
        <v>45589</v>
      </c>
      <c r="N43" s="14"/>
      <c r="O43" s="23">
        <f>M43+1</f>
        <v>45590</v>
      </c>
      <c r="P43" s="14"/>
      <c r="Q43" s="23">
        <f>O43+1</f>
        <v>45591</v>
      </c>
      <c r="R43" s="14"/>
      <c r="S43" s="23">
        <f>Q43+1</f>
        <v>45592</v>
      </c>
      <c r="T43" s="14"/>
    </row>
    <row r="44" customHeight="1" spans="1:20">
      <c r="A44" s="15"/>
      <c r="B44" s="15"/>
      <c r="C44" s="15"/>
      <c r="D44" s="15"/>
      <c r="E44" s="15"/>
      <c r="F44" s="15"/>
      <c r="G44" s="24" t="s">
        <v>6</v>
      </c>
      <c r="H44" s="14"/>
      <c r="I44" s="24" t="s">
        <v>7</v>
      </c>
      <c r="J44" s="14"/>
      <c r="K44" s="24" t="s">
        <v>8</v>
      </c>
      <c r="L44" s="14"/>
      <c r="M44" s="24" t="s">
        <v>9</v>
      </c>
      <c r="N44" s="14"/>
      <c r="O44" s="24" t="s">
        <v>10</v>
      </c>
      <c r="P44" s="14"/>
      <c r="Q44" s="24" t="s">
        <v>11</v>
      </c>
      <c r="R44" s="14"/>
      <c r="S44" s="24" t="s">
        <v>12</v>
      </c>
      <c r="T44" s="14"/>
    </row>
    <row r="45" customHeight="1" spans="1:20">
      <c r="A45" s="5"/>
      <c r="B45" s="5"/>
      <c r="C45" s="5"/>
      <c r="D45" s="5"/>
      <c r="E45" s="5"/>
      <c r="F45" s="5"/>
      <c r="G45" s="25" t="s">
        <v>13</v>
      </c>
      <c r="H45" s="25" t="s">
        <v>14</v>
      </c>
      <c r="I45" s="25" t="s">
        <v>13</v>
      </c>
      <c r="J45" s="25" t="s">
        <v>14</v>
      </c>
      <c r="K45" s="25" t="s">
        <v>13</v>
      </c>
      <c r="L45" s="25" t="s">
        <v>14</v>
      </c>
      <c r="M45" s="25" t="s">
        <v>13</v>
      </c>
      <c r="N45" s="25" t="s">
        <v>14</v>
      </c>
      <c r="O45" s="25" t="s">
        <v>13</v>
      </c>
      <c r="P45" s="25" t="s">
        <v>14</v>
      </c>
      <c r="Q45" s="25" t="s">
        <v>13</v>
      </c>
      <c r="R45" s="25" t="s">
        <v>14</v>
      </c>
      <c r="S45" s="25" t="s">
        <v>13</v>
      </c>
      <c r="T45" s="25" t="s">
        <v>14</v>
      </c>
    </row>
    <row r="46" customHeight="1" spans="1:20">
      <c r="A46" s="26">
        <v>10316835</v>
      </c>
      <c r="B46" s="26" t="s">
        <v>171</v>
      </c>
      <c r="C46" s="26" t="s">
        <v>172</v>
      </c>
      <c r="D46" s="26" t="s">
        <v>21</v>
      </c>
      <c r="E46" s="26" t="s">
        <v>22</v>
      </c>
      <c r="F46" s="27">
        <v>1</v>
      </c>
      <c r="G46" s="30">
        <v>0.375</v>
      </c>
      <c r="H46" s="31">
        <v>0.791666666666667</v>
      </c>
      <c r="I46" s="30">
        <v>0.375</v>
      </c>
      <c r="J46" s="31">
        <v>0.791666666666667</v>
      </c>
      <c r="K46" s="30">
        <v>0.375</v>
      </c>
      <c r="L46" s="31">
        <v>0.791666666666667</v>
      </c>
      <c r="M46" s="30">
        <v>0.375</v>
      </c>
      <c r="N46" s="31">
        <v>0.791666666666667</v>
      </c>
      <c r="O46" s="33" t="s">
        <v>23</v>
      </c>
      <c r="P46" s="33" t="s">
        <v>23</v>
      </c>
      <c r="Q46" s="33" t="s">
        <v>23</v>
      </c>
      <c r="R46" s="33" t="s">
        <v>23</v>
      </c>
      <c r="S46" s="40">
        <v>0.458333333333333</v>
      </c>
      <c r="T46" s="41">
        <v>0.666666666666667</v>
      </c>
    </row>
    <row r="47" customHeight="1" spans="1:20">
      <c r="A47" s="26">
        <v>10271545</v>
      </c>
      <c r="B47" s="26" t="s">
        <v>175</v>
      </c>
      <c r="C47" s="26" t="s">
        <v>176</v>
      </c>
      <c r="D47" s="44"/>
      <c r="E47" s="44"/>
      <c r="F47" s="44"/>
      <c r="G47" s="30">
        <v>0.375</v>
      </c>
      <c r="H47" s="34">
        <v>0.75</v>
      </c>
      <c r="I47" s="30">
        <v>0.375</v>
      </c>
      <c r="J47" s="34">
        <v>0.75</v>
      </c>
      <c r="K47" s="30">
        <v>0.375</v>
      </c>
      <c r="L47" s="34">
        <v>0.75</v>
      </c>
      <c r="M47" s="30">
        <v>0.375</v>
      </c>
      <c r="N47" s="34">
        <v>0.75</v>
      </c>
      <c r="O47" s="30">
        <v>0.375</v>
      </c>
      <c r="P47" s="34">
        <v>0.75</v>
      </c>
      <c r="Q47" s="33" t="s">
        <v>23</v>
      </c>
      <c r="R47" s="33" t="s">
        <v>23</v>
      </c>
      <c r="S47" s="33" t="s">
        <v>23</v>
      </c>
      <c r="T47" s="33" t="s">
        <v>23</v>
      </c>
    </row>
    <row r="48" customHeight="1" spans="1:20">
      <c r="A48" s="26">
        <v>10259973</v>
      </c>
      <c r="B48" s="26" t="s">
        <v>99</v>
      </c>
      <c r="C48" s="26" t="s">
        <v>246</v>
      </c>
      <c r="D48" s="44"/>
      <c r="E48" s="44"/>
      <c r="F48" s="44"/>
      <c r="G48" s="30">
        <v>0.375</v>
      </c>
      <c r="H48" s="34">
        <v>0.75</v>
      </c>
      <c r="I48" s="30">
        <v>0.375</v>
      </c>
      <c r="J48" s="34">
        <v>0.75</v>
      </c>
      <c r="K48" s="30">
        <v>0.375</v>
      </c>
      <c r="L48" s="34">
        <v>0.75</v>
      </c>
      <c r="M48" s="30">
        <v>0.375</v>
      </c>
      <c r="N48" s="34">
        <v>0.75</v>
      </c>
      <c r="O48" s="30">
        <v>0.375</v>
      </c>
      <c r="P48" s="34">
        <v>0.75</v>
      </c>
      <c r="Q48" s="33" t="s">
        <v>23</v>
      </c>
      <c r="R48" s="33" t="s">
        <v>23</v>
      </c>
      <c r="S48" s="33" t="s">
        <v>23</v>
      </c>
      <c r="T48" s="33" t="s">
        <v>23</v>
      </c>
    </row>
    <row r="49" customHeight="1" spans="1:20">
      <c r="A49" s="26">
        <v>10225640</v>
      </c>
      <c r="B49" s="26" t="s">
        <v>100</v>
      </c>
      <c r="C49" s="26" t="s">
        <v>172</v>
      </c>
      <c r="D49" s="26" t="s">
        <v>21</v>
      </c>
      <c r="E49" s="26" t="s">
        <v>22</v>
      </c>
      <c r="F49" s="26">
        <v>2</v>
      </c>
      <c r="G49" s="33" t="s">
        <v>23</v>
      </c>
      <c r="H49" s="33" t="s">
        <v>23</v>
      </c>
      <c r="I49" s="40">
        <v>0.458333333333333</v>
      </c>
      <c r="J49" s="29">
        <v>0.875</v>
      </c>
      <c r="K49" s="40">
        <v>0.458333333333333</v>
      </c>
      <c r="L49" s="29">
        <v>0.875</v>
      </c>
      <c r="M49" s="40">
        <v>0.458333333333333</v>
      </c>
      <c r="N49" s="29">
        <v>0.875</v>
      </c>
      <c r="O49" s="40">
        <v>0.458333333333333</v>
      </c>
      <c r="P49" s="29">
        <v>0.875</v>
      </c>
      <c r="Q49" s="40">
        <v>0.458333333333333</v>
      </c>
      <c r="R49" s="41">
        <v>0.666666666666667</v>
      </c>
      <c r="S49" s="33" t="s">
        <v>23</v>
      </c>
      <c r="T49" s="33" t="s">
        <v>23</v>
      </c>
    </row>
    <row r="50" customHeight="1" spans="1:20">
      <c r="A50" s="26" t="s">
        <v>223</v>
      </c>
      <c r="B50" s="26" t="s">
        <v>224</v>
      </c>
      <c r="C50" s="26" t="s">
        <v>176</v>
      </c>
      <c r="D50" s="44"/>
      <c r="E50" s="44"/>
      <c r="F50" s="44"/>
      <c r="G50" s="30">
        <v>0.375</v>
      </c>
      <c r="H50" s="34">
        <v>0.75</v>
      </c>
      <c r="I50" s="30">
        <v>0.375</v>
      </c>
      <c r="J50" s="34">
        <v>0.75</v>
      </c>
      <c r="K50" s="30">
        <v>0.375</v>
      </c>
      <c r="L50" s="34">
        <v>0.75</v>
      </c>
      <c r="M50" s="30">
        <v>0.375</v>
      </c>
      <c r="N50" s="34">
        <v>0.75</v>
      </c>
      <c r="O50" s="30">
        <v>0.375</v>
      </c>
      <c r="P50" s="34">
        <v>0.75</v>
      </c>
      <c r="Q50" s="33" t="s">
        <v>23</v>
      </c>
      <c r="R50" s="33" t="s">
        <v>23</v>
      </c>
      <c r="S50" s="33" t="s">
        <v>23</v>
      </c>
      <c r="T50" s="33" t="s">
        <v>23</v>
      </c>
    </row>
  </sheetData>
  <mergeCells count="4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3:H43"/>
    <mergeCell ref="I43:J43"/>
    <mergeCell ref="K43:L43"/>
    <mergeCell ref="M43:N43"/>
    <mergeCell ref="O43:P43"/>
    <mergeCell ref="Q43:R43"/>
    <mergeCell ref="S43:T43"/>
    <mergeCell ref="G44:H44"/>
    <mergeCell ref="I44:J44"/>
    <mergeCell ref="K44:L44"/>
    <mergeCell ref="M44:N44"/>
    <mergeCell ref="O44:P44"/>
    <mergeCell ref="Q44:R44"/>
    <mergeCell ref="S44:T44"/>
    <mergeCell ref="A1:A3"/>
    <mergeCell ref="A43:A45"/>
    <mergeCell ref="B1:B3"/>
    <mergeCell ref="B43:B45"/>
    <mergeCell ref="C1:C3"/>
    <mergeCell ref="C43:C45"/>
    <mergeCell ref="D1:D3"/>
    <mergeCell ref="D43:D45"/>
    <mergeCell ref="E1:E3"/>
    <mergeCell ref="E43:E45"/>
    <mergeCell ref="F1:F3"/>
    <mergeCell ref="F43:F4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4"/>
  <sheetViews>
    <sheetView workbookViewId="0">
      <selection activeCell="A1" sqref="A1:A3"/>
    </sheetView>
  </sheetViews>
  <sheetFormatPr defaultColWidth="12.6272727272727" defaultRowHeight="15.75" customHeight="1"/>
  <cols>
    <col min="1" max="1" width="11.7545454545455" customWidth="1"/>
    <col min="2" max="2" width="23" customWidth="1"/>
    <col min="3" max="3" width="6.62727272727273" customWidth="1"/>
    <col min="4" max="4" width="8.38181818181818" customWidth="1"/>
    <col min="5" max="6" width="4.88181818181818" customWidth="1"/>
    <col min="7" max="7" width="7.5" customWidth="1"/>
    <col min="8" max="8" width="6.62727272727273" customWidth="1"/>
    <col min="9" max="9" width="7.5" customWidth="1"/>
    <col min="10" max="10" width="6.62727272727273" customWidth="1"/>
    <col min="11" max="11" width="9" customWidth="1"/>
    <col min="12" max="12" width="6.62727272727273" customWidth="1"/>
    <col min="13" max="13" width="7.5" customWidth="1"/>
    <col min="14" max="14" width="6.62727272727273" customWidth="1"/>
    <col min="15" max="15" width="7.5" customWidth="1"/>
    <col min="16" max="16" width="6.62727272727273" customWidth="1"/>
    <col min="17" max="17" width="7.62727272727273" customWidth="1"/>
    <col min="18" max="18" width="6.62727272727273" customWidth="1"/>
    <col min="19" max="19" width="7.62727272727273" customWidth="1"/>
    <col min="20" max="20" width="6.62727272727273" customWidth="1"/>
  </cols>
  <sheetData>
    <row r="1" customHeight="1" spans="1:2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>
        <v>45579</v>
      </c>
      <c r="H1" s="14"/>
      <c r="I1" s="23">
        <f>G1+1</f>
        <v>45580</v>
      </c>
      <c r="J1" s="14"/>
      <c r="K1" s="23">
        <f>I1+1</f>
        <v>45581</v>
      </c>
      <c r="L1" s="14"/>
      <c r="M1" s="23">
        <f>K1+1</f>
        <v>45582</v>
      </c>
      <c r="N1" s="14"/>
      <c r="O1" s="23">
        <f>M1+1</f>
        <v>45583</v>
      </c>
      <c r="P1" s="14"/>
      <c r="Q1" s="23">
        <f>O1+1</f>
        <v>45584</v>
      </c>
      <c r="R1" s="14"/>
      <c r="S1" s="23">
        <f>Q1+1</f>
        <v>45585</v>
      </c>
      <c r="T1" s="14"/>
    </row>
    <row r="2" customHeight="1" spans="1:20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5"/>
      <c r="B3" s="5"/>
      <c r="C3" s="5"/>
      <c r="D3" s="5"/>
      <c r="E3" s="5"/>
      <c r="F3" s="5"/>
      <c r="G3" s="25" t="s">
        <v>13</v>
      </c>
      <c r="H3" s="25" t="s">
        <v>14</v>
      </c>
      <c r="I3" s="25" t="s">
        <v>13</v>
      </c>
      <c r="J3" s="25" t="s">
        <v>14</v>
      </c>
      <c r="K3" s="25" t="s">
        <v>13</v>
      </c>
      <c r="L3" s="25" t="s">
        <v>14</v>
      </c>
      <c r="M3" s="25" t="s">
        <v>13</v>
      </c>
      <c r="N3" s="25" t="s">
        <v>14</v>
      </c>
      <c r="O3" s="25" t="s">
        <v>13</v>
      </c>
      <c r="P3" s="25" t="s">
        <v>14</v>
      </c>
      <c r="Q3" s="25" t="s">
        <v>13</v>
      </c>
      <c r="R3" s="25" t="s">
        <v>14</v>
      </c>
      <c r="S3" s="25" t="s">
        <v>13</v>
      </c>
      <c r="T3" s="25" t="s">
        <v>14</v>
      </c>
    </row>
    <row r="4" customHeight="1" spans="1:20">
      <c r="A4" s="26">
        <v>10316545</v>
      </c>
      <c r="B4" s="26" t="s">
        <v>45</v>
      </c>
      <c r="C4" s="26" t="s">
        <v>20</v>
      </c>
      <c r="D4" s="26" t="s">
        <v>21</v>
      </c>
      <c r="E4" s="26" t="s">
        <v>22</v>
      </c>
      <c r="F4" s="27">
        <v>1</v>
      </c>
      <c r="G4" s="28">
        <v>0.5</v>
      </c>
      <c r="H4" s="29">
        <v>0.875</v>
      </c>
      <c r="I4" s="28">
        <v>0.5</v>
      </c>
      <c r="J4" s="29">
        <v>0.875</v>
      </c>
      <c r="K4" s="28">
        <v>0.5</v>
      </c>
      <c r="L4" s="29">
        <v>0.875</v>
      </c>
      <c r="M4" s="28">
        <v>0.5</v>
      </c>
      <c r="N4" s="29">
        <v>0.875</v>
      </c>
      <c r="O4" s="28">
        <v>0.5</v>
      </c>
      <c r="P4" s="29">
        <v>0.875</v>
      </c>
      <c r="Q4" s="33" t="s">
        <v>23</v>
      </c>
      <c r="R4" s="33" t="s">
        <v>23</v>
      </c>
      <c r="S4" s="33" t="s">
        <v>23</v>
      </c>
      <c r="T4" s="33" t="s">
        <v>23</v>
      </c>
    </row>
    <row r="5" customHeight="1" spans="1:20">
      <c r="A5" s="26">
        <v>10316530</v>
      </c>
      <c r="B5" s="26" t="s">
        <v>225</v>
      </c>
      <c r="C5" s="26" t="s">
        <v>20</v>
      </c>
      <c r="D5" s="26" t="s">
        <v>21</v>
      </c>
      <c r="E5" s="26" t="s">
        <v>22</v>
      </c>
      <c r="F5" s="27">
        <v>1</v>
      </c>
      <c r="G5" s="28">
        <v>0.5</v>
      </c>
      <c r="H5" s="29">
        <v>0.875</v>
      </c>
      <c r="I5" s="28">
        <v>0.5</v>
      </c>
      <c r="J5" s="29">
        <v>0.875</v>
      </c>
      <c r="K5" s="28">
        <v>0.5</v>
      </c>
      <c r="L5" s="29">
        <v>0.875</v>
      </c>
      <c r="M5" s="28">
        <v>0.5</v>
      </c>
      <c r="N5" s="29">
        <v>0.875</v>
      </c>
      <c r="O5" s="28">
        <v>0.5</v>
      </c>
      <c r="P5" s="29">
        <v>0.875</v>
      </c>
      <c r="Q5" s="33" t="s">
        <v>23</v>
      </c>
      <c r="R5" s="33" t="s">
        <v>23</v>
      </c>
      <c r="S5" s="33" t="s">
        <v>23</v>
      </c>
      <c r="T5" s="33" t="s">
        <v>23</v>
      </c>
    </row>
    <row r="6" customHeight="1" spans="1:20">
      <c r="A6" s="26">
        <v>10250963</v>
      </c>
      <c r="B6" s="26" t="s">
        <v>105</v>
      </c>
      <c r="C6" s="26" t="s">
        <v>20</v>
      </c>
      <c r="D6" s="26" t="s">
        <v>21</v>
      </c>
      <c r="E6" s="26" t="s">
        <v>22</v>
      </c>
      <c r="F6" s="27">
        <v>1</v>
      </c>
      <c r="G6" s="30">
        <v>0.375</v>
      </c>
      <c r="H6" s="31">
        <v>0.791666666666667</v>
      </c>
      <c r="I6" s="30">
        <v>0.375</v>
      </c>
      <c r="J6" s="31">
        <v>0.791666666666667</v>
      </c>
      <c r="K6" s="30">
        <v>0.375</v>
      </c>
      <c r="L6" s="31">
        <v>0.791666666666667</v>
      </c>
      <c r="M6" s="30">
        <v>0.375</v>
      </c>
      <c r="N6" s="31">
        <v>0.791666666666667</v>
      </c>
      <c r="O6" s="33" t="s">
        <v>23</v>
      </c>
      <c r="P6" s="33" t="s">
        <v>23</v>
      </c>
      <c r="Q6" s="33" t="s">
        <v>23</v>
      </c>
      <c r="R6" s="33" t="s">
        <v>23</v>
      </c>
      <c r="S6" s="40">
        <v>0.458333333333333</v>
      </c>
      <c r="T6" s="41">
        <v>0.666666666666667</v>
      </c>
    </row>
    <row r="7" customHeight="1" spans="1:20">
      <c r="A7" s="26">
        <v>10316538</v>
      </c>
      <c r="B7" s="26" t="s">
        <v>226</v>
      </c>
      <c r="C7" s="26" t="s">
        <v>20</v>
      </c>
      <c r="D7" s="26" t="s">
        <v>21</v>
      </c>
      <c r="E7" s="26" t="s">
        <v>22</v>
      </c>
      <c r="F7" s="27">
        <v>1</v>
      </c>
      <c r="G7" s="28">
        <v>0.5</v>
      </c>
      <c r="H7" s="29">
        <v>0.875</v>
      </c>
      <c r="I7" s="28">
        <v>0.5</v>
      </c>
      <c r="J7" s="29">
        <v>0.875</v>
      </c>
      <c r="K7" s="28">
        <v>0.5</v>
      </c>
      <c r="L7" s="29">
        <v>0.875</v>
      </c>
      <c r="M7" s="28">
        <v>0.5</v>
      </c>
      <c r="N7" s="29">
        <v>0.875</v>
      </c>
      <c r="O7" s="28">
        <v>0.5</v>
      </c>
      <c r="P7" s="29">
        <v>0.875</v>
      </c>
      <c r="Q7" s="33" t="s">
        <v>23</v>
      </c>
      <c r="R7" s="33" t="s">
        <v>23</v>
      </c>
      <c r="S7" s="33" t="s">
        <v>23</v>
      </c>
      <c r="T7" s="33" t="s">
        <v>23</v>
      </c>
    </row>
    <row r="8" customHeight="1" spans="1:20">
      <c r="A8" s="26">
        <v>10316546</v>
      </c>
      <c r="B8" s="26" t="s">
        <v>49</v>
      </c>
      <c r="C8" s="26" t="s">
        <v>20</v>
      </c>
      <c r="D8" s="26" t="s">
        <v>21</v>
      </c>
      <c r="E8" s="26" t="s">
        <v>22</v>
      </c>
      <c r="F8" s="27">
        <v>1</v>
      </c>
      <c r="G8" s="28">
        <v>0.5</v>
      </c>
      <c r="H8" s="29">
        <v>0.875</v>
      </c>
      <c r="I8" s="28">
        <v>0.5</v>
      </c>
      <c r="J8" s="29">
        <v>0.875</v>
      </c>
      <c r="K8" s="28">
        <v>0.5</v>
      </c>
      <c r="L8" s="29">
        <v>0.875</v>
      </c>
      <c r="M8" s="28">
        <v>0.5</v>
      </c>
      <c r="N8" s="29">
        <v>0.875</v>
      </c>
      <c r="O8" s="28">
        <v>0.5</v>
      </c>
      <c r="P8" s="29">
        <v>0.875</v>
      </c>
      <c r="Q8" s="33" t="s">
        <v>23</v>
      </c>
      <c r="R8" s="33" t="s">
        <v>23</v>
      </c>
      <c r="S8" s="33" t="s">
        <v>23</v>
      </c>
      <c r="T8" s="33" t="s">
        <v>23</v>
      </c>
    </row>
    <row r="9" customHeight="1" spans="1:20">
      <c r="A9" s="26">
        <v>10316554</v>
      </c>
      <c r="B9" s="26" t="s">
        <v>227</v>
      </c>
      <c r="C9" s="26" t="s">
        <v>20</v>
      </c>
      <c r="D9" s="26" t="s">
        <v>21</v>
      </c>
      <c r="E9" s="26" t="s">
        <v>35</v>
      </c>
      <c r="F9" s="27">
        <v>1</v>
      </c>
      <c r="G9" s="30">
        <v>0.375</v>
      </c>
      <c r="H9" s="32">
        <v>0.583333333333333</v>
      </c>
      <c r="I9" s="30">
        <v>0.375</v>
      </c>
      <c r="J9" s="32">
        <v>0.583333333333333</v>
      </c>
      <c r="K9" s="30">
        <v>0.375</v>
      </c>
      <c r="L9" s="32">
        <v>0.583333333333333</v>
      </c>
      <c r="M9" s="33" t="s">
        <v>23</v>
      </c>
      <c r="N9" s="33" t="s">
        <v>23</v>
      </c>
      <c r="O9" s="33" t="s">
        <v>23</v>
      </c>
      <c r="P9" s="33" t="s">
        <v>23</v>
      </c>
      <c r="Q9" s="40">
        <v>0.458333333333333</v>
      </c>
      <c r="R9" s="41">
        <v>0.666666666666667</v>
      </c>
      <c r="S9" s="40">
        <v>0.458333333333333</v>
      </c>
      <c r="T9" s="41">
        <v>0.666666666666667</v>
      </c>
    </row>
    <row r="10" customHeight="1" spans="1:20">
      <c r="A10" s="26">
        <v>10316549</v>
      </c>
      <c r="B10" s="26" t="s">
        <v>19</v>
      </c>
      <c r="C10" s="26" t="s">
        <v>20</v>
      </c>
      <c r="D10" s="26" t="s">
        <v>21</v>
      </c>
      <c r="E10" s="26" t="s">
        <v>22</v>
      </c>
      <c r="F10" s="27">
        <v>1</v>
      </c>
      <c r="G10" s="30">
        <v>0.375</v>
      </c>
      <c r="H10" s="31">
        <v>0.791666666666667</v>
      </c>
      <c r="I10" s="30">
        <v>0.375</v>
      </c>
      <c r="J10" s="31">
        <v>0.791666666666667</v>
      </c>
      <c r="K10" s="30">
        <v>0.375</v>
      </c>
      <c r="L10" s="31">
        <v>0.791666666666667</v>
      </c>
      <c r="M10" s="30">
        <v>0.375</v>
      </c>
      <c r="N10" s="31">
        <v>0.791666666666667</v>
      </c>
      <c r="O10" s="33" t="s">
        <v>23</v>
      </c>
      <c r="P10" s="33" t="s">
        <v>23</v>
      </c>
      <c r="Q10" s="33" t="s">
        <v>23</v>
      </c>
      <c r="R10" s="33" t="s">
        <v>23</v>
      </c>
      <c r="S10" s="40">
        <v>0.458333333333333</v>
      </c>
      <c r="T10" s="41">
        <v>0.666666666666667</v>
      </c>
    </row>
    <row r="11" customHeight="1" spans="1:20">
      <c r="A11" s="26">
        <v>10316540</v>
      </c>
      <c r="B11" s="26" t="s">
        <v>104</v>
      </c>
      <c r="C11" s="26" t="s">
        <v>20</v>
      </c>
      <c r="D11" s="26" t="s">
        <v>21</v>
      </c>
      <c r="E11" s="26" t="s">
        <v>22</v>
      </c>
      <c r="F11" s="27">
        <v>1</v>
      </c>
      <c r="G11" s="33" t="s">
        <v>23</v>
      </c>
      <c r="H11" s="33" t="s">
        <v>23</v>
      </c>
      <c r="I11" s="30">
        <v>0.375</v>
      </c>
      <c r="J11" s="31">
        <v>0.791666666666667</v>
      </c>
      <c r="K11" s="30">
        <v>0.375</v>
      </c>
      <c r="L11" s="31">
        <v>0.791666666666667</v>
      </c>
      <c r="M11" s="30">
        <v>0.375</v>
      </c>
      <c r="N11" s="31">
        <v>0.791666666666667</v>
      </c>
      <c r="O11" s="30">
        <v>0.375</v>
      </c>
      <c r="P11" s="31">
        <v>0.791666666666667</v>
      </c>
      <c r="Q11" s="40">
        <v>0.458333333333333</v>
      </c>
      <c r="R11" s="41">
        <v>0.666666666666667</v>
      </c>
      <c r="S11" s="33" t="s">
        <v>23</v>
      </c>
      <c r="T11" s="33" t="s">
        <v>23</v>
      </c>
    </row>
    <row r="12" customHeight="1" spans="1:20">
      <c r="A12" s="26">
        <v>10316543</v>
      </c>
      <c r="B12" s="26" t="s">
        <v>228</v>
      </c>
      <c r="C12" s="26" t="s">
        <v>20</v>
      </c>
      <c r="D12" s="26" t="s">
        <v>21</v>
      </c>
      <c r="E12" s="26" t="s">
        <v>22</v>
      </c>
      <c r="F12" s="27">
        <v>1</v>
      </c>
      <c r="G12" s="28">
        <v>0.5</v>
      </c>
      <c r="H12" s="29">
        <v>0.875</v>
      </c>
      <c r="I12" s="28">
        <v>0.5</v>
      </c>
      <c r="J12" s="29">
        <v>0.875</v>
      </c>
      <c r="K12" s="28">
        <v>0.5</v>
      </c>
      <c r="L12" s="29">
        <v>0.875</v>
      </c>
      <c r="M12" s="33" t="s">
        <v>23</v>
      </c>
      <c r="N12" s="33" t="s">
        <v>23</v>
      </c>
      <c r="O12" s="33" t="s">
        <v>23</v>
      </c>
      <c r="P12" s="33" t="s">
        <v>23</v>
      </c>
      <c r="Q12" s="40">
        <v>0.458333333333333</v>
      </c>
      <c r="R12" s="41">
        <v>0.666666666666667</v>
      </c>
      <c r="S12" s="40">
        <v>0.458333333333333</v>
      </c>
      <c r="T12" s="41">
        <v>0.666666666666667</v>
      </c>
    </row>
    <row r="13" customHeight="1" spans="1:20">
      <c r="A13" s="26">
        <v>10316551</v>
      </c>
      <c r="B13" s="26" t="s">
        <v>229</v>
      </c>
      <c r="C13" s="26" t="s">
        <v>20</v>
      </c>
      <c r="D13" s="26" t="s">
        <v>21</v>
      </c>
      <c r="E13" s="26" t="s">
        <v>22</v>
      </c>
      <c r="F13" s="27">
        <v>1</v>
      </c>
      <c r="G13" s="28">
        <v>0.5</v>
      </c>
      <c r="H13" s="29">
        <v>0.875</v>
      </c>
      <c r="I13" s="28">
        <v>0.5</v>
      </c>
      <c r="J13" s="29">
        <v>0.875</v>
      </c>
      <c r="K13" s="28">
        <v>0.5</v>
      </c>
      <c r="L13" s="29">
        <v>0.875</v>
      </c>
      <c r="M13" s="33" t="s">
        <v>23</v>
      </c>
      <c r="N13" s="33" t="s">
        <v>23</v>
      </c>
      <c r="O13" s="33" t="s">
        <v>23</v>
      </c>
      <c r="P13" s="33" t="s">
        <v>23</v>
      </c>
      <c r="Q13" s="40">
        <v>0.458333333333333</v>
      </c>
      <c r="R13" s="41">
        <v>0.666666666666667</v>
      </c>
      <c r="S13" s="40">
        <v>0.458333333333333</v>
      </c>
      <c r="T13" s="41">
        <v>0.666666666666667</v>
      </c>
    </row>
    <row r="14" customHeight="1" spans="1:20">
      <c r="A14" s="26">
        <v>10316618</v>
      </c>
      <c r="B14" s="26" t="s">
        <v>230</v>
      </c>
      <c r="C14" s="26" t="s">
        <v>20</v>
      </c>
      <c r="D14" s="26" t="s">
        <v>21</v>
      </c>
      <c r="E14" s="26" t="s">
        <v>22</v>
      </c>
      <c r="F14" s="27">
        <v>1</v>
      </c>
      <c r="G14" s="30">
        <v>0.375</v>
      </c>
      <c r="H14" s="31">
        <v>0.791666666666667</v>
      </c>
      <c r="I14" s="30">
        <v>0.375</v>
      </c>
      <c r="J14" s="31">
        <v>0.791666666666667</v>
      </c>
      <c r="K14" s="30">
        <v>0.375</v>
      </c>
      <c r="L14" s="31">
        <v>0.791666666666667</v>
      </c>
      <c r="M14" s="30">
        <v>0.375</v>
      </c>
      <c r="N14" s="31">
        <v>0.791666666666667</v>
      </c>
      <c r="O14" s="33" t="s">
        <v>23</v>
      </c>
      <c r="P14" s="33" t="s">
        <v>23</v>
      </c>
      <c r="Q14" s="33" t="s">
        <v>23</v>
      </c>
      <c r="R14" s="33" t="s">
        <v>23</v>
      </c>
      <c r="S14" s="40">
        <v>0.458333333333333</v>
      </c>
      <c r="T14" s="41">
        <v>0.666666666666667</v>
      </c>
    </row>
    <row r="15" customHeight="1" spans="1:20">
      <c r="A15" s="26">
        <v>10316680</v>
      </c>
      <c r="B15" s="26" t="s">
        <v>231</v>
      </c>
      <c r="C15" s="26" t="s">
        <v>20</v>
      </c>
      <c r="D15" s="26" t="s">
        <v>21</v>
      </c>
      <c r="E15" s="26" t="s">
        <v>22</v>
      </c>
      <c r="F15" s="27">
        <v>1</v>
      </c>
      <c r="G15" s="28">
        <v>0.5</v>
      </c>
      <c r="H15" s="29">
        <v>0.875</v>
      </c>
      <c r="I15" s="28">
        <v>0.5</v>
      </c>
      <c r="J15" s="29">
        <v>0.875</v>
      </c>
      <c r="K15" s="28">
        <v>0.5</v>
      </c>
      <c r="L15" s="29">
        <v>0.875</v>
      </c>
      <c r="M15" s="28">
        <v>0.5</v>
      </c>
      <c r="N15" s="29">
        <v>0.875</v>
      </c>
      <c r="O15" s="28">
        <v>0.5</v>
      </c>
      <c r="P15" s="29">
        <v>0.875</v>
      </c>
      <c r="Q15" s="33" t="s">
        <v>23</v>
      </c>
      <c r="R15" s="33" t="s">
        <v>23</v>
      </c>
      <c r="S15" s="33" t="s">
        <v>23</v>
      </c>
      <c r="T15" s="33" t="s">
        <v>23</v>
      </c>
    </row>
    <row r="16" customHeight="1" spans="1:20">
      <c r="A16" s="26">
        <v>10316681</v>
      </c>
      <c r="B16" s="26" t="s">
        <v>232</v>
      </c>
      <c r="C16" s="26" t="s">
        <v>20</v>
      </c>
      <c r="D16" s="26" t="s">
        <v>21</v>
      </c>
      <c r="E16" s="26" t="s">
        <v>22</v>
      </c>
      <c r="F16" s="27">
        <v>1</v>
      </c>
      <c r="G16" s="30">
        <v>0.375</v>
      </c>
      <c r="H16" s="34">
        <v>0.75</v>
      </c>
      <c r="I16" s="30">
        <v>0.375</v>
      </c>
      <c r="J16" s="34">
        <v>0.75</v>
      </c>
      <c r="K16" s="30">
        <v>0.375</v>
      </c>
      <c r="L16" s="34">
        <v>0.75</v>
      </c>
      <c r="M16" s="33" t="s">
        <v>23</v>
      </c>
      <c r="N16" s="33" t="s">
        <v>23</v>
      </c>
      <c r="O16" s="33" t="s">
        <v>23</v>
      </c>
      <c r="P16" s="33" t="s">
        <v>23</v>
      </c>
      <c r="Q16" s="40">
        <v>0.458333333333333</v>
      </c>
      <c r="R16" s="41">
        <v>0.666666666666667</v>
      </c>
      <c r="S16" s="40">
        <v>0.458333333333333</v>
      </c>
      <c r="T16" s="41">
        <v>0.666666666666667</v>
      </c>
    </row>
    <row r="17" customHeight="1" spans="1:20">
      <c r="A17" s="26">
        <v>10316685</v>
      </c>
      <c r="B17" s="26" t="s">
        <v>101</v>
      </c>
      <c r="C17" s="26" t="s">
        <v>20</v>
      </c>
      <c r="D17" s="26" t="s">
        <v>21</v>
      </c>
      <c r="E17" s="26" t="s">
        <v>22</v>
      </c>
      <c r="F17" s="27">
        <v>1</v>
      </c>
      <c r="G17" s="30">
        <v>0.375</v>
      </c>
      <c r="H17" s="34">
        <v>0.75</v>
      </c>
      <c r="I17" s="30">
        <v>0.375</v>
      </c>
      <c r="J17" s="34">
        <v>0.75</v>
      </c>
      <c r="K17" s="30">
        <v>0.375</v>
      </c>
      <c r="L17" s="34">
        <v>0.75</v>
      </c>
      <c r="M17" s="30">
        <v>0.375</v>
      </c>
      <c r="N17" s="34">
        <v>0.75</v>
      </c>
      <c r="O17" s="30">
        <v>0.375</v>
      </c>
      <c r="P17" s="34">
        <v>0.75</v>
      </c>
      <c r="Q17" s="33" t="s">
        <v>23</v>
      </c>
      <c r="R17" s="33" t="s">
        <v>23</v>
      </c>
      <c r="S17" s="33" t="s">
        <v>23</v>
      </c>
      <c r="T17" s="33" t="s">
        <v>23</v>
      </c>
    </row>
    <row r="18" customHeight="1" spans="1:20">
      <c r="A18" s="26">
        <v>10316683</v>
      </c>
      <c r="B18" s="26" t="s">
        <v>233</v>
      </c>
      <c r="C18" s="26" t="s">
        <v>20</v>
      </c>
      <c r="D18" s="26" t="s">
        <v>21</v>
      </c>
      <c r="E18" s="26" t="s">
        <v>22</v>
      </c>
      <c r="F18" s="27">
        <v>1</v>
      </c>
      <c r="G18" s="30">
        <v>0.375</v>
      </c>
      <c r="H18" s="34">
        <v>0.75</v>
      </c>
      <c r="I18" s="30">
        <v>0.375</v>
      </c>
      <c r="J18" s="34">
        <v>0.75</v>
      </c>
      <c r="K18" s="30">
        <v>0.375</v>
      </c>
      <c r="L18" s="34">
        <v>0.75</v>
      </c>
      <c r="M18" s="30">
        <v>0.375</v>
      </c>
      <c r="N18" s="34">
        <v>0.75</v>
      </c>
      <c r="O18" s="30">
        <v>0.375</v>
      </c>
      <c r="P18" s="34">
        <v>0.75</v>
      </c>
      <c r="Q18" s="33" t="s">
        <v>23</v>
      </c>
      <c r="R18" s="33" t="s">
        <v>23</v>
      </c>
      <c r="S18" s="33" t="s">
        <v>23</v>
      </c>
      <c r="T18" s="33" t="s">
        <v>23</v>
      </c>
    </row>
    <row r="19" customHeight="1" spans="1:20">
      <c r="A19" s="26">
        <v>10317147</v>
      </c>
      <c r="B19" s="26" t="s">
        <v>106</v>
      </c>
      <c r="C19" s="26" t="s">
        <v>20</v>
      </c>
      <c r="D19" s="26" t="s">
        <v>21</v>
      </c>
      <c r="E19" s="26" t="s">
        <v>22</v>
      </c>
      <c r="F19" s="27">
        <v>1</v>
      </c>
      <c r="G19" s="33" t="s">
        <v>23</v>
      </c>
      <c r="H19" s="33" t="s">
        <v>23</v>
      </c>
      <c r="I19" s="30">
        <v>0.375</v>
      </c>
      <c r="J19" s="31">
        <v>0.791666666666667</v>
      </c>
      <c r="K19" s="30">
        <v>0.375</v>
      </c>
      <c r="L19" s="31">
        <v>0.791666666666667</v>
      </c>
      <c r="M19" s="30">
        <v>0.375</v>
      </c>
      <c r="N19" s="31">
        <v>0.791666666666667</v>
      </c>
      <c r="O19" s="30">
        <v>0.375</v>
      </c>
      <c r="P19" s="31">
        <v>0.791666666666667</v>
      </c>
      <c r="Q19" s="40">
        <v>0.458333333333333</v>
      </c>
      <c r="R19" s="41">
        <v>0.666666666666667</v>
      </c>
      <c r="S19" s="33" t="s">
        <v>23</v>
      </c>
      <c r="T19" s="33" t="s">
        <v>23</v>
      </c>
    </row>
    <row r="20" customHeight="1" spans="1:20">
      <c r="A20" s="26">
        <v>10317151</v>
      </c>
      <c r="B20" s="26" t="s">
        <v>234</v>
      </c>
      <c r="C20" s="26" t="s">
        <v>20</v>
      </c>
      <c r="D20" s="26" t="s">
        <v>21</v>
      </c>
      <c r="E20" s="26" t="s">
        <v>22</v>
      </c>
      <c r="F20" s="27">
        <v>1</v>
      </c>
      <c r="G20" s="30">
        <v>0.375</v>
      </c>
      <c r="H20" s="34">
        <v>0.75</v>
      </c>
      <c r="I20" s="30">
        <v>0.375</v>
      </c>
      <c r="J20" s="34">
        <v>0.75</v>
      </c>
      <c r="K20" s="30">
        <v>0.375</v>
      </c>
      <c r="L20" s="34">
        <v>0.75</v>
      </c>
      <c r="M20" s="33" t="s">
        <v>23</v>
      </c>
      <c r="N20" s="33" t="s">
        <v>23</v>
      </c>
      <c r="O20" s="33" t="s">
        <v>23</v>
      </c>
      <c r="P20" s="33" t="s">
        <v>23</v>
      </c>
      <c r="Q20" s="40">
        <v>0.458333333333333</v>
      </c>
      <c r="R20" s="41">
        <v>0.666666666666667</v>
      </c>
      <c r="S20" s="40">
        <v>0.458333333333333</v>
      </c>
      <c r="T20" s="41">
        <v>0.666666666666667</v>
      </c>
    </row>
    <row r="21" customHeight="1" spans="1:20">
      <c r="A21" s="35">
        <v>10317153</v>
      </c>
      <c r="B21" s="35" t="s">
        <v>235</v>
      </c>
      <c r="C21" s="26" t="s">
        <v>20</v>
      </c>
      <c r="D21" s="26" t="s">
        <v>21</v>
      </c>
      <c r="E21" s="26" t="s">
        <v>22</v>
      </c>
      <c r="F21" s="27">
        <v>1</v>
      </c>
      <c r="G21" s="36" t="s">
        <v>23</v>
      </c>
      <c r="H21" s="36" t="s">
        <v>23</v>
      </c>
      <c r="I21" s="30">
        <v>0.375</v>
      </c>
      <c r="J21" s="31">
        <v>0.791666666666667</v>
      </c>
      <c r="K21" s="30">
        <v>0.375</v>
      </c>
      <c r="L21" s="31">
        <v>0.791666666666667</v>
      </c>
      <c r="M21" s="30">
        <v>0.375</v>
      </c>
      <c r="N21" s="31">
        <v>0.791666666666667</v>
      </c>
      <c r="O21" s="30">
        <v>0.375</v>
      </c>
      <c r="P21" s="31">
        <v>0.791666666666667</v>
      </c>
      <c r="Q21" s="40">
        <v>0.458333333333333</v>
      </c>
      <c r="R21" s="41">
        <v>0.666666666666667</v>
      </c>
      <c r="S21" s="33" t="s">
        <v>23</v>
      </c>
      <c r="T21" s="33" t="s">
        <v>23</v>
      </c>
    </row>
    <row r="22" customHeight="1" spans="1:20">
      <c r="A22" s="26">
        <v>10317517</v>
      </c>
      <c r="B22" s="26" t="s">
        <v>236</v>
      </c>
      <c r="C22" s="26" t="s">
        <v>20</v>
      </c>
      <c r="D22" s="26" t="s">
        <v>219</v>
      </c>
      <c r="E22" s="26" t="s">
        <v>22</v>
      </c>
      <c r="F22" s="37">
        <v>2</v>
      </c>
      <c r="G22" s="30">
        <v>0.375</v>
      </c>
      <c r="H22" s="34">
        <v>0.75</v>
      </c>
      <c r="I22" s="30">
        <v>0.375</v>
      </c>
      <c r="J22" s="34">
        <v>0.75</v>
      </c>
      <c r="K22" s="30">
        <v>0.375</v>
      </c>
      <c r="L22" s="34">
        <v>0.75</v>
      </c>
      <c r="M22" s="30">
        <v>0.375</v>
      </c>
      <c r="N22" s="34">
        <v>0.75</v>
      </c>
      <c r="O22" s="30">
        <v>0.375</v>
      </c>
      <c r="P22" s="34">
        <v>0.75</v>
      </c>
      <c r="Q22" s="33" t="s">
        <v>23</v>
      </c>
      <c r="R22" s="33" t="s">
        <v>23</v>
      </c>
      <c r="S22" s="33" t="s">
        <v>23</v>
      </c>
      <c r="T22" s="33" t="s">
        <v>23</v>
      </c>
    </row>
    <row r="23" customHeight="1" spans="1:20">
      <c r="A23" s="26">
        <v>10317520</v>
      </c>
      <c r="B23" s="26" t="s">
        <v>237</v>
      </c>
      <c r="C23" s="26" t="s">
        <v>20</v>
      </c>
      <c r="D23" s="26" t="s">
        <v>219</v>
      </c>
      <c r="E23" s="26" t="s">
        <v>22</v>
      </c>
      <c r="F23" s="37">
        <v>2</v>
      </c>
      <c r="G23" s="30">
        <v>0.375</v>
      </c>
      <c r="H23" s="34">
        <v>0.75</v>
      </c>
      <c r="I23" s="30">
        <v>0.375</v>
      </c>
      <c r="J23" s="34">
        <v>0.75</v>
      </c>
      <c r="K23" s="30">
        <v>0.375</v>
      </c>
      <c r="L23" s="34">
        <v>0.75</v>
      </c>
      <c r="M23" s="30">
        <v>0.375</v>
      </c>
      <c r="N23" s="34">
        <v>0.75</v>
      </c>
      <c r="O23" s="30">
        <v>0.375</v>
      </c>
      <c r="P23" s="34">
        <v>0.75</v>
      </c>
      <c r="Q23" s="33" t="s">
        <v>23</v>
      </c>
      <c r="R23" s="33" t="s">
        <v>23</v>
      </c>
      <c r="S23" s="33" t="s">
        <v>23</v>
      </c>
      <c r="T23" s="33" t="s">
        <v>23</v>
      </c>
    </row>
    <row r="24" customHeight="1" spans="1:20">
      <c r="A24" s="26">
        <v>10317521</v>
      </c>
      <c r="B24" s="26" t="s">
        <v>238</v>
      </c>
      <c r="C24" s="26" t="s">
        <v>20</v>
      </c>
      <c r="D24" s="26" t="s">
        <v>219</v>
      </c>
      <c r="E24" s="26" t="s">
        <v>22</v>
      </c>
      <c r="F24" s="37">
        <v>2</v>
      </c>
      <c r="G24" s="30">
        <v>0.375</v>
      </c>
      <c r="H24" s="34">
        <v>0.75</v>
      </c>
      <c r="I24" s="30">
        <v>0.375</v>
      </c>
      <c r="J24" s="34">
        <v>0.75</v>
      </c>
      <c r="K24" s="30">
        <v>0.375</v>
      </c>
      <c r="L24" s="34">
        <v>0.75</v>
      </c>
      <c r="M24" s="30">
        <v>0.375</v>
      </c>
      <c r="N24" s="34">
        <v>0.75</v>
      </c>
      <c r="O24" s="30">
        <v>0.375</v>
      </c>
      <c r="P24" s="34">
        <v>0.75</v>
      </c>
      <c r="Q24" s="33" t="s">
        <v>23</v>
      </c>
      <c r="R24" s="33" t="s">
        <v>23</v>
      </c>
      <c r="S24" s="33" t="s">
        <v>23</v>
      </c>
      <c r="T24" s="33" t="s">
        <v>23</v>
      </c>
    </row>
    <row r="25" customHeight="1" spans="1:20">
      <c r="A25" s="26">
        <v>10317522</v>
      </c>
      <c r="B25" s="26" t="s">
        <v>31</v>
      </c>
      <c r="C25" s="26" t="s">
        <v>20</v>
      </c>
      <c r="D25" s="26" t="s">
        <v>219</v>
      </c>
      <c r="E25" s="26" t="s">
        <v>22</v>
      </c>
      <c r="F25" s="37">
        <v>2</v>
      </c>
      <c r="G25" s="30">
        <v>0.375</v>
      </c>
      <c r="H25" s="34">
        <v>0.75</v>
      </c>
      <c r="I25" s="30">
        <v>0.375</v>
      </c>
      <c r="J25" s="34">
        <v>0.75</v>
      </c>
      <c r="K25" s="30">
        <v>0.375</v>
      </c>
      <c r="L25" s="34">
        <v>0.75</v>
      </c>
      <c r="M25" s="30">
        <v>0.375</v>
      </c>
      <c r="N25" s="34">
        <v>0.75</v>
      </c>
      <c r="O25" s="30">
        <v>0.375</v>
      </c>
      <c r="P25" s="34">
        <v>0.75</v>
      </c>
      <c r="Q25" s="33" t="s">
        <v>23</v>
      </c>
      <c r="R25" s="33" t="s">
        <v>23</v>
      </c>
      <c r="S25" s="33" t="s">
        <v>23</v>
      </c>
      <c r="T25" s="33" t="s">
        <v>23</v>
      </c>
    </row>
    <row r="26" customHeight="1" spans="1:20">
      <c r="A26" s="26">
        <v>10317523</v>
      </c>
      <c r="B26" s="26" t="s">
        <v>239</v>
      </c>
      <c r="C26" s="26" t="s">
        <v>20</v>
      </c>
      <c r="D26" s="26" t="s">
        <v>219</v>
      </c>
      <c r="E26" s="26" t="s">
        <v>22</v>
      </c>
      <c r="F26" s="37">
        <v>2</v>
      </c>
      <c r="G26" s="30">
        <v>0.375</v>
      </c>
      <c r="H26" s="34">
        <v>0.75</v>
      </c>
      <c r="I26" s="30">
        <v>0.375</v>
      </c>
      <c r="J26" s="34">
        <v>0.75</v>
      </c>
      <c r="K26" s="30">
        <v>0.375</v>
      </c>
      <c r="L26" s="34">
        <v>0.75</v>
      </c>
      <c r="M26" s="30">
        <v>0.375</v>
      </c>
      <c r="N26" s="34">
        <v>0.75</v>
      </c>
      <c r="O26" s="30">
        <v>0.375</v>
      </c>
      <c r="P26" s="34">
        <v>0.75</v>
      </c>
      <c r="Q26" s="33" t="s">
        <v>23</v>
      </c>
      <c r="R26" s="33" t="s">
        <v>23</v>
      </c>
      <c r="S26" s="33" t="s">
        <v>23</v>
      </c>
      <c r="T26" s="33" t="s">
        <v>23</v>
      </c>
    </row>
    <row r="27" customHeight="1" spans="1:20">
      <c r="A27" s="26">
        <v>10317524</v>
      </c>
      <c r="B27" s="26" t="s">
        <v>53</v>
      </c>
      <c r="C27" s="26" t="s">
        <v>20</v>
      </c>
      <c r="D27" s="26" t="s">
        <v>219</v>
      </c>
      <c r="E27" s="26" t="s">
        <v>22</v>
      </c>
      <c r="F27" s="37">
        <v>2</v>
      </c>
      <c r="G27" s="30">
        <v>0.375</v>
      </c>
      <c r="H27" s="34">
        <v>0.75</v>
      </c>
      <c r="I27" s="30">
        <v>0.375</v>
      </c>
      <c r="J27" s="34">
        <v>0.75</v>
      </c>
      <c r="K27" s="30">
        <v>0.375</v>
      </c>
      <c r="L27" s="34">
        <v>0.75</v>
      </c>
      <c r="M27" s="30">
        <v>0.375</v>
      </c>
      <c r="N27" s="34">
        <v>0.75</v>
      </c>
      <c r="O27" s="30">
        <v>0.375</v>
      </c>
      <c r="P27" s="34">
        <v>0.75</v>
      </c>
      <c r="Q27" s="33" t="s">
        <v>23</v>
      </c>
      <c r="R27" s="33" t="s">
        <v>23</v>
      </c>
      <c r="S27" s="33" t="s">
        <v>23</v>
      </c>
      <c r="T27" s="33" t="s">
        <v>23</v>
      </c>
    </row>
    <row r="28" customHeight="1" spans="1:20">
      <c r="A28" s="26">
        <v>10316531</v>
      </c>
      <c r="B28" s="26" t="s">
        <v>215</v>
      </c>
      <c r="C28" s="26" t="s">
        <v>20</v>
      </c>
      <c r="D28" s="26" t="s">
        <v>219</v>
      </c>
      <c r="E28" s="26" t="s">
        <v>22</v>
      </c>
      <c r="F28" s="37">
        <v>2</v>
      </c>
      <c r="G28" s="30">
        <v>0.375</v>
      </c>
      <c r="H28" s="34">
        <v>0.75</v>
      </c>
      <c r="I28" s="30">
        <v>0.375</v>
      </c>
      <c r="J28" s="34">
        <v>0.75</v>
      </c>
      <c r="K28" s="30">
        <v>0.375</v>
      </c>
      <c r="L28" s="34">
        <v>0.75</v>
      </c>
      <c r="M28" s="30">
        <v>0.375</v>
      </c>
      <c r="N28" s="34">
        <v>0.75</v>
      </c>
      <c r="O28" s="30">
        <v>0.375</v>
      </c>
      <c r="P28" s="34">
        <v>0.75</v>
      </c>
      <c r="Q28" s="33" t="s">
        <v>23</v>
      </c>
      <c r="R28" s="33" t="s">
        <v>23</v>
      </c>
      <c r="S28" s="33" t="s">
        <v>23</v>
      </c>
      <c r="T28" s="33" t="s">
        <v>23</v>
      </c>
    </row>
    <row r="29" customHeight="1" spans="1:20">
      <c r="A29" s="26">
        <v>10316572</v>
      </c>
      <c r="B29" s="26" t="s">
        <v>240</v>
      </c>
      <c r="C29" s="26" t="s">
        <v>20</v>
      </c>
      <c r="D29" s="26" t="s">
        <v>219</v>
      </c>
      <c r="E29" s="26" t="s">
        <v>22</v>
      </c>
      <c r="F29" s="37">
        <v>2</v>
      </c>
      <c r="G29" s="30">
        <v>0.375</v>
      </c>
      <c r="H29" s="34">
        <v>0.75</v>
      </c>
      <c r="I29" s="30">
        <v>0.375</v>
      </c>
      <c r="J29" s="34">
        <v>0.75</v>
      </c>
      <c r="K29" s="30">
        <v>0.375</v>
      </c>
      <c r="L29" s="34">
        <v>0.75</v>
      </c>
      <c r="M29" s="30">
        <v>0.375</v>
      </c>
      <c r="N29" s="34">
        <v>0.75</v>
      </c>
      <c r="O29" s="30">
        <v>0.375</v>
      </c>
      <c r="P29" s="34">
        <v>0.75</v>
      </c>
      <c r="Q29" s="33" t="s">
        <v>23</v>
      </c>
      <c r="R29" s="33" t="s">
        <v>23</v>
      </c>
      <c r="S29" s="33" t="s">
        <v>23</v>
      </c>
      <c r="T29" s="33" t="s">
        <v>23</v>
      </c>
    </row>
    <row r="30" customHeight="1" spans="1:20">
      <c r="A30" s="26">
        <v>10316650</v>
      </c>
      <c r="B30" s="26" t="s">
        <v>241</v>
      </c>
      <c r="C30" s="26" t="s">
        <v>20</v>
      </c>
      <c r="D30" s="26" t="s">
        <v>219</v>
      </c>
      <c r="E30" s="26" t="s">
        <v>22</v>
      </c>
      <c r="F30" s="37">
        <v>2</v>
      </c>
      <c r="G30" s="30">
        <v>0.375</v>
      </c>
      <c r="H30" s="34">
        <v>0.75</v>
      </c>
      <c r="I30" s="30">
        <v>0.375</v>
      </c>
      <c r="J30" s="34">
        <v>0.75</v>
      </c>
      <c r="K30" s="30">
        <v>0.375</v>
      </c>
      <c r="L30" s="34">
        <v>0.75</v>
      </c>
      <c r="M30" s="30">
        <v>0.375</v>
      </c>
      <c r="N30" s="34">
        <v>0.75</v>
      </c>
      <c r="O30" s="30">
        <v>0.375</v>
      </c>
      <c r="P30" s="34">
        <v>0.75</v>
      </c>
      <c r="Q30" s="33" t="s">
        <v>23</v>
      </c>
      <c r="R30" s="33" t="s">
        <v>23</v>
      </c>
      <c r="S30" s="33" t="s">
        <v>23</v>
      </c>
      <c r="T30" s="33" t="s">
        <v>23</v>
      </c>
    </row>
    <row r="31" customHeight="1" spans="1:20">
      <c r="A31" s="26">
        <v>10275375</v>
      </c>
      <c r="B31" s="26" t="s">
        <v>218</v>
      </c>
      <c r="C31" s="26" t="s">
        <v>20</v>
      </c>
      <c r="D31" s="26" t="s">
        <v>219</v>
      </c>
      <c r="E31" s="26" t="s">
        <v>22</v>
      </c>
      <c r="F31" s="37">
        <v>2</v>
      </c>
      <c r="G31" s="30">
        <v>0.375</v>
      </c>
      <c r="H31" s="34">
        <v>0.75</v>
      </c>
      <c r="I31" s="30">
        <v>0.375</v>
      </c>
      <c r="J31" s="34">
        <v>0.75</v>
      </c>
      <c r="K31" s="30">
        <v>0.375</v>
      </c>
      <c r="L31" s="34">
        <v>0.75</v>
      </c>
      <c r="M31" s="30">
        <v>0.375</v>
      </c>
      <c r="N31" s="34">
        <v>0.75</v>
      </c>
      <c r="O31" s="30">
        <v>0.375</v>
      </c>
      <c r="P31" s="34">
        <v>0.75</v>
      </c>
      <c r="Q31" s="33" t="s">
        <v>23</v>
      </c>
      <c r="R31" s="33" t="s">
        <v>23</v>
      </c>
      <c r="S31" s="33" t="s">
        <v>23</v>
      </c>
      <c r="T31" s="33" t="s">
        <v>23</v>
      </c>
    </row>
    <row r="32" customHeight="1" spans="1:20">
      <c r="A32" s="26">
        <v>10252500</v>
      </c>
      <c r="B32" s="26" t="s">
        <v>242</v>
      </c>
      <c r="C32" s="26" t="s">
        <v>20</v>
      </c>
      <c r="D32" s="26" t="s">
        <v>219</v>
      </c>
      <c r="E32" s="26" t="s">
        <v>22</v>
      </c>
      <c r="F32" s="37">
        <v>2</v>
      </c>
      <c r="G32" s="30">
        <v>0.375</v>
      </c>
      <c r="H32" s="34">
        <v>0.75</v>
      </c>
      <c r="I32" s="30">
        <v>0.375</v>
      </c>
      <c r="J32" s="34">
        <v>0.75</v>
      </c>
      <c r="K32" s="30">
        <v>0.375</v>
      </c>
      <c r="L32" s="34">
        <v>0.75</v>
      </c>
      <c r="M32" s="30">
        <v>0.375</v>
      </c>
      <c r="N32" s="34">
        <v>0.75</v>
      </c>
      <c r="O32" s="30">
        <v>0.375</v>
      </c>
      <c r="P32" s="34">
        <v>0.75</v>
      </c>
      <c r="Q32" s="33" t="s">
        <v>23</v>
      </c>
      <c r="R32" s="33" t="s">
        <v>23</v>
      </c>
      <c r="S32" s="33" t="s">
        <v>23</v>
      </c>
      <c r="T32" s="33" t="s">
        <v>23</v>
      </c>
    </row>
    <row r="33" customHeight="1" spans="1:20">
      <c r="A33" s="26">
        <v>10252106</v>
      </c>
      <c r="B33" s="26" t="s">
        <v>243</v>
      </c>
      <c r="C33" s="26" t="s">
        <v>20</v>
      </c>
      <c r="D33" s="26" t="s">
        <v>219</v>
      </c>
      <c r="E33" s="26" t="s">
        <v>22</v>
      </c>
      <c r="F33" s="37">
        <v>2</v>
      </c>
      <c r="G33" s="30">
        <v>0.375</v>
      </c>
      <c r="H33" s="34">
        <v>0.75</v>
      </c>
      <c r="I33" s="30">
        <v>0.375</v>
      </c>
      <c r="J33" s="34">
        <v>0.75</v>
      </c>
      <c r="K33" s="30">
        <v>0.375</v>
      </c>
      <c r="L33" s="34">
        <v>0.75</v>
      </c>
      <c r="M33" s="30">
        <v>0.375</v>
      </c>
      <c r="N33" s="34">
        <v>0.75</v>
      </c>
      <c r="O33" s="30">
        <v>0.375</v>
      </c>
      <c r="P33" s="34">
        <v>0.75</v>
      </c>
      <c r="Q33" s="33" t="s">
        <v>23</v>
      </c>
      <c r="R33" s="33" t="s">
        <v>23</v>
      </c>
      <c r="S33" s="33" t="s">
        <v>23</v>
      </c>
      <c r="T33" s="33" t="s">
        <v>23</v>
      </c>
    </row>
    <row r="34" customHeight="1" spans="1:20">
      <c r="A34" s="26">
        <v>10295555</v>
      </c>
      <c r="B34" s="26" t="s">
        <v>220</v>
      </c>
      <c r="C34" s="26" t="s">
        <v>20</v>
      </c>
      <c r="D34" s="26" t="s">
        <v>219</v>
      </c>
      <c r="E34" s="26" t="s">
        <v>35</v>
      </c>
      <c r="F34" s="37">
        <v>2</v>
      </c>
      <c r="G34" s="30">
        <v>0.375</v>
      </c>
      <c r="H34" s="32">
        <v>0.583333333333333</v>
      </c>
      <c r="I34" s="30">
        <v>0.375</v>
      </c>
      <c r="J34" s="32">
        <v>0.583333333333333</v>
      </c>
      <c r="K34" s="30">
        <v>0.375</v>
      </c>
      <c r="L34" s="32">
        <v>0.583333333333333</v>
      </c>
      <c r="M34" s="30">
        <v>0.375</v>
      </c>
      <c r="N34" s="32">
        <v>0.583333333333333</v>
      </c>
      <c r="O34" s="30">
        <v>0.375</v>
      </c>
      <c r="P34" s="32">
        <v>0.583333333333333</v>
      </c>
      <c r="Q34" s="33" t="s">
        <v>23</v>
      </c>
      <c r="R34" s="33" t="s">
        <v>23</v>
      </c>
      <c r="S34" s="33" t="s">
        <v>23</v>
      </c>
      <c r="T34" s="33" t="s">
        <v>23</v>
      </c>
    </row>
    <row r="35" customHeight="1" spans="1:20">
      <c r="A35" s="26">
        <v>10272259</v>
      </c>
      <c r="B35" s="26" t="s">
        <v>103</v>
      </c>
      <c r="C35" s="26" t="s">
        <v>20</v>
      </c>
      <c r="D35" s="26" t="s">
        <v>219</v>
      </c>
      <c r="E35" s="26" t="s">
        <v>22</v>
      </c>
      <c r="F35" s="37">
        <v>2</v>
      </c>
      <c r="G35" s="30">
        <v>0.375</v>
      </c>
      <c r="H35" s="34">
        <v>0.75</v>
      </c>
      <c r="I35" s="30">
        <v>0.375</v>
      </c>
      <c r="J35" s="34">
        <v>0.75</v>
      </c>
      <c r="K35" s="30">
        <v>0.375</v>
      </c>
      <c r="L35" s="34">
        <v>0.75</v>
      </c>
      <c r="M35" s="30">
        <v>0.375</v>
      </c>
      <c r="N35" s="34">
        <v>0.75</v>
      </c>
      <c r="O35" s="30">
        <v>0.375</v>
      </c>
      <c r="P35" s="34">
        <v>0.75</v>
      </c>
      <c r="Q35" s="33" t="s">
        <v>23</v>
      </c>
      <c r="R35" s="33" t="s">
        <v>23</v>
      </c>
      <c r="S35" s="33" t="s">
        <v>23</v>
      </c>
      <c r="T35" s="33" t="s">
        <v>23</v>
      </c>
    </row>
    <row r="36" customHeight="1" spans="1:20">
      <c r="A36" s="26">
        <v>10212379</v>
      </c>
      <c r="B36" s="26" t="s">
        <v>244</v>
      </c>
      <c r="C36" s="26" t="s">
        <v>20</v>
      </c>
      <c r="D36" s="26" t="s">
        <v>219</v>
      </c>
      <c r="E36" s="26" t="s">
        <v>22</v>
      </c>
      <c r="F36" s="26">
        <v>2</v>
      </c>
      <c r="G36" s="30">
        <v>0.375</v>
      </c>
      <c r="H36" s="34">
        <v>0.75</v>
      </c>
      <c r="I36" s="30">
        <v>0.375</v>
      </c>
      <c r="J36" s="34">
        <v>0.75</v>
      </c>
      <c r="K36" s="30">
        <v>0.375</v>
      </c>
      <c r="L36" s="34">
        <v>0.75</v>
      </c>
      <c r="M36" s="30">
        <v>0.375</v>
      </c>
      <c r="N36" s="34">
        <v>0.75</v>
      </c>
      <c r="O36" s="30">
        <v>0.375</v>
      </c>
      <c r="P36" s="34">
        <v>0.75</v>
      </c>
      <c r="Q36" s="33" t="s">
        <v>23</v>
      </c>
      <c r="R36" s="33" t="s">
        <v>23</v>
      </c>
      <c r="S36" s="33" t="s">
        <v>23</v>
      </c>
      <c r="T36" s="33" t="s">
        <v>23</v>
      </c>
    </row>
    <row r="37" customHeight="1" spans="1:20">
      <c r="A37" s="26">
        <v>10276839</v>
      </c>
      <c r="B37" s="26" t="s">
        <v>54</v>
      </c>
      <c r="C37" s="26" t="s">
        <v>20</v>
      </c>
      <c r="D37" s="26" t="s">
        <v>219</v>
      </c>
      <c r="E37" s="26" t="s">
        <v>22</v>
      </c>
      <c r="F37" s="26">
        <v>2</v>
      </c>
      <c r="G37" s="30">
        <v>0.375</v>
      </c>
      <c r="H37" s="34">
        <v>0.75</v>
      </c>
      <c r="I37" s="30">
        <v>0.375</v>
      </c>
      <c r="J37" s="34">
        <v>0.75</v>
      </c>
      <c r="K37" s="30">
        <v>0.375</v>
      </c>
      <c r="L37" s="34">
        <v>0.75</v>
      </c>
      <c r="M37" s="30">
        <v>0.375</v>
      </c>
      <c r="N37" s="34">
        <v>0.75</v>
      </c>
      <c r="O37" s="30">
        <v>0.375</v>
      </c>
      <c r="P37" s="34">
        <v>0.75</v>
      </c>
      <c r="Q37" s="33" t="s">
        <v>23</v>
      </c>
      <c r="R37" s="33" t="s">
        <v>23</v>
      </c>
      <c r="S37" s="33" t="s">
        <v>23</v>
      </c>
      <c r="T37" s="33" t="s">
        <v>23</v>
      </c>
    </row>
    <row r="38" customHeight="1" spans="1:20">
      <c r="A38" s="26">
        <v>10274446</v>
      </c>
      <c r="B38" s="26" t="s">
        <v>88</v>
      </c>
      <c r="C38" s="26" t="s">
        <v>20</v>
      </c>
      <c r="D38" s="26" t="s">
        <v>219</v>
      </c>
      <c r="E38" s="26" t="s">
        <v>22</v>
      </c>
      <c r="F38" s="26">
        <v>2</v>
      </c>
      <c r="G38" s="30">
        <v>0.375</v>
      </c>
      <c r="H38" s="34">
        <v>0.75</v>
      </c>
      <c r="I38" s="30">
        <v>0.375</v>
      </c>
      <c r="J38" s="34">
        <v>0.75</v>
      </c>
      <c r="K38" s="30">
        <v>0.375</v>
      </c>
      <c r="L38" s="34">
        <v>0.75</v>
      </c>
      <c r="M38" s="30">
        <v>0.375</v>
      </c>
      <c r="N38" s="34">
        <v>0.75</v>
      </c>
      <c r="O38" s="30">
        <v>0.375</v>
      </c>
      <c r="P38" s="34">
        <v>0.75</v>
      </c>
      <c r="Q38" s="33" t="s">
        <v>23</v>
      </c>
      <c r="R38" s="33" t="s">
        <v>23</v>
      </c>
      <c r="S38" s="33" t="s">
        <v>23</v>
      </c>
      <c r="T38" s="33" t="s">
        <v>23</v>
      </c>
    </row>
    <row r="39" customHeight="1" spans="1:20">
      <c r="A39" s="26">
        <v>10317943</v>
      </c>
      <c r="B39" s="26" t="s">
        <v>245</v>
      </c>
      <c r="C39" s="26" t="s">
        <v>20</v>
      </c>
      <c r="D39" s="26" t="s">
        <v>219</v>
      </c>
      <c r="E39" s="26" t="s">
        <v>22</v>
      </c>
      <c r="F39" s="26">
        <v>2</v>
      </c>
      <c r="G39" s="30">
        <v>0.375</v>
      </c>
      <c r="H39" s="34">
        <v>0.75</v>
      </c>
      <c r="I39" s="30">
        <v>0.375</v>
      </c>
      <c r="J39" s="34">
        <v>0.75</v>
      </c>
      <c r="K39" s="30">
        <v>0.375</v>
      </c>
      <c r="L39" s="34">
        <v>0.75</v>
      </c>
      <c r="M39" s="30">
        <v>0.375</v>
      </c>
      <c r="N39" s="34">
        <v>0.75</v>
      </c>
      <c r="O39" s="30">
        <v>0.375</v>
      </c>
      <c r="P39" s="34">
        <v>0.75</v>
      </c>
      <c r="Q39" s="36" t="s">
        <v>23</v>
      </c>
      <c r="R39" s="36" t="s">
        <v>23</v>
      </c>
      <c r="S39" s="36" t="s">
        <v>23</v>
      </c>
      <c r="T39" s="36" t="s">
        <v>23</v>
      </c>
    </row>
    <row r="40" customHeight="1" spans="1:20">
      <c r="A40" s="26">
        <v>10271545</v>
      </c>
      <c r="B40" s="26" t="s">
        <v>175</v>
      </c>
      <c r="C40" s="26" t="s">
        <v>176</v>
      </c>
      <c r="D40" s="38"/>
      <c r="E40" s="38"/>
      <c r="F40" s="38"/>
      <c r="G40" s="30">
        <v>0.375</v>
      </c>
      <c r="H40" s="34">
        <v>0.75</v>
      </c>
      <c r="I40" s="30">
        <v>0.375</v>
      </c>
      <c r="J40" s="34">
        <v>0.75</v>
      </c>
      <c r="K40" s="30">
        <v>0.375</v>
      </c>
      <c r="L40" s="34">
        <v>0.75</v>
      </c>
      <c r="M40" s="30">
        <v>0.375</v>
      </c>
      <c r="N40" s="34">
        <v>0.75</v>
      </c>
      <c r="O40" s="30">
        <v>0.375</v>
      </c>
      <c r="P40" s="34">
        <v>0.75</v>
      </c>
      <c r="Q40" s="42" t="s">
        <v>23</v>
      </c>
      <c r="R40" s="42" t="s">
        <v>23</v>
      </c>
      <c r="S40" s="42" t="s">
        <v>23</v>
      </c>
      <c r="T40" s="42" t="s">
        <v>23</v>
      </c>
    </row>
    <row r="41" customHeight="1" spans="1:20">
      <c r="A41" s="26">
        <v>10212362</v>
      </c>
      <c r="B41" s="26" t="s">
        <v>247</v>
      </c>
      <c r="C41" s="26" t="s">
        <v>176</v>
      </c>
      <c r="D41" s="38"/>
      <c r="E41" s="38"/>
      <c r="F41" s="38"/>
      <c r="G41" s="30">
        <v>0.375</v>
      </c>
      <c r="H41" s="34">
        <v>0.75</v>
      </c>
      <c r="I41" s="30">
        <v>0.375</v>
      </c>
      <c r="J41" s="34">
        <v>0.75</v>
      </c>
      <c r="K41" s="30">
        <v>0.375</v>
      </c>
      <c r="L41" s="34">
        <v>0.75</v>
      </c>
      <c r="M41" s="30">
        <v>0.375</v>
      </c>
      <c r="N41" s="34">
        <v>0.75</v>
      </c>
      <c r="O41" s="30">
        <v>0.375</v>
      </c>
      <c r="P41" s="34">
        <v>0.75</v>
      </c>
      <c r="Q41" s="42" t="s">
        <v>23</v>
      </c>
      <c r="R41" s="33" t="s">
        <v>23</v>
      </c>
      <c r="S41" s="42" t="s">
        <v>23</v>
      </c>
      <c r="T41" s="33" t="s">
        <v>23</v>
      </c>
    </row>
    <row r="42" customHeight="1" spans="1:20">
      <c r="A42" s="26">
        <v>10259973</v>
      </c>
      <c r="B42" s="26" t="s">
        <v>99</v>
      </c>
      <c r="C42" s="26" t="s">
        <v>246</v>
      </c>
      <c r="D42" s="38"/>
      <c r="E42" s="38"/>
      <c r="F42" s="38"/>
      <c r="G42" s="30">
        <v>0.375</v>
      </c>
      <c r="H42" s="34">
        <v>0.75</v>
      </c>
      <c r="I42" s="30">
        <v>0.375</v>
      </c>
      <c r="J42" s="34">
        <v>0.75</v>
      </c>
      <c r="K42" s="30">
        <v>0.375</v>
      </c>
      <c r="L42" s="34">
        <v>0.75</v>
      </c>
      <c r="M42" s="30">
        <v>0.375</v>
      </c>
      <c r="N42" s="34">
        <v>0.75</v>
      </c>
      <c r="O42" s="30">
        <v>0.375</v>
      </c>
      <c r="P42" s="34">
        <v>0.75</v>
      </c>
      <c r="Q42" s="33" t="s">
        <v>23</v>
      </c>
      <c r="R42" s="33" t="s">
        <v>23</v>
      </c>
      <c r="S42" s="33" t="s">
        <v>23</v>
      </c>
      <c r="T42" s="33" t="s">
        <v>23</v>
      </c>
    </row>
    <row r="43" customHeight="1" spans="1:20">
      <c r="A43" s="26">
        <v>10225640</v>
      </c>
      <c r="B43" s="26" t="s">
        <v>100</v>
      </c>
      <c r="C43" s="26" t="s">
        <v>172</v>
      </c>
      <c r="D43" s="26" t="s">
        <v>21</v>
      </c>
      <c r="E43" s="26" t="s">
        <v>22</v>
      </c>
      <c r="F43" s="26">
        <v>2</v>
      </c>
      <c r="G43" s="30">
        <v>0.375</v>
      </c>
      <c r="H43" s="34">
        <v>0.75</v>
      </c>
      <c r="I43" s="30">
        <v>0.375</v>
      </c>
      <c r="J43" s="34">
        <v>0.75</v>
      </c>
      <c r="K43" s="30">
        <v>0.375</v>
      </c>
      <c r="L43" s="34">
        <v>0.75</v>
      </c>
      <c r="M43" s="30">
        <v>0.375</v>
      </c>
      <c r="N43" s="34">
        <v>0.75</v>
      </c>
      <c r="O43" s="30">
        <v>0.375</v>
      </c>
      <c r="P43" s="34">
        <v>0.75</v>
      </c>
      <c r="Q43" s="33" t="s">
        <v>23</v>
      </c>
      <c r="R43" s="33" t="s">
        <v>23</v>
      </c>
      <c r="S43" s="33" t="s">
        <v>23</v>
      </c>
      <c r="T43" s="33" t="s">
        <v>23</v>
      </c>
    </row>
    <row r="44" customHeight="1" spans="1:20">
      <c r="A44" s="26">
        <v>10316835</v>
      </c>
      <c r="B44" s="26" t="s">
        <v>171</v>
      </c>
      <c r="C44" s="26" t="s">
        <v>172</v>
      </c>
      <c r="D44" s="26" t="s">
        <v>21</v>
      </c>
      <c r="E44" s="26" t="s">
        <v>22</v>
      </c>
      <c r="F44" s="27">
        <v>1</v>
      </c>
      <c r="G44" s="30">
        <v>0.375</v>
      </c>
      <c r="H44" s="29">
        <v>0.875</v>
      </c>
      <c r="I44" s="30">
        <v>0.375</v>
      </c>
      <c r="J44" s="29">
        <v>0.875</v>
      </c>
      <c r="K44" s="39">
        <v>0.416666666666667</v>
      </c>
      <c r="L44" s="29">
        <v>0.875</v>
      </c>
      <c r="M44" s="33" t="s">
        <v>23</v>
      </c>
      <c r="N44" s="33" t="s">
        <v>23</v>
      </c>
      <c r="O44" s="33" t="s">
        <v>23</v>
      </c>
      <c r="P44" s="33" t="s">
        <v>23</v>
      </c>
      <c r="Q44" s="40">
        <v>0.458333333333333</v>
      </c>
      <c r="R44" s="41">
        <v>0.666666666666667</v>
      </c>
      <c r="S44" s="40">
        <v>0.458333333333333</v>
      </c>
      <c r="T44" s="41">
        <v>0.666666666666667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3"/>
    <mergeCell ref="B1:B3"/>
    <mergeCell ref="C1:C3"/>
    <mergeCell ref="D1:D3"/>
    <mergeCell ref="E1:E3"/>
    <mergeCell ref="F1:F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FF"/>
    <outlinePr summaryBelow="0" summaryRight="0"/>
  </sheetPr>
  <dimension ref="A1:BX1600"/>
  <sheetViews>
    <sheetView workbookViewId="0">
      <selection activeCell="A1" sqref="A1:A3"/>
    </sheetView>
  </sheetViews>
  <sheetFormatPr defaultColWidth="12.6272727272727" defaultRowHeight="15.75" customHeight="1"/>
  <cols>
    <col min="1" max="1" width="10.1272727272727" customWidth="1"/>
    <col min="2" max="2" width="18.7545454545455" customWidth="1"/>
    <col min="3" max="3" width="7.12727272727273" customWidth="1"/>
    <col min="4" max="4" width="11.1272727272727" customWidth="1"/>
    <col min="5" max="6" width="4.75454545454545" customWidth="1"/>
    <col min="7" max="66" width="9.88181818181818" customWidth="1"/>
    <col min="67" max="76" width="12.8818181818182" customWidth="1"/>
  </cols>
  <sheetData>
    <row r="1" customHeight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45628</v>
      </c>
      <c r="H1" s="14"/>
      <c r="I1" s="3">
        <v>45629</v>
      </c>
      <c r="J1" s="14"/>
      <c r="K1" s="3">
        <v>45630</v>
      </c>
      <c r="L1" s="14"/>
      <c r="M1" s="3">
        <v>45631</v>
      </c>
      <c r="N1" s="14"/>
      <c r="O1" s="3">
        <v>45632</v>
      </c>
      <c r="P1" s="14"/>
      <c r="Q1" s="3">
        <v>45633</v>
      </c>
      <c r="R1" s="14"/>
      <c r="S1" s="3">
        <v>45634</v>
      </c>
      <c r="T1" s="14"/>
      <c r="U1" s="18">
        <v>45635</v>
      </c>
      <c r="W1" s="18">
        <v>45636</v>
      </c>
      <c r="Y1" s="18">
        <v>45637</v>
      </c>
      <c r="AA1" s="18">
        <v>45638</v>
      </c>
      <c r="AC1" s="18">
        <v>45639</v>
      </c>
      <c r="AE1" s="18">
        <v>45640</v>
      </c>
      <c r="AG1" s="18">
        <v>45641</v>
      </c>
      <c r="AI1" s="18">
        <v>45642</v>
      </c>
      <c r="AK1" s="18">
        <v>45643</v>
      </c>
      <c r="AM1" s="18">
        <v>45644</v>
      </c>
      <c r="AO1" s="18">
        <v>45645</v>
      </c>
      <c r="AQ1" s="18">
        <v>45646</v>
      </c>
      <c r="AS1" s="18">
        <v>45647</v>
      </c>
      <c r="AU1" s="18">
        <v>45648</v>
      </c>
      <c r="AW1" s="18">
        <v>45649</v>
      </c>
      <c r="AY1" s="18">
        <v>45650</v>
      </c>
      <c r="BA1" s="18">
        <v>45651</v>
      </c>
      <c r="BC1" s="18">
        <v>45652</v>
      </c>
      <c r="BE1" s="18">
        <v>45653</v>
      </c>
      <c r="BG1" s="18">
        <v>45654</v>
      </c>
      <c r="BI1" s="18">
        <v>45655</v>
      </c>
      <c r="BK1" s="18">
        <v>45656</v>
      </c>
      <c r="BM1" s="18">
        <v>45657</v>
      </c>
      <c r="BO1" s="17"/>
      <c r="BP1" s="17"/>
      <c r="BQ1" s="17"/>
      <c r="BR1" s="17"/>
      <c r="BS1" s="17"/>
      <c r="BT1" s="17"/>
      <c r="BU1" s="17"/>
      <c r="BV1" s="17"/>
      <c r="BW1" s="17"/>
      <c r="BX1" s="17"/>
    </row>
    <row r="2" customHeight="1" spans="1:76">
      <c r="A2" s="15"/>
      <c r="B2" s="15"/>
      <c r="C2" s="15"/>
      <c r="D2" s="15"/>
      <c r="E2" s="15"/>
      <c r="F2" s="15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  <c r="U2" s="19" t="s">
        <v>80</v>
      </c>
      <c r="V2" s="19" t="s">
        <v>81</v>
      </c>
      <c r="W2" s="19" t="s">
        <v>80</v>
      </c>
      <c r="X2" s="19" t="s">
        <v>81</v>
      </c>
      <c r="Y2" s="19" t="s">
        <v>80</v>
      </c>
      <c r="Z2" s="19" t="s">
        <v>81</v>
      </c>
      <c r="AA2" s="19" t="s">
        <v>80</v>
      </c>
      <c r="AB2" s="19" t="s">
        <v>81</v>
      </c>
      <c r="AC2" s="19" t="s">
        <v>80</v>
      </c>
      <c r="AD2" s="19" t="s">
        <v>81</v>
      </c>
      <c r="AE2" s="19" t="s">
        <v>80</v>
      </c>
      <c r="AF2" s="19" t="s">
        <v>81</v>
      </c>
      <c r="AG2" s="19" t="s">
        <v>80</v>
      </c>
      <c r="AH2" s="19" t="s">
        <v>81</v>
      </c>
      <c r="AI2" s="19" t="s">
        <v>80</v>
      </c>
      <c r="AJ2" s="19" t="s">
        <v>81</v>
      </c>
      <c r="AK2" s="19" t="s">
        <v>80</v>
      </c>
      <c r="AL2" s="19" t="s">
        <v>81</v>
      </c>
      <c r="AM2" s="19" t="s">
        <v>80</v>
      </c>
      <c r="AN2" s="19" t="s">
        <v>81</v>
      </c>
      <c r="AO2" s="19" t="s">
        <v>80</v>
      </c>
      <c r="AP2" s="19" t="s">
        <v>81</v>
      </c>
      <c r="AQ2" s="19" t="s">
        <v>80</v>
      </c>
      <c r="AR2" s="19" t="s">
        <v>81</v>
      </c>
      <c r="AS2" s="19" t="s">
        <v>80</v>
      </c>
      <c r="AT2" s="19" t="s">
        <v>81</v>
      </c>
      <c r="AU2" s="19" t="s">
        <v>80</v>
      </c>
      <c r="AV2" s="19" t="s">
        <v>81</v>
      </c>
      <c r="AW2" s="19" t="s">
        <v>80</v>
      </c>
      <c r="AX2" s="19" t="s">
        <v>81</v>
      </c>
      <c r="AY2" s="19" t="s">
        <v>80</v>
      </c>
      <c r="AZ2" s="19" t="s">
        <v>81</v>
      </c>
      <c r="BA2" s="19" t="s">
        <v>80</v>
      </c>
      <c r="BB2" s="19" t="s">
        <v>81</v>
      </c>
      <c r="BC2" s="19" t="s">
        <v>80</v>
      </c>
      <c r="BD2" s="19" t="s">
        <v>81</v>
      </c>
      <c r="BE2" s="19" t="s">
        <v>80</v>
      </c>
      <c r="BF2" s="19" t="s">
        <v>81</v>
      </c>
      <c r="BG2" s="19" t="s">
        <v>80</v>
      </c>
      <c r="BH2" s="19" t="s">
        <v>81</v>
      </c>
      <c r="BI2" s="19" t="s">
        <v>80</v>
      </c>
      <c r="BJ2" s="19" t="s">
        <v>81</v>
      </c>
      <c r="BK2" s="19" t="s">
        <v>80</v>
      </c>
      <c r="BL2" s="19" t="s">
        <v>81</v>
      </c>
      <c r="BM2" s="19" t="s">
        <v>80</v>
      </c>
      <c r="BN2" s="19" t="s">
        <v>81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</row>
    <row r="3" customHeight="1" spans="1:76">
      <c r="A3" s="5"/>
      <c r="B3" s="5"/>
      <c r="C3" s="5"/>
      <c r="D3" s="5"/>
      <c r="E3" s="5"/>
      <c r="F3" s="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7"/>
      <c r="BP3" s="17"/>
      <c r="BQ3" s="17"/>
      <c r="BR3" s="17"/>
      <c r="BS3" s="17"/>
      <c r="BT3" s="17"/>
      <c r="BU3" s="17"/>
      <c r="BV3" s="17"/>
      <c r="BW3" s="17"/>
      <c r="BX3" s="17"/>
    </row>
    <row r="4" customHeight="1" spans="1:76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0">
        <v>0.375</v>
      </c>
      <c r="V4" s="20">
        <v>0.75</v>
      </c>
      <c r="W4" s="20">
        <v>0.375</v>
      </c>
      <c r="X4" s="20">
        <v>0.75</v>
      </c>
      <c r="Y4" s="20">
        <v>0.375</v>
      </c>
      <c r="Z4" s="20">
        <v>0.75</v>
      </c>
      <c r="AA4" s="20">
        <v>0.375</v>
      </c>
      <c r="AB4" s="20">
        <v>0.75</v>
      </c>
      <c r="AC4" s="20">
        <v>0.375</v>
      </c>
      <c r="AD4" s="20">
        <v>0.75</v>
      </c>
      <c r="AE4" s="17" t="s">
        <v>23</v>
      </c>
      <c r="AF4" s="17" t="s">
        <v>23</v>
      </c>
      <c r="AG4" s="17" t="s">
        <v>23</v>
      </c>
      <c r="AH4" s="17" t="s">
        <v>23</v>
      </c>
      <c r="AI4" s="20">
        <v>0.5</v>
      </c>
      <c r="AJ4" s="20">
        <v>0.875</v>
      </c>
      <c r="AK4" s="20">
        <v>0.5</v>
      </c>
      <c r="AL4" s="20">
        <v>0.875</v>
      </c>
      <c r="AM4" s="20">
        <v>0.5</v>
      </c>
      <c r="AN4" s="20">
        <v>0.875</v>
      </c>
      <c r="AO4" s="20">
        <v>0.5</v>
      </c>
      <c r="AP4" s="20">
        <v>0.875</v>
      </c>
      <c r="AQ4" s="20">
        <v>0.5</v>
      </c>
      <c r="AR4" s="20">
        <v>0.875</v>
      </c>
      <c r="AS4" s="17" t="s">
        <v>23</v>
      </c>
      <c r="AT4" s="17" t="s">
        <v>23</v>
      </c>
      <c r="AU4" s="17" t="s">
        <v>23</v>
      </c>
      <c r="AV4" s="17" t="s">
        <v>23</v>
      </c>
      <c r="AW4" s="20">
        <v>0.375</v>
      </c>
      <c r="AX4" s="20">
        <v>0.75</v>
      </c>
      <c r="AY4" s="20">
        <v>0.375</v>
      </c>
      <c r="AZ4" s="20">
        <v>0.75</v>
      </c>
      <c r="BA4" s="20">
        <v>0.375</v>
      </c>
      <c r="BB4" s="20">
        <v>0.75</v>
      </c>
      <c r="BC4" s="20">
        <v>0.375</v>
      </c>
      <c r="BD4" s="20">
        <v>0.75</v>
      </c>
      <c r="BE4" s="20">
        <v>0.375</v>
      </c>
      <c r="BF4" s="20">
        <v>0.75</v>
      </c>
      <c r="BG4" s="17" t="s">
        <v>23</v>
      </c>
      <c r="BH4" s="17" t="s">
        <v>23</v>
      </c>
      <c r="BI4" s="17" t="s">
        <v>23</v>
      </c>
      <c r="BJ4" s="17" t="s">
        <v>23</v>
      </c>
      <c r="BK4" s="20">
        <v>0.5</v>
      </c>
      <c r="BL4" s="20">
        <v>0.875</v>
      </c>
      <c r="BM4" s="20">
        <v>0.5</v>
      </c>
      <c r="BN4" s="20">
        <v>0.875</v>
      </c>
      <c r="BO4" s="21">
        <f>IFERROR(__xludf.DUMMYFUNCTION("TO_PURE_NUMBER(SUM(FILTER(G4:BN4, ISEVEN(COLUMN(G4:BN4))))-SUM(FILTER(G4:BN4, ISODD(COLUMN(G4:BN4)))))*24"),198)</f>
        <v>198</v>
      </c>
      <c r="BP4" s="17"/>
      <c r="BQ4" s="17"/>
      <c r="BR4" s="17"/>
      <c r="BS4" s="17"/>
      <c r="BT4" s="17"/>
      <c r="BU4" s="17"/>
      <c r="BV4" s="17"/>
      <c r="BW4" s="17"/>
      <c r="BX4" s="17"/>
    </row>
    <row r="5" customHeight="1" spans="1:76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0.75</v>
      </c>
      <c r="I5" s="8">
        <v>0.375</v>
      </c>
      <c r="J5" s="8">
        <v>0.75</v>
      </c>
      <c r="K5" s="8">
        <v>0.375</v>
      </c>
      <c r="L5" s="8">
        <v>0.75</v>
      </c>
      <c r="M5" s="8">
        <v>0.375</v>
      </c>
      <c r="N5" s="8">
        <v>0.75</v>
      </c>
      <c r="O5" s="8">
        <v>0.375</v>
      </c>
      <c r="P5" s="8">
        <v>0.75</v>
      </c>
      <c r="Q5" s="7" t="s">
        <v>23</v>
      </c>
      <c r="R5" s="7" t="s">
        <v>23</v>
      </c>
      <c r="S5" s="7" t="s">
        <v>23</v>
      </c>
      <c r="T5" s="7" t="s">
        <v>23</v>
      </c>
      <c r="U5" s="20">
        <v>0.458333333332121</v>
      </c>
      <c r="V5" s="20">
        <v>0.875</v>
      </c>
      <c r="W5" s="20">
        <v>0.458333333332121</v>
      </c>
      <c r="X5" s="20">
        <v>0.875</v>
      </c>
      <c r="Y5" s="20">
        <v>0.458333333332121</v>
      </c>
      <c r="Z5" s="20">
        <v>0.875</v>
      </c>
      <c r="AA5" s="20">
        <v>0.458333333332121</v>
      </c>
      <c r="AB5" s="20">
        <v>0.875</v>
      </c>
      <c r="AC5" s="17" t="s">
        <v>23</v>
      </c>
      <c r="AD5" s="17" t="s">
        <v>23</v>
      </c>
      <c r="AE5" s="17" t="s">
        <v>23</v>
      </c>
      <c r="AF5" s="17" t="s">
        <v>23</v>
      </c>
      <c r="AG5" s="20">
        <v>0.458333333332121</v>
      </c>
      <c r="AH5" s="20">
        <v>0.666666666667879</v>
      </c>
      <c r="AI5" s="20">
        <v>0.375</v>
      </c>
      <c r="AJ5" s="20">
        <v>0.791666666667879</v>
      </c>
      <c r="AK5" s="20">
        <v>0.375</v>
      </c>
      <c r="AL5" s="20">
        <v>0.791666666667879</v>
      </c>
      <c r="AM5" s="20">
        <v>0.375</v>
      </c>
      <c r="AN5" s="20">
        <v>0.791666666667879</v>
      </c>
      <c r="AO5" s="20">
        <v>0.375</v>
      </c>
      <c r="AP5" s="20">
        <v>0.791666666667879</v>
      </c>
      <c r="AQ5" s="17" t="s">
        <v>23</v>
      </c>
      <c r="AR5" s="17" t="s">
        <v>23</v>
      </c>
      <c r="AS5" s="17" t="s">
        <v>23</v>
      </c>
      <c r="AT5" s="17" t="s">
        <v>23</v>
      </c>
      <c r="AU5" s="20">
        <v>0.458333333332121</v>
      </c>
      <c r="AV5" s="20">
        <v>0.666666666667879</v>
      </c>
      <c r="AW5" s="20">
        <v>0.5</v>
      </c>
      <c r="AX5" s="20">
        <v>0.875</v>
      </c>
      <c r="AY5" s="20">
        <v>0.5</v>
      </c>
      <c r="AZ5" s="20">
        <v>0.875</v>
      </c>
      <c r="BA5" s="20">
        <v>0.5</v>
      </c>
      <c r="BB5" s="20">
        <v>0.875</v>
      </c>
      <c r="BC5" s="20">
        <v>0.5</v>
      </c>
      <c r="BD5" s="20">
        <v>0.875</v>
      </c>
      <c r="BE5" s="20">
        <v>0.5</v>
      </c>
      <c r="BF5" s="20">
        <v>0.875</v>
      </c>
      <c r="BG5" s="17" t="s">
        <v>23</v>
      </c>
      <c r="BH5" s="17" t="s">
        <v>23</v>
      </c>
      <c r="BI5" s="17" t="s">
        <v>23</v>
      </c>
      <c r="BJ5" s="17" t="s">
        <v>23</v>
      </c>
      <c r="BK5" s="20">
        <v>0.375</v>
      </c>
      <c r="BL5" s="20">
        <v>0.791666666667879</v>
      </c>
      <c r="BM5" s="20">
        <v>0.375</v>
      </c>
      <c r="BN5" s="20">
        <v>0.791666666667879</v>
      </c>
      <c r="BO5" s="21">
        <f>IFERROR(__xludf.DUMMYFUNCTION("TO_PURE_NUMBER(SUM(FILTER(G5:BN5, ISEVEN(COLUMN(G5:BN5))))-SUM(FILTER(G5:BN5, ISODD(COLUMN(G5:BN5)))))*24"),200.000000000407)</f>
        <v>200.000000000407</v>
      </c>
      <c r="BP5" s="17"/>
      <c r="BQ5" s="17"/>
      <c r="BR5" s="17"/>
      <c r="BS5" s="17"/>
      <c r="BT5" s="17"/>
      <c r="BU5" s="17"/>
      <c r="BV5" s="17"/>
      <c r="BW5" s="17"/>
      <c r="BX5" s="17"/>
    </row>
    <row r="6" customHeight="1" spans="1:76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0.375</v>
      </c>
      <c r="H6" s="8">
        <v>0.791666666667879</v>
      </c>
      <c r="I6" s="8">
        <v>0.375</v>
      </c>
      <c r="J6" s="8">
        <v>0.791666666667879</v>
      </c>
      <c r="K6" s="8">
        <v>0.375</v>
      </c>
      <c r="L6" s="8">
        <v>0.791666666667879</v>
      </c>
      <c r="M6" s="8">
        <v>0.375</v>
      </c>
      <c r="N6" s="8">
        <v>0.791666666667879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0">
        <v>0.458333333332121</v>
      </c>
      <c r="V6" s="20">
        <v>0.875</v>
      </c>
      <c r="W6" s="20">
        <v>0.458333333332121</v>
      </c>
      <c r="X6" s="20">
        <v>0.875</v>
      </c>
      <c r="Y6" s="20">
        <v>0.458333333332121</v>
      </c>
      <c r="Z6" s="20">
        <v>0.875</v>
      </c>
      <c r="AA6" s="20">
        <v>0.458333333332121</v>
      </c>
      <c r="AB6" s="20">
        <v>0.875</v>
      </c>
      <c r="AC6" s="17" t="s">
        <v>23</v>
      </c>
      <c r="AD6" s="17" t="s">
        <v>23</v>
      </c>
      <c r="AE6" s="17" t="s">
        <v>23</v>
      </c>
      <c r="AF6" s="17" t="s">
        <v>23</v>
      </c>
      <c r="AG6" s="20">
        <v>0.458333333332121</v>
      </c>
      <c r="AH6" s="20">
        <v>0.666666666667879</v>
      </c>
      <c r="AI6" s="20">
        <v>0.416666666667879</v>
      </c>
      <c r="AJ6" s="20">
        <v>0.833333333332121</v>
      </c>
      <c r="AK6" s="20">
        <v>0.416666666667879</v>
      </c>
      <c r="AL6" s="20">
        <v>0.833333333332121</v>
      </c>
      <c r="AM6" s="20">
        <v>0.416666666667879</v>
      </c>
      <c r="AN6" s="20">
        <v>0.833333333332121</v>
      </c>
      <c r="AO6" s="20">
        <v>0.416666666667879</v>
      </c>
      <c r="AP6" s="20">
        <v>0.833333333332121</v>
      </c>
      <c r="AQ6" s="17" t="s">
        <v>23</v>
      </c>
      <c r="AR6" s="17" t="s">
        <v>23</v>
      </c>
      <c r="AS6" s="17" t="s">
        <v>23</v>
      </c>
      <c r="AT6" s="17" t="s">
        <v>23</v>
      </c>
      <c r="AU6" s="20">
        <v>0.458333333332121</v>
      </c>
      <c r="AV6" s="20">
        <v>0.666666666667879</v>
      </c>
      <c r="AW6" s="20">
        <v>0.5</v>
      </c>
      <c r="AX6" s="20">
        <v>0.875</v>
      </c>
      <c r="AY6" s="20">
        <v>0.5</v>
      </c>
      <c r="AZ6" s="20">
        <v>0.875</v>
      </c>
      <c r="BA6" s="20">
        <v>0.5</v>
      </c>
      <c r="BB6" s="20">
        <v>0.875</v>
      </c>
      <c r="BC6" s="20">
        <v>0.5</v>
      </c>
      <c r="BD6" s="20">
        <v>0.875</v>
      </c>
      <c r="BE6" s="20">
        <v>0.5</v>
      </c>
      <c r="BF6" s="20">
        <v>0.875</v>
      </c>
      <c r="BG6" s="17" t="s">
        <v>23</v>
      </c>
      <c r="BH6" s="17" t="s">
        <v>23</v>
      </c>
      <c r="BI6" s="17" t="s">
        <v>23</v>
      </c>
      <c r="BJ6" s="17" t="s">
        <v>23</v>
      </c>
      <c r="BK6" s="20">
        <v>0.375</v>
      </c>
      <c r="BL6" s="20">
        <v>0.75</v>
      </c>
      <c r="BM6" s="20">
        <v>0.375</v>
      </c>
      <c r="BN6" s="20">
        <v>0.75</v>
      </c>
      <c r="BO6" s="21">
        <f>IFERROR(__xludf.DUMMYFUNCTION("TO_PURE_NUMBER(SUM(FILTER(G6:BN6, ISEVEN(COLUMN(G6:BN6))))-SUM(FILTER(G6:BN6, ISODD(COLUMN(G6:BN6)))))*24"),198.000000000174)</f>
        <v>198.000000000174</v>
      </c>
      <c r="BP6" s="17"/>
      <c r="BQ6" s="17"/>
      <c r="BR6" s="17"/>
      <c r="BS6" s="17"/>
      <c r="BT6" s="17"/>
      <c r="BU6" s="17"/>
      <c r="BV6" s="17"/>
      <c r="BW6" s="17"/>
      <c r="BX6" s="17"/>
    </row>
    <row r="7" customHeight="1" spans="1:76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0">
        <v>0.5</v>
      </c>
      <c r="V7" s="20">
        <v>0.875</v>
      </c>
      <c r="W7" s="20">
        <v>0.5</v>
      </c>
      <c r="X7" s="20">
        <v>0.875</v>
      </c>
      <c r="Y7" s="20">
        <v>0.5</v>
      </c>
      <c r="Z7" s="20">
        <v>0.875</v>
      </c>
      <c r="AA7" s="20">
        <v>0.5</v>
      </c>
      <c r="AB7" s="20">
        <v>0.875</v>
      </c>
      <c r="AC7" s="20">
        <v>0.5</v>
      </c>
      <c r="AD7" s="20">
        <v>0.875</v>
      </c>
      <c r="AE7" s="17" t="s">
        <v>23</v>
      </c>
      <c r="AF7" s="17" t="s">
        <v>23</v>
      </c>
      <c r="AG7" s="17" t="s">
        <v>23</v>
      </c>
      <c r="AH7" s="17" t="s">
        <v>23</v>
      </c>
      <c r="AI7" s="20">
        <v>0.375</v>
      </c>
      <c r="AJ7" s="20">
        <v>0.75</v>
      </c>
      <c r="AK7" s="20">
        <v>0.375</v>
      </c>
      <c r="AL7" s="20">
        <v>0.75</v>
      </c>
      <c r="AM7" s="20">
        <v>0.375</v>
      </c>
      <c r="AN7" s="20">
        <v>0.75</v>
      </c>
      <c r="AO7" s="20">
        <v>0.375</v>
      </c>
      <c r="AP7" s="20">
        <v>0.75</v>
      </c>
      <c r="AQ7" s="20">
        <v>0.375</v>
      </c>
      <c r="AR7" s="20">
        <v>0.75</v>
      </c>
      <c r="AS7" s="17" t="s">
        <v>23</v>
      </c>
      <c r="AT7" s="17" t="s">
        <v>23</v>
      </c>
      <c r="AU7" s="17" t="s">
        <v>23</v>
      </c>
      <c r="AV7" s="17" t="s">
        <v>23</v>
      </c>
      <c r="AW7" s="20">
        <v>0.5</v>
      </c>
      <c r="AX7" s="20">
        <v>0.875</v>
      </c>
      <c r="AY7" s="20">
        <v>0.5</v>
      </c>
      <c r="AZ7" s="20">
        <v>0.875</v>
      </c>
      <c r="BA7" s="20">
        <v>0.5</v>
      </c>
      <c r="BB7" s="20">
        <v>0.875</v>
      </c>
      <c r="BC7" s="20">
        <v>0.5</v>
      </c>
      <c r="BD7" s="20">
        <v>0.875</v>
      </c>
      <c r="BE7" s="20">
        <v>0.5</v>
      </c>
      <c r="BF7" s="20">
        <v>0.875</v>
      </c>
      <c r="BG7" s="17" t="s">
        <v>23</v>
      </c>
      <c r="BH7" s="17" t="s">
        <v>23</v>
      </c>
      <c r="BI7" s="17" t="s">
        <v>23</v>
      </c>
      <c r="BJ7" s="17" t="s">
        <v>23</v>
      </c>
      <c r="BK7" s="20">
        <v>0.375</v>
      </c>
      <c r="BL7" s="20">
        <v>0.75</v>
      </c>
      <c r="BM7" s="20">
        <v>0.375</v>
      </c>
      <c r="BN7" s="20">
        <v>0.75</v>
      </c>
      <c r="BO7" s="21">
        <f>IFERROR(__xludf.DUMMYFUNCTION("TO_PURE_NUMBER(SUM(FILTER(G7:BN7, ISEVEN(COLUMN(G7:BN7))))-SUM(FILTER(G7:BN7, ISODD(COLUMN(G7:BN7)))))*24"),198)</f>
        <v>198</v>
      </c>
      <c r="BP7" s="17"/>
      <c r="BQ7" s="17"/>
      <c r="BR7" s="17"/>
      <c r="BS7" s="17"/>
      <c r="BT7" s="17"/>
      <c r="BU7" s="17"/>
      <c r="BV7" s="17"/>
      <c r="BW7" s="17"/>
      <c r="BX7" s="17"/>
    </row>
    <row r="8" customHeight="1" spans="1:76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0">
        <v>0.5</v>
      </c>
      <c r="V8" s="20">
        <v>0.875</v>
      </c>
      <c r="W8" s="20">
        <v>0.5</v>
      </c>
      <c r="X8" s="20">
        <v>0.875</v>
      </c>
      <c r="Y8" s="20">
        <v>0.5</v>
      </c>
      <c r="Z8" s="20">
        <v>0.875</v>
      </c>
      <c r="AA8" s="20">
        <v>0.5</v>
      </c>
      <c r="AB8" s="20">
        <v>0.875</v>
      </c>
      <c r="AC8" s="20">
        <v>0.5</v>
      </c>
      <c r="AD8" s="20">
        <v>0.875</v>
      </c>
      <c r="AE8" s="17" t="s">
        <v>23</v>
      </c>
      <c r="AF8" s="17" t="s">
        <v>23</v>
      </c>
      <c r="AG8" s="17" t="s">
        <v>23</v>
      </c>
      <c r="AH8" s="17" t="s">
        <v>23</v>
      </c>
      <c r="AI8" s="20">
        <v>0.375</v>
      </c>
      <c r="AJ8" s="20">
        <v>0.791666666667879</v>
      </c>
      <c r="AK8" s="20">
        <v>0.375</v>
      </c>
      <c r="AL8" s="20">
        <v>0.791666666667879</v>
      </c>
      <c r="AM8" s="20">
        <v>0.375</v>
      </c>
      <c r="AN8" s="20">
        <v>0.791666666667879</v>
      </c>
      <c r="AO8" s="20">
        <v>0.375</v>
      </c>
      <c r="AP8" s="20">
        <v>0.791666666667879</v>
      </c>
      <c r="AQ8" s="17" t="s">
        <v>23</v>
      </c>
      <c r="AR8" s="17" t="s">
        <v>23</v>
      </c>
      <c r="AS8" s="17" t="s">
        <v>23</v>
      </c>
      <c r="AT8" s="17" t="s">
        <v>23</v>
      </c>
      <c r="AU8" s="20">
        <v>0.458333333332121</v>
      </c>
      <c r="AV8" s="20">
        <v>0.666666666667879</v>
      </c>
      <c r="AW8" s="20">
        <v>0.458333333332121</v>
      </c>
      <c r="AX8" s="20">
        <v>0.875</v>
      </c>
      <c r="AY8" s="20">
        <v>0.458333333332121</v>
      </c>
      <c r="AZ8" s="20">
        <v>0.875</v>
      </c>
      <c r="BA8" s="20">
        <v>0.458333333332121</v>
      </c>
      <c r="BB8" s="20">
        <v>0.875</v>
      </c>
      <c r="BC8" s="20">
        <v>0.458333333332121</v>
      </c>
      <c r="BD8" s="20">
        <v>0.875</v>
      </c>
      <c r="BE8" s="17" t="s">
        <v>23</v>
      </c>
      <c r="BF8" s="17" t="s">
        <v>23</v>
      </c>
      <c r="BG8" s="17" t="s">
        <v>23</v>
      </c>
      <c r="BH8" s="17" t="s">
        <v>23</v>
      </c>
      <c r="BI8" s="20">
        <v>0.458333333332121</v>
      </c>
      <c r="BJ8" s="20">
        <v>0.666666666667879</v>
      </c>
      <c r="BK8" s="20">
        <v>0.375</v>
      </c>
      <c r="BL8" s="20">
        <v>0.75</v>
      </c>
      <c r="BM8" s="20">
        <v>0.375</v>
      </c>
      <c r="BN8" s="20">
        <v>0.75</v>
      </c>
      <c r="BO8" s="21">
        <f>IFERROR(__xludf.DUMMYFUNCTION("TO_PURE_NUMBER(SUM(FILTER(G8:BN8, ISEVEN(COLUMN(G8:BN8))))-SUM(FILTER(G8:BN8, ISODD(COLUMN(G8:BN8)))))*24"),198.000000000523)</f>
        <v>198.000000000523</v>
      </c>
      <c r="BP8" s="17"/>
      <c r="BQ8" s="17"/>
      <c r="BR8" s="17"/>
      <c r="BS8" s="17"/>
      <c r="BT8" s="17"/>
      <c r="BU8" s="17"/>
      <c r="BV8" s="17"/>
      <c r="BW8" s="17"/>
      <c r="BX8" s="17"/>
    </row>
    <row r="9" customHeight="1" spans="1:76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0.666666666667879</v>
      </c>
      <c r="H9" s="8">
        <v>0.875</v>
      </c>
      <c r="I9" s="7" t="s">
        <v>23</v>
      </c>
      <c r="J9" s="7" t="s">
        <v>23</v>
      </c>
      <c r="K9" s="7" t="s">
        <v>23</v>
      </c>
      <c r="L9" s="7" t="s">
        <v>23</v>
      </c>
      <c r="M9" s="8">
        <v>0.666666666667879</v>
      </c>
      <c r="N9" s="8">
        <v>0.875</v>
      </c>
      <c r="O9" s="8">
        <v>0.666666666667879</v>
      </c>
      <c r="P9" s="8">
        <v>0.875</v>
      </c>
      <c r="Q9" s="8">
        <v>0.458333333332121</v>
      </c>
      <c r="R9" s="8">
        <v>0.666666666667879</v>
      </c>
      <c r="S9" s="8">
        <v>0.458333333332121</v>
      </c>
      <c r="T9" s="8">
        <v>0.666666666667879</v>
      </c>
      <c r="U9" s="20">
        <v>0.375</v>
      </c>
      <c r="V9" s="20">
        <v>0.583333333332121</v>
      </c>
      <c r="W9" s="17" t="s">
        <v>23</v>
      </c>
      <c r="X9" s="17" t="s">
        <v>23</v>
      </c>
      <c r="Y9" s="17" t="s">
        <v>23</v>
      </c>
      <c r="Z9" s="17" t="s">
        <v>23</v>
      </c>
      <c r="AA9" s="20">
        <v>0.375</v>
      </c>
      <c r="AB9" s="20">
        <v>0.583333333332121</v>
      </c>
      <c r="AC9" s="20">
        <v>0.375</v>
      </c>
      <c r="AD9" s="20">
        <v>0.583333333332121</v>
      </c>
      <c r="AE9" s="20">
        <v>0.458333333332121</v>
      </c>
      <c r="AF9" s="20">
        <v>0.666666666667879</v>
      </c>
      <c r="AG9" s="20">
        <v>0.458333333332121</v>
      </c>
      <c r="AH9" s="20">
        <v>0.666666666667879</v>
      </c>
      <c r="AI9" s="20">
        <v>0.666666666667879</v>
      </c>
      <c r="AJ9" s="20">
        <v>0.875</v>
      </c>
      <c r="AK9" s="17" t="s">
        <v>23</v>
      </c>
      <c r="AL9" s="17" t="s">
        <v>23</v>
      </c>
      <c r="AM9" s="17" t="s">
        <v>23</v>
      </c>
      <c r="AN9" s="17" t="s">
        <v>23</v>
      </c>
      <c r="AO9" s="20">
        <v>0.666666666667879</v>
      </c>
      <c r="AP9" s="20">
        <v>0.875</v>
      </c>
      <c r="AQ9" s="20">
        <v>0.666666666667879</v>
      </c>
      <c r="AR9" s="20">
        <v>0.875</v>
      </c>
      <c r="AS9" s="20">
        <v>0.458333333332121</v>
      </c>
      <c r="AT9" s="20">
        <v>0.666666666667879</v>
      </c>
      <c r="AU9" s="20">
        <v>0.458333333332121</v>
      </c>
      <c r="AV9" s="20">
        <v>0.666666666667879</v>
      </c>
      <c r="AW9" s="20">
        <v>0.375</v>
      </c>
      <c r="AX9" s="20">
        <v>0.583333333332121</v>
      </c>
      <c r="AY9" s="17" t="s">
        <v>23</v>
      </c>
      <c r="AZ9" s="17" t="s">
        <v>23</v>
      </c>
      <c r="BA9" s="17" t="s">
        <v>23</v>
      </c>
      <c r="BB9" s="17" t="s">
        <v>23</v>
      </c>
      <c r="BC9" s="20">
        <v>0.375</v>
      </c>
      <c r="BD9" s="20">
        <v>0.583333333332121</v>
      </c>
      <c r="BE9" s="20">
        <v>0.375</v>
      </c>
      <c r="BF9" s="20">
        <v>0.583333333332121</v>
      </c>
      <c r="BG9" s="20">
        <v>0.458333333332121</v>
      </c>
      <c r="BH9" s="20">
        <v>0.666666666667879</v>
      </c>
      <c r="BI9" s="20">
        <v>0.458333333332121</v>
      </c>
      <c r="BJ9" s="20">
        <v>0.666666666667879</v>
      </c>
      <c r="BK9" s="20">
        <v>0.666666666667879</v>
      </c>
      <c r="BL9" s="20">
        <v>0.875</v>
      </c>
      <c r="BM9" s="17" t="s">
        <v>23</v>
      </c>
      <c r="BN9" s="17" t="s">
        <v>23</v>
      </c>
      <c r="BO9" s="21">
        <f>IFERROR(__xludf.DUMMYFUNCTION("TO_PURE_NUMBER(SUM(FILTER(G9:BN9, ISEVEN(COLUMN(G9:BN9))))-SUM(FILTER(G9:BN9, ISODD(COLUMN(G9:BN9)))))*24"),105.000000000087)</f>
        <v>105.000000000087</v>
      </c>
      <c r="BP9" s="17"/>
      <c r="BQ9" s="17"/>
      <c r="BR9" s="17"/>
      <c r="BS9" s="17"/>
      <c r="BT9" s="17"/>
      <c r="BU9" s="17"/>
      <c r="BV9" s="17"/>
      <c r="BW9" s="17"/>
      <c r="BX9" s="17"/>
    </row>
    <row r="10" customHeight="1" spans="1:76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17" t="s">
        <v>23</v>
      </c>
      <c r="V10" s="17" t="s">
        <v>23</v>
      </c>
      <c r="W10" s="20">
        <v>0.458333333332121</v>
      </c>
      <c r="X10" s="20">
        <v>0.875</v>
      </c>
      <c r="Y10" s="20">
        <v>0.458333333332121</v>
      </c>
      <c r="Z10" s="20">
        <v>0.875</v>
      </c>
      <c r="AA10" s="20">
        <v>0.458333333332121</v>
      </c>
      <c r="AB10" s="20">
        <v>0.875</v>
      </c>
      <c r="AC10" s="20">
        <v>0.458333333332121</v>
      </c>
      <c r="AD10" s="20">
        <v>0.875</v>
      </c>
      <c r="AE10" s="20">
        <v>0.458333333332121</v>
      </c>
      <c r="AF10" s="20">
        <v>0.666666666667879</v>
      </c>
      <c r="AG10" s="17" t="s">
        <v>23</v>
      </c>
      <c r="AH10" s="17" t="s">
        <v>23</v>
      </c>
      <c r="AI10" s="17" t="s">
        <v>23</v>
      </c>
      <c r="AJ10" s="17" t="s">
        <v>23</v>
      </c>
      <c r="AK10" s="20">
        <v>0.375</v>
      </c>
      <c r="AL10" s="20">
        <v>0.791666666667879</v>
      </c>
      <c r="AM10" s="20">
        <v>0.375</v>
      </c>
      <c r="AN10" s="20">
        <v>0.791666666667879</v>
      </c>
      <c r="AO10" s="20">
        <v>0.375</v>
      </c>
      <c r="AP10" s="20">
        <v>0.791666666667879</v>
      </c>
      <c r="AQ10" s="20">
        <v>0.375</v>
      </c>
      <c r="AR10" s="20">
        <v>0.791666666667879</v>
      </c>
      <c r="AS10" s="20">
        <v>0.458333333332121</v>
      </c>
      <c r="AT10" s="20">
        <v>0.666666666667879</v>
      </c>
      <c r="AU10" s="17" t="s">
        <v>23</v>
      </c>
      <c r="AV10" s="17" t="s">
        <v>23</v>
      </c>
      <c r="AW10" s="17" t="s">
        <v>23</v>
      </c>
      <c r="AX10" s="17" t="s">
        <v>23</v>
      </c>
      <c r="AY10" s="20">
        <v>0.458333333332121</v>
      </c>
      <c r="AZ10" s="20">
        <v>0.875</v>
      </c>
      <c r="BA10" s="20">
        <v>0.458333333332121</v>
      </c>
      <c r="BB10" s="20">
        <v>0.875</v>
      </c>
      <c r="BC10" s="20">
        <v>0.458333333332121</v>
      </c>
      <c r="BD10" s="20">
        <v>0.875</v>
      </c>
      <c r="BE10" s="20">
        <v>0.458333333332121</v>
      </c>
      <c r="BF10" s="20">
        <v>0.875</v>
      </c>
      <c r="BG10" s="20">
        <v>0.458333333332121</v>
      </c>
      <c r="BH10" s="20">
        <v>0.666666666667879</v>
      </c>
      <c r="BI10" s="17" t="s">
        <v>23</v>
      </c>
      <c r="BJ10" s="17" t="s">
        <v>23</v>
      </c>
      <c r="BK10" s="17" t="s">
        <v>23</v>
      </c>
      <c r="BL10" s="17" t="s">
        <v>23</v>
      </c>
      <c r="BM10" s="20">
        <v>0.375</v>
      </c>
      <c r="BN10" s="20">
        <v>0.791666666667879</v>
      </c>
      <c r="BO10" s="21">
        <f>IFERROR(__xludf.DUMMYFUNCTION("TO_PURE_NUMBER(SUM(FILTER(G10:BN10, ISEVEN(COLUMN(G10:BN10))))-SUM(FILTER(G10:BN10, ISODD(COLUMN(G10:BN10)))))*24"),190.000000000727)</f>
        <v>190.000000000727</v>
      </c>
      <c r="BP10" s="17"/>
      <c r="BQ10" s="17"/>
      <c r="BR10" s="17"/>
      <c r="BS10" s="17"/>
      <c r="BT10" s="17"/>
      <c r="BU10" s="17"/>
      <c r="BV10" s="17"/>
      <c r="BW10" s="17"/>
      <c r="BX10" s="17"/>
    </row>
    <row r="11" customHeight="1" spans="1:76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0">
        <v>0.5</v>
      </c>
      <c r="V11" s="20">
        <v>0.875</v>
      </c>
      <c r="W11" s="17" t="s">
        <v>23</v>
      </c>
      <c r="X11" s="17" t="s">
        <v>23</v>
      </c>
      <c r="Y11" s="17" t="s">
        <v>23</v>
      </c>
      <c r="Z11" s="17" t="s">
        <v>23</v>
      </c>
      <c r="AA11" s="20">
        <v>0.5</v>
      </c>
      <c r="AB11" s="20">
        <v>0.875</v>
      </c>
      <c r="AC11" s="20">
        <v>0.5</v>
      </c>
      <c r="AD11" s="20">
        <v>0.875</v>
      </c>
      <c r="AE11" s="20">
        <v>0.458333333332121</v>
      </c>
      <c r="AF11" s="20">
        <v>0.666666666667879</v>
      </c>
      <c r="AG11" s="20">
        <v>0.458333333332121</v>
      </c>
      <c r="AH11" s="20">
        <v>0.666666666667879</v>
      </c>
      <c r="AI11" s="20">
        <v>0.375</v>
      </c>
      <c r="AJ11" s="20">
        <v>0.75</v>
      </c>
      <c r="AK11" s="17" t="s">
        <v>23</v>
      </c>
      <c r="AL11" s="17" t="s">
        <v>23</v>
      </c>
      <c r="AM11" s="17" t="s">
        <v>23</v>
      </c>
      <c r="AN11" s="17" t="s">
        <v>23</v>
      </c>
      <c r="AO11" s="20">
        <v>0.375</v>
      </c>
      <c r="AP11" s="20">
        <v>0.75</v>
      </c>
      <c r="AQ11" s="20">
        <v>0.375</v>
      </c>
      <c r="AR11" s="20">
        <v>0.75</v>
      </c>
      <c r="AS11" s="20">
        <v>0.458333333332121</v>
      </c>
      <c r="AT11" s="20">
        <v>0.666666666667879</v>
      </c>
      <c r="AU11" s="20">
        <v>0.458333333332121</v>
      </c>
      <c r="AV11" s="20">
        <v>0.666666666667879</v>
      </c>
      <c r="AW11" s="20">
        <v>0.5</v>
      </c>
      <c r="AX11" s="20">
        <v>0.875</v>
      </c>
      <c r="AY11" s="17" t="s">
        <v>23</v>
      </c>
      <c r="AZ11" s="17" t="s">
        <v>23</v>
      </c>
      <c r="BA11" s="17" t="s">
        <v>23</v>
      </c>
      <c r="BB11" s="17" t="s">
        <v>23</v>
      </c>
      <c r="BC11" s="20">
        <v>0.5</v>
      </c>
      <c r="BD11" s="20">
        <v>0.875</v>
      </c>
      <c r="BE11" s="20">
        <v>0.5</v>
      </c>
      <c r="BF11" s="20">
        <v>0.875</v>
      </c>
      <c r="BG11" s="20">
        <v>0.458333333332121</v>
      </c>
      <c r="BH11" s="20">
        <v>0.666666666667879</v>
      </c>
      <c r="BI11" s="20">
        <v>0.458333333332121</v>
      </c>
      <c r="BJ11" s="20">
        <v>0.666666666667879</v>
      </c>
      <c r="BK11" s="20">
        <v>0.375</v>
      </c>
      <c r="BL11" s="20">
        <v>0.75</v>
      </c>
      <c r="BM11" s="17" t="s">
        <v>23</v>
      </c>
      <c r="BN11" s="17" t="s">
        <v>23</v>
      </c>
      <c r="BO11" s="21">
        <f>IFERROR(__xludf.DUMMYFUNCTION("TO_PURE_NUMBER(SUM(FILTER(G11:BN11, ISEVEN(COLUMN(G11:BN11))))-SUM(FILTER(G11:BN11, ISODD(COLUMN(G11:BN11)))))*24"),157.000000000465)</f>
        <v>157.000000000465</v>
      </c>
      <c r="BP11" s="17"/>
      <c r="BQ11" s="17"/>
      <c r="BR11" s="17"/>
      <c r="BS11" s="17"/>
      <c r="BT11" s="17"/>
      <c r="BU11" s="17"/>
      <c r="BV11" s="17"/>
      <c r="BW11" s="17"/>
      <c r="BX11" s="17"/>
    </row>
    <row r="12" customHeight="1" spans="1:76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0">
        <v>0.5</v>
      </c>
      <c r="V12" s="20">
        <v>0.875</v>
      </c>
      <c r="W12" s="20">
        <v>0.5</v>
      </c>
      <c r="X12" s="20">
        <v>0.875</v>
      </c>
      <c r="Y12" s="20">
        <v>0.5</v>
      </c>
      <c r="Z12" s="20">
        <v>0.875</v>
      </c>
      <c r="AA12" s="20">
        <v>0.5</v>
      </c>
      <c r="AB12" s="20">
        <v>0.875</v>
      </c>
      <c r="AC12" s="20">
        <v>0.5</v>
      </c>
      <c r="AD12" s="20">
        <v>0.875</v>
      </c>
      <c r="AE12" s="17" t="s">
        <v>23</v>
      </c>
      <c r="AF12" s="17" t="s">
        <v>23</v>
      </c>
      <c r="AG12" s="17" t="s">
        <v>23</v>
      </c>
      <c r="AH12" s="17" t="s">
        <v>23</v>
      </c>
      <c r="AI12" s="20">
        <v>0.375</v>
      </c>
      <c r="AJ12" s="20">
        <v>0.75</v>
      </c>
      <c r="AK12" s="20">
        <v>0.375</v>
      </c>
      <c r="AL12" s="20">
        <v>0.75</v>
      </c>
      <c r="AM12" s="20">
        <v>0.375</v>
      </c>
      <c r="AN12" s="20">
        <v>0.75</v>
      </c>
      <c r="AO12" s="20">
        <v>0.375</v>
      </c>
      <c r="AP12" s="20">
        <v>0.75</v>
      </c>
      <c r="AQ12" s="20">
        <v>0.375</v>
      </c>
      <c r="AR12" s="20">
        <v>0.75</v>
      </c>
      <c r="AS12" s="17" t="s">
        <v>23</v>
      </c>
      <c r="AT12" s="17" t="s">
        <v>23</v>
      </c>
      <c r="AU12" s="17" t="s">
        <v>23</v>
      </c>
      <c r="AV12" s="17" t="s">
        <v>23</v>
      </c>
      <c r="AW12" s="20">
        <v>0.5</v>
      </c>
      <c r="AX12" s="20">
        <v>0.875</v>
      </c>
      <c r="AY12" s="20">
        <v>0.5</v>
      </c>
      <c r="AZ12" s="20">
        <v>0.875</v>
      </c>
      <c r="BA12" s="20">
        <v>0.5</v>
      </c>
      <c r="BB12" s="20">
        <v>0.875</v>
      </c>
      <c r="BC12" s="20">
        <v>0.5</v>
      </c>
      <c r="BD12" s="20">
        <v>0.875</v>
      </c>
      <c r="BE12" s="20">
        <v>0.5</v>
      </c>
      <c r="BF12" s="20">
        <v>0.875</v>
      </c>
      <c r="BG12" s="17" t="s">
        <v>23</v>
      </c>
      <c r="BH12" s="17" t="s">
        <v>23</v>
      </c>
      <c r="BI12" s="17" t="s">
        <v>23</v>
      </c>
      <c r="BJ12" s="17" t="s">
        <v>23</v>
      </c>
      <c r="BK12" s="20">
        <v>0.375</v>
      </c>
      <c r="BL12" s="20">
        <v>0.75</v>
      </c>
      <c r="BM12" s="20">
        <v>0.375</v>
      </c>
      <c r="BN12" s="20">
        <v>0.75</v>
      </c>
      <c r="BO12" s="21">
        <f>IFERROR(__xludf.DUMMYFUNCTION("TO_PURE_NUMBER(SUM(FILTER(G12:BN12, ISEVEN(COLUMN(G12:BN12))))-SUM(FILTER(G12:BN12, ISODD(COLUMN(G12:BN12)))))*24"),198)</f>
        <v>198</v>
      </c>
      <c r="BP12" s="17"/>
      <c r="BQ12" s="17"/>
      <c r="BR12" s="17"/>
      <c r="BS12" s="17"/>
      <c r="BT12" s="17"/>
      <c r="BU12" s="17"/>
      <c r="BV12" s="17"/>
      <c r="BW12" s="17"/>
      <c r="BX12" s="17"/>
    </row>
    <row r="13" customHeight="1" spans="1:76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0">
        <v>0.375</v>
      </c>
      <c r="V13" s="20">
        <v>0.75</v>
      </c>
      <c r="W13" s="20">
        <v>0.375</v>
      </c>
      <c r="X13" s="20">
        <v>0.75</v>
      </c>
      <c r="Y13" s="20">
        <v>0.375</v>
      </c>
      <c r="Z13" s="20">
        <v>0.75</v>
      </c>
      <c r="AA13" s="20">
        <v>0.375</v>
      </c>
      <c r="AB13" s="20">
        <v>0.75</v>
      </c>
      <c r="AC13" s="17" t="s">
        <v>23</v>
      </c>
      <c r="AD13" s="17" t="s">
        <v>23</v>
      </c>
      <c r="AE13" s="17" t="s">
        <v>23</v>
      </c>
      <c r="AF13" s="17" t="s">
        <v>23</v>
      </c>
      <c r="AG13" s="20">
        <v>0.458333333332121</v>
      </c>
      <c r="AH13" s="20">
        <v>0.666666666667879</v>
      </c>
      <c r="AI13" s="20">
        <v>0.5</v>
      </c>
      <c r="AJ13" s="20">
        <v>0.875</v>
      </c>
      <c r="AK13" s="20">
        <v>0.5</v>
      </c>
      <c r="AL13" s="20">
        <v>0.875</v>
      </c>
      <c r="AM13" s="20">
        <v>0.5</v>
      </c>
      <c r="AN13" s="20">
        <v>0.875</v>
      </c>
      <c r="AO13" s="20">
        <v>0.5</v>
      </c>
      <c r="AP13" s="20">
        <v>0.875</v>
      </c>
      <c r="AQ13" s="17" t="s">
        <v>23</v>
      </c>
      <c r="AR13" s="17" t="s">
        <v>23</v>
      </c>
      <c r="AS13" s="17" t="s">
        <v>23</v>
      </c>
      <c r="AT13" s="17" t="s">
        <v>23</v>
      </c>
      <c r="AU13" s="20">
        <v>0.458333333332121</v>
      </c>
      <c r="AV13" s="20">
        <v>0.666666666667879</v>
      </c>
      <c r="AW13" s="20">
        <v>0.375</v>
      </c>
      <c r="AX13" s="20">
        <v>0.75</v>
      </c>
      <c r="AY13" s="20">
        <v>0.375</v>
      </c>
      <c r="AZ13" s="20">
        <v>0.75</v>
      </c>
      <c r="BA13" s="20">
        <v>0.375</v>
      </c>
      <c r="BB13" s="20">
        <v>0.75</v>
      </c>
      <c r="BC13" s="20">
        <v>0.375</v>
      </c>
      <c r="BD13" s="20">
        <v>0.75</v>
      </c>
      <c r="BE13" s="17" t="s">
        <v>23</v>
      </c>
      <c r="BF13" s="17" t="s">
        <v>23</v>
      </c>
      <c r="BG13" s="17" t="s">
        <v>23</v>
      </c>
      <c r="BH13" s="17" t="s">
        <v>23</v>
      </c>
      <c r="BI13" s="20">
        <v>0.458333333332121</v>
      </c>
      <c r="BJ13" s="20">
        <v>0.666666666667879</v>
      </c>
      <c r="BK13" s="20">
        <v>0.5</v>
      </c>
      <c r="BL13" s="20">
        <v>0.875</v>
      </c>
      <c r="BM13" s="20">
        <v>0.5</v>
      </c>
      <c r="BN13" s="20">
        <v>0.875</v>
      </c>
      <c r="BO13" s="21">
        <f>IFERROR(__xludf.DUMMYFUNCTION("TO_PURE_NUMBER(SUM(FILTER(G13:BN13, ISEVEN(COLUMN(G13:BN13))))-SUM(FILTER(G13:BN13, ISODD(COLUMN(G13:BN13)))))*24"),182.000000000232)</f>
        <v>182.000000000232</v>
      </c>
      <c r="BP13" s="17"/>
      <c r="BQ13" s="17"/>
      <c r="BR13" s="17"/>
      <c r="BS13" s="17"/>
      <c r="BT13" s="17"/>
      <c r="BU13" s="17"/>
      <c r="BV13" s="17"/>
      <c r="BW13" s="17"/>
      <c r="BX13" s="17"/>
    </row>
    <row r="14" customHeight="1" spans="1:76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0">
        <v>0.375</v>
      </c>
      <c r="V14" s="20">
        <v>0.75</v>
      </c>
      <c r="W14" s="20">
        <v>0.375</v>
      </c>
      <c r="X14" s="20">
        <v>0.75</v>
      </c>
      <c r="Y14" s="20">
        <v>0.375</v>
      </c>
      <c r="Z14" s="20">
        <v>0.75</v>
      </c>
      <c r="AA14" s="20">
        <v>0.375</v>
      </c>
      <c r="AB14" s="20">
        <v>0.75</v>
      </c>
      <c r="AC14" s="20">
        <v>0.375</v>
      </c>
      <c r="AD14" s="20">
        <v>0.75</v>
      </c>
      <c r="AE14" s="17" t="s">
        <v>23</v>
      </c>
      <c r="AF14" s="17" t="s">
        <v>23</v>
      </c>
      <c r="AG14" s="17" t="s">
        <v>23</v>
      </c>
      <c r="AH14" s="17" t="s">
        <v>23</v>
      </c>
      <c r="AI14" s="20">
        <v>0.5</v>
      </c>
      <c r="AJ14" s="20">
        <v>0.875</v>
      </c>
      <c r="AK14" s="20">
        <v>0.5</v>
      </c>
      <c r="AL14" s="20">
        <v>0.875</v>
      </c>
      <c r="AM14" s="20">
        <v>0.5</v>
      </c>
      <c r="AN14" s="20">
        <v>0.875</v>
      </c>
      <c r="AO14" s="20">
        <v>0.5</v>
      </c>
      <c r="AP14" s="20">
        <v>0.875</v>
      </c>
      <c r="AQ14" s="20">
        <v>0.5</v>
      </c>
      <c r="AR14" s="20">
        <v>0.875</v>
      </c>
      <c r="AS14" s="17" t="s">
        <v>23</v>
      </c>
      <c r="AT14" s="17" t="s">
        <v>23</v>
      </c>
      <c r="AU14" s="17" t="s">
        <v>23</v>
      </c>
      <c r="AV14" s="17" t="s">
        <v>23</v>
      </c>
      <c r="AW14" s="20">
        <v>0.375</v>
      </c>
      <c r="AX14" s="20">
        <v>0.75</v>
      </c>
      <c r="AY14" s="20">
        <v>0.375</v>
      </c>
      <c r="AZ14" s="20">
        <v>0.75</v>
      </c>
      <c r="BA14" s="20">
        <v>0.375</v>
      </c>
      <c r="BB14" s="20">
        <v>0.75</v>
      </c>
      <c r="BC14" s="20">
        <v>0.375</v>
      </c>
      <c r="BD14" s="20">
        <v>0.75</v>
      </c>
      <c r="BE14" s="20">
        <v>0.375</v>
      </c>
      <c r="BF14" s="20">
        <v>0.75</v>
      </c>
      <c r="BG14" s="17" t="s">
        <v>23</v>
      </c>
      <c r="BH14" s="17" t="s">
        <v>23</v>
      </c>
      <c r="BI14" s="17" t="s">
        <v>23</v>
      </c>
      <c r="BJ14" s="17" t="s">
        <v>23</v>
      </c>
      <c r="BK14" s="20">
        <v>0.5</v>
      </c>
      <c r="BL14" s="20">
        <v>0.875</v>
      </c>
      <c r="BM14" s="20">
        <v>0.5</v>
      </c>
      <c r="BN14" s="20">
        <v>0.875</v>
      </c>
      <c r="BO14" s="21">
        <f>IFERROR(__xludf.DUMMYFUNCTION("TO_PURE_NUMBER(SUM(FILTER(G14:BN14, ISEVEN(COLUMN(G14:BN14))))-SUM(FILTER(G14:BN14, ISODD(COLUMN(G14:BN14)))))*24"),198)</f>
        <v>198</v>
      </c>
      <c r="BP14" s="17"/>
      <c r="BQ14" s="17"/>
      <c r="BR14" s="17"/>
      <c r="BS14" s="17"/>
      <c r="BT14" s="17"/>
      <c r="BU14" s="17"/>
      <c r="BV14" s="17"/>
      <c r="BW14" s="17"/>
      <c r="BX14" s="17"/>
    </row>
    <row r="15" customHeight="1" spans="1:76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17" t="s">
        <v>23</v>
      </c>
      <c r="V15" s="17" t="s">
        <v>23</v>
      </c>
      <c r="W15" s="20">
        <v>0.458333333332121</v>
      </c>
      <c r="X15" s="20">
        <v>0.875</v>
      </c>
      <c r="Y15" s="20">
        <v>0.458333333332121</v>
      </c>
      <c r="Z15" s="20">
        <v>0.875</v>
      </c>
      <c r="AA15" s="20">
        <v>0.458333333332121</v>
      </c>
      <c r="AB15" s="20">
        <v>0.875</v>
      </c>
      <c r="AC15" s="20">
        <v>0.458333333332121</v>
      </c>
      <c r="AD15" s="20">
        <v>0.875</v>
      </c>
      <c r="AE15" s="20">
        <v>0.458333333332121</v>
      </c>
      <c r="AF15" s="20">
        <v>0.666666666667879</v>
      </c>
      <c r="AG15" s="17" t="s">
        <v>23</v>
      </c>
      <c r="AH15" s="17" t="s">
        <v>23</v>
      </c>
      <c r="AI15" s="17" t="s">
        <v>23</v>
      </c>
      <c r="AJ15" s="17" t="s">
        <v>23</v>
      </c>
      <c r="AK15" s="20">
        <v>0.375</v>
      </c>
      <c r="AL15" s="20">
        <v>0.791666666667879</v>
      </c>
      <c r="AM15" s="20">
        <v>0.375</v>
      </c>
      <c r="AN15" s="20">
        <v>0.791666666667879</v>
      </c>
      <c r="AO15" s="20">
        <v>0.375</v>
      </c>
      <c r="AP15" s="20">
        <v>0.791666666667879</v>
      </c>
      <c r="AQ15" s="20">
        <v>0.375</v>
      </c>
      <c r="AR15" s="20">
        <v>0.791666666667879</v>
      </c>
      <c r="AS15" s="20">
        <v>0.458333333332121</v>
      </c>
      <c r="AT15" s="20">
        <v>0.666666666667879</v>
      </c>
      <c r="AU15" s="17" t="s">
        <v>23</v>
      </c>
      <c r="AV15" s="17" t="s">
        <v>23</v>
      </c>
      <c r="AW15" s="17" t="s">
        <v>23</v>
      </c>
      <c r="AX15" s="17" t="s">
        <v>23</v>
      </c>
      <c r="AY15" s="20">
        <v>0.458333333332121</v>
      </c>
      <c r="AZ15" s="20">
        <v>0.875</v>
      </c>
      <c r="BA15" s="20">
        <v>0.458333333332121</v>
      </c>
      <c r="BB15" s="20">
        <v>0.875</v>
      </c>
      <c r="BC15" s="20">
        <v>0.458333333332121</v>
      </c>
      <c r="BD15" s="20">
        <v>0.875</v>
      </c>
      <c r="BE15" s="20">
        <v>0.458333333332121</v>
      </c>
      <c r="BF15" s="20">
        <v>0.875</v>
      </c>
      <c r="BG15" s="20">
        <v>0.458333333332121</v>
      </c>
      <c r="BH15" s="20">
        <v>0.666666666667879</v>
      </c>
      <c r="BI15" s="17" t="s">
        <v>23</v>
      </c>
      <c r="BJ15" s="17" t="s">
        <v>23</v>
      </c>
      <c r="BK15" s="17" t="s">
        <v>23</v>
      </c>
      <c r="BL15" s="17" t="s">
        <v>23</v>
      </c>
      <c r="BM15" s="20">
        <v>0.416666666667879</v>
      </c>
      <c r="BN15" s="20">
        <v>0.833333333332121</v>
      </c>
      <c r="BO15" s="21">
        <f>IFERROR(__xludf.DUMMYFUNCTION("TO_PURE_NUMBER(SUM(FILTER(G15:BN15, ISEVEN(COLUMN(G15:BN15))))-SUM(FILTER(G15:BN15, ISODD(COLUMN(G15:BN15)))))*24"),190.00000000064)</f>
        <v>190.00000000064</v>
      </c>
      <c r="BP15" s="17"/>
      <c r="BQ15" s="17"/>
      <c r="BR15" s="17"/>
      <c r="BS15" s="17"/>
      <c r="BT15" s="17"/>
      <c r="BU15" s="17"/>
      <c r="BV15" s="17"/>
      <c r="BW15" s="17"/>
      <c r="BX15" s="17"/>
    </row>
    <row r="16" customHeight="1" spans="1:76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0.666666666667879</v>
      </c>
      <c r="H16" s="8">
        <v>0.875</v>
      </c>
      <c r="I16" s="8">
        <v>0.666666666667879</v>
      </c>
      <c r="J16" s="8">
        <v>0.875</v>
      </c>
      <c r="K16" s="8">
        <v>0.666666666667879</v>
      </c>
      <c r="L16" s="8">
        <v>0.875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0">
        <v>0.375</v>
      </c>
      <c r="V16" s="20">
        <v>0.583333333332121</v>
      </c>
      <c r="W16" s="20">
        <v>0.375</v>
      </c>
      <c r="X16" s="20">
        <v>0.583333333332121</v>
      </c>
      <c r="Y16" s="20">
        <v>0.375</v>
      </c>
      <c r="Z16" s="20">
        <v>0.583333333332121</v>
      </c>
      <c r="AA16" s="17" t="s">
        <v>23</v>
      </c>
      <c r="AB16" s="17" t="s">
        <v>23</v>
      </c>
      <c r="AC16" s="17" t="s">
        <v>23</v>
      </c>
      <c r="AD16" s="17" t="s">
        <v>23</v>
      </c>
      <c r="AE16" s="20">
        <v>0.458333333332121</v>
      </c>
      <c r="AF16" s="20">
        <v>0.666666666667879</v>
      </c>
      <c r="AG16" s="20">
        <v>0.458333333332121</v>
      </c>
      <c r="AH16" s="20">
        <v>0.666666666667879</v>
      </c>
      <c r="AI16" s="20">
        <v>0.666666666667879</v>
      </c>
      <c r="AJ16" s="20">
        <v>0.875</v>
      </c>
      <c r="AK16" s="20">
        <v>0.666666666667879</v>
      </c>
      <c r="AL16" s="20">
        <v>0.875</v>
      </c>
      <c r="AM16" s="20">
        <v>0.666666666667879</v>
      </c>
      <c r="AN16" s="20">
        <v>0.875</v>
      </c>
      <c r="AO16" s="17" t="s">
        <v>23</v>
      </c>
      <c r="AP16" s="17" t="s">
        <v>23</v>
      </c>
      <c r="AQ16" s="17" t="s">
        <v>23</v>
      </c>
      <c r="AR16" s="17" t="s">
        <v>23</v>
      </c>
      <c r="AS16" s="20">
        <v>0.458333333332121</v>
      </c>
      <c r="AT16" s="20">
        <v>0.666666666667879</v>
      </c>
      <c r="AU16" s="20">
        <v>0.458333333332121</v>
      </c>
      <c r="AV16" s="20">
        <v>0.666666666667879</v>
      </c>
      <c r="AW16" s="20">
        <v>0.375</v>
      </c>
      <c r="AX16" s="20">
        <v>0.583333333332121</v>
      </c>
      <c r="AY16" s="20">
        <v>0.375</v>
      </c>
      <c r="AZ16" s="20">
        <v>0.583333333332121</v>
      </c>
      <c r="BA16" s="17" t="s">
        <v>23</v>
      </c>
      <c r="BB16" s="17" t="s">
        <v>23</v>
      </c>
      <c r="BC16" s="17" t="s">
        <v>23</v>
      </c>
      <c r="BD16" s="17" t="s">
        <v>23</v>
      </c>
      <c r="BE16" s="20">
        <v>0.375</v>
      </c>
      <c r="BF16" s="20">
        <v>0.583333333332121</v>
      </c>
      <c r="BG16" s="20">
        <v>0.458333333332121</v>
      </c>
      <c r="BH16" s="20">
        <v>0.666666666667879</v>
      </c>
      <c r="BI16" s="20">
        <v>0.458333333332121</v>
      </c>
      <c r="BJ16" s="20">
        <v>0.666666666667879</v>
      </c>
      <c r="BK16" s="20">
        <v>0.666666666667879</v>
      </c>
      <c r="BL16" s="20">
        <v>0.875</v>
      </c>
      <c r="BM16" s="17" t="s">
        <v>23</v>
      </c>
      <c r="BN16" s="17" t="s">
        <v>23</v>
      </c>
      <c r="BO16" s="21">
        <f>IFERROR(__xludf.DUMMYFUNCTION("TO_PURE_NUMBER(SUM(FILTER(G16:BN16, ISEVEN(COLUMN(G16:BN16))))-SUM(FILTER(G16:BN16, ISODD(COLUMN(G16:BN16)))))*24"),105.000000000087)</f>
        <v>105.000000000087</v>
      </c>
      <c r="BP16" s="17"/>
      <c r="BQ16" s="17"/>
      <c r="BR16" s="17"/>
      <c r="BS16" s="17"/>
      <c r="BT16" s="17"/>
      <c r="BU16" s="17"/>
      <c r="BV16" s="17"/>
      <c r="BW16" s="17"/>
      <c r="BX16" s="17"/>
    </row>
    <row r="17" customHeight="1" spans="1:76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0.375</v>
      </c>
      <c r="P17" s="8">
        <v>0.791666666667879</v>
      </c>
      <c r="Q17" s="8">
        <v>0.416666666667879</v>
      </c>
      <c r="R17" s="8">
        <v>0.625</v>
      </c>
      <c r="S17" s="7" t="s">
        <v>23</v>
      </c>
      <c r="T17" s="7" t="s">
        <v>23</v>
      </c>
      <c r="U17" s="17" t="s">
        <v>23</v>
      </c>
      <c r="V17" s="17" t="s">
        <v>23</v>
      </c>
      <c r="W17" s="20">
        <v>0.333333333332121</v>
      </c>
      <c r="X17" s="20">
        <v>0.75</v>
      </c>
      <c r="Y17" s="20">
        <v>0.333333333332121</v>
      </c>
      <c r="Z17" s="20">
        <v>0.75</v>
      </c>
      <c r="AA17" s="20">
        <v>0.333333333332121</v>
      </c>
      <c r="AB17" s="20">
        <v>0.75</v>
      </c>
      <c r="AC17" s="20">
        <v>0.333333333332121</v>
      </c>
      <c r="AD17" s="20">
        <v>0.75</v>
      </c>
      <c r="AE17" s="20">
        <v>0.416666666667879</v>
      </c>
      <c r="AF17" s="20">
        <v>0.625</v>
      </c>
      <c r="AG17" s="17" t="s">
        <v>23</v>
      </c>
      <c r="AH17" s="17" t="s">
        <v>23</v>
      </c>
      <c r="AI17" s="17" t="s">
        <v>23</v>
      </c>
      <c r="AJ17" s="17" t="s">
        <v>23</v>
      </c>
      <c r="AK17" s="20">
        <v>0.333333333332121</v>
      </c>
      <c r="AL17" s="20">
        <v>0.75</v>
      </c>
      <c r="AM17" s="20">
        <v>0.333333333332121</v>
      </c>
      <c r="AN17" s="20">
        <v>0.75</v>
      </c>
      <c r="AO17" s="20">
        <v>0.333333333332121</v>
      </c>
      <c r="AP17" s="20">
        <v>0.75</v>
      </c>
      <c r="AQ17" s="20">
        <v>0.333333333332121</v>
      </c>
      <c r="AR17" s="20">
        <v>0.75</v>
      </c>
      <c r="AS17" s="20">
        <v>0.416666666667879</v>
      </c>
      <c r="AT17" s="20">
        <v>0.625</v>
      </c>
      <c r="AU17" s="17" t="s">
        <v>23</v>
      </c>
      <c r="AV17" s="17" t="s">
        <v>23</v>
      </c>
      <c r="AW17" s="17" t="s">
        <v>23</v>
      </c>
      <c r="AX17" s="17" t="s">
        <v>23</v>
      </c>
      <c r="AY17" s="20">
        <v>0.375</v>
      </c>
      <c r="AZ17" s="20">
        <v>0.791666666667879</v>
      </c>
      <c r="BA17" s="20">
        <v>0.375</v>
      </c>
      <c r="BB17" s="20">
        <v>0.791666666667879</v>
      </c>
      <c r="BC17" s="20">
        <v>0.375</v>
      </c>
      <c r="BD17" s="20">
        <v>0.791666666667879</v>
      </c>
      <c r="BE17" s="20">
        <v>0.333333333332121</v>
      </c>
      <c r="BF17" s="20">
        <v>0.75</v>
      </c>
      <c r="BG17" s="20">
        <v>0.416666666667879</v>
      </c>
      <c r="BH17" s="20">
        <v>0.625</v>
      </c>
      <c r="BI17" s="17" t="s">
        <v>23</v>
      </c>
      <c r="BJ17" s="17" t="s">
        <v>23</v>
      </c>
      <c r="BK17" s="17" t="s">
        <v>23</v>
      </c>
      <c r="BL17" s="17" t="s">
        <v>23</v>
      </c>
      <c r="BM17" s="20">
        <v>0.375</v>
      </c>
      <c r="BN17" s="20">
        <v>0.791666666667879</v>
      </c>
      <c r="BO17" s="21">
        <f>IFERROR(__xludf.DUMMYFUNCTION("TO_PURE_NUMBER(SUM(FILTER(G17:BN17, ISEVEN(COLUMN(G17:BN17))))-SUM(FILTER(G17:BN17, ISODD(COLUMN(G17:BN17)))))*24"),190.000000000378)</f>
        <v>190.000000000378</v>
      </c>
      <c r="BP17" s="17"/>
      <c r="BQ17" s="17"/>
      <c r="BR17" s="17"/>
      <c r="BS17" s="17"/>
      <c r="BT17" s="17"/>
      <c r="BU17" s="17"/>
      <c r="BV17" s="17"/>
      <c r="BW17" s="17"/>
      <c r="BX17" s="17"/>
    </row>
    <row r="18" customHeight="1" spans="1:76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17" t="s">
        <v>23</v>
      </c>
      <c r="V18" s="17" t="s">
        <v>23</v>
      </c>
      <c r="W18" s="20">
        <v>0.375</v>
      </c>
      <c r="X18" s="20">
        <v>0.791666666667879</v>
      </c>
      <c r="Y18" s="20">
        <v>0.375</v>
      </c>
      <c r="Z18" s="20">
        <v>0.791666666667879</v>
      </c>
      <c r="AA18" s="20">
        <v>0.375</v>
      </c>
      <c r="AB18" s="20">
        <v>0.791666666667879</v>
      </c>
      <c r="AC18" s="20">
        <v>0.375</v>
      </c>
      <c r="AD18" s="20">
        <v>0.791666666667879</v>
      </c>
      <c r="AE18" s="20">
        <v>0.458333333332121</v>
      </c>
      <c r="AF18" s="20">
        <v>0.666666666667879</v>
      </c>
      <c r="AG18" s="17" t="s">
        <v>23</v>
      </c>
      <c r="AH18" s="17" t="s">
        <v>23</v>
      </c>
      <c r="AI18" s="17" t="s">
        <v>23</v>
      </c>
      <c r="AJ18" s="17" t="s">
        <v>23</v>
      </c>
      <c r="AK18" s="20">
        <v>0.458333333332121</v>
      </c>
      <c r="AL18" s="20">
        <v>0.875</v>
      </c>
      <c r="AM18" s="20">
        <v>0.458333333332121</v>
      </c>
      <c r="AN18" s="20">
        <v>0.875</v>
      </c>
      <c r="AO18" s="20">
        <v>0.458333333332121</v>
      </c>
      <c r="AP18" s="20">
        <v>0.875</v>
      </c>
      <c r="AQ18" s="20">
        <v>0.458333333332121</v>
      </c>
      <c r="AR18" s="20">
        <v>0.875</v>
      </c>
      <c r="AS18" s="20">
        <v>0.458333333332121</v>
      </c>
      <c r="AT18" s="20">
        <v>0.666666666667879</v>
      </c>
      <c r="AU18" s="17" t="s">
        <v>23</v>
      </c>
      <c r="AV18" s="17" t="s">
        <v>23</v>
      </c>
      <c r="AW18" s="17" t="s">
        <v>23</v>
      </c>
      <c r="AX18" s="17" t="s">
        <v>23</v>
      </c>
      <c r="AY18" s="20">
        <v>0.375</v>
      </c>
      <c r="AZ18" s="20">
        <v>0.791666666667879</v>
      </c>
      <c r="BA18" s="20">
        <v>0.375</v>
      </c>
      <c r="BB18" s="20">
        <v>0.791666666667879</v>
      </c>
      <c r="BC18" s="20">
        <v>0.375</v>
      </c>
      <c r="BD18" s="20">
        <v>0.791666666667879</v>
      </c>
      <c r="BE18" s="20">
        <v>0.375</v>
      </c>
      <c r="BF18" s="20">
        <v>0.791666666667879</v>
      </c>
      <c r="BG18" s="20">
        <v>0.458333333332121</v>
      </c>
      <c r="BH18" s="20">
        <v>0.666666666667879</v>
      </c>
      <c r="BI18" s="17" t="s">
        <v>23</v>
      </c>
      <c r="BJ18" s="17" t="s">
        <v>23</v>
      </c>
      <c r="BK18" s="17" t="s">
        <v>23</v>
      </c>
      <c r="BL18" s="17" t="s">
        <v>23</v>
      </c>
      <c r="BM18" s="20">
        <v>0.458333333332121</v>
      </c>
      <c r="BN18" s="20">
        <v>0.875</v>
      </c>
      <c r="BO18" s="21">
        <f>IFERROR(__xludf.DUMMYFUNCTION("TO_PURE_NUMBER(SUM(FILTER(G18:BN18, ISEVEN(COLUMN(G18:BN18))))-SUM(FILTER(G18:BN18, ISODD(COLUMN(G18:BN18)))))*24"),190.000000000727)</f>
        <v>190.000000000727</v>
      </c>
      <c r="BP18" s="17"/>
      <c r="BQ18" s="17"/>
      <c r="BR18" s="17"/>
      <c r="BS18" s="17"/>
      <c r="BT18" s="17"/>
      <c r="BU18" s="17"/>
      <c r="BV18" s="17"/>
      <c r="BW18" s="17"/>
      <c r="BX18" s="17"/>
    </row>
    <row r="19" customHeight="1" spans="1:76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8">
        <v>0.5</v>
      </c>
      <c r="N19" s="8">
        <v>0.875</v>
      </c>
      <c r="O19" s="8">
        <v>0.5</v>
      </c>
      <c r="P19" s="8">
        <v>0.875</v>
      </c>
      <c r="Q19" s="7" t="s">
        <v>23</v>
      </c>
      <c r="R19" s="7" t="s">
        <v>23</v>
      </c>
      <c r="S19" s="7" t="s">
        <v>23</v>
      </c>
      <c r="T19" s="7" t="s">
        <v>23</v>
      </c>
      <c r="U19" s="20">
        <v>0.375</v>
      </c>
      <c r="V19" s="20">
        <v>0.75</v>
      </c>
      <c r="W19" s="20">
        <v>0.375</v>
      </c>
      <c r="X19" s="20">
        <v>0.75</v>
      </c>
      <c r="Y19" s="20">
        <v>0.375</v>
      </c>
      <c r="Z19" s="20">
        <v>0.75</v>
      </c>
      <c r="AA19" s="20">
        <v>0.375</v>
      </c>
      <c r="AB19" s="20">
        <v>0.75</v>
      </c>
      <c r="AC19" s="20">
        <v>0.375</v>
      </c>
      <c r="AD19" s="20">
        <v>0.75</v>
      </c>
      <c r="AE19" s="17" t="s">
        <v>23</v>
      </c>
      <c r="AF19" s="17" t="s">
        <v>23</v>
      </c>
      <c r="AG19" s="17" t="s">
        <v>23</v>
      </c>
      <c r="AH19" s="17" t="s">
        <v>23</v>
      </c>
      <c r="AI19" s="20">
        <v>0.5</v>
      </c>
      <c r="AJ19" s="20">
        <v>0.875</v>
      </c>
      <c r="AK19" s="20">
        <v>0.5</v>
      </c>
      <c r="AL19" s="20">
        <v>0.875</v>
      </c>
      <c r="AM19" s="20">
        <v>0.5</v>
      </c>
      <c r="AN19" s="20">
        <v>0.875</v>
      </c>
      <c r="AO19" s="20">
        <v>0.5</v>
      </c>
      <c r="AP19" s="20">
        <v>0.875</v>
      </c>
      <c r="AQ19" s="20">
        <v>0.5</v>
      </c>
      <c r="AR19" s="20">
        <v>0.875</v>
      </c>
      <c r="AS19" s="17" t="s">
        <v>23</v>
      </c>
      <c r="AT19" s="17" t="s">
        <v>23</v>
      </c>
      <c r="AU19" s="17" t="s">
        <v>23</v>
      </c>
      <c r="AV19" s="17" t="s">
        <v>23</v>
      </c>
      <c r="AW19" s="20">
        <v>0.375</v>
      </c>
      <c r="AX19" s="20">
        <v>0.75</v>
      </c>
      <c r="AY19" s="20">
        <v>0.375</v>
      </c>
      <c r="AZ19" s="20">
        <v>0.75</v>
      </c>
      <c r="BA19" s="20">
        <v>0.375</v>
      </c>
      <c r="BB19" s="20">
        <v>0.75</v>
      </c>
      <c r="BC19" s="20">
        <v>0.375</v>
      </c>
      <c r="BD19" s="20">
        <v>0.75</v>
      </c>
      <c r="BE19" s="20">
        <v>0.375</v>
      </c>
      <c r="BF19" s="20">
        <v>0.75</v>
      </c>
      <c r="BG19" s="17" t="s">
        <v>23</v>
      </c>
      <c r="BH19" s="17" t="s">
        <v>23</v>
      </c>
      <c r="BI19" s="17" t="s">
        <v>23</v>
      </c>
      <c r="BJ19" s="17" t="s">
        <v>23</v>
      </c>
      <c r="BK19" s="20">
        <v>0.5</v>
      </c>
      <c r="BL19" s="20">
        <v>0.875</v>
      </c>
      <c r="BM19" s="20">
        <v>0.5</v>
      </c>
      <c r="BN19" s="20">
        <v>0.875</v>
      </c>
      <c r="BO19" s="21">
        <f>IFERROR(__xludf.DUMMYFUNCTION("TO_PURE_NUMBER(SUM(FILTER(G19:BN19, ISEVEN(COLUMN(G19:BN19))))-SUM(FILTER(G19:BN19, ISODD(COLUMN(G19:BN19)))))*24"),198)</f>
        <v>198</v>
      </c>
      <c r="BP19" s="17"/>
      <c r="BQ19" s="17"/>
      <c r="BR19" s="17"/>
      <c r="BS19" s="17"/>
      <c r="BT19" s="17"/>
      <c r="BU19" s="17"/>
      <c r="BV19" s="17"/>
      <c r="BW19" s="17"/>
      <c r="BX19" s="17"/>
    </row>
    <row r="20" customHeight="1" spans="1:76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0">
        <v>0.375</v>
      </c>
      <c r="V20" s="20">
        <v>0.791666666667879</v>
      </c>
      <c r="W20" s="20">
        <v>0.375</v>
      </c>
      <c r="X20" s="20">
        <v>0.791666666667879</v>
      </c>
      <c r="Y20" s="20">
        <v>0.375</v>
      </c>
      <c r="Z20" s="20">
        <v>0.791666666667879</v>
      </c>
      <c r="AA20" s="20">
        <v>0.375</v>
      </c>
      <c r="AB20" s="20">
        <v>0.791666666667879</v>
      </c>
      <c r="AC20" s="17" t="s">
        <v>23</v>
      </c>
      <c r="AD20" s="17" t="s">
        <v>23</v>
      </c>
      <c r="AE20" s="17" t="s">
        <v>23</v>
      </c>
      <c r="AF20" s="17" t="s">
        <v>23</v>
      </c>
      <c r="AG20" s="20">
        <v>0.458333333332121</v>
      </c>
      <c r="AH20" s="20">
        <v>0.666666666667879</v>
      </c>
      <c r="AI20" s="20">
        <v>0.5</v>
      </c>
      <c r="AJ20" s="20">
        <v>0.875</v>
      </c>
      <c r="AK20" s="20">
        <v>0.5</v>
      </c>
      <c r="AL20" s="20">
        <v>0.875</v>
      </c>
      <c r="AM20" s="20">
        <v>0.5</v>
      </c>
      <c r="AN20" s="20">
        <v>0.875</v>
      </c>
      <c r="AO20" s="20">
        <v>0.5</v>
      </c>
      <c r="AP20" s="20">
        <v>0.875</v>
      </c>
      <c r="AQ20" s="20">
        <v>0.5</v>
      </c>
      <c r="AR20" s="20">
        <v>0.875</v>
      </c>
      <c r="AS20" s="17" t="s">
        <v>23</v>
      </c>
      <c r="AT20" s="17" t="s">
        <v>23</v>
      </c>
      <c r="AU20" s="17" t="s">
        <v>23</v>
      </c>
      <c r="AV20" s="17" t="s">
        <v>23</v>
      </c>
      <c r="AW20" s="20">
        <v>0.375</v>
      </c>
      <c r="AX20" s="20">
        <v>0.791666666667879</v>
      </c>
      <c r="AY20" s="20">
        <v>0.375</v>
      </c>
      <c r="AZ20" s="20">
        <v>0.791666666667879</v>
      </c>
      <c r="BA20" s="20">
        <v>0.375</v>
      </c>
      <c r="BB20" s="20">
        <v>0.791666666667879</v>
      </c>
      <c r="BC20" s="20">
        <v>0.375</v>
      </c>
      <c r="BD20" s="20">
        <v>0.791666666667879</v>
      </c>
      <c r="BE20" s="17" t="s">
        <v>23</v>
      </c>
      <c r="BF20" s="17" t="s">
        <v>23</v>
      </c>
      <c r="BG20" s="17" t="s">
        <v>23</v>
      </c>
      <c r="BH20" s="17" t="s">
        <v>23</v>
      </c>
      <c r="BI20" s="20">
        <v>0.458333333332121</v>
      </c>
      <c r="BJ20" s="20">
        <v>0.666666666667879</v>
      </c>
      <c r="BK20" s="20">
        <v>0.5</v>
      </c>
      <c r="BL20" s="20">
        <v>0.875</v>
      </c>
      <c r="BM20" s="20">
        <v>0.5</v>
      </c>
      <c r="BN20" s="20">
        <v>0.875</v>
      </c>
      <c r="BO20" s="21">
        <f>IFERROR(__xludf.DUMMYFUNCTION("TO_PURE_NUMBER(SUM(FILTER(G20:BN20, ISEVEN(COLUMN(G20:BN20))))-SUM(FILTER(G20:BN20, ISODD(COLUMN(G20:BN20)))))*24"),198.000000000349)</f>
        <v>198.000000000349</v>
      </c>
      <c r="BP20" s="17"/>
      <c r="BQ20" s="17"/>
      <c r="BR20" s="17"/>
      <c r="BS20" s="17"/>
      <c r="BT20" s="17"/>
      <c r="BU20" s="17"/>
      <c r="BV20" s="17"/>
      <c r="BW20" s="17"/>
      <c r="BX20" s="17"/>
    </row>
    <row r="21" customHeight="1" spans="1:76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0">
        <v>0.5</v>
      </c>
      <c r="V21" s="20">
        <v>0.875</v>
      </c>
      <c r="W21" s="20">
        <v>0.5</v>
      </c>
      <c r="X21" s="20">
        <v>0.875</v>
      </c>
      <c r="Y21" s="20">
        <v>0.5</v>
      </c>
      <c r="Z21" s="20">
        <v>0.875</v>
      </c>
      <c r="AA21" s="20">
        <v>0.5</v>
      </c>
      <c r="AB21" s="20">
        <v>0.875</v>
      </c>
      <c r="AC21" s="20">
        <v>0.5</v>
      </c>
      <c r="AD21" s="20">
        <v>0.875</v>
      </c>
      <c r="AE21" s="17" t="s">
        <v>23</v>
      </c>
      <c r="AF21" s="17" t="s">
        <v>23</v>
      </c>
      <c r="AG21" s="17" t="s">
        <v>23</v>
      </c>
      <c r="AH21" s="17" t="s">
        <v>23</v>
      </c>
      <c r="AI21" s="20">
        <v>0.375</v>
      </c>
      <c r="AJ21" s="20">
        <v>0.75</v>
      </c>
      <c r="AK21" s="20">
        <v>0.375</v>
      </c>
      <c r="AL21" s="20">
        <v>0.75</v>
      </c>
      <c r="AM21" s="20">
        <v>0.375</v>
      </c>
      <c r="AN21" s="20">
        <v>0.75</v>
      </c>
      <c r="AO21" s="20">
        <v>0.375</v>
      </c>
      <c r="AP21" s="20">
        <v>0.75</v>
      </c>
      <c r="AQ21" s="20">
        <v>0.375</v>
      </c>
      <c r="AR21" s="20">
        <v>0.75</v>
      </c>
      <c r="AS21" s="17" t="s">
        <v>23</v>
      </c>
      <c r="AT21" s="17" t="s">
        <v>23</v>
      </c>
      <c r="AU21" s="17" t="s">
        <v>23</v>
      </c>
      <c r="AV21" s="17" t="s">
        <v>23</v>
      </c>
      <c r="AW21" s="20">
        <v>0.5</v>
      </c>
      <c r="AX21" s="20">
        <v>0.875</v>
      </c>
      <c r="AY21" s="20">
        <v>0.5</v>
      </c>
      <c r="AZ21" s="20">
        <v>0.875</v>
      </c>
      <c r="BA21" s="20">
        <v>0.5</v>
      </c>
      <c r="BB21" s="20">
        <v>0.875</v>
      </c>
      <c r="BC21" s="20">
        <v>0.5</v>
      </c>
      <c r="BD21" s="20">
        <v>0.875</v>
      </c>
      <c r="BE21" s="20">
        <v>0.5</v>
      </c>
      <c r="BF21" s="20">
        <v>0.875</v>
      </c>
      <c r="BG21" s="17" t="s">
        <v>23</v>
      </c>
      <c r="BH21" s="17" t="s">
        <v>23</v>
      </c>
      <c r="BI21" s="17" t="s">
        <v>23</v>
      </c>
      <c r="BJ21" s="17" t="s">
        <v>23</v>
      </c>
      <c r="BK21" s="20">
        <v>0.375</v>
      </c>
      <c r="BL21" s="20">
        <v>0.75</v>
      </c>
      <c r="BM21" s="20">
        <v>0.375</v>
      </c>
      <c r="BN21" s="20">
        <v>0.75</v>
      </c>
      <c r="BO21" s="21">
        <f>IFERROR(__xludf.DUMMYFUNCTION("TO_PURE_NUMBER(SUM(FILTER(G21:BN21, ISEVEN(COLUMN(G21:BN21))))-SUM(FILTER(G21:BN21, ISODD(COLUMN(G21:BN21)))))*24"),198)</f>
        <v>198</v>
      </c>
      <c r="BP21" s="17"/>
      <c r="BQ21" s="17"/>
      <c r="BR21" s="17"/>
      <c r="BS21" s="17"/>
      <c r="BT21" s="17"/>
      <c r="BU21" s="17"/>
      <c r="BV21" s="17"/>
      <c r="BW21" s="17"/>
      <c r="BX21" s="17"/>
    </row>
    <row r="22" customHeight="1" spans="1:76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17" t="s">
        <v>23</v>
      </c>
      <c r="V22" s="17" t="s">
        <v>23</v>
      </c>
      <c r="W22" s="20">
        <v>0.458333333332121</v>
      </c>
      <c r="X22" s="20">
        <v>0.875</v>
      </c>
      <c r="Y22" s="20">
        <v>0.458333333332121</v>
      </c>
      <c r="Z22" s="20">
        <v>0.875</v>
      </c>
      <c r="AA22" s="20">
        <v>0.458333333332121</v>
      </c>
      <c r="AB22" s="20">
        <v>0.875</v>
      </c>
      <c r="AC22" s="20">
        <v>0.458333333332121</v>
      </c>
      <c r="AD22" s="20">
        <v>0.875</v>
      </c>
      <c r="AE22" s="20">
        <v>0.458333333332121</v>
      </c>
      <c r="AF22" s="20">
        <v>0.666666666667879</v>
      </c>
      <c r="AG22" s="17" t="s">
        <v>23</v>
      </c>
      <c r="AH22" s="17" t="s">
        <v>23</v>
      </c>
      <c r="AI22" s="17" t="s">
        <v>23</v>
      </c>
      <c r="AJ22" s="17" t="s">
        <v>23</v>
      </c>
      <c r="AK22" s="20">
        <v>0.375</v>
      </c>
      <c r="AL22" s="20">
        <v>0.791666666667879</v>
      </c>
      <c r="AM22" s="20">
        <v>0.375</v>
      </c>
      <c r="AN22" s="20">
        <v>0.791666666667879</v>
      </c>
      <c r="AO22" s="20">
        <v>0.375</v>
      </c>
      <c r="AP22" s="20">
        <v>0.791666666667879</v>
      </c>
      <c r="AQ22" s="20">
        <v>0.375</v>
      </c>
      <c r="AR22" s="20">
        <v>0.791666666667879</v>
      </c>
      <c r="AS22" s="20">
        <v>0.458333333332121</v>
      </c>
      <c r="AT22" s="20">
        <v>0.666666666667879</v>
      </c>
      <c r="AU22" s="17" t="s">
        <v>23</v>
      </c>
      <c r="AV22" s="17" t="s">
        <v>23</v>
      </c>
      <c r="AW22" s="17" t="s">
        <v>23</v>
      </c>
      <c r="AX22" s="17" t="s">
        <v>23</v>
      </c>
      <c r="AY22" s="20">
        <v>0.458333333332121</v>
      </c>
      <c r="AZ22" s="20">
        <v>0.875</v>
      </c>
      <c r="BA22" s="20">
        <v>0.458333333332121</v>
      </c>
      <c r="BB22" s="20">
        <v>0.875</v>
      </c>
      <c r="BC22" s="20">
        <v>0.458333333332121</v>
      </c>
      <c r="BD22" s="20">
        <v>0.875</v>
      </c>
      <c r="BE22" s="20">
        <v>0.458333333332121</v>
      </c>
      <c r="BF22" s="20">
        <v>0.875</v>
      </c>
      <c r="BG22" s="20">
        <v>0.458333333332121</v>
      </c>
      <c r="BH22" s="20">
        <v>0.666666666667879</v>
      </c>
      <c r="BI22" s="17" t="s">
        <v>23</v>
      </c>
      <c r="BJ22" s="17" t="s">
        <v>23</v>
      </c>
      <c r="BK22" s="17" t="s">
        <v>23</v>
      </c>
      <c r="BL22" s="17" t="s">
        <v>23</v>
      </c>
      <c r="BM22" s="20">
        <v>0.375</v>
      </c>
      <c r="BN22" s="20">
        <v>0.791666666667879</v>
      </c>
      <c r="BO22" s="21">
        <f>IFERROR(__xludf.DUMMYFUNCTION("TO_PURE_NUMBER(SUM(FILTER(G22:BN22, ISEVEN(COLUMN(G22:BN22))))-SUM(FILTER(G22:BN22, ISODD(COLUMN(G22:BN22)))))*24"),190.000000000727)</f>
        <v>190.000000000727</v>
      </c>
      <c r="BP22" s="17"/>
      <c r="BQ22" s="17"/>
      <c r="BR22" s="17"/>
      <c r="BS22" s="17"/>
      <c r="BT22" s="17"/>
      <c r="BU22" s="17"/>
      <c r="BV22" s="17"/>
      <c r="BW22" s="17"/>
      <c r="BX22" s="17"/>
    </row>
    <row r="23" customHeight="1" spans="1:76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0">
        <v>0.5</v>
      </c>
      <c r="V23" s="20">
        <v>0.875</v>
      </c>
      <c r="W23" s="20">
        <v>0.5</v>
      </c>
      <c r="X23" s="20">
        <v>0.875</v>
      </c>
      <c r="Y23" s="20">
        <v>0.5</v>
      </c>
      <c r="Z23" s="20">
        <v>0.875</v>
      </c>
      <c r="AA23" s="20">
        <v>0.5</v>
      </c>
      <c r="AB23" s="20">
        <v>0.875</v>
      </c>
      <c r="AC23" s="20">
        <v>0.5</v>
      </c>
      <c r="AD23" s="20">
        <v>0.875</v>
      </c>
      <c r="AE23" s="17" t="s">
        <v>23</v>
      </c>
      <c r="AF23" s="17" t="s">
        <v>23</v>
      </c>
      <c r="AG23" s="17" t="s">
        <v>23</v>
      </c>
      <c r="AH23" s="17" t="s">
        <v>23</v>
      </c>
      <c r="AI23" s="20">
        <v>0.375</v>
      </c>
      <c r="AJ23" s="20">
        <v>0.75</v>
      </c>
      <c r="AK23" s="20">
        <v>0.375</v>
      </c>
      <c r="AL23" s="20">
        <v>0.75</v>
      </c>
      <c r="AM23" s="20">
        <v>0.375</v>
      </c>
      <c r="AN23" s="20">
        <v>0.75</v>
      </c>
      <c r="AO23" s="20">
        <v>0.375</v>
      </c>
      <c r="AP23" s="20">
        <v>0.75</v>
      </c>
      <c r="AQ23" s="20">
        <v>0.375</v>
      </c>
      <c r="AR23" s="20">
        <v>0.75</v>
      </c>
      <c r="AS23" s="17" t="s">
        <v>23</v>
      </c>
      <c r="AT23" s="17" t="s">
        <v>23</v>
      </c>
      <c r="AU23" s="17" t="s">
        <v>23</v>
      </c>
      <c r="AV23" s="17" t="s">
        <v>23</v>
      </c>
      <c r="AW23" s="20">
        <v>0.5</v>
      </c>
      <c r="AX23" s="20">
        <v>0.875</v>
      </c>
      <c r="AY23" s="20">
        <v>0.5</v>
      </c>
      <c r="AZ23" s="20">
        <v>0.875</v>
      </c>
      <c r="BA23" s="20">
        <v>0.5</v>
      </c>
      <c r="BB23" s="20">
        <v>0.875</v>
      </c>
      <c r="BC23" s="20">
        <v>0.5</v>
      </c>
      <c r="BD23" s="20">
        <v>0.875</v>
      </c>
      <c r="BE23" s="20">
        <v>0.5</v>
      </c>
      <c r="BF23" s="20">
        <v>0.875</v>
      </c>
      <c r="BG23" s="17" t="s">
        <v>23</v>
      </c>
      <c r="BH23" s="17" t="s">
        <v>23</v>
      </c>
      <c r="BI23" s="17" t="s">
        <v>23</v>
      </c>
      <c r="BJ23" s="17" t="s">
        <v>23</v>
      </c>
      <c r="BK23" s="20">
        <v>0.375</v>
      </c>
      <c r="BL23" s="20">
        <v>0.75</v>
      </c>
      <c r="BM23" s="20">
        <v>0.375</v>
      </c>
      <c r="BN23" s="20">
        <v>0.75</v>
      </c>
      <c r="BO23" s="21">
        <f>IFERROR(__xludf.DUMMYFUNCTION("TO_PURE_NUMBER(SUM(FILTER(G23:BN23, ISEVEN(COLUMN(G23:BN23))))-SUM(FILTER(G23:BN23, ISODD(COLUMN(G23:BN23)))))*24"),198)</f>
        <v>198</v>
      </c>
      <c r="BP23" s="17"/>
      <c r="BQ23" s="17"/>
      <c r="BR23" s="17"/>
      <c r="BS23" s="17"/>
      <c r="BT23" s="17"/>
      <c r="BU23" s="17"/>
      <c r="BV23" s="17"/>
      <c r="BW23" s="17"/>
      <c r="BX23" s="17"/>
    </row>
    <row r="24" customHeight="1" spans="1:76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0.75</v>
      </c>
      <c r="I24" s="8">
        <v>0.375</v>
      </c>
      <c r="J24" s="8">
        <v>0.75</v>
      </c>
      <c r="K24" s="8">
        <v>0.375</v>
      </c>
      <c r="L24" s="8">
        <v>0.75</v>
      </c>
      <c r="M24" s="8">
        <v>0.375</v>
      </c>
      <c r="N24" s="8">
        <v>0.75</v>
      </c>
      <c r="O24" s="8">
        <v>0.375</v>
      </c>
      <c r="P24" s="8">
        <v>0.75</v>
      </c>
      <c r="Q24" s="7" t="s">
        <v>23</v>
      </c>
      <c r="R24" s="7" t="s">
        <v>23</v>
      </c>
      <c r="S24" s="7" t="s">
        <v>23</v>
      </c>
      <c r="T24" s="7" t="s">
        <v>23</v>
      </c>
      <c r="U24" s="20">
        <v>0.458333333332121</v>
      </c>
      <c r="V24" s="20">
        <v>0.875</v>
      </c>
      <c r="W24" s="20">
        <v>0.458333333332121</v>
      </c>
      <c r="X24" s="20">
        <v>0.875</v>
      </c>
      <c r="Y24" s="20">
        <v>0.458333333332121</v>
      </c>
      <c r="Z24" s="20">
        <v>0.875</v>
      </c>
      <c r="AA24" s="20">
        <v>0.458333333332121</v>
      </c>
      <c r="AB24" s="20">
        <v>0.875</v>
      </c>
      <c r="AC24" s="17" t="s">
        <v>23</v>
      </c>
      <c r="AD24" s="17" t="s">
        <v>23</v>
      </c>
      <c r="AE24" s="17" t="s">
        <v>23</v>
      </c>
      <c r="AF24" s="17" t="s">
        <v>23</v>
      </c>
      <c r="AG24" s="20">
        <v>0.458333333332121</v>
      </c>
      <c r="AH24" s="20">
        <v>0.666666666667879</v>
      </c>
      <c r="AI24" s="20">
        <v>0.375</v>
      </c>
      <c r="AJ24" s="20">
        <v>0.791666666667879</v>
      </c>
      <c r="AK24" s="20">
        <v>0.375</v>
      </c>
      <c r="AL24" s="20">
        <v>0.791666666667879</v>
      </c>
      <c r="AM24" s="20">
        <v>0.375</v>
      </c>
      <c r="AN24" s="20">
        <v>0.791666666667879</v>
      </c>
      <c r="AO24" s="20">
        <v>0.375</v>
      </c>
      <c r="AP24" s="20">
        <v>0.791666666667879</v>
      </c>
      <c r="AQ24" s="17" t="s">
        <v>23</v>
      </c>
      <c r="AR24" s="17" t="s">
        <v>23</v>
      </c>
      <c r="AS24" s="17" t="s">
        <v>23</v>
      </c>
      <c r="AT24" s="17" t="s">
        <v>23</v>
      </c>
      <c r="AU24" s="20">
        <v>0.458333333332121</v>
      </c>
      <c r="AV24" s="20">
        <v>0.666666666667879</v>
      </c>
      <c r="AW24" s="20">
        <v>0.5</v>
      </c>
      <c r="AX24" s="20">
        <v>0.875</v>
      </c>
      <c r="AY24" s="20">
        <v>0.5</v>
      </c>
      <c r="AZ24" s="20">
        <v>0.875</v>
      </c>
      <c r="BA24" s="20">
        <v>0.5</v>
      </c>
      <c r="BB24" s="20">
        <v>0.875</v>
      </c>
      <c r="BC24" s="20">
        <v>0.5</v>
      </c>
      <c r="BD24" s="20">
        <v>0.875</v>
      </c>
      <c r="BE24" s="20">
        <v>0.5</v>
      </c>
      <c r="BF24" s="20">
        <v>0.875</v>
      </c>
      <c r="BG24" s="17" t="s">
        <v>23</v>
      </c>
      <c r="BH24" s="17" t="s">
        <v>23</v>
      </c>
      <c r="BI24" s="17" t="s">
        <v>23</v>
      </c>
      <c r="BJ24" s="17" t="s">
        <v>23</v>
      </c>
      <c r="BK24" s="20">
        <v>0.416666666667879</v>
      </c>
      <c r="BL24" s="20">
        <v>0.833333333332121</v>
      </c>
      <c r="BM24" s="20">
        <v>0.416666666667879</v>
      </c>
      <c r="BN24" s="20">
        <v>0.833333333332121</v>
      </c>
      <c r="BO24" s="21">
        <f>IFERROR(__xludf.DUMMYFUNCTION("TO_PURE_NUMBER(SUM(FILTER(G24:BN24, ISEVEN(COLUMN(G24:BN24))))-SUM(FILTER(G24:BN24, ISODD(COLUMN(G24:BN24)))))*24"),200.000000000232)</f>
        <v>200.000000000232</v>
      </c>
      <c r="BP24" s="17"/>
      <c r="BQ24" s="17"/>
      <c r="BR24" s="17"/>
      <c r="BS24" s="17"/>
      <c r="BT24" s="17"/>
      <c r="BU24" s="17"/>
      <c r="BV24" s="17"/>
      <c r="BW24" s="17"/>
      <c r="BX24" s="17"/>
    </row>
    <row r="25" customHeight="1" spans="1:76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0">
        <v>0.5</v>
      </c>
      <c r="V25" s="20">
        <v>0.875</v>
      </c>
      <c r="W25" s="20">
        <v>0.5</v>
      </c>
      <c r="X25" s="20">
        <v>0.875</v>
      </c>
      <c r="Y25" s="20">
        <v>0.5</v>
      </c>
      <c r="Z25" s="20">
        <v>0.875</v>
      </c>
      <c r="AA25" s="20">
        <v>0.5</v>
      </c>
      <c r="AB25" s="20">
        <v>0.875</v>
      </c>
      <c r="AC25" s="20">
        <v>0.5</v>
      </c>
      <c r="AD25" s="20">
        <v>0.875</v>
      </c>
      <c r="AE25" s="17" t="s">
        <v>23</v>
      </c>
      <c r="AF25" s="17" t="s">
        <v>23</v>
      </c>
      <c r="AG25" s="17" t="s">
        <v>23</v>
      </c>
      <c r="AH25" s="17" t="s">
        <v>23</v>
      </c>
      <c r="AI25" s="20">
        <v>0.375</v>
      </c>
      <c r="AJ25" s="20">
        <v>0.791666666667879</v>
      </c>
      <c r="AK25" s="20">
        <v>0.375</v>
      </c>
      <c r="AL25" s="20">
        <v>0.791666666667879</v>
      </c>
      <c r="AM25" s="20">
        <v>0.375</v>
      </c>
      <c r="AN25" s="20">
        <v>0.791666666667879</v>
      </c>
      <c r="AO25" s="20">
        <v>0.375</v>
      </c>
      <c r="AP25" s="20">
        <v>0.791666666667879</v>
      </c>
      <c r="AQ25" s="17" t="s">
        <v>23</v>
      </c>
      <c r="AR25" s="17" t="s">
        <v>23</v>
      </c>
      <c r="AS25" s="17" t="s">
        <v>23</v>
      </c>
      <c r="AT25" s="17" t="s">
        <v>23</v>
      </c>
      <c r="AU25" s="20">
        <v>0.458333333332121</v>
      </c>
      <c r="AV25" s="20">
        <v>0.666666666667879</v>
      </c>
      <c r="AW25" s="20">
        <v>0.5</v>
      </c>
      <c r="AX25" s="20">
        <v>0.875</v>
      </c>
      <c r="AY25" s="20">
        <v>0.5</v>
      </c>
      <c r="AZ25" s="20">
        <v>0.875</v>
      </c>
      <c r="BA25" s="20">
        <v>0.5</v>
      </c>
      <c r="BB25" s="20">
        <v>0.875</v>
      </c>
      <c r="BC25" s="20">
        <v>0.5</v>
      </c>
      <c r="BD25" s="20">
        <v>0.875</v>
      </c>
      <c r="BE25" s="20">
        <v>0.5</v>
      </c>
      <c r="BF25" s="20">
        <v>0.875</v>
      </c>
      <c r="BG25" s="17" t="s">
        <v>23</v>
      </c>
      <c r="BH25" s="17" t="s">
        <v>23</v>
      </c>
      <c r="BI25" s="17" t="s">
        <v>23</v>
      </c>
      <c r="BJ25" s="17" t="s">
        <v>23</v>
      </c>
      <c r="BK25" s="20">
        <v>0.375</v>
      </c>
      <c r="BL25" s="20">
        <v>0.791666666667879</v>
      </c>
      <c r="BM25" s="20">
        <v>0.375</v>
      </c>
      <c r="BN25" s="20">
        <v>0.791666666667879</v>
      </c>
      <c r="BO25" s="21">
        <f>IFERROR(__xludf.DUMMYFUNCTION("TO_PURE_NUMBER(SUM(FILTER(G25:BN25, ISEVEN(COLUMN(G25:BN25))))-SUM(FILTER(G25:BN25, ISODD(COLUMN(G25:BN25)))))*24"),200.000000000407)</f>
        <v>200.000000000407</v>
      </c>
      <c r="BP25" s="17"/>
      <c r="BQ25" s="17"/>
      <c r="BR25" s="17"/>
      <c r="BS25" s="17"/>
      <c r="BT25" s="17"/>
      <c r="BU25" s="17"/>
      <c r="BV25" s="17"/>
      <c r="BW25" s="17"/>
      <c r="BX25" s="17"/>
    </row>
    <row r="26" customHeight="1" spans="1:76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0.75</v>
      </c>
      <c r="I26" s="8">
        <v>0.375</v>
      </c>
      <c r="J26" s="8">
        <v>0.75</v>
      </c>
      <c r="K26" s="8">
        <v>0.375</v>
      </c>
      <c r="L26" s="8">
        <v>0.75</v>
      </c>
      <c r="M26" s="7" t="s">
        <v>23</v>
      </c>
      <c r="N26" s="7" t="s">
        <v>23</v>
      </c>
      <c r="O26" s="7" t="s">
        <v>23</v>
      </c>
      <c r="P26" s="7" t="s">
        <v>23</v>
      </c>
      <c r="Q26" s="8">
        <v>0.458333333332121</v>
      </c>
      <c r="R26" s="8">
        <v>0.666666666667879</v>
      </c>
      <c r="S26" s="8">
        <v>0.458333333332121</v>
      </c>
      <c r="T26" s="8">
        <v>0.666666666667879</v>
      </c>
      <c r="U26" s="20">
        <v>0.5</v>
      </c>
      <c r="V26" s="20">
        <v>0.875</v>
      </c>
      <c r="W26" s="20">
        <v>0.5</v>
      </c>
      <c r="X26" s="20">
        <v>0.875</v>
      </c>
      <c r="Y26" s="20">
        <v>0.5</v>
      </c>
      <c r="Z26" s="20">
        <v>0.875</v>
      </c>
      <c r="AA26" s="17" t="s">
        <v>23</v>
      </c>
      <c r="AB26" s="17" t="s">
        <v>23</v>
      </c>
      <c r="AC26" s="17" t="s">
        <v>23</v>
      </c>
      <c r="AD26" s="17" t="s">
        <v>23</v>
      </c>
      <c r="AE26" s="20">
        <v>0.458333333332121</v>
      </c>
      <c r="AF26" s="20">
        <v>0.666666666667879</v>
      </c>
      <c r="AG26" s="20">
        <v>0.458333333332121</v>
      </c>
      <c r="AH26" s="20">
        <v>0.666666666667879</v>
      </c>
      <c r="AI26" s="20">
        <v>0.375</v>
      </c>
      <c r="AJ26" s="20">
        <v>0.75</v>
      </c>
      <c r="AK26" s="20">
        <v>0.375</v>
      </c>
      <c r="AL26" s="20">
        <v>0.75</v>
      </c>
      <c r="AM26" s="20">
        <v>0.375</v>
      </c>
      <c r="AN26" s="20">
        <v>0.75</v>
      </c>
      <c r="AO26" s="17" t="s">
        <v>23</v>
      </c>
      <c r="AP26" s="17" t="s">
        <v>23</v>
      </c>
      <c r="AQ26" s="17" t="s">
        <v>23</v>
      </c>
      <c r="AR26" s="17" t="s">
        <v>23</v>
      </c>
      <c r="AS26" s="20">
        <v>0.458333333332121</v>
      </c>
      <c r="AT26" s="20">
        <v>0.666666666667879</v>
      </c>
      <c r="AU26" s="20">
        <v>0.458333333332121</v>
      </c>
      <c r="AV26" s="20">
        <v>0.666666666667879</v>
      </c>
      <c r="AW26" s="20">
        <v>0.5</v>
      </c>
      <c r="AX26" s="20">
        <v>0.875</v>
      </c>
      <c r="AY26" s="20">
        <v>0.5</v>
      </c>
      <c r="AZ26" s="20">
        <v>0.875</v>
      </c>
      <c r="BA26" s="17" t="s">
        <v>23</v>
      </c>
      <c r="BB26" s="17" t="s">
        <v>23</v>
      </c>
      <c r="BC26" s="17" t="s">
        <v>23</v>
      </c>
      <c r="BD26" s="17" t="s">
        <v>23</v>
      </c>
      <c r="BE26" s="20">
        <v>0.5</v>
      </c>
      <c r="BF26" s="20">
        <v>0.875</v>
      </c>
      <c r="BG26" s="20">
        <v>0.458333333332121</v>
      </c>
      <c r="BH26" s="20">
        <v>0.666666666667879</v>
      </c>
      <c r="BI26" s="20">
        <v>0.458333333332121</v>
      </c>
      <c r="BJ26" s="20">
        <v>0.666666666667879</v>
      </c>
      <c r="BK26" s="20">
        <v>0.375</v>
      </c>
      <c r="BL26" s="20">
        <v>0.75</v>
      </c>
      <c r="BM26" s="17" t="s">
        <v>23</v>
      </c>
      <c r="BN26" s="17" t="s">
        <v>23</v>
      </c>
      <c r="BO26" s="21">
        <f>IFERROR(__xludf.DUMMYFUNCTION("TO_PURE_NUMBER(SUM(FILTER(G26:BN26, ISEVEN(COLUMN(G26:BN26))))-SUM(FILTER(G26:BN26, ISODD(COLUMN(G26:BN26)))))*24"),157.000000000465)</f>
        <v>157.000000000465</v>
      </c>
      <c r="BP26" s="17"/>
      <c r="BQ26" s="17"/>
      <c r="BR26" s="17"/>
      <c r="BS26" s="17"/>
      <c r="BT26" s="17"/>
      <c r="BU26" s="17"/>
      <c r="BV26" s="17"/>
      <c r="BW26" s="17"/>
      <c r="BX26" s="17"/>
    </row>
    <row r="27" customHeight="1" spans="1:76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17" t="s">
        <v>23</v>
      </c>
      <c r="V27" s="17" t="s">
        <v>23</v>
      </c>
      <c r="W27" s="20">
        <v>0.375</v>
      </c>
      <c r="X27" s="20">
        <v>0.791666666667879</v>
      </c>
      <c r="Y27" s="20">
        <v>0.375</v>
      </c>
      <c r="Z27" s="20">
        <v>0.791666666667879</v>
      </c>
      <c r="AA27" s="20">
        <v>0.375</v>
      </c>
      <c r="AB27" s="20">
        <v>0.791666666667879</v>
      </c>
      <c r="AC27" s="20">
        <v>0.375</v>
      </c>
      <c r="AD27" s="20">
        <v>0.791666666667879</v>
      </c>
      <c r="AE27" s="20">
        <v>0.458333333332121</v>
      </c>
      <c r="AF27" s="20">
        <v>0.666666666667879</v>
      </c>
      <c r="AG27" s="17" t="s">
        <v>23</v>
      </c>
      <c r="AH27" s="17" t="s">
        <v>23</v>
      </c>
      <c r="AI27" s="17" t="s">
        <v>23</v>
      </c>
      <c r="AJ27" s="17" t="s">
        <v>23</v>
      </c>
      <c r="AK27" s="20">
        <v>0.458333333332121</v>
      </c>
      <c r="AL27" s="20">
        <v>0.875</v>
      </c>
      <c r="AM27" s="20">
        <v>0.458333333332121</v>
      </c>
      <c r="AN27" s="20">
        <v>0.875</v>
      </c>
      <c r="AO27" s="20">
        <v>0.458333333332121</v>
      </c>
      <c r="AP27" s="20">
        <v>0.875</v>
      </c>
      <c r="AQ27" s="20">
        <v>0.458333333332121</v>
      </c>
      <c r="AR27" s="20">
        <v>0.875</v>
      </c>
      <c r="AS27" s="20">
        <v>0.458333333332121</v>
      </c>
      <c r="AT27" s="20">
        <v>0.666666666667879</v>
      </c>
      <c r="AU27" s="17" t="s">
        <v>23</v>
      </c>
      <c r="AV27" s="17" t="s">
        <v>23</v>
      </c>
      <c r="AW27" s="17" t="s">
        <v>23</v>
      </c>
      <c r="AX27" s="17" t="s">
        <v>23</v>
      </c>
      <c r="AY27" s="20">
        <v>0.375</v>
      </c>
      <c r="AZ27" s="20">
        <v>0.791666666667879</v>
      </c>
      <c r="BA27" s="20">
        <v>0.375</v>
      </c>
      <c r="BB27" s="20">
        <v>0.791666666667879</v>
      </c>
      <c r="BC27" s="20">
        <v>0.375</v>
      </c>
      <c r="BD27" s="20">
        <v>0.791666666667879</v>
      </c>
      <c r="BE27" s="20">
        <v>0.375</v>
      </c>
      <c r="BF27" s="20">
        <v>0.791666666667879</v>
      </c>
      <c r="BG27" s="20">
        <v>0.458333333332121</v>
      </c>
      <c r="BH27" s="20">
        <v>0.666666666667879</v>
      </c>
      <c r="BI27" s="17" t="s">
        <v>23</v>
      </c>
      <c r="BJ27" s="17" t="s">
        <v>23</v>
      </c>
      <c r="BK27" s="17" t="s">
        <v>23</v>
      </c>
      <c r="BL27" s="17" t="s">
        <v>23</v>
      </c>
      <c r="BM27" s="20">
        <v>0.458333333332121</v>
      </c>
      <c r="BN27" s="20">
        <v>0.875</v>
      </c>
      <c r="BO27" s="21">
        <f>IFERROR(__xludf.DUMMYFUNCTION("TO_PURE_NUMBER(SUM(FILTER(G27:BN27, ISEVEN(COLUMN(G27:BN27))))-SUM(FILTER(G27:BN27, ISODD(COLUMN(G27:BN27)))))*24"),190.000000000727)</f>
        <v>190.000000000727</v>
      </c>
      <c r="BP27" s="17"/>
      <c r="BQ27" s="17"/>
      <c r="BR27" s="17"/>
      <c r="BS27" s="17"/>
      <c r="BT27" s="17"/>
      <c r="BU27" s="17"/>
      <c r="BV27" s="17"/>
      <c r="BW27" s="17"/>
      <c r="BX27" s="17"/>
    </row>
    <row r="28" customHeight="1" spans="1:76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0.375</v>
      </c>
      <c r="P28" s="8">
        <v>0.791666666667879</v>
      </c>
      <c r="Q28" s="8">
        <v>0.416666666667879</v>
      </c>
      <c r="R28" s="8">
        <v>0.625</v>
      </c>
      <c r="S28" s="7" t="s">
        <v>23</v>
      </c>
      <c r="T28" s="7" t="s">
        <v>23</v>
      </c>
      <c r="U28" s="17" t="s">
        <v>23</v>
      </c>
      <c r="V28" s="17" t="s">
        <v>23</v>
      </c>
      <c r="W28" s="20">
        <v>0.333333333332121</v>
      </c>
      <c r="X28" s="20">
        <v>0.75</v>
      </c>
      <c r="Y28" s="20">
        <v>0.333333333332121</v>
      </c>
      <c r="Z28" s="20">
        <v>0.75</v>
      </c>
      <c r="AA28" s="20">
        <v>0.333333333332121</v>
      </c>
      <c r="AB28" s="20">
        <v>0.75</v>
      </c>
      <c r="AC28" s="20">
        <v>0.333333333332121</v>
      </c>
      <c r="AD28" s="20">
        <v>0.75</v>
      </c>
      <c r="AE28" s="20">
        <v>0.416666666667879</v>
      </c>
      <c r="AF28" s="20">
        <v>0.625</v>
      </c>
      <c r="AG28" s="17" t="s">
        <v>23</v>
      </c>
      <c r="AH28" s="17" t="s">
        <v>23</v>
      </c>
      <c r="AI28" s="17" t="s">
        <v>23</v>
      </c>
      <c r="AJ28" s="17" t="s">
        <v>23</v>
      </c>
      <c r="AK28" s="20">
        <v>0.333333333332121</v>
      </c>
      <c r="AL28" s="20">
        <v>0.75</v>
      </c>
      <c r="AM28" s="20">
        <v>0.333333333332121</v>
      </c>
      <c r="AN28" s="20">
        <v>0.75</v>
      </c>
      <c r="AO28" s="20">
        <v>0.333333333332121</v>
      </c>
      <c r="AP28" s="20">
        <v>0.75</v>
      </c>
      <c r="AQ28" s="20">
        <v>0.333333333332121</v>
      </c>
      <c r="AR28" s="20">
        <v>0.75</v>
      </c>
      <c r="AS28" s="20">
        <v>0.416666666667879</v>
      </c>
      <c r="AT28" s="20">
        <v>0.625</v>
      </c>
      <c r="AU28" s="17" t="s">
        <v>23</v>
      </c>
      <c r="AV28" s="17" t="s">
        <v>23</v>
      </c>
      <c r="AW28" s="17" t="s">
        <v>23</v>
      </c>
      <c r="AX28" s="17" t="s">
        <v>23</v>
      </c>
      <c r="AY28" s="20">
        <v>0.375</v>
      </c>
      <c r="AZ28" s="20">
        <v>0.791666666667879</v>
      </c>
      <c r="BA28" s="20">
        <v>0.375</v>
      </c>
      <c r="BB28" s="20">
        <v>0.791666666667879</v>
      </c>
      <c r="BC28" s="20">
        <v>0.375</v>
      </c>
      <c r="BD28" s="20">
        <v>0.791666666667879</v>
      </c>
      <c r="BE28" s="20">
        <v>0.333333333332121</v>
      </c>
      <c r="BF28" s="20">
        <v>0.75</v>
      </c>
      <c r="BG28" s="20">
        <v>0.416666666667879</v>
      </c>
      <c r="BH28" s="20">
        <v>0.625</v>
      </c>
      <c r="BI28" s="17" t="s">
        <v>23</v>
      </c>
      <c r="BJ28" s="17" t="s">
        <v>23</v>
      </c>
      <c r="BK28" s="17" t="s">
        <v>23</v>
      </c>
      <c r="BL28" s="17" t="s">
        <v>23</v>
      </c>
      <c r="BM28" s="20">
        <v>0.375</v>
      </c>
      <c r="BN28" s="20">
        <v>0.791666666667879</v>
      </c>
      <c r="BO28" s="21">
        <f>IFERROR(__xludf.DUMMYFUNCTION("TO_PURE_NUMBER(SUM(FILTER(G28:BN28, ISEVEN(COLUMN(G28:BN28))))-SUM(FILTER(G28:BN28, ISODD(COLUMN(G28:BN28)))))*24"),190.000000000378)</f>
        <v>190.000000000378</v>
      </c>
      <c r="BP28" s="17"/>
      <c r="BQ28" s="17"/>
      <c r="BR28" s="17"/>
      <c r="BS28" s="17"/>
      <c r="BT28" s="17"/>
      <c r="BU28" s="17"/>
      <c r="BV28" s="17"/>
      <c r="BW28" s="17"/>
      <c r="BX28" s="17"/>
    </row>
    <row r="29" customHeight="1" spans="1:76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17" t="s">
        <v>23</v>
      </c>
      <c r="V29" s="17" t="s">
        <v>23</v>
      </c>
      <c r="W29" s="20">
        <v>0.375</v>
      </c>
      <c r="X29" s="20">
        <v>0.791666666667879</v>
      </c>
      <c r="Y29" s="20">
        <v>0.375</v>
      </c>
      <c r="Z29" s="20">
        <v>0.791666666667879</v>
      </c>
      <c r="AA29" s="20">
        <v>0.375</v>
      </c>
      <c r="AB29" s="20">
        <v>0.791666666667879</v>
      </c>
      <c r="AC29" s="20">
        <v>0.375</v>
      </c>
      <c r="AD29" s="20">
        <v>0.791666666667879</v>
      </c>
      <c r="AE29" s="20">
        <v>0.458333333332121</v>
      </c>
      <c r="AF29" s="20">
        <v>0.666666666667879</v>
      </c>
      <c r="AG29" s="17" t="s">
        <v>23</v>
      </c>
      <c r="AH29" s="17" t="s">
        <v>23</v>
      </c>
      <c r="AI29" s="17" t="s">
        <v>23</v>
      </c>
      <c r="AJ29" s="17" t="s">
        <v>23</v>
      </c>
      <c r="AK29" s="20">
        <v>0.458333333332121</v>
      </c>
      <c r="AL29" s="20">
        <v>0.875</v>
      </c>
      <c r="AM29" s="20">
        <v>0.458333333332121</v>
      </c>
      <c r="AN29" s="20">
        <v>0.875</v>
      </c>
      <c r="AO29" s="20">
        <v>0.458333333332121</v>
      </c>
      <c r="AP29" s="20">
        <v>0.875</v>
      </c>
      <c r="AQ29" s="20">
        <v>0.458333333332121</v>
      </c>
      <c r="AR29" s="20">
        <v>0.875</v>
      </c>
      <c r="AS29" s="20">
        <v>0.458333333332121</v>
      </c>
      <c r="AT29" s="20">
        <v>0.666666666667879</v>
      </c>
      <c r="AU29" s="17" t="s">
        <v>23</v>
      </c>
      <c r="AV29" s="17" t="s">
        <v>23</v>
      </c>
      <c r="AW29" s="17" t="s">
        <v>23</v>
      </c>
      <c r="AX29" s="17" t="s">
        <v>23</v>
      </c>
      <c r="AY29" s="20">
        <v>0.375</v>
      </c>
      <c r="AZ29" s="20">
        <v>0.791666666667879</v>
      </c>
      <c r="BA29" s="20">
        <v>0.375</v>
      </c>
      <c r="BB29" s="20">
        <v>0.791666666667879</v>
      </c>
      <c r="BC29" s="20">
        <v>0.375</v>
      </c>
      <c r="BD29" s="20">
        <v>0.791666666667879</v>
      </c>
      <c r="BE29" s="20">
        <v>0.375</v>
      </c>
      <c r="BF29" s="20">
        <v>0.791666666667879</v>
      </c>
      <c r="BG29" s="20">
        <v>0.458333333332121</v>
      </c>
      <c r="BH29" s="20">
        <v>0.666666666667879</v>
      </c>
      <c r="BI29" s="17" t="s">
        <v>23</v>
      </c>
      <c r="BJ29" s="17" t="s">
        <v>23</v>
      </c>
      <c r="BK29" s="17" t="s">
        <v>23</v>
      </c>
      <c r="BL29" s="17" t="s">
        <v>23</v>
      </c>
      <c r="BM29" s="20">
        <v>0.458333333332121</v>
      </c>
      <c r="BN29" s="20">
        <v>0.875</v>
      </c>
      <c r="BO29" s="21">
        <f>IFERROR(__xludf.DUMMYFUNCTION("TO_PURE_NUMBER(SUM(FILTER(G29:BN29, ISEVEN(COLUMN(G29:BN29))))-SUM(FILTER(G29:BN29, ISODD(COLUMN(G29:BN29)))))*24"),190.000000000727)</f>
        <v>190.000000000727</v>
      </c>
      <c r="BP29" s="17"/>
      <c r="BQ29" s="17"/>
      <c r="BR29" s="17"/>
      <c r="BS29" s="17"/>
      <c r="BT29" s="17"/>
      <c r="BU29" s="17"/>
      <c r="BV29" s="17"/>
      <c r="BW29" s="17"/>
      <c r="BX29" s="17"/>
    </row>
    <row r="30" customHeight="1" spans="1:76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0">
        <v>0.375</v>
      </c>
      <c r="V30" s="20">
        <v>0.75</v>
      </c>
      <c r="W30" s="17" t="s">
        <v>23</v>
      </c>
      <c r="X30" s="17" t="s">
        <v>23</v>
      </c>
      <c r="Y30" s="17" t="s">
        <v>23</v>
      </c>
      <c r="Z30" s="17" t="s">
        <v>23</v>
      </c>
      <c r="AA30" s="20">
        <v>0.375</v>
      </c>
      <c r="AB30" s="20">
        <v>0.75</v>
      </c>
      <c r="AC30" s="20">
        <v>0.375</v>
      </c>
      <c r="AD30" s="20">
        <v>0.75</v>
      </c>
      <c r="AE30" s="20">
        <v>0.458333333332121</v>
      </c>
      <c r="AF30" s="20">
        <v>0.666666666667879</v>
      </c>
      <c r="AG30" s="20">
        <v>0.458333333332121</v>
      </c>
      <c r="AH30" s="20">
        <v>0.666666666667879</v>
      </c>
      <c r="AI30" s="20">
        <v>0.5</v>
      </c>
      <c r="AJ30" s="20">
        <v>0.875</v>
      </c>
      <c r="AK30" s="17" t="s">
        <v>23</v>
      </c>
      <c r="AL30" s="17" t="s">
        <v>23</v>
      </c>
      <c r="AM30" s="17" t="s">
        <v>23</v>
      </c>
      <c r="AN30" s="17" t="s">
        <v>23</v>
      </c>
      <c r="AO30" s="20">
        <v>0.5</v>
      </c>
      <c r="AP30" s="20">
        <v>0.875</v>
      </c>
      <c r="AQ30" s="20">
        <v>0.5</v>
      </c>
      <c r="AR30" s="20">
        <v>0.875</v>
      </c>
      <c r="AS30" s="20">
        <v>0.458333333332121</v>
      </c>
      <c r="AT30" s="20">
        <v>0.666666666667879</v>
      </c>
      <c r="AU30" s="20">
        <v>0.458333333332121</v>
      </c>
      <c r="AV30" s="20">
        <v>0.666666666667879</v>
      </c>
      <c r="AW30" s="20">
        <v>0.375</v>
      </c>
      <c r="AX30" s="20">
        <v>0.75</v>
      </c>
      <c r="AY30" s="17" t="s">
        <v>23</v>
      </c>
      <c r="AZ30" s="17" t="s">
        <v>23</v>
      </c>
      <c r="BA30" s="17" t="s">
        <v>23</v>
      </c>
      <c r="BB30" s="17" t="s">
        <v>23</v>
      </c>
      <c r="BC30" s="20">
        <v>0.375</v>
      </c>
      <c r="BD30" s="20">
        <v>0.75</v>
      </c>
      <c r="BE30" s="20">
        <v>0.375</v>
      </c>
      <c r="BF30" s="20">
        <v>0.75</v>
      </c>
      <c r="BG30" s="20">
        <v>0.458333333332121</v>
      </c>
      <c r="BH30" s="20">
        <v>0.666666666667879</v>
      </c>
      <c r="BI30" s="20">
        <v>0.458333333332121</v>
      </c>
      <c r="BJ30" s="20">
        <v>0.666666666667879</v>
      </c>
      <c r="BK30" s="20">
        <v>0.5</v>
      </c>
      <c r="BL30" s="20">
        <v>0.875</v>
      </c>
      <c r="BM30" s="17" t="s">
        <v>23</v>
      </c>
      <c r="BN30" s="17" t="s">
        <v>23</v>
      </c>
      <c r="BO30" s="21">
        <f>IFERROR(__xludf.DUMMYFUNCTION("TO_PURE_NUMBER(SUM(FILTER(G30:BN30, ISEVEN(COLUMN(G30:BN30))))-SUM(FILTER(G30:BN30, ISODD(COLUMN(G30:BN30)))))*24"),157.000000000465)</f>
        <v>157.000000000465</v>
      </c>
      <c r="BP30" s="17"/>
      <c r="BQ30" s="17"/>
      <c r="BR30" s="17"/>
      <c r="BS30" s="17"/>
      <c r="BT30" s="17"/>
      <c r="BU30" s="17"/>
      <c r="BV30" s="17"/>
      <c r="BW30" s="17"/>
      <c r="BX30" s="17"/>
    </row>
    <row r="31" customHeight="1" spans="1:76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17" t="s">
        <v>23</v>
      </c>
      <c r="V31" s="17" t="s">
        <v>23</v>
      </c>
      <c r="W31" s="20">
        <v>0.375</v>
      </c>
      <c r="X31" s="20">
        <v>0.791666666667879</v>
      </c>
      <c r="Y31" s="20">
        <v>0.375</v>
      </c>
      <c r="Z31" s="20">
        <v>0.791666666667879</v>
      </c>
      <c r="AA31" s="20">
        <v>0.375</v>
      </c>
      <c r="AB31" s="20">
        <v>0.791666666667879</v>
      </c>
      <c r="AC31" s="20">
        <v>0.375</v>
      </c>
      <c r="AD31" s="20">
        <v>0.791666666667879</v>
      </c>
      <c r="AE31" s="20">
        <v>0.458333333332121</v>
      </c>
      <c r="AF31" s="20">
        <v>0.666666666667879</v>
      </c>
      <c r="AG31" s="17" t="s">
        <v>23</v>
      </c>
      <c r="AH31" s="17" t="s">
        <v>23</v>
      </c>
      <c r="AI31" s="17" t="s">
        <v>23</v>
      </c>
      <c r="AJ31" s="17" t="s">
        <v>23</v>
      </c>
      <c r="AK31" s="20">
        <v>0.458333333332121</v>
      </c>
      <c r="AL31" s="20">
        <v>0.875</v>
      </c>
      <c r="AM31" s="20">
        <v>0.458333333332121</v>
      </c>
      <c r="AN31" s="20">
        <v>0.875</v>
      </c>
      <c r="AO31" s="20">
        <v>0.458333333332121</v>
      </c>
      <c r="AP31" s="20">
        <v>0.875</v>
      </c>
      <c r="AQ31" s="20">
        <v>0.458333333332121</v>
      </c>
      <c r="AR31" s="20">
        <v>0.875</v>
      </c>
      <c r="AS31" s="20">
        <v>0.458333333332121</v>
      </c>
      <c r="AT31" s="20">
        <v>0.666666666667879</v>
      </c>
      <c r="AU31" s="17" t="s">
        <v>23</v>
      </c>
      <c r="AV31" s="17" t="s">
        <v>23</v>
      </c>
      <c r="AW31" s="17" t="s">
        <v>23</v>
      </c>
      <c r="AX31" s="17" t="s">
        <v>23</v>
      </c>
      <c r="AY31" s="20">
        <v>0.375</v>
      </c>
      <c r="AZ31" s="20">
        <v>0.791666666667879</v>
      </c>
      <c r="BA31" s="20">
        <v>0.375</v>
      </c>
      <c r="BB31" s="20">
        <v>0.791666666667879</v>
      </c>
      <c r="BC31" s="20">
        <v>0.375</v>
      </c>
      <c r="BD31" s="20">
        <v>0.791666666667879</v>
      </c>
      <c r="BE31" s="20">
        <v>0.375</v>
      </c>
      <c r="BF31" s="20">
        <v>0.791666666667879</v>
      </c>
      <c r="BG31" s="20">
        <v>0.458333333332121</v>
      </c>
      <c r="BH31" s="20">
        <v>0.666666666667879</v>
      </c>
      <c r="BI31" s="17" t="s">
        <v>23</v>
      </c>
      <c r="BJ31" s="17" t="s">
        <v>23</v>
      </c>
      <c r="BK31" s="17" t="s">
        <v>23</v>
      </c>
      <c r="BL31" s="17" t="s">
        <v>23</v>
      </c>
      <c r="BM31" s="20">
        <v>0.458333333332121</v>
      </c>
      <c r="BN31" s="20">
        <v>0.875</v>
      </c>
      <c r="BO31" s="21">
        <f>IFERROR(__xludf.DUMMYFUNCTION("TO_PURE_NUMBER(SUM(FILTER(G31:BN31, ISEVEN(COLUMN(G31:BN31))))-SUM(FILTER(G31:BN31, ISODD(COLUMN(G31:BN31)))))*24"),190.000000000727)</f>
        <v>190.000000000727</v>
      </c>
      <c r="BP31" s="17"/>
      <c r="BQ31" s="17"/>
      <c r="BR31" s="17"/>
      <c r="BS31" s="17"/>
      <c r="BT31" s="17"/>
      <c r="BU31" s="17"/>
      <c r="BV31" s="17"/>
      <c r="BW31" s="17"/>
      <c r="BX31" s="17"/>
    </row>
    <row r="32" customHeight="1" spans="1:76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0.458333333332121</v>
      </c>
      <c r="L32" s="8">
        <v>0.875</v>
      </c>
      <c r="M32" s="8">
        <v>0.458333333332121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0">
        <v>0.375</v>
      </c>
      <c r="V32" s="20">
        <v>0.791666666667879</v>
      </c>
      <c r="W32" s="20">
        <v>0.375</v>
      </c>
      <c r="X32" s="20">
        <v>0.791666666667879</v>
      </c>
      <c r="Y32" s="20">
        <v>0.375</v>
      </c>
      <c r="Z32" s="20">
        <v>0.791666666667879</v>
      </c>
      <c r="AA32" s="20">
        <v>0.375</v>
      </c>
      <c r="AB32" s="20">
        <v>0.791666666667879</v>
      </c>
      <c r="AC32" s="17" t="s">
        <v>23</v>
      </c>
      <c r="AD32" s="17" t="s">
        <v>23</v>
      </c>
      <c r="AE32" s="17" t="s">
        <v>23</v>
      </c>
      <c r="AF32" s="17" t="s">
        <v>23</v>
      </c>
      <c r="AG32" s="20">
        <v>0.458333333332121</v>
      </c>
      <c r="AH32" s="20">
        <v>0.666666666667879</v>
      </c>
      <c r="AI32" s="20">
        <v>0.5</v>
      </c>
      <c r="AJ32" s="20">
        <v>0.875</v>
      </c>
      <c r="AK32" s="20">
        <v>0.5</v>
      </c>
      <c r="AL32" s="20">
        <v>0.875</v>
      </c>
      <c r="AM32" s="20">
        <v>0.5</v>
      </c>
      <c r="AN32" s="20">
        <v>0.875</v>
      </c>
      <c r="AO32" s="20">
        <v>0.5</v>
      </c>
      <c r="AP32" s="20">
        <v>0.875</v>
      </c>
      <c r="AQ32" s="20">
        <v>0.5</v>
      </c>
      <c r="AR32" s="20">
        <v>0.875</v>
      </c>
      <c r="AS32" s="17" t="s">
        <v>23</v>
      </c>
      <c r="AT32" s="17" t="s">
        <v>23</v>
      </c>
      <c r="AU32" s="17" t="s">
        <v>23</v>
      </c>
      <c r="AV32" s="17" t="s">
        <v>23</v>
      </c>
      <c r="AW32" s="20">
        <v>0.375</v>
      </c>
      <c r="AX32" s="20">
        <v>0.791666666667879</v>
      </c>
      <c r="AY32" s="20">
        <v>0.375</v>
      </c>
      <c r="AZ32" s="20">
        <v>0.791666666667879</v>
      </c>
      <c r="BA32" s="20">
        <v>0.375</v>
      </c>
      <c r="BB32" s="20">
        <v>0.791666666667879</v>
      </c>
      <c r="BC32" s="20">
        <v>0.375</v>
      </c>
      <c r="BD32" s="20">
        <v>0.791666666667879</v>
      </c>
      <c r="BE32" s="17" t="s">
        <v>23</v>
      </c>
      <c r="BF32" s="17" t="s">
        <v>23</v>
      </c>
      <c r="BG32" s="17" t="s">
        <v>23</v>
      </c>
      <c r="BH32" s="17" t="s">
        <v>23</v>
      </c>
      <c r="BI32" s="20">
        <v>0.458333333332121</v>
      </c>
      <c r="BJ32" s="20">
        <v>0.666666666667879</v>
      </c>
      <c r="BK32" s="20">
        <v>0.458333333332121</v>
      </c>
      <c r="BL32" s="20">
        <v>0.875</v>
      </c>
      <c r="BM32" s="20">
        <v>0.458333333332121</v>
      </c>
      <c r="BN32" s="20">
        <v>0.875</v>
      </c>
      <c r="BO32" s="21">
        <f>IFERROR(__xludf.DUMMYFUNCTION("TO_PURE_NUMBER(SUM(FILTER(G32:BN32, ISEVEN(COLUMN(G32:BN32))))-SUM(FILTER(G32:BN32, ISODD(COLUMN(G32:BN32)))))*24"),200.000000000582)</f>
        <v>200.000000000582</v>
      </c>
      <c r="BP32" s="17"/>
      <c r="BQ32" s="17"/>
      <c r="BR32" s="17"/>
      <c r="BS32" s="17"/>
      <c r="BT32" s="17"/>
      <c r="BU32" s="17"/>
      <c r="BV32" s="17"/>
      <c r="BW32" s="17"/>
      <c r="BX32" s="17"/>
    </row>
    <row r="33" customHeight="1" spans="1:76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0">
        <v>0.333333333332121</v>
      </c>
      <c r="V33" s="20">
        <v>0.75</v>
      </c>
      <c r="W33" s="20">
        <v>0.333333333332121</v>
      </c>
      <c r="X33" s="20">
        <v>0.75</v>
      </c>
      <c r="Y33" s="20">
        <v>0.333333333332121</v>
      </c>
      <c r="Z33" s="20">
        <v>0.75</v>
      </c>
      <c r="AA33" s="20">
        <v>0.333333333332121</v>
      </c>
      <c r="AB33" s="20">
        <v>0.75</v>
      </c>
      <c r="AC33" s="17" t="s">
        <v>23</v>
      </c>
      <c r="AD33" s="17" t="s">
        <v>23</v>
      </c>
      <c r="AE33" s="17" t="s">
        <v>23</v>
      </c>
      <c r="AF33" s="17" t="s">
        <v>23</v>
      </c>
      <c r="AG33" s="20">
        <v>0.416666666667879</v>
      </c>
      <c r="AH33" s="20">
        <v>0.625</v>
      </c>
      <c r="AI33" s="20">
        <v>0.458333333332121</v>
      </c>
      <c r="AJ33" s="20">
        <v>0.833333333332121</v>
      </c>
      <c r="AK33" s="20">
        <v>0.458333333332121</v>
      </c>
      <c r="AL33" s="20">
        <v>0.833333333332121</v>
      </c>
      <c r="AM33" s="20">
        <v>0.458333333332121</v>
      </c>
      <c r="AN33" s="20">
        <v>0.833333333332121</v>
      </c>
      <c r="AO33" s="20">
        <v>0.458333333332121</v>
      </c>
      <c r="AP33" s="20">
        <v>0.833333333332121</v>
      </c>
      <c r="AQ33" s="20">
        <v>0.458333333332121</v>
      </c>
      <c r="AR33" s="20">
        <v>0.833333333332121</v>
      </c>
      <c r="AS33" s="17" t="s">
        <v>23</v>
      </c>
      <c r="AT33" s="17" t="s">
        <v>23</v>
      </c>
      <c r="AU33" s="17" t="s">
        <v>23</v>
      </c>
      <c r="AV33" s="17" t="s">
        <v>23</v>
      </c>
      <c r="AW33" s="20">
        <v>0.333333333332121</v>
      </c>
      <c r="AX33" s="20">
        <v>0.75</v>
      </c>
      <c r="AY33" s="20">
        <v>0.333333333332121</v>
      </c>
      <c r="AZ33" s="20">
        <v>0.75</v>
      </c>
      <c r="BA33" s="20">
        <v>0.333333333332121</v>
      </c>
      <c r="BB33" s="20">
        <v>0.75</v>
      </c>
      <c r="BC33" s="20">
        <v>0.333333333332121</v>
      </c>
      <c r="BD33" s="20">
        <v>0.75</v>
      </c>
      <c r="BE33" s="17" t="s">
        <v>23</v>
      </c>
      <c r="BF33" s="17" t="s">
        <v>23</v>
      </c>
      <c r="BG33" s="17" t="s">
        <v>23</v>
      </c>
      <c r="BH33" s="17" t="s">
        <v>23</v>
      </c>
      <c r="BI33" s="20">
        <v>0.416666666667879</v>
      </c>
      <c r="BJ33" s="20">
        <v>0.625</v>
      </c>
      <c r="BK33" s="20">
        <v>0.416666666667879</v>
      </c>
      <c r="BL33" s="20">
        <v>0.833333333332121</v>
      </c>
      <c r="BM33" s="20">
        <v>0.416666666667879</v>
      </c>
      <c r="BN33" s="20">
        <v>0.833333333332121</v>
      </c>
      <c r="BO33" s="21">
        <f>IFERROR(__xludf.DUMMYFUNCTION("TO_PURE_NUMBER(SUM(FILTER(G33:BN33, ISEVEN(COLUMN(G33:BN33))))-SUM(FILTER(G33:BN33, ISODD(COLUMN(G33:BN33)))))*24"),200.000000000058)</f>
        <v>200.000000000058</v>
      </c>
      <c r="BP33" s="17"/>
      <c r="BQ33" s="17"/>
      <c r="BR33" s="17"/>
      <c r="BS33" s="17"/>
      <c r="BT33" s="17"/>
      <c r="BU33" s="17"/>
      <c r="BV33" s="17"/>
      <c r="BW33" s="17"/>
      <c r="BX33" s="17"/>
    </row>
    <row r="34" customHeight="1" spans="1:76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0">
        <v>0.375</v>
      </c>
      <c r="V34" s="20">
        <v>0.791666666667879</v>
      </c>
      <c r="W34" s="20">
        <v>0.375</v>
      </c>
      <c r="X34" s="20">
        <v>0.791666666667879</v>
      </c>
      <c r="Y34" s="20">
        <v>0.375</v>
      </c>
      <c r="Z34" s="20">
        <v>0.791666666667879</v>
      </c>
      <c r="AA34" s="20">
        <v>0.375</v>
      </c>
      <c r="AB34" s="20">
        <v>0.791666666667879</v>
      </c>
      <c r="AC34" s="17" t="s">
        <v>23</v>
      </c>
      <c r="AD34" s="17" t="s">
        <v>23</v>
      </c>
      <c r="AE34" s="17" t="s">
        <v>23</v>
      </c>
      <c r="AF34" s="17" t="s">
        <v>23</v>
      </c>
      <c r="AG34" s="20">
        <v>0.458333333332121</v>
      </c>
      <c r="AH34" s="20">
        <v>0.666666666667879</v>
      </c>
      <c r="AI34" s="20">
        <v>0.458333333332121</v>
      </c>
      <c r="AJ34" s="20">
        <v>0.875</v>
      </c>
      <c r="AK34" s="20">
        <v>0.458333333332121</v>
      </c>
      <c r="AL34" s="20">
        <v>0.875</v>
      </c>
      <c r="AM34" s="20">
        <v>0.458333333332121</v>
      </c>
      <c r="AN34" s="20">
        <v>0.875</v>
      </c>
      <c r="AO34" s="20">
        <v>0.458333333332121</v>
      </c>
      <c r="AP34" s="20">
        <v>0.875</v>
      </c>
      <c r="AQ34" s="17" t="s">
        <v>23</v>
      </c>
      <c r="AR34" s="17" t="s">
        <v>23</v>
      </c>
      <c r="AS34" s="17" t="s">
        <v>23</v>
      </c>
      <c r="AT34" s="17" t="s">
        <v>23</v>
      </c>
      <c r="AU34" s="20">
        <v>0.458333333332121</v>
      </c>
      <c r="AV34" s="20">
        <v>0.666666666667879</v>
      </c>
      <c r="AW34" s="20">
        <v>0.375</v>
      </c>
      <c r="AX34" s="20">
        <v>0.75</v>
      </c>
      <c r="AY34" s="20">
        <v>0.375</v>
      </c>
      <c r="AZ34" s="20">
        <v>0.75</v>
      </c>
      <c r="BA34" s="20">
        <v>0.375</v>
      </c>
      <c r="BB34" s="20">
        <v>0.75</v>
      </c>
      <c r="BC34" s="20">
        <v>0.375</v>
      </c>
      <c r="BD34" s="20">
        <v>0.75</v>
      </c>
      <c r="BE34" s="20">
        <v>0.375</v>
      </c>
      <c r="BF34" s="20">
        <v>0.75</v>
      </c>
      <c r="BG34" s="17" t="s">
        <v>23</v>
      </c>
      <c r="BH34" s="17" t="s">
        <v>23</v>
      </c>
      <c r="BI34" s="17" t="s">
        <v>23</v>
      </c>
      <c r="BJ34" s="17" t="s">
        <v>23</v>
      </c>
      <c r="BK34" s="20">
        <v>0.458333333332121</v>
      </c>
      <c r="BL34" s="20">
        <v>0.875</v>
      </c>
      <c r="BM34" s="20">
        <v>0.458333333332121</v>
      </c>
      <c r="BN34" s="20">
        <v>0.875</v>
      </c>
      <c r="BO34" s="21">
        <f>IFERROR(__xludf.DUMMYFUNCTION("TO_PURE_NUMBER(SUM(FILTER(G34:BN34, ISEVEN(COLUMN(G34:BN34))))-SUM(FILTER(G34:BN34, ISODD(COLUMN(G34:BN34)))))*24"),200.000000000582)</f>
        <v>200.000000000582</v>
      </c>
      <c r="BP34" s="17"/>
      <c r="BQ34" s="17"/>
      <c r="BR34" s="17"/>
      <c r="BS34" s="17"/>
      <c r="BT34" s="17"/>
      <c r="BU34" s="17"/>
      <c r="BV34" s="17"/>
      <c r="BW34" s="17"/>
      <c r="BX34" s="17"/>
    </row>
    <row r="35" customHeight="1" spans="1:76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8">
        <v>0.375</v>
      </c>
      <c r="J35" s="8">
        <v>0.75</v>
      </c>
      <c r="K35" s="8">
        <v>0.375</v>
      </c>
      <c r="L35" s="8">
        <v>0.75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0">
        <v>0.5</v>
      </c>
      <c r="V35" s="20">
        <v>0.875</v>
      </c>
      <c r="W35" s="20">
        <v>0.5</v>
      </c>
      <c r="X35" s="20">
        <v>0.875</v>
      </c>
      <c r="Y35" s="20">
        <v>0.5</v>
      </c>
      <c r="Z35" s="20">
        <v>0.875</v>
      </c>
      <c r="AA35" s="17" t="s">
        <v>23</v>
      </c>
      <c r="AB35" s="17" t="s">
        <v>23</v>
      </c>
      <c r="AC35" s="17" t="s">
        <v>23</v>
      </c>
      <c r="AD35" s="17" t="s">
        <v>23</v>
      </c>
      <c r="AE35" s="20">
        <v>0.458333333332121</v>
      </c>
      <c r="AF35" s="20">
        <v>0.666666666667879</v>
      </c>
      <c r="AG35" s="20">
        <v>0.458333333332121</v>
      </c>
      <c r="AH35" s="20">
        <v>0.666666666667879</v>
      </c>
      <c r="AI35" s="20">
        <v>0.375</v>
      </c>
      <c r="AJ35" s="20">
        <v>0.75</v>
      </c>
      <c r="AK35" s="17" t="s">
        <v>23</v>
      </c>
      <c r="AL35" s="17" t="s">
        <v>23</v>
      </c>
      <c r="AM35" s="17" t="s">
        <v>23</v>
      </c>
      <c r="AN35" s="17" t="s">
        <v>23</v>
      </c>
      <c r="AO35" s="20">
        <v>0.375</v>
      </c>
      <c r="AP35" s="20">
        <v>0.75</v>
      </c>
      <c r="AQ35" s="20">
        <v>0.375</v>
      </c>
      <c r="AR35" s="20">
        <v>0.75</v>
      </c>
      <c r="AS35" s="20">
        <v>0.458333333332121</v>
      </c>
      <c r="AT35" s="20">
        <v>0.666666666667879</v>
      </c>
      <c r="AU35" s="20">
        <v>0.458333333332121</v>
      </c>
      <c r="AV35" s="20">
        <v>0.666666666667879</v>
      </c>
      <c r="AW35" s="20">
        <v>0.5</v>
      </c>
      <c r="AX35" s="20">
        <v>0.875</v>
      </c>
      <c r="AY35" s="20">
        <v>0.5</v>
      </c>
      <c r="AZ35" s="20">
        <v>0.875</v>
      </c>
      <c r="BA35" s="17" t="s">
        <v>23</v>
      </c>
      <c r="BB35" s="17" t="s">
        <v>23</v>
      </c>
      <c r="BC35" s="17" t="s">
        <v>23</v>
      </c>
      <c r="BD35" s="17" t="s">
        <v>23</v>
      </c>
      <c r="BE35" s="20">
        <v>0.5</v>
      </c>
      <c r="BF35" s="20">
        <v>0.875</v>
      </c>
      <c r="BG35" s="20">
        <v>0.458333333332121</v>
      </c>
      <c r="BH35" s="20">
        <v>0.666666666667879</v>
      </c>
      <c r="BI35" s="20">
        <v>0.458333333332121</v>
      </c>
      <c r="BJ35" s="20">
        <v>0.666666666667879</v>
      </c>
      <c r="BK35" s="20">
        <v>0.375</v>
      </c>
      <c r="BL35" s="20">
        <v>0.75</v>
      </c>
      <c r="BM35" s="17" t="s">
        <v>23</v>
      </c>
      <c r="BN35" s="17" t="s">
        <v>23</v>
      </c>
      <c r="BO35" s="21">
        <f>IFERROR(__xludf.DUMMYFUNCTION("TO_PURE_NUMBER(SUM(FILTER(G35:BN35, ISEVEN(COLUMN(G35:BN35))))-SUM(FILTER(G35:BN35, ISODD(COLUMN(G35:BN35)))))*24"),157.000000000465)</f>
        <v>157.000000000465</v>
      </c>
      <c r="BP35" s="17"/>
      <c r="BQ35" s="17"/>
      <c r="BR35" s="17"/>
      <c r="BS35" s="17"/>
      <c r="BT35" s="17"/>
      <c r="BU35" s="17"/>
      <c r="BV35" s="17"/>
      <c r="BW35" s="17"/>
      <c r="BX35" s="17"/>
    </row>
    <row r="36" customHeight="1" spans="1:76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0.791666666667879</v>
      </c>
      <c r="I36" s="8">
        <v>0.375</v>
      </c>
      <c r="J36" s="8">
        <v>0.791666666667879</v>
      </c>
      <c r="K36" s="8">
        <v>0.375</v>
      </c>
      <c r="L36" s="8">
        <v>0.791666666667879</v>
      </c>
      <c r="M36" s="8">
        <v>0.375</v>
      </c>
      <c r="N36" s="8">
        <v>0.791666666667879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20">
        <v>0.5</v>
      </c>
      <c r="V36" s="20">
        <v>0.875</v>
      </c>
      <c r="W36" s="20">
        <v>0.5</v>
      </c>
      <c r="X36" s="20">
        <v>0.875</v>
      </c>
      <c r="Y36" s="20">
        <v>0.5</v>
      </c>
      <c r="Z36" s="20">
        <v>0.875</v>
      </c>
      <c r="AA36" s="20">
        <v>0.5</v>
      </c>
      <c r="AB36" s="20">
        <v>0.875</v>
      </c>
      <c r="AC36" s="20">
        <v>0.5</v>
      </c>
      <c r="AD36" s="20">
        <v>0.875</v>
      </c>
      <c r="AE36" s="17" t="s">
        <v>23</v>
      </c>
      <c r="AF36" s="17" t="s">
        <v>23</v>
      </c>
      <c r="AG36" s="17" t="s">
        <v>23</v>
      </c>
      <c r="AH36" s="17" t="s">
        <v>23</v>
      </c>
      <c r="AI36" s="20">
        <v>0.375</v>
      </c>
      <c r="AJ36" s="20">
        <v>0.75</v>
      </c>
      <c r="AK36" s="20">
        <v>0.375</v>
      </c>
      <c r="AL36" s="20">
        <v>0.75</v>
      </c>
      <c r="AM36" s="20">
        <v>0.375</v>
      </c>
      <c r="AN36" s="20">
        <v>0.75</v>
      </c>
      <c r="AO36" s="20">
        <v>0.375</v>
      </c>
      <c r="AP36" s="20">
        <v>0.75</v>
      </c>
      <c r="AQ36" s="20">
        <v>0.375</v>
      </c>
      <c r="AR36" s="20">
        <v>0.75</v>
      </c>
      <c r="AS36" s="17" t="s">
        <v>23</v>
      </c>
      <c r="AT36" s="17" t="s">
        <v>23</v>
      </c>
      <c r="AU36" s="17" t="s">
        <v>23</v>
      </c>
      <c r="AV36" s="17" t="s">
        <v>23</v>
      </c>
      <c r="AW36" s="20">
        <v>0.458333333332121</v>
      </c>
      <c r="AX36" s="20">
        <v>0.875</v>
      </c>
      <c r="AY36" s="20">
        <v>0.458333333332121</v>
      </c>
      <c r="AZ36" s="20">
        <v>0.875</v>
      </c>
      <c r="BA36" s="20">
        <v>0.458333333332121</v>
      </c>
      <c r="BB36" s="20">
        <v>0.875</v>
      </c>
      <c r="BC36" s="20">
        <v>0.458333333332121</v>
      </c>
      <c r="BD36" s="20">
        <v>0.875</v>
      </c>
      <c r="BE36" s="17" t="s">
        <v>23</v>
      </c>
      <c r="BF36" s="17" t="s">
        <v>23</v>
      </c>
      <c r="BG36" s="17" t="s">
        <v>23</v>
      </c>
      <c r="BH36" s="17" t="s">
        <v>23</v>
      </c>
      <c r="BI36" s="20">
        <v>0.458333333332121</v>
      </c>
      <c r="BJ36" s="20">
        <v>0.666666666667879</v>
      </c>
      <c r="BK36" s="20">
        <v>0.375</v>
      </c>
      <c r="BL36" s="20">
        <v>0.791666666667879</v>
      </c>
      <c r="BM36" s="20">
        <v>0.375</v>
      </c>
      <c r="BN36" s="20">
        <v>0.791666666667879</v>
      </c>
      <c r="BO36" s="21">
        <f>IFERROR(__xludf.DUMMYFUNCTION("TO_PURE_NUMBER(SUM(FILTER(G36:BN36, ISEVEN(COLUMN(G36:BN36))))-SUM(FILTER(G36:BN36, ISODD(COLUMN(G36:BN36)))))*24"),200.000000000407)</f>
        <v>200.000000000407</v>
      </c>
      <c r="BP36" s="17"/>
      <c r="BQ36" s="17"/>
      <c r="BR36" s="17"/>
      <c r="BS36" s="17"/>
      <c r="BT36" s="17"/>
      <c r="BU36" s="17"/>
      <c r="BV36" s="17"/>
      <c r="BW36" s="17"/>
      <c r="BX36" s="17"/>
    </row>
    <row r="37" customHeight="1" spans="1:76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0">
        <v>0.375</v>
      </c>
      <c r="V37" s="20">
        <v>0.75</v>
      </c>
      <c r="W37" s="20">
        <v>0.375</v>
      </c>
      <c r="X37" s="20">
        <v>0.75</v>
      </c>
      <c r="Y37" s="20">
        <v>0.375</v>
      </c>
      <c r="Z37" s="20">
        <v>0.75</v>
      </c>
      <c r="AA37" s="20">
        <v>0.375</v>
      </c>
      <c r="AB37" s="20">
        <v>0.75</v>
      </c>
      <c r="AC37" s="20">
        <v>0.375</v>
      </c>
      <c r="AD37" s="20">
        <v>0.75</v>
      </c>
      <c r="AE37" s="17" t="s">
        <v>23</v>
      </c>
      <c r="AF37" s="17" t="s">
        <v>23</v>
      </c>
      <c r="AG37" s="17" t="s">
        <v>23</v>
      </c>
      <c r="AH37" s="17" t="s">
        <v>23</v>
      </c>
      <c r="AI37" s="20">
        <v>0.5</v>
      </c>
      <c r="AJ37" s="20">
        <v>0.875</v>
      </c>
      <c r="AK37" s="20">
        <v>0.5</v>
      </c>
      <c r="AL37" s="20">
        <v>0.875</v>
      </c>
      <c r="AM37" s="20">
        <v>0.5</v>
      </c>
      <c r="AN37" s="20">
        <v>0.875</v>
      </c>
      <c r="AO37" s="20">
        <v>0.5</v>
      </c>
      <c r="AP37" s="20">
        <v>0.875</v>
      </c>
      <c r="AQ37" s="20">
        <v>0.5</v>
      </c>
      <c r="AR37" s="20">
        <v>0.875</v>
      </c>
      <c r="AS37" s="17" t="s">
        <v>23</v>
      </c>
      <c r="AT37" s="17" t="s">
        <v>23</v>
      </c>
      <c r="AU37" s="17" t="s">
        <v>23</v>
      </c>
      <c r="AV37" s="17" t="s">
        <v>23</v>
      </c>
      <c r="AW37" s="20">
        <v>0.375</v>
      </c>
      <c r="AX37" s="20">
        <v>0.75</v>
      </c>
      <c r="AY37" s="20">
        <v>0.375</v>
      </c>
      <c r="AZ37" s="20">
        <v>0.75</v>
      </c>
      <c r="BA37" s="20">
        <v>0.375</v>
      </c>
      <c r="BB37" s="20">
        <v>0.75</v>
      </c>
      <c r="BC37" s="20">
        <v>0.375</v>
      </c>
      <c r="BD37" s="20">
        <v>0.75</v>
      </c>
      <c r="BE37" s="20">
        <v>0.375</v>
      </c>
      <c r="BF37" s="20">
        <v>0.75</v>
      </c>
      <c r="BG37" s="17" t="s">
        <v>23</v>
      </c>
      <c r="BH37" s="17" t="s">
        <v>23</v>
      </c>
      <c r="BI37" s="17" t="s">
        <v>23</v>
      </c>
      <c r="BJ37" s="17" t="s">
        <v>23</v>
      </c>
      <c r="BK37" s="20">
        <v>0.5</v>
      </c>
      <c r="BL37" s="20">
        <v>0.875</v>
      </c>
      <c r="BM37" s="20">
        <v>0.5</v>
      </c>
      <c r="BN37" s="20">
        <v>0.875</v>
      </c>
      <c r="BO37" s="21">
        <f>IFERROR(__xludf.DUMMYFUNCTION("TO_PURE_NUMBER(SUM(FILTER(G37:BN37, ISEVEN(COLUMN(G37:BN37))))-SUM(FILTER(G37:BN37, ISODD(COLUMN(G37:BN37)))))*24"),198)</f>
        <v>198</v>
      </c>
      <c r="BP37" s="17"/>
      <c r="BQ37" s="17"/>
      <c r="BR37" s="17"/>
      <c r="BS37" s="17"/>
      <c r="BT37" s="17"/>
      <c r="BU37" s="17"/>
      <c r="BV37" s="17"/>
      <c r="BW37" s="17"/>
      <c r="BX37" s="17"/>
    </row>
    <row r="38" customHeight="1" spans="1:76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0">
        <v>0.333333333332121</v>
      </c>
      <c r="V38" s="20">
        <v>0.75</v>
      </c>
      <c r="W38" s="20">
        <v>0.375</v>
      </c>
      <c r="X38" s="20">
        <v>0.791666666667879</v>
      </c>
      <c r="Y38" s="20">
        <v>0.375</v>
      </c>
      <c r="Z38" s="20">
        <v>0.791666666667879</v>
      </c>
      <c r="AA38" s="20">
        <v>0.375</v>
      </c>
      <c r="AB38" s="20">
        <v>0.791666666667879</v>
      </c>
      <c r="AC38" s="17" t="s">
        <v>23</v>
      </c>
      <c r="AD38" s="17" t="s">
        <v>23</v>
      </c>
      <c r="AE38" s="17" t="s">
        <v>23</v>
      </c>
      <c r="AF38" s="17" t="s">
        <v>23</v>
      </c>
      <c r="AG38" s="20">
        <v>0.416666666667879</v>
      </c>
      <c r="AH38" s="20">
        <v>0.625</v>
      </c>
      <c r="AI38" s="20">
        <v>0.333333333332121</v>
      </c>
      <c r="AJ38" s="20">
        <v>0.75</v>
      </c>
      <c r="AK38" s="20">
        <v>0.375</v>
      </c>
      <c r="AL38" s="20">
        <v>0.791666666667879</v>
      </c>
      <c r="AM38" s="20">
        <v>0.375</v>
      </c>
      <c r="AN38" s="20">
        <v>0.791666666667879</v>
      </c>
      <c r="AO38" s="20">
        <v>0.375</v>
      </c>
      <c r="AP38" s="20">
        <v>0.791666666667879</v>
      </c>
      <c r="AQ38" s="17" t="s">
        <v>23</v>
      </c>
      <c r="AR38" s="17" t="s">
        <v>23</v>
      </c>
      <c r="AS38" s="17" t="s">
        <v>23</v>
      </c>
      <c r="AT38" s="17" t="s">
        <v>23</v>
      </c>
      <c r="AU38" s="20">
        <v>0.416666666667879</v>
      </c>
      <c r="AV38" s="20">
        <v>0.625</v>
      </c>
      <c r="AW38" s="20">
        <v>0.333333333332121</v>
      </c>
      <c r="AX38" s="20">
        <v>0.75</v>
      </c>
      <c r="AY38" s="20">
        <v>0.375</v>
      </c>
      <c r="AZ38" s="20">
        <v>0.791666666667879</v>
      </c>
      <c r="BA38" s="20">
        <v>0.375</v>
      </c>
      <c r="BB38" s="20">
        <v>0.791666666667879</v>
      </c>
      <c r="BC38" s="20">
        <v>0.375</v>
      </c>
      <c r="BD38" s="20">
        <v>0.791666666667879</v>
      </c>
      <c r="BE38" s="17" t="s">
        <v>23</v>
      </c>
      <c r="BF38" s="17" t="s">
        <v>23</v>
      </c>
      <c r="BG38" s="17" t="s">
        <v>23</v>
      </c>
      <c r="BH38" s="17" t="s">
        <v>23</v>
      </c>
      <c r="BI38" s="20">
        <v>0.416666666667879</v>
      </c>
      <c r="BJ38" s="20">
        <v>0.625</v>
      </c>
      <c r="BK38" s="20">
        <v>0.333333333332121</v>
      </c>
      <c r="BL38" s="20">
        <v>0.75</v>
      </c>
      <c r="BM38" s="20">
        <v>0.375</v>
      </c>
      <c r="BN38" s="20">
        <v>0.791666666667879</v>
      </c>
      <c r="BO38" s="21">
        <f>IFERROR(__xludf.DUMMYFUNCTION("TO_PURE_NUMBER(SUM(FILTER(G38:BN38, ISEVEN(COLUMN(G38:BN38))))-SUM(FILTER(G38:BN38, ISODD(COLUMN(G38:BN38)))))*24"),200.000000000407)</f>
        <v>200.000000000407</v>
      </c>
      <c r="BP38" s="17"/>
      <c r="BQ38" s="17"/>
      <c r="BR38" s="17"/>
      <c r="BS38" s="17"/>
      <c r="BT38" s="17"/>
      <c r="BU38" s="17"/>
      <c r="BV38" s="17"/>
      <c r="BW38" s="17"/>
      <c r="BX38" s="17"/>
    </row>
    <row r="39" customHeight="1" spans="1:76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0">
        <v>0.5</v>
      </c>
      <c r="V39" s="20">
        <v>0.875</v>
      </c>
      <c r="W39" s="20">
        <v>0.5</v>
      </c>
      <c r="X39" s="20">
        <v>0.875</v>
      </c>
      <c r="Y39" s="20">
        <v>0.5</v>
      </c>
      <c r="Z39" s="20">
        <v>0.875</v>
      </c>
      <c r="AA39" s="20">
        <v>0.5</v>
      </c>
      <c r="AB39" s="20">
        <v>0.875</v>
      </c>
      <c r="AC39" s="20">
        <v>0.5</v>
      </c>
      <c r="AD39" s="20">
        <v>0.875</v>
      </c>
      <c r="AE39" s="17" t="s">
        <v>23</v>
      </c>
      <c r="AF39" s="17" t="s">
        <v>23</v>
      </c>
      <c r="AG39" s="17" t="s">
        <v>23</v>
      </c>
      <c r="AH39" s="17" t="s">
        <v>23</v>
      </c>
      <c r="AI39" s="20">
        <v>0.375</v>
      </c>
      <c r="AJ39" s="20">
        <v>0.75</v>
      </c>
      <c r="AK39" s="20">
        <v>0.375</v>
      </c>
      <c r="AL39" s="20">
        <v>0.75</v>
      </c>
      <c r="AM39" s="20">
        <v>0.375</v>
      </c>
      <c r="AN39" s="20">
        <v>0.75</v>
      </c>
      <c r="AO39" s="20">
        <v>0.375</v>
      </c>
      <c r="AP39" s="20">
        <v>0.75</v>
      </c>
      <c r="AQ39" s="20">
        <v>0.375</v>
      </c>
      <c r="AR39" s="20">
        <v>0.75</v>
      </c>
      <c r="AS39" s="17" t="s">
        <v>23</v>
      </c>
      <c r="AT39" s="17" t="s">
        <v>23</v>
      </c>
      <c r="AU39" s="17" t="s">
        <v>23</v>
      </c>
      <c r="AV39" s="17" t="s">
        <v>23</v>
      </c>
      <c r="AW39" s="20">
        <v>0.5</v>
      </c>
      <c r="AX39" s="20">
        <v>0.875</v>
      </c>
      <c r="AY39" s="20">
        <v>0.5</v>
      </c>
      <c r="AZ39" s="20">
        <v>0.875</v>
      </c>
      <c r="BA39" s="20">
        <v>0.5</v>
      </c>
      <c r="BB39" s="20">
        <v>0.875</v>
      </c>
      <c r="BC39" s="20">
        <v>0.5</v>
      </c>
      <c r="BD39" s="20">
        <v>0.875</v>
      </c>
      <c r="BE39" s="20">
        <v>0.5</v>
      </c>
      <c r="BF39" s="20">
        <v>0.875</v>
      </c>
      <c r="BG39" s="17" t="s">
        <v>23</v>
      </c>
      <c r="BH39" s="17" t="s">
        <v>23</v>
      </c>
      <c r="BI39" s="17" t="s">
        <v>23</v>
      </c>
      <c r="BJ39" s="17" t="s">
        <v>23</v>
      </c>
      <c r="BK39" s="20">
        <v>0.375</v>
      </c>
      <c r="BL39" s="20">
        <v>0.75</v>
      </c>
      <c r="BM39" s="20">
        <v>0.375</v>
      </c>
      <c r="BN39" s="20">
        <v>0.75</v>
      </c>
      <c r="BO39" s="21">
        <f>IFERROR(__xludf.DUMMYFUNCTION("TO_PURE_NUMBER(SUM(FILTER(G39:BN39, ISEVEN(COLUMN(G39:BN39))))-SUM(FILTER(G39:BN39, ISODD(COLUMN(G39:BN39)))))*24"),198)</f>
        <v>198</v>
      </c>
      <c r="BP39" s="17"/>
      <c r="BQ39" s="17"/>
      <c r="BR39" s="17"/>
      <c r="BS39" s="17"/>
      <c r="BT39" s="17"/>
      <c r="BU39" s="17"/>
      <c r="BV39" s="17"/>
      <c r="BW39" s="17"/>
      <c r="BX39" s="17"/>
    </row>
    <row r="40" customHeight="1" spans="1:76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0.5</v>
      </c>
      <c r="H40" s="8">
        <v>0.875</v>
      </c>
      <c r="I40" s="8">
        <v>0.5</v>
      </c>
      <c r="J40" s="8">
        <v>0.875</v>
      </c>
      <c r="K40" s="8">
        <v>0.5</v>
      </c>
      <c r="L40" s="8">
        <v>0.875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0">
        <v>0.375</v>
      </c>
      <c r="V40" s="20">
        <v>0.75</v>
      </c>
      <c r="W40" s="20">
        <v>0.375</v>
      </c>
      <c r="X40" s="20">
        <v>0.75</v>
      </c>
      <c r="Y40" s="20">
        <v>0.375</v>
      </c>
      <c r="Z40" s="20">
        <v>0.75</v>
      </c>
      <c r="AA40" s="17" t="s">
        <v>23</v>
      </c>
      <c r="AB40" s="17" t="s">
        <v>23</v>
      </c>
      <c r="AC40" s="17" t="s">
        <v>23</v>
      </c>
      <c r="AD40" s="17" t="s">
        <v>23</v>
      </c>
      <c r="AE40" s="20">
        <v>0.458333333332121</v>
      </c>
      <c r="AF40" s="20">
        <v>0.666666666667879</v>
      </c>
      <c r="AG40" s="20">
        <v>0.458333333332121</v>
      </c>
      <c r="AH40" s="20">
        <v>0.666666666667879</v>
      </c>
      <c r="AI40" s="20">
        <v>0.5</v>
      </c>
      <c r="AJ40" s="20">
        <v>0.875</v>
      </c>
      <c r="AK40" s="20">
        <v>0.5</v>
      </c>
      <c r="AL40" s="20">
        <v>0.875</v>
      </c>
      <c r="AM40" s="20">
        <v>0.5</v>
      </c>
      <c r="AN40" s="20">
        <v>0.875</v>
      </c>
      <c r="AO40" s="17" t="s">
        <v>23</v>
      </c>
      <c r="AP40" s="17" t="s">
        <v>23</v>
      </c>
      <c r="AQ40" s="17" t="s">
        <v>23</v>
      </c>
      <c r="AR40" s="17" t="s">
        <v>23</v>
      </c>
      <c r="AS40" s="20">
        <v>0.458333333332121</v>
      </c>
      <c r="AT40" s="20">
        <v>0.666666666667879</v>
      </c>
      <c r="AU40" s="20">
        <v>0.458333333332121</v>
      </c>
      <c r="AV40" s="20">
        <v>0.666666666667879</v>
      </c>
      <c r="AW40" s="20">
        <v>0.375</v>
      </c>
      <c r="AX40" s="20">
        <v>0.75</v>
      </c>
      <c r="AY40" s="20">
        <v>0.375</v>
      </c>
      <c r="AZ40" s="20">
        <v>0.75</v>
      </c>
      <c r="BA40" s="17" t="s">
        <v>23</v>
      </c>
      <c r="BB40" s="17" t="s">
        <v>23</v>
      </c>
      <c r="BC40" s="17" t="s">
        <v>23</v>
      </c>
      <c r="BD40" s="17" t="s">
        <v>23</v>
      </c>
      <c r="BE40" s="20">
        <v>0.375</v>
      </c>
      <c r="BF40" s="20">
        <v>0.75</v>
      </c>
      <c r="BG40" s="20">
        <v>0.458333333332121</v>
      </c>
      <c r="BH40" s="20">
        <v>0.666666666667879</v>
      </c>
      <c r="BI40" s="20">
        <v>0.458333333332121</v>
      </c>
      <c r="BJ40" s="20">
        <v>0.666666666667879</v>
      </c>
      <c r="BK40" s="20">
        <v>0.5</v>
      </c>
      <c r="BL40" s="20">
        <v>0.875</v>
      </c>
      <c r="BM40" s="17" t="s">
        <v>23</v>
      </c>
      <c r="BN40" s="17" t="s">
        <v>23</v>
      </c>
      <c r="BO40" s="21">
        <f>IFERROR(__xludf.DUMMYFUNCTION("TO_PURE_NUMBER(SUM(FILTER(G40:BN40, ISEVEN(COLUMN(G40:BN40))))-SUM(FILTER(G40:BN40, ISODD(COLUMN(G40:BN40)))))*24"),157.000000000465)</f>
        <v>157.000000000465</v>
      </c>
      <c r="BP40" s="17"/>
      <c r="BQ40" s="17"/>
      <c r="BR40" s="17"/>
      <c r="BS40" s="17"/>
      <c r="BT40" s="17"/>
      <c r="BU40" s="17"/>
      <c r="BV40" s="17"/>
      <c r="BW40" s="17"/>
      <c r="BX40" s="17"/>
    </row>
    <row r="41" customHeight="1" spans="1:76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0.458333333332121</v>
      </c>
      <c r="L41" s="8">
        <v>0.875</v>
      </c>
      <c r="M41" s="8">
        <v>0.458333333332121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0">
        <v>0.416666666667879</v>
      </c>
      <c r="V41" s="20">
        <v>0.833333333332121</v>
      </c>
      <c r="W41" s="20">
        <v>0.416666666667879</v>
      </c>
      <c r="X41" s="20">
        <v>0.833333333332121</v>
      </c>
      <c r="Y41" s="20">
        <v>0.416666666667879</v>
      </c>
      <c r="Z41" s="20">
        <v>0.833333333332121</v>
      </c>
      <c r="AA41" s="20">
        <v>0.416666666667879</v>
      </c>
      <c r="AB41" s="20">
        <v>0.833333333332121</v>
      </c>
      <c r="AC41" s="17" t="s">
        <v>23</v>
      </c>
      <c r="AD41" s="17" t="s">
        <v>23</v>
      </c>
      <c r="AE41" s="17" t="s">
        <v>23</v>
      </c>
      <c r="AF41" s="17" t="s">
        <v>23</v>
      </c>
      <c r="AG41" s="20">
        <v>0.458333333332121</v>
      </c>
      <c r="AH41" s="20">
        <v>0.666666666667879</v>
      </c>
      <c r="AI41" s="20">
        <v>0.5</v>
      </c>
      <c r="AJ41" s="20">
        <v>0.875</v>
      </c>
      <c r="AK41" s="20">
        <v>0.5</v>
      </c>
      <c r="AL41" s="20">
        <v>0.875</v>
      </c>
      <c r="AM41" s="20">
        <v>0.5</v>
      </c>
      <c r="AN41" s="20">
        <v>0.875</v>
      </c>
      <c r="AO41" s="20">
        <v>0.5</v>
      </c>
      <c r="AP41" s="20">
        <v>0.875</v>
      </c>
      <c r="AQ41" s="20">
        <v>0.5</v>
      </c>
      <c r="AR41" s="20">
        <v>0.875</v>
      </c>
      <c r="AS41" s="17" t="s">
        <v>23</v>
      </c>
      <c r="AT41" s="17" t="s">
        <v>23</v>
      </c>
      <c r="AU41" s="17" t="s">
        <v>23</v>
      </c>
      <c r="AV41" s="17" t="s">
        <v>23</v>
      </c>
      <c r="AW41" s="20">
        <v>0.375</v>
      </c>
      <c r="AX41" s="20">
        <v>0.791666666667879</v>
      </c>
      <c r="AY41" s="20">
        <v>0.375</v>
      </c>
      <c r="AZ41" s="20">
        <v>0.791666666667879</v>
      </c>
      <c r="BA41" s="20">
        <v>0.375</v>
      </c>
      <c r="BB41" s="20">
        <v>0.791666666667879</v>
      </c>
      <c r="BC41" s="20">
        <v>0.375</v>
      </c>
      <c r="BD41" s="20">
        <v>0.791666666667879</v>
      </c>
      <c r="BE41" s="17" t="s">
        <v>23</v>
      </c>
      <c r="BF41" s="17" t="s">
        <v>23</v>
      </c>
      <c r="BG41" s="17" t="s">
        <v>23</v>
      </c>
      <c r="BH41" s="17" t="s">
        <v>23</v>
      </c>
      <c r="BI41" s="20">
        <v>0.458333333332121</v>
      </c>
      <c r="BJ41" s="20">
        <v>0.666666666667879</v>
      </c>
      <c r="BK41" s="20">
        <v>0.458333333332121</v>
      </c>
      <c r="BL41" s="20">
        <v>0.875</v>
      </c>
      <c r="BM41" s="20">
        <v>0.458333333332121</v>
      </c>
      <c r="BN41" s="20">
        <v>0.875</v>
      </c>
      <c r="BO41" s="21">
        <f>IFERROR(__xludf.DUMMYFUNCTION("TO_PURE_NUMBER(SUM(FILTER(G41:BN41, ISEVEN(COLUMN(G41:BN41))))-SUM(FILTER(G41:BN41, ISODD(COLUMN(G41:BN41)))))*24"),200.000000000232)</f>
        <v>200.000000000232</v>
      </c>
      <c r="BP41" s="17"/>
      <c r="BQ41" s="17"/>
      <c r="BR41" s="17"/>
      <c r="BS41" s="17"/>
      <c r="BT41" s="17"/>
      <c r="BU41" s="17"/>
      <c r="BV41" s="17"/>
      <c r="BW41" s="17"/>
      <c r="BX41" s="17"/>
    </row>
    <row r="42" customHeight="1" spans="1:76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17" t="s">
        <v>23</v>
      </c>
      <c r="V42" s="17" t="s">
        <v>23</v>
      </c>
      <c r="W42" s="20">
        <v>0.375</v>
      </c>
      <c r="X42" s="20">
        <v>0.791666666667879</v>
      </c>
      <c r="Y42" s="20">
        <v>0.375</v>
      </c>
      <c r="Z42" s="20">
        <v>0.791666666667879</v>
      </c>
      <c r="AA42" s="20">
        <v>0.375</v>
      </c>
      <c r="AB42" s="20">
        <v>0.791666666667879</v>
      </c>
      <c r="AC42" s="20">
        <v>0.375</v>
      </c>
      <c r="AD42" s="20">
        <v>0.791666666667879</v>
      </c>
      <c r="AE42" s="20">
        <v>0.458333333332121</v>
      </c>
      <c r="AF42" s="20">
        <v>0.666666666667879</v>
      </c>
      <c r="AG42" s="17" t="s">
        <v>23</v>
      </c>
      <c r="AH42" s="17" t="s">
        <v>23</v>
      </c>
      <c r="AI42" s="17" t="s">
        <v>23</v>
      </c>
      <c r="AJ42" s="17" t="s">
        <v>23</v>
      </c>
      <c r="AK42" s="20">
        <v>0.458333333332121</v>
      </c>
      <c r="AL42" s="20">
        <v>0.875</v>
      </c>
      <c r="AM42" s="20">
        <v>0.458333333332121</v>
      </c>
      <c r="AN42" s="20">
        <v>0.875</v>
      </c>
      <c r="AO42" s="20">
        <v>0.458333333332121</v>
      </c>
      <c r="AP42" s="20">
        <v>0.875</v>
      </c>
      <c r="AQ42" s="20">
        <v>0.458333333332121</v>
      </c>
      <c r="AR42" s="20">
        <v>0.875</v>
      </c>
      <c r="AS42" s="20">
        <v>0.458333333332121</v>
      </c>
      <c r="AT42" s="20">
        <v>0.666666666667879</v>
      </c>
      <c r="AU42" s="17" t="s">
        <v>23</v>
      </c>
      <c r="AV42" s="17" t="s">
        <v>23</v>
      </c>
      <c r="AW42" s="17" t="s">
        <v>23</v>
      </c>
      <c r="AX42" s="17" t="s">
        <v>23</v>
      </c>
      <c r="AY42" s="20">
        <v>0.375</v>
      </c>
      <c r="AZ42" s="20">
        <v>0.791666666667879</v>
      </c>
      <c r="BA42" s="20">
        <v>0.375</v>
      </c>
      <c r="BB42" s="20">
        <v>0.791666666667879</v>
      </c>
      <c r="BC42" s="20">
        <v>0.375</v>
      </c>
      <c r="BD42" s="20">
        <v>0.791666666667879</v>
      </c>
      <c r="BE42" s="20">
        <v>0.375</v>
      </c>
      <c r="BF42" s="20">
        <v>0.791666666667879</v>
      </c>
      <c r="BG42" s="20">
        <v>0.458333333332121</v>
      </c>
      <c r="BH42" s="20">
        <v>0.666666666667879</v>
      </c>
      <c r="BI42" s="17" t="s">
        <v>23</v>
      </c>
      <c r="BJ42" s="17" t="s">
        <v>23</v>
      </c>
      <c r="BK42" s="17" t="s">
        <v>23</v>
      </c>
      <c r="BL42" s="17" t="s">
        <v>23</v>
      </c>
      <c r="BM42" s="20">
        <v>0.458333333332121</v>
      </c>
      <c r="BN42" s="20">
        <v>0.875</v>
      </c>
      <c r="BO42" s="21">
        <f>IFERROR(__xludf.DUMMYFUNCTION("TO_PURE_NUMBER(SUM(FILTER(G42:BN42, ISEVEN(COLUMN(G42:BN42))))-SUM(FILTER(G42:BN42, ISODD(COLUMN(G42:BN42)))))*24"),190.000000000727)</f>
        <v>190.000000000727</v>
      </c>
      <c r="BP42" s="17"/>
      <c r="BQ42" s="17"/>
      <c r="BR42" s="17"/>
      <c r="BS42" s="17"/>
      <c r="BT42" s="17"/>
      <c r="BU42" s="17"/>
      <c r="BV42" s="17"/>
      <c r="BW42" s="17"/>
      <c r="BX42" s="17"/>
    </row>
    <row r="43" customHeight="1" spans="1:76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0">
        <v>0.5</v>
      </c>
      <c r="V43" s="20">
        <v>0.875</v>
      </c>
      <c r="W43" s="20">
        <v>0.5</v>
      </c>
      <c r="X43" s="20">
        <v>0.875</v>
      </c>
      <c r="Y43" s="20">
        <v>0.5</v>
      </c>
      <c r="Z43" s="20">
        <v>0.875</v>
      </c>
      <c r="AA43" s="17" t="s">
        <v>23</v>
      </c>
      <c r="AB43" s="17" t="s">
        <v>23</v>
      </c>
      <c r="AC43" s="17" t="s">
        <v>23</v>
      </c>
      <c r="AD43" s="17" t="s">
        <v>23</v>
      </c>
      <c r="AE43" s="20">
        <v>0.458333333332121</v>
      </c>
      <c r="AF43" s="20">
        <v>0.666666666667879</v>
      </c>
      <c r="AG43" s="20">
        <v>0.458333333332121</v>
      </c>
      <c r="AH43" s="20">
        <v>0.666666666667879</v>
      </c>
      <c r="AI43" s="20">
        <v>0.375</v>
      </c>
      <c r="AJ43" s="20">
        <v>0.75</v>
      </c>
      <c r="AK43" s="20">
        <v>0.375</v>
      </c>
      <c r="AL43" s="20">
        <v>0.75</v>
      </c>
      <c r="AM43" s="20">
        <v>0.375</v>
      </c>
      <c r="AN43" s="20">
        <v>0.75</v>
      </c>
      <c r="AO43" s="17" t="s">
        <v>23</v>
      </c>
      <c r="AP43" s="17" t="s">
        <v>23</v>
      </c>
      <c r="AQ43" s="17" t="s">
        <v>23</v>
      </c>
      <c r="AR43" s="17" t="s">
        <v>23</v>
      </c>
      <c r="AS43" s="20">
        <v>0.458333333332121</v>
      </c>
      <c r="AT43" s="20">
        <v>0.666666666667879</v>
      </c>
      <c r="AU43" s="20">
        <v>0.458333333332121</v>
      </c>
      <c r="AV43" s="20">
        <v>0.666666666667879</v>
      </c>
      <c r="AW43" s="20">
        <v>0.5</v>
      </c>
      <c r="AX43" s="20">
        <v>0.875</v>
      </c>
      <c r="AY43" s="20">
        <v>0.5</v>
      </c>
      <c r="AZ43" s="20">
        <v>0.875</v>
      </c>
      <c r="BA43" s="17" t="s">
        <v>23</v>
      </c>
      <c r="BB43" s="17" t="s">
        <v>23</v>
      </c>
      <c r="BC43" s="17" t="s">
        <v>23</v>
      </c>
      <c r="BD43" s="17" t="s">
        <v>23</v>
      </c>
      <c r="BE43" s="20">
        <v>0.5</v>
      </c>
      <c r="BF43" s="20">
        <v>0.875</v>
      </c>
      <c r="BG43" s="20">
        <v>0.458333333332121</v>
      </c>
      <c r="BH43" s="20">
        <v>0.666666666667879</v>
      </c>
      <c r="BI43" s="20">
        <v>0.458333333332121</v>
      </c>
      <c r="BJ43" s="20">
        <v>0.666666666667879</v>
      </c>
      <c r="BK43" s="20">
        <v>0.375</v>
      </c>
      <c r="BL43" s="20">
        <v>0.75</v>
      </c>
      <c r="BM43" s="17" t="s">
        <v>23</v>
      </c>
      <c r="BN43" s="17" t="s">
        <v>23</v>
      </c>
      <c r="BO43" s="21">
        <f>IFERROR(__xludf.DUMMYFUNCTION("TO_PURE_NUMBER(SUM(FILTER(G43:BN43, ISEVEN(COLUMN(G43:BN43))))-SUM(FILTER(G43:BN43, ISODD(COLUMN(G43:BN43)))))*24"),157.000000000465)</f>
        <v>157.000000000465</v>
      </c>
      <c r="BP43" s="17"/>
      <c r="BQ43" s="17"/>
      <c r="BR43" s="17"/>
      <c r="BS43" s="17"/>
      <c r="BT43" s="17"/>
      <c r="BU43" s="17"/>
      <c r="BV43" s="17"/>
      <c r="BW43" s="17"/>
      <c r="BX43" s="17"/>
    </row>
    <row r="44" customHeight="1" spans="1:76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0.791666666667879</v>
      </c>
      <c r="M44" s="8">
        <v>0.375</v>
      </c>
      <c r="N44" s="8">
        <v>0.791666666667879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20">
        <v>0.5</v>
      </c>
      <c r="V44" s="20">
        <v>0.875</v>
      </c>
      <c r="W44" s="20">
        <v>0.5</v>
      </c>
      <c r="X44" s="20">
        <v>0.875</v>
      </c>
      <c r="Y44" s="20">
        <v>0.5</v>
      </c>
      <c r="Z44" s="20">
        <v>0.875</v>
      </c>
      <c r="AA44" s="20">
        <v>0.5</v>
      </c>
      <c r="AB44" s="20">
        <v>0.875</v>
      </c>
      <c r="AC44" s="20">
        <v>0.5</v>
      </c>
      <c r="AD44" s="20">
        <v>0.875</v>
      </c>
      <c r="AE44" s="17" t="s">
        <v>23</v>
      </c>
      <c r="AF44" s="17" t="s">
        <v>23</v>
      </c>
      <c r="AG44" s="17" t="s">
        <v>23</v>
      </c>
      <c r="AH44" s="17" t="s">
        <v>23</v>
      </c>
      <c r="AI44" s="20">
        <v>0.375</v>
      </c>
      <c r="AJ44" s="20">
        <v>0.75</v>
      </c>
      <c r="AK44" s="20">
        <v>0.375</v>
      </c>
      <c r="AL44" s="20">
        <v>0.75</v>
      </c>
      <c r="AM44" s="20">
        <v>0.375</v>
      </c>
      <c r="AN44" s="20">
        <v>0.75</v>
      </c>
      <c r="AO44" s="20">
        <v>0.375</v>
      </c>
      <c r="AP44" s="20">
        <v>0.75</v>
      </c>
      <c r="AQ44" s="20">
        <v>0.375</v>
      </c>
      <c r="AR44" s="20">
        <v>0.75</v>
      </c>
      <c r="AS44" s="17" t="s">
        <v>23</v>
      </c>
      <c r="AT44" s="17" t="s">
        <v>23</v>
      </c>
      <c r="AU44" s="17" t="s">
        <v>23</v>
      </c>
      <c r="AV44" s="17" t="s">
        <v>23</v>
      </c>
      <c r="AW44" s="20">
        <v>0.458333333332121</v>
      </c>
      <c r="AX44" s="20">
        <v>0.875</v>
      </c>
      <c r="AY44" s="20">
        <v>0.458333333332121</v>
      </c>
      <c r="AZ44" s="20">
        <v>0.875</v>
      </c>
      <c r="BA44" s="20">
        <v>0.458333333332121</v>
      </c>
      <c r="BB44" s="20">
        <v>0.875</v>
      </c>
      <c r="BC44" s="20">
        <v>0.458333333332121</v>
      </c>
      <c r="BD44" s="20">
        <v>0.875</v>
      </c>
      <c r="BE44" s="17" t="s">
        <v>23</v>
      </c>
      <c r="BF44" s="17" t="s">
        <v>23</v>
      </c>
      <c r="BG44" s="17" t="s">
        <v>23</v>
      </c>
      <c r="BH44" s="17" t="s">
        <v>23</v>
      </c>
      <c r="BI44" s="20">
        <v>0.458333333332121</v>
      </c>
      <c r="BJ44" s="20">
        <v>0.666666666667879</v>
      </c>
      <c r="BK44" s="20">
        <v>0.375</v>
      </c>
      <c r="BL44" s="20">
        <v>0.791666666667879</v>
      </c>
      <c r="BM44" s="20">
        <v>0.375</v>
      </c>
      <c r="BN44" s="20">
        <v>0.791666666667879</v>
      </c>
      <c r="BO44" s="21">
        <f>IFERROR(__xludf.DUMMYFUNCTION("TO_PURE_NUMBER(SUM(FILTER(G44:BN44, ISEVEN(COLUMN(G44:BN44))))-SUM(FILTER(G44:BN44, ISODD(COLUMN(G44:BN44)))))*24"),200.000000000407)</f>
        <v>200.000000000407</v>
      </c>
      <c r="BP44" s="17"/>
      <c r="BQ44" s="17"/>
      <c r="BR44" s="17"/>
      <c r="BS44" s="17"/>
      <c r="BT44" s="17"/>
      <c r="BU44" s="17"/>
      <c r="BV44" s="17"/>
      <c r="BW44" s="17"/>
      <c r="BX44" s="17"/>
    </row>
    <row r="45" customHeight="1" spans="1:76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20">
        <v>0.375</v>
      </c>
      <c r="V45" s="20">
        <v>0.75</v>
      </c>
      <c r="W45" s="20">
        <v>0.375</v>
      </c>
      <c r="X45" s="20">
        <v>0.75</v>
      </c>
      <c r="Y45" s="20">
        <v>0.375</v>
      </c>
      <c r="Z45" s="20">
        <v>0.75</v>
      </c>
      <c r="AA45" s="20">
        <v>0.375</v>
      </c>
      <c r="AB45" s="20">
        <v>0.75</v>
      </c>
      <c r="AC45" s="20">
        <v>0.375</v>
      </c>
      <c r="AD45" s="20">
        <v>0.75</v>
      </c>
      <c r="AE45" s="17" t="s">
        <v>23</v>
      </c>
      <c r="AF45" s="17" t="s">
        <v>23</v>
      </c>
      <c r="AG45" s="17" t="s">
        <v>23</v>
      </c>
      <c r="AH45" s="17" t="s">
        <v>23</v>
      </c>
      <c r="AI45" s="20">
        <v>0.375</v>
      </c>
      <c r="AJ45" s="20">
        <v>0.75</v>
      </c>
      <c r="AK45" s="20">
        <v>0.375</v>
      </c>
      <c r="AL45" s="20">
        <v>0.75</v>
      </c>
      <c r="AM45" s="20">
        <v>0.375</v>
      </c>
      <c r="AN45" s="20">
        <v>0.75</v>
      </c>
      <c r="AO45" s="20">
        <v>0.375</v>
      </c>
      <c r="AP45" s="20">
        <v>0.75</v>
      </c>
      <c r="AQ45" s="20">
        <v>0.375</v>
      </c>
      <c r="AR45" s="20">
        <v>0.75</v>
      </c>
      <c r="AS45" s="17" t="s">
        <v>23</v>
      </c>
      <c r="AT45" s="17" t="s">
        <v>23</v>
      </c>
      <c r="AU45" s="17" t="s">
        <v>23</v>
      </c>
      <c r="AV45" s="17" t="s">
        <v>23</v>
      </c>
      <c r="AW45" s="20">
        <v>0.5</v>
      </c>
      <c r="AX45" s="20">
        <v>0.875</v>
      </c>
      <c r="AY45" s="20">
        <v>0.5</v>
      </c>
      <c r="AZ45" s="20">
        <v>0.875</v>
      </c>
      <c r="BA45" s="20">
        <v>0.5</v>
      </c>
      <c r="BB45" s="20">
        <v>0.875</v>
      </c>
      <c r="BC45" s="20">
        <v>0.5</v>
      </c>
      <c r="BD45" s="20">
        <v>0.875</v>
      </c>
      <c r="BE45" s="20">
        <v>0.5</v>
      </c>
      <c r="BF45" s="20">
        <v>0.875</v>
      </c>
      <c r="BG45" s="17" t="s">
        <v>23</v>
      </c>
      <c r="BH45" s="17" t="s">
        <v>23</v>
      </c>
      <c r="BI45" s="17" t="s">
        <v>23</v>
      </c>
      <c r="BJ45" s="17" t="s">
        <v>23</v>
      </c>
      <c r="BK45" s="20">
        <v>0.5</v>
      </c>
      <c r="BL45" s="20">
        <v>0.875</v>
      </c>
      <c r="BM45" s="20">
        <v>0.5</v>
      </c>
      <c r="BN45" s="20">
        <v>0.875</v>
      </c>
      <c r="BO45" s="21">
        <f>IFERROR(__xludf.DUMMYFUNCTION("TO_PURE_NUMBER(SUM(FILTER(G45:BN45, ISEVEN(COLUMN(G45:BN45))))-SUM(FILTER(G45:BN45, ISODD(COLUMN(G45:BN45)))))*24"),198)</f>
        <v>198</v>
      </c>
      <c r="BP45" s="17"/>
      <c r="BQ45" s="17"/>
      <c r="BR45" s="17"/>
      <c r="BS45" s="17"/>
      <c r="BT45" s="17"/>
      <c r="BU45" s="17"/>
      <c r="BV45" s="17"/>
      <c r="BW45" s="17"/>
      <c r="BX45" s="17"/>
    </row>
    <row r="46" customHeight="1" spans="1:76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0">
        <v>0.375</v>
      </c>
      <c r="V46" s="20">
        <v>0.75</v>
      </c>
      <c r="W46" s="20">
        <v>0.375</v>
      </c>
      <c r="X46" s="20">
        <v>0.75</v>
      </c>
      <c r="Y46" s="20">
        <v>0.375</v>
      </c>
      <c r="Z46" s="20">
        <v>0.75</v>
      </c>
      <c r="AA46" s="20">
        <v>0.375</v>
      </c>
      <c r="AB46" s="20">
        <v>0.75</v>
      </c>
      <c r="AC46" s="20">
        <v>0.375</v>
      </c>
      <c r="AD46" s="20">
        <v>0.75</v>
      </c>
      <c r="AE46" s="17" t="s">
        <v>23</v>
      </c>
      <c r="AF46" s="17" t="s">
        <v>23</v>
      </c>
      <c r="AG46" s="17" t="s">
        <v>23</v>
      </c>
      <c r="AH46" s="17" t="s">
        <v>23</v>
      </c>
      <c r="AI46" s="20">
        <v>0.5</v>
      </c>
      <c r="AJ46" s="20">
        <v>0.875</v>
      </c>
      <c r="AK46" s="20">
        <v>0.5</v>
      </c>
      <c r="AL46" s="20">
        <v>0.875</v>
      </c>
      <c r="AM46" s="20">
        <v>0.5</v>
      </c>
      <c r="AN46" s="20">
        <v>0.875</v>
      </c>
      <c r="AO46" s="20">
        <v>0.5</v>
      </c>
      <c r="AP46" s="20">
        <v>0.875</v>
      </c>
      <c r="AQ46" s="20">
        <v>0.5</v>
      </c>
      <c r="AR46" s="20">
        <v>0.875</v>
      </c>
      <c r="AS46" s="17" t="s">
        <v>23</v>
      </c>
      <c r="AT46" s="17" t="s">
        <v>23</v>
      </c>
      <c r="AU46" s="17" t="s">
        <v>23</v>
      </c>
      <c r="AV46" s="17" t="s">
        <v>23</v>
      </c>
      <c r="AW46" s="20">
        <v>0.375</v>
      </c>
      <c r="AX46" s="20">
        <v>0.75</v>
      </c>
      <c r="AY46" s="20">
        <v>0.375</v>
      </c>
      <c r="AZ46" s="20">
        <v>0.75</v>
      </c>
      <c r="BA46" s="20">
        <v>0.375</v>
      </c>
      <c r="BB46" s="20">
        <v>0.75</v>
      </c>
      <c r="BC46" s="20">
        <v>0.375</v>
      </c>
      <c r="BD46" s="20">
        <v>0.75</v>
      </c>
      <c r="BE46" s="20">
        <v>0.375</v>
      </c>
      <c r="BF46" s="20">
        <v>0.75</v>
      </c>
      <c r="BG46" s="17" t="s">
        <v>23</v>
      </c>
      <c r="BH46" s="17" t="s">
        <v>23</v>
      </c>
      <c r="BI46" s="17" t="s">
        <v>23</v>
      </c>
      <c r="BJ46" s="17" t="s">
        <v>23</v>
      </c>
      <c r="BK46" s="20">
        <v>0.5</v>
      </c>
      <c r="BL46" s="20">
        <v>0.875</v>
      </c>
      <c r="BM46" s="20">
        <v>0.5</v>
      </c>
      <c r="BN46" s="20">
        <v>0.875</v>
      </c>
      <c r="BO46" s="21">
        <f>IFERROR(__xludf.DUMMYFUNCTION("TO_PURE_NUMBER(SUM(FILTER(G46:BN46, ISEVEN(COLUMN(G46:BN46))))-SUM(FILTER(G46:BN46, ISODD(COLUMN(G46:BN46)))))*24"),198)</f>
        <v>198</v>
      </c>
      <c r="BP46" s="17"/>
      <c r="BQ46" s="17"/>
      <c r="BR46" s="17"/>
      <c r="BS46" s="17"/>
      <c r="BT46" s="17"/>
      <c r="BU46" s="17"/>
      <c r="BV46" s="17"/>
      <c r="BW46" s="17"/>
      <c r="BX46" s="17"/>
    </row>
    <row r="47" customHeight="1" spans="1:76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0">
        <v>0.375</v>
      </c>
      <c r="V47" s="20">
        <v>0.75</v>
      </c>
      <c r="W47" s="20">
        <v>0.375</v>
      </c>
      <c r="X47" s="20">
        <v>0.75</v>
      </c>
      <c r="Y47" s="20">
        <v>0.375</v>
      </c>
      <c r="Z47" s="20">
        <v>0.75</v>
      </c>
      <c r="AA47" s="20">
        <v>0.375</v>
      </c>
      <c r="AB47" s="20">
        <v>0.75</v>
      </c>
      <c r="AC47" s="20">
        <v>0.375</v>
      </c>
      <c r="AD47" s="20">
        <v>0.75</v>
      </c>
      <c r="AE47" s="17" t="s">
        <v>23</v>
      </c>
      <c r="AF47" s="17" t="s">
        <v>23</v>
      </c>
      <c r="AG47" s="17" t="s">
        <v>23</v>
      </c>
      <c r="AH47" s="17" t="s">
        <v>23</v>
      </c>
      <c r="AI47" s="20">
        <v>0.5</v>
      </c>
      <c r="AJ47" s="20">
        <v>0.875</v>
      </c>
      <c r="AK47" s="20">
        <v>0.5</v>
      </c>
      <c r="AL47" s="20">
        <v>0.875</v>
      </c>
      <c r="AM47" s="20">
        <v>0.5</v>
      </c>
      <c r="AN47" s="20">
        <v>0.875</v>
      </c>
      <c r="AO47" s="20">
        <v>0.5</v>
      </c>
      <c r="AP47" s="20">
        <v>0.875</v>
      </c>
      <c r="AQ47" s="20">
        <v>0.5</v>
      </c>
      <c r="AR47" s="20">
        <v>0.875</v>
      </c>
      <c r="AS47" s="17" t="s">
        <v>23</v>
      </c>
      <c r="AT47" s="17" t="s">
        <v>23</v>
      </c>
      <c r="AU47" s="17" t="s">
        <v>23</v>
      </c>
      <c r="AV47" s="17" t="s">
        <v>23</v>
      </c>
      <c r="AW47" s="20">
        <v>0.375</v>
      </c>
      <c r="AX47" s="20">
        <v>0.75</v>
      </c>
      <c r="AY47" s="20">
        <v>0.375</v>
      </c>
      <c r="AZ47" s="20">
        <v>0.75</v>
      </c>
      <c r="BA47" s="20">
        <v>0.375</v>
      </c>
      <c r="BB47" s="20">
        <v>0.75</v>
      </c>
      <c r="BC47" s="20">
        <v>0.375</v>
      </c>
      <c r="BD47" s="20">
        <v>0.75</v>
      </c>
      <c r="BE47" s="20">
        <v>0.375</v>
      </c>
      <c r="BF47" s="20">
        <v>0.75</v>
      </c>
      <c r="BG47" s="17" t="s">
        <v>23</v>
      </c>
      <c r="BH47" s="17" t="s">
        <v>23</v>
      </c>
      <c r="BI47" s="17" t="s">
        <v>23</v>
      </c>
      <c r="BJ47" s="17" t="s">
        <v>23</v>
      </c>
      <c r="BK47" s="20">
        <v>0.5</v>
      </c>
      <c r="BL47" s="20">
        <v>0.875</v>
      </c>
      <c r="BM47" s="20">
        <v>0.5</v>
      </c>
      <c r="BN47" s="20">
        <v>0.875</v>
      </c>
      <c r="BO47" s="21">
        <f>IFERROR(__xludf.DUMMYFUNCTION("TO_PURE_NUMBER(SUM(FILTER(G47:BN47, ISEVEN(COLUMN(G47:BN47))))-SUM(FILTER(G47:BN47, ISODD(COLUMN(G47:BN47)))))*24"),198)</f>
        <v>198</v>
      </c>
      <c r="BP47" s="17"/>
      <c r="BQ47" s="17"/>
      <c r="BR47" s="17"/>
      <c r="BS47" s="17"/>
      <c r="BT47" s="17"/>
      <c r="BU47" s="17"/>
      <c r="BV47" s="17"/>
      <c r="BW47" s="17"/>
      <c r="BX47" s="17"/>
    </row>
    <row r="48" customHeight="1" spans="1:76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0.458333333332121</v>
      </c>
      <c r="L48" s="8">
        <v>0.875</v>
      </c>
      <c r="M48" s="8">
        <v>0.458333333332121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20">
        <v>0.375</v>
      </c>
      <c r="V48" s="20">
        <v>0.75</v>
      </c>
      <c r="W48" s="20">
        <v>0.375</v>
      </c>
      <c r="X48" s="20">
        <v>0.75</v>
      </c>
      <c r="Y48" s="20">
        <v>0.375</v>
      </c>
      <c r="Z48" s="20">
        <v>0.75</v>
      </c>
      <c r="AA48" s="20">
        <v>0.375</v>
      </c>
      <c r="AB48" s="20">
        <v>0.75</v>
      </c>
      <c r="AC48" s="20">
        <v>0.375</v>
      </c>
      <c r="AD48" s="20">
        <v>0.75</v>
      </c>
      <c r="AE48" s="17" t="s">
        <v>23</v>
      </c>
      <c r="AF48" s="17" t="s">
        <v>23</v>
      </c>
      <c r="AG48" s="17" t="s">
        <v>23</v>
      </c>
      <c r="AH48" s="17" t="s">
        <v>23</v>
      </c>
      <c r="AI48" s="20">
        <v>0.5</v>
      </c>
      <c r="AJ48" s="20">
        <v>0.875</v>
      </c>
      <c r="AK48" s="20">
        <v>0.5</v>
      </c>
      <c r="AL48" s="20">
        <v>0.875</v>
      </c>
      <c r="AM48" s="20">
        <v>0.5</v>
      </c>
      <c r="AN48" s="20">
        <v>0.875</v>
      </c>
      <c r="AO48" s="20">
        <v>0.5</v>
      </c>
      <c r="AP48" s="20">
        <v>0.875</v>
      </c>
      <c r="AQ48" s="20">
        <v>0.5</v>
      </c>
      <c r="AR48" s="20">
        <v>0.875</v>
      </c>
      <c r="AS48" s="17" t="s">
        <v>23</v>
      </c>
      <c r="AT48" s="17" t="s">
        <v>23</v>
      </c>
      <c r="AU48" s="17" t="s">
        <v>23</v>
      </c>
      <c r="AV48" s="17" t="s">
        <v>23</v>
      </c>
      <c r="AW48" s="20">
        <v>0.375</v>
      </c>
      <c r="AX48" s="20">
        <v>0.791666666667879</v>
      </c>
      <c r="AY48" s="20">
        <v>0.375</v>
      </c>
      <c r="AZ48" s="20">
        <v>0.791666666667879</v>
      </c>
      <c r="BA48" s="20">
        <v>0.375</v>
      </c>
      <c r="BB48" s="20">
        <v>0.791666666667879</v>
      </c>
      <c r="BC48" s="20">
        <v>0.375</v>
      </c>
      <c r="BD48" s="20">
        <v>0.791666666667879</v>
      </c>
      <c r="BE48" s="17" t="s">
        <v>23</v>
      </c>
      <c r="BF48" s="17" t="s">
        <v>23</v>
      </c>
      <c r="BG48" s="17" t="s">
        <v>23</v>
      </c>
      <c r="BH48" s="17" t="s">
        <v>23</v>
      </c>
      <c r="BI48" s="20">
        <v>0.458333333332121</v>
      </c>
      <c r="BJ48" s="20">
        <v>0.666666666667879</v>
      </c>
      <c r="BK48" s="20">
        <v>0.458333333332121</v>
      </c>
      <c r="BL48" s="20">
        <v>0.875</v>
      </c>
      <c r="BM48" s="20">
        <v>0.458333333332121</v>
      </c>
      <c r="BN48" s="20">
        <v>0.875</v>
      </c>
      <c r="BO48" s="21">
        <f>IFERROR(__xludf.DUMMYFUNCTION("TO_PURE_NUMBER(SUM(FILTER(G48:BN48, ISEVEN(COLUMN(G48:BN48))))-SUM(FILTER(G48:BN48, ISODD(COLUMN(G48:BN48)))))*24"),200.000000000407)</f>
        <v>200.000000000407</v>
      </c>
      <c r="BP48" s="17"/>
      <c r="BQ48" s="17"/>
      <c r="BR48" s="17"/>
      <c r="BS48" s="17"/>
      <c r="BT48" s="17"/>
      <c r="BU48" s="17"/>
      <c r="BV48" s="17"/>
      <c r="BW48" s="17"/>
      <c r="BX48" s="17"/>
    </row>
    <row r="49" customHeight="1" spans="1:76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0.5</v>
      </c>
      <c r="H49" s="8">
        <v>0.875</v>
      </c>
      <c r="I49" s="8">
        <v>0.5</v>
      </c>
      <c r="J49" s="8">
        <v>0.875</v>
      </c>
      <c r="K49" s="8">
        <v>0.5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0">
        <v>0.375</v>
      </c>
      <c r="V49" s="20">
        <v>0.75</v>
      </c>
      <c r="W49" s="20">
        <v>0.375</v>
      </c>
      <c r="X49" s="20">
        <v>0.75</v>
      </c>
      <c r="Y49" s="20">
        <v>0.375</v>
      </c>
      <c r="Z49" s="20">
        <v>0.75</v>
      </c>
      <c r="AA49" s="17" t="s">
        <v>23</v>
      </c>
      <c r="AB49" s="17" t="s">
        <v>23</v>
      </c>
      <c r="AC49" s="17" t="s">
        <v>23</v>
      </c>
      <c r="AD49" s="17" t="s">
        <v>23</v>
      </c>
      <c r="AE49" s="20">
        <v>0.458333333332121</v>
      </c>
      <c r="AF49" s="20">
        <v>0.666666666667879</v>
      </c>
      <c r="AG49" s="20">
        <v>0.458333333332121</v>
      </c>
      <c r="AH49" s="20">
        <v>0.666666666667879</v>
      </c>
      <c r="AI49" s="20">
        <v>0.5</v>
      </c>
      <c r="AJ49" s="20">
        <v>0.875</v>
      </c>
      <c r="AK49" s="20">
        <v>0.5</v>
      </c>
      <c r="AL49" s="20">
        <v>0.875</v>
      </c>
      <c r="AM49" s="20">
        <v>0.5</v>
      </c>
      <c r="AN49" s="20">
        <v>0.875</v>
      </c>
      <c r="AO49" s="17" t="s">
        <v>23</v>
      </c>
      <c r="AP49" s="17" t="s">
        <v>23</v>
      </c>
      <c r="AQ49" s="17" t="s">
        <v>23</v>
      </c>
      <c r="AR49" s="17" t="s">
        <v>23</v>
      </c>
      <c r="AS49" s="20">
        <v>0.458333333332121</v>
      </c>
      <c r="AT49" s="20">
        <v>0.666666666667879</v>
      </c>
      <c r="AU49" s="20">
        <v>0.458333333332121</v>
      </c>
      <c r="AV49" s="20">
        <v>0.666666666667879</v>
      </c>
      <c r="AW49" s="20">
        <v>0.375</v>
      </c>
      <c r="AX49" s="20">
        <v>0.75</v>
      </c>
      <c r="AY49" s="20">
        <v>0.375</v>
      </c>
      <c r="AZ49" s="20">
        <v>0.75</v>
      </c>
      <c r="BA49" s="17" t="s">
        <v>23</v>
      </c>
      <c r="BB49" s="17" t="s">
        <v>23</v>
      </c>
      <c r="BC49" s="17" t="s">
        <v>23</v>
      </c>
      <c r="BD49" s="17" t="s">
        <v>23</v>
      </c>
      <c r="BE49" s="20">
        <v>0.375</v>
      </c>
      <c r="BF49" s="20">
        <v>0.75</v>
      </c>
      <c r="BG49" s="20">
        <v>0.458333333332121</v>
      </c>
      <c r="BH49" s="20">
        <v>0.666666666667879</v>
      </c>
      <c r="BI49" s="20">
        <v>0.458333333332121</v>
      </c>
      <c r="BJ49" s="20">
        <v>0.666666666667879</v>
      </c>
      <c r="BK49" s="20">
        <v>0.5</v>
      </c>
      <c r="BL49" s="20">
        <v>0.875</v>
      </c>
      <c r="BM49" s="17" t="s">
        <v>23</v>
      </c>
      <c r="BN49" s="17" t="s">
        <v>23</v>
      </c>
      <c r="BO49" s="21">
        <f>IFERROR(__xludf.DUMMYFUNCTION("TO_PURE_NUMBER(SUM(FILTER(G49:BN49, ISEVEN(COLUMN(G49:BN49))))-SUM(FILTER(G49:BN49, ISODD(COLUMN(G49:BN49)))))*24"),157.000000000465)</f>
        <v>157.000000000465</v>
      </c>
      <c r="BP49" s="17"/>
      <c r="BQ49" s="17"/>
      <c r="BR49" s="17"/>
      <c r="BS49" s="17"/>
      <c r="BT49" s="17"/>
      <c r="BU49" s="17"/>
      <c r="BV49" s="17"/>
      <c r="BW49" s="17"/>
      <c r="BX49" s="17"/>
    </row>
    <row r="50" customHeight="1" spans="1:76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0">
        <v>0.5</v>
      </c>
      <c r="V50" s="20">
        <v>0.875</v>
      </c>
      <c r="W50" s="20">
        <v>0.5</v>
      </c>
      <c r="X50" s="20">
        <v>0.875</v>
      </c>
      <c r="Y50" s="20">
        <v>0.5</v>
      </c>
      <c r="Z50" s="20">
        <v>0.875</v>
      </c>
      <c r="AA50" s="20">
        <v>0.5</v>
      </c>
      <c r="AB50" s="20">
        <v>0.875</v>
      </c>
      <c r="AC50" s="20">
        <v>0.5</v>
      </c>
      <c r="AD50" s="20">
        <v>0.875</v>
      </c>
      <c r="AE50" s="17" t="s">
        <v>23</v>
      </c>
      <c r="AF50" s="17" t="s">
        <v>23</v>
      </c>
      <c r="AG50" s="17" t="s">
        <v>23</v>
      </c>
      <c r="AH50" s="17" t="s">
        <v>23</v>
      </c>
      <c r="AI50" s="20">
        <v>0.375</v>
      </c>
      <c r="AJ50" s="20">
        <v>0.75</v>
      </c>
      <c r="AK50" s="20">
        <v>0.375</v>
      </c>
      <c r="AL50" s="20">
        <v>0.75</v>
      </c>
      <c r="AM50" s="20">
        <v>0.375</v>
      </c>
      <c r="AN50" s="20">
        <v>0.75</v>
      </c>
      <c r="AO50" s="20">
        <v>0.375</v>
      </c>
      <c r="AP50" s="20">
        <v>0.75</v>
      </c>
      <c r="AQ50" s="20">
        <v>0.375</v>
      </c>
      <c r="AR50" s="20">
        <v>0.75</v>
      </c>
      <c r="AS50" s="17" t="s">
        <v>23</v>
      </c>
      <c r="AT50" s="17" t="s">
        <v>23</v>
      </c>
      <c r="AU50" s="17" t="s">
        <v>23</v>
      </c>
      <c r="AV50" s="17" t="s">
        <v>23</v>
      </c>
      <c r="AW50" s="20">
        <v>0.5</v>
      </c>
      <c r="AX50" s="20">
        <v>0.875</v>
      </c>
      <c r="AY50" s="20">
        <v>0.5</v>
      </c>
      <c r="AZ50" s="20">
        <v>0.875</v>
      </c>
      <c r="BA50" s="20">
        <v>0.5</v>
      </c>
      <c r="BB50" s="20">
        <v>0.875</v>
      </c>
      <c r="BC50" s="20">
        <v>0.5</v>
      </c>
      <c r="BD50" s="20">
        <v>0.875</v>
      </c>
      <c r="BE50" s="20">
        <v>0.5</v>
      </c>
      <c r="BF50" s="20">
        <v>0.875</v>
      </c>
      <c r="BG50" s="17" t="s">
        <v>23</v>
      </c>
      <c r="BH50" s="17" t="s">
        <v>23</v>
      </c>
      <c r="BI50" s="17" t="s">
        <v>23</v>
      </c>
      <c r="BJ50" s="17" t="s">
        <v>23</v>
      </c>
      <c r="BK50" s="20">
        <v>0.375</v>
      </c>
      <c r="BL50" s="20">
        <v>0.75</v>
      </c>
      <c r="BM50" s="20">
        <v>0.375</v>
      </c>
      <c r="BN50" s="20">
        <v>0.75</v>
      </c>
      <c r="BO50" s="21">
        <f>IFERROR(__xludf.DUMMYFUNCTION("TO_PURE_NUMBER(SUM(FILTER(G50:BN50, ISEVEN(COLUMN(G50:BN50))))-SUM(FILTER(G50:BN50, ISODD(COLUMN(G50:BN50)))))*24"),198)</f>
        <v>198</v>
      </c>
      <c r="BP50" s="17"/>
      <c r="BQ50" s="17"/>
      <c r="BR50" s="17"/>
      <c r="BS50" s="17"/>
      <c r="BT50" s="17"/>
      <c r="BU50" s="17"/>
      <c r="BV50" s="17"/>
      <c r="BW50" s="17"/>
      <c r="BX50" s="17"/>
    </row>
    <row r="51" customHeight="1" spans="1:76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17" t="s">
        <v>23</v>
      </c>
      <c r="V51" s="17" t="s">
        <v>23</v>
      </c>
      <c r="W51" s="20">
        <v>0.458333333332121</v>
      </c>
      <c r="X51" s="20">
        <v>0.875</v>
      </c>
      <c r="Y51" s="20">
        <v>0.458333333332121</v>
      </c>
      <c r="Z51" s="20">
        <v>0.875</v>
      </c>
      <c r="AA51" s="20">
        <v>0.458333333332121</v>
      </c>
      <c r="AB51" s="20">
        <v>0.875</v>
      </c>
      <c r="AC51" s="20">
        <v>0.458333333332121</v>
      </c>
      <c r="AD51" s="20">
        <v>0.875</v>
      </c>
      <c r="AE51" s="20">
        <v>0.458333333332121</v>
      </c>
      <c r="AF51" s="20">
        <v>0.666666666667879</v>
      </c>
      <c r="AG51" s="17" t="s">
        <v>23</v>
      </c>
      <c r="AH51" s="17" t="s">
        <v>23</v>
      </c>
      <c r="AI51" s="17" t="s">
        <v>23</v>
      </c>
      <c r="AJ51" s="17" t="s">
        <v>23</v>
      </c>
      <c r="AK51" s="20">
        <v>0.375</v>
      </c>
      <c r="AL51" s="20">
        <v>0.791666666667879</v>
      </c>
      <c r="AM51" s="20">
        <v>0.375</v>
      </c>
      <c r="AN51" s="20">
        <v>0.791666666667879</v>
      </c>
      <c r="AO51" s="20">
        <v>0.375</v>
      </c>
      <c r="AP51" s="20">
        <v>0.791666666667879</v>
      </c>
      <c r="AQ51" s="20">
        <v>0.375</v>
      </c>
      <c r="AR51" s="20">
        <v>0.791666666667879</v>
      </c>
      <c r="AS51" s="20">
        <v>0.458333333332121</v>
      </c>
      <c r="AT51" s="20">
        <v>0.666666666667879</v>
      </c>
      <c r="AU51" s="17" t="s">
        <v>23</v>
      </c>
      <c r="AV51" s="17" t="s">
        <v>23</v>
      </c>
      <c r="AW51" s="17" t="s">
        <v>23</v>
      </c>
      <c r="AX51" s="17" t="s">
        <v>23</v>
      </c>
      <c r="AY51" s="20">
        <v>0.458333333332121</v>
      </c>
      <c r="AZ51" s="20">
        <v>0.875</v>
      </c>
      <c r="BA51" s="20">
        <v>0.458333333332121</v>
      </c>
      <c r="BB51" s="20">
        <v>0.875</v>
      </c>
      <c r="BC51" s="20">
        <v>0.458333333332121</v>
      </c>
      <c r="BD51" s="20">
        <v>0.875</v>
      </c>
      <c r="BE51" s="20">
        <v>0.458333333332121</v>
      </c>
      <c r="BF51" s="20">
        <v>0.875</v>
      </c>
      <c r="BG51" s="20">
        <v>0.458333333332121</v>
      </c>
      <c r="BH51" s="20">
        <v>0.666666666667879</v>
      </c>
      <c r="BI51" s="17" t="s">
        <v>23</v>
      </c>
      <c r="BJ51" s="17" t="s">
        <v>23</v>
      </c>
      <c r="BK51" s="17" t="s">
        <v>23</v>
      </c>
      <c r="BL51" s="17" t="s">
        <v>23</v>
      </c>
      <c r="BM51" s="20">
        <v>0.375</v>
      </c>
      <c r="BN51" s="20">
        <v>0.791666666667879</v>
      </c>
      <c r="BO51" s="21">
        <f>IFERROR(__xludf.DUMMYFUNCTION("TO_PURE_NUMBER(SUM(FILTER(G51:BN51, ISEVEN(COLUMN(G51:BN51))))-SUM(FILTER(G51:BN51, ISODD(COLUMN(G51:BN51)))))*24"),190.000000000727)</f>
        <v>190.000000000727</v>
      </c>
      <c r="BP51" s="17"/>
      <c r="BQ51" s="17"/>
      <c r="BR51" s="17"/>
      <c r="BS51" s="17"/>
      <c r="BT51" s="17"/>
      <c r="BU51" s="17"/>
      <c r="BV51" s="17"/>
      <c r="BW51" s="17"/>
      <c r="BX51" s="17"/>
    </row>
    <row r="52" customHeight="1" spans="1:7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>
        <f>SUM(BO2:BO51)</f>
        <v>8949.00000001605</v>
      </c>
      <c r="BP52" s="17"/>
      <c r="BQ52" s="17"/>
      <c r="BR52" s="17"/>
      <c r="BS52" s="17"/>
      <c r="BT52" s="17"/>
      <c r="BU52" s="17"/>
      <c r="BV52" s="17"/>
      <c r="BW52" s="17"/>
      <c r="BX52" s="17"/>
    </row>
    <row r="53" customHeight="1" spans="1:7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</row>
    <row r="54" customHeight="1" spans="1:7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</row>
    <row r="55" customHeight="1" spans="1:7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</row>
    <row r="56" customHeight="1" spans="1:7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</row>
    <row r="57" customHeight="1" spans="1:7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</row>
    <row r="58" customHeight="1" spans="1:7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</row>
    <row r="59" customHeight="1" spans="1:7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</row>
    <row r="60" customHeight="1" spans="1:7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</row>
    <row r="61" customHeight="1" spans="1:7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</row>
    <row r="62" customHeight="1" spans="1:7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</row>
    <row r="63" customHeight="1" spans="1:7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</row>
    <row r="64" customHeight="1" spans="1:7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</row>
    <row r="65" customHeight="1" spans="1:7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</row>
    <row r="66" customHeight="1" spans="1:7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</row>
    <row r="67" customHeight="1" spans="1:7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</row>
    <row r="68" customHeight="1" spans="1:7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</row>
    <row r="69" customHeight="1" spans="1:7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</row>
    <row r="70" customHeight="1" spans="1:7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</row>
    <row r="71" customHeight="1" spans="1:7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</row>
    <row r="72" customHeight="1" spans="1:7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</row>
    <row r="73" customHeight="1" spans="1:7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</row>
    <row r="74" customHeight="1" spans="1:7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</row>
    <row r="75" customHeight="1" spans="1:7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</row>
    <row r="76" customHeight="1" spans="1: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</row>
    <row r="77" customHeight="1" spans="1:7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</row>
    <row r="78" customHeight="1" spans="1:7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</row>
    <row r="79" customHeight="1" spans="1:7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</row>
    <row r="80" customHeight="1" spans="1:7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</row>
    <row r="81" customHeight="1" spans="1:7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</row>
    <row r="82" customHeight="1" spans="1:7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</row>
    <row r="83" customHeight="1" spans="1:7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</row>
    <row r="84" customHeight="1" spans="1:7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</row>
    <row r="85" customHeight="1" spans="1:7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</row>
    <row r="86" customHeight="1" spans="1:7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</row>
    <row r="87" customHeight="1" spans="1:7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</row>
    <row r="88" customHeight="1" spans="1:7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</row>
    <row r="89" customHeight="1" spans="1:7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</row>
    <row r="90" customHeight="1" spans="1:7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</row>
    <row r="91" customHeight="1" spans="1:7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</row>
    <row r="92" customHeight="1" spans="1:7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</row>
    <row r="93" customHeight="1" spans="1:7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</row>
    <row r="94" customHeight="1" spans="1:7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</row>
    <row r="95" customHeight="1" spans="1:7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</row>
    <row r="96" customHeight="1" spans="1:7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</row>
    <row r="97" customHeight="1" spans="1:7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</row>
    <row r="98" customHeight="1" spans="1:7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</row>
    <row r="99" customHeight="1" spans="1:7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</row>
    <row r="100" customHeight="1" spans="1:7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</row>
    <row r="101" customHeight="1" spans="1:7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</row>
    <row r="102" customHeight="1" spans="1:7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</row>
    <row r="103" customHeight="1" spans="1:7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</row>
    <row r="104" customHeight="1" spans="1:7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</row>
    <row r="105" customHeight="1" spans="1:7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</row>
    <row r="106" customHeight="1" spans="1:7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</row>
    <row r="107" customHeight="1" spans="1:7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</row>
    <row r="108" customHeight="1" spans="1:7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</row>
    <row r="109" customHeight="1" spans="1:7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</row>
    <row r="110" customHeight="1" spans="1:7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</row>
    <row r="111" customHeight="1" spans="1:7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</row>
    <row r="112" customHeight="1" spans="1:7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</row>
    <row r="113" customHeight="1" spans="1:7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</row>
    <row r="114" customHeight="1" spans="1:7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</row>
    <row r="115" customHeight="1" spans="1:7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</row>
    <row r="116" customHeight="1" spans="1:7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</row>
    <row r="117" customHeight="1" spans="1:7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</row>
    <row r="118" customHeight="1" spans="1:7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</row>
    <row r="119" customHeight="1" spans="1:7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</row>
    <row r="120" customHeight="1" spans="1:7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</row>
    <row r="121" customHeight="1" spans="1:7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</row>
    <row r="122" customHeight="1" spans="1:7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</row>
    <row r="123" customHeight="1" spans="1:7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</row>
    <row r="124" customHeight="1" spans="1:7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</row>
    <row r="125" customHeight="1" spans="1:7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</row>
    <row r="126" customHeight="1" spans="1:7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</row>
    <row r="127" customHeight="1" spans="1:7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</row>
    <row r="128" customHeight="1" spans="1:7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</row>
    <row r="129" customHeight="1" spans="1:7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</row>
    <row r="130" customHeight="1" spans="1:7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</row>
    <row r="131" customHeight="1" spans="1:7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</row>
    <row r="132" customHeight="1" spans="1:7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</row>
    <row r="133" customHeight="1" spans="1:7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</row>
    <row r="134" customHeight="1" spans="1:7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</row>
    <row r="135" customHeight="1" spans="1:7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</row>
    <row r="136" customHeight="1" spans="1:7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</row>
    <row r="137" customHeight="1" spans="1:7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</row>
    <row r="138" customHeight="1" spans="1:7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</row>
    <row r="139" customHeight="1" spans="1:7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</row>
    <row r="140" customHeight="1" spans="1:7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</row>
    <row r="141" customHeight="1" spans="1:7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</row>
    <row r="142" customHeight="1" spans="1:7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</row>
    <row r="143" customHeight="1" spans="1:7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</row>
    <row r="144" customHeight="1" spans="1:7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</row>
    <row r="145" customHeight="1" spans="1:7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</row>
    <row r="146" customHeight="1" spans="1:7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</row>
    <row r="147" customHeight="1" spans="1:7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</row>
    <row r="148" customHeight="1" spans="1:7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</row>
    <row r="149" customHeight="1" spans="1:7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</row>
    <row r="150" customHeight="1" spans="1:7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</row>
    <row r="151" customHeight="1" spans="1:7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</row>
    <row r="152" customHeight="1" spans="1:7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</row>
    <row r="153" customHeight="1" spans="1:7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</row>
    <row r="154" customHeight="1" spans="1:7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</row>
    <row r="155" customHeight="1" spans="1:7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</row>
    <row r="156" customHeight="1" spans="1:7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</row>
    <row r="157" customHeight="1" spans="1:7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</row>
    <row r="158" customHeight="1" spans="1:7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</row>
    <row r="159" customHeight="1" spans="1:7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</row>
    <row r="160" customHeight="1" spans="1:7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</row>
    <row r="161" customHeight="1" spans="1:7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</row>
    <row r="162" customHeight="1" spans="1:7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</row>
    <row r="163" customHeight="1" spans="1:7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</row>
    <row r="164" customHeight="1" spans="1:7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</row>
    <row r="165" customHeight="1" spans="1:7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</row>
    <row r="166" customHeight="1" spans="1:7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</row>
    <row r="167" customHeight="1" spans="1:7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</row>
    <row r="168" customHeight="1" spans="1:7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</row>
    <row r="169" customHeight="1" spans="1:7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</row>
    <row r="170" customHeight="1" spans="1:7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</row>
    <row r="171" customHeight="1" spans="1:7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</row>
    <row r="172" customHeight="1" spans="1:7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</row>
    <row r="173" customHeight="1" spans="1:7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</row>
    <row r="174" customHeight="1" spans="1:7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</row>
    <row r="175" customHeight="1" spans="1:7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</row>
    <row r="176" customHeight="1" spans="1: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</row>
    <row r="177" customHeight="1" spans="1:7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</row>
    <row r="178" customHeight="1" spans="1:7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</row>
    <row r="179" customHeight="1" spans="1:7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</row>
    <row r="180" customHeight="1" spans="1:7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</row>
    <row r="181" customHeight="1" spans="1:7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</row>
    <row r="182" customHeight="1" spans="1:7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</row>
    <row r="183" customHeight="1" spans="1:7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</row>
    <row r="184" customHeight="1" spans="1:7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</row>
    <row r="185" customHeight="1" spans="1:7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</row>
    <row r="186" customHeight="1" spans="1:7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</row>
    <row r="187" customHeight="1" spans="1:7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</row>
    <row r="188" customHeight="1" spans="1:7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</row>
    <row r="189" customHeight="1" spans="1:7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</row>
    <row r="190" customHeight="1" spans="1:7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</row>
    <row r="191" customHeight="1" spans="1:7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</row>
    <row r="192" customHeight="1" spans="1:7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</row>
    <row r="193" customHeight="1" spans="1:7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</row>
    <row r="194" customHeight="1" spans="1:7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</row>
    <row r="195" customHeight="1" spans="1:7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</row>
    <row r="196" customHeight="1" spans="1:7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</row>
    <row r="197" customHeight="1" spans="1:7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</row>
    <row r="198" customHeight="1" spans="1:7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</row>
    <row r="199" customHeight="1" spans="1:7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</row>
    <row r="200" customHeight="1" spans="1:7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</row>
    <row r="201" customHeight="1" spans="1:7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</row>
    <row r="202" customHeight="1" spans="1:7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</row>
    <row r="203" customHeight="1" spans="1:7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</row>
    <row r="204" customHeight="1" spans="1:7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</row>
    <row r="205" customHeight="1" spans="1:7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</row>
    <row r="206" customHeight="1" spans="1:7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</row>
    <row r="207" customHeight="1" spans="1:7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</row>
    <row r="208" customHeight="1" spans="1:7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</row>
    <row r="209" customHeight="1" spans="1:7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</row>
    <row r="210" customHeight="1" spans="1:7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</row>
    <row r="211" customHeight="1" spans="1:7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</row>
    <row r="212" customHeight="1" spans="1:7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</row>
    <row r="213" customHeight="1" spans="1:7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</row>
    <row r="214" customHeight="1" spans="1:7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</row>
    <row r="215" customHeight="1" spans="1:7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</row>
    <row r="216" customHeight="1" spans="1:7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</row>
    <row r="217" customHeight="1" spans="1:7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</row>
    <row r="218" customHeight="1" spans="1:7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</row>
    <row r="219" customHeight="1" spans="1:7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</row>
    <row r="220" customHeight="1" spans="1:7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</row>
    <row r="221" customHeight="1" spans="1:7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</row>
    <row r="222" customHeight="1" spans="1:7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</row>
    <row r="223" customHeight="1" spans="1:7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</row>
    <row r="224" customHeight="1" spans="1:7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</row>
    <row r="225" customHeight="1" spans="1:7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</row>
    <row r="226" customHeight="1" spans="1:7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</row>
    <row r="227" customHeight="1" spans="1:7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</row>
    <row r="228" customHeight="1" spans="1:7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</row>
    <row r="229" customHeight="1" spans="1:7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</row>
    <row r="230" customHeight="1" spans="1:7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</row>
    <row r="231" customHeight="1" spans="1:7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</row>
    <row r="232" customHeight="1" spans="1:7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</row>
    <row r="233" customHeight="1" spans="1:7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</row>
    <row r="234" customHeight="1" spans="1:7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</row>
    <row r="235" customHeight="1" spans="1:7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</row>
    <row r="236" customHeight="1" spans="1:7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</row>
    <row r="237" customHeight="1" spans="1:7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</row>
    <row r="238" customHeight="1" spans="1:7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</row>
    <row r="239" customHeight="1" spans="1:7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</row>
    <row r="240" customHeight="1" spans="1:7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</row>
    <row r="241" customHeight="1" spans="1:7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</row>
    <row r="242" customHeight="1" spans="1:7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</row>
    <row r="243" customHeight="1" spans="1:7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</row>
    <row r="244" customHeight="1" spans="1:7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</row>
    <row r="245" customHeight="1" spans="1:7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</row>
    <row r="246" customHeight="1" spans="1:7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</row>
    <row r="247" customHeight="1" spans="1:7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</row>
    <row r="248" customHeight="1" spans="1:7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</row>
    <row r="249" customHeight="1" spans="1:7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</row>
    <row r="250" customHeight="1" spans="1:7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</row>
    <row r="251" customHeight="1" spans="1:7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</row>
    <row r="252" customHeight="1" spans="1:7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</row>
    <row r="253" customHeight="1" spans="1:7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</row>
    <row r="254" customHeight="1" spans="1:7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</row>
    <row r="255" customHeight="1" spans="1:7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</row>
    <row r="256" customHeight="1" spans="1:7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</row>
    <row r="257" customHeight="1" spans="1:7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</row>
    <row r="258" customHeight="1" spans="1:7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</row>
    <row r="259" customHeight="1" spans="1:7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</row>
    <row r="260" customHeight="1" spans="1:7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</row>
    <row r="261" customHeight="1" spans="1:7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</row>
    <row r="262" customHeight="1" spans="1:7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</row>
    <row r="263" customHeight="1" spans="1:7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</row>
    <row r="264" customHeight="1" spans="1:7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</row>
    <row r="265" customHeight="1" spans="1:7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</row>
    <row r="266" customHeight="1" spans="1:7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</row>
    <row r="267" customHeight="1" spans="1:7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</row>
    <row r="268" customHeight="1" spans="1:7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</row>
    <row r="269" customHeight="1" spans="1:7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</row>
    <row r="270" customHeight="1" spans="1:7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</row>
    <row r="271" customHeight="1" spans="1:7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</row>
    <row r="272" customHeight="1" spans="1:7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</row>
    <row r="273" customHeight="1" spans="1:7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</row>
    <row r="274" customHeight="1" spans="1:7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</row>
    <row r="275" customHeight="1" spans="1:7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</row>
    <row r="276" customHeight="1" spans="1: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</row>
    <row r="277" customHeight="1" spans="1:7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</row>
    <row r="278" customHeight="1" spans="1:7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</row>
    <row r="279" customHeight="1" spans="1:7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</row>
    <row r="280" customHeight="1" spans="1:7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</row>
    <row r="281" customHeight="1" spans="1:7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</row>
    <row r="282" customHeight="1" spans="1:7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</row>
    <row r="283" customHeight="1" spans="1:7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</row>
    <row r="284" customHeight="1" spans="1:7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</row>
    <row r="285" customHeight="1" spans="1:7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</row>
    <row r="286" customHeight="1" spans="1:7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</row>
    <row r="287" customHeight="1" spans="1:7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</row>
    <row r="288" customHeight="1" spans="1:7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</row>
    <row r="289" customHeight="1" spans="1:7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</row>
    <row r="290" customHeight="1" spans="1:7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</row>
    <row r="291" customHeight="1" spans="1:7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</row>
    <row r="292" customHeight="1" spans="1:7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</row>
    <row r="293" customHeight="1" spans="1:7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</row>
    <row r="294" customHeight="1" spans="1:7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</row>
    <row r="295" customHeight="1" spans="1:7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</row>
    <row r="296" customHeight="1" spans="1:7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</row>
    <row r="297" customHeight="1" spans="1:7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</row>
    <row r="298" customHeight="1" spans="1:7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</row>
    <row r="299" customHeight="1" spans="1:7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</row>
    <row r="300" customHeight="1" spans="1:7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</row>
    <row r="301" customHeight="1" spans="1:7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</row>
    <row r="302" customHeight="1" spans="1:7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</row>
    <row r="303" customHeight="1" spans="1:7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</row>
    <row r="304" customHeight="1" spans="1:7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</row>
    <row r="305" customHeight="1" spans="1:7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</row>
    <row r="306" customHeight="1" spans="1:7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</row>
    <row r="307" customHeight="1" spans="1:7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</row>
    <row r="308" customHeight="1" spans="1:7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</row>
    <row r="309" customHeight="1" spans="1:7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</row>
    <row r="310" customHeight="1" spans="1:7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</row>
    <row r="311" customHeight="1" spans="1:7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</row>
    <row r="312" customHeight="1" spans="1:7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</row>
    <row r="313" customHeight="1" spans="1:7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</row>
    <row r="314" customHeight="1" spans="1:7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</row>
    <row r="315" customHeight="1" spans="1:7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</row>
    <row r="316" customHeight="1" spans="1:7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</row>
    <row r="317" customHeight="1" spans="1:7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</row>
    <row r="318" customHeight="1" spans="1:7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</row>
    <row r="319" customHeight="1" spans="1:7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</row>
    <row r="320" customHeight="1" spans="1:7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</row>
    <row r="321" customHeight="1" spans="1:7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</row>
    <row r="322" customHeight="1" spans="1:7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</row>
    <row r="323" customHeight="1" spans="1:7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</row>
    <row r="324" customHeight="1" spans="1:7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</row>
    <row r="325" customHeight="1" spans="1:7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</row>
    <row r="326" customHeight="1" spans="1:7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</row>
    <row r="327" customHeight="1" spans="1:7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</row>
    <row r="328" customHeight="1" spans="1:7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</row>
    <row r="329" customHeight="1" spans="1:7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</row>
    <row r="330" customHeight="1" spans="1:7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</row>
    <row r="331" customHeight="1" spans="1:7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</row>
    <row r="332" customHeight="1" spans="1:7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</row>
    <row r="333" customHeight="1" spans="1:7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</row>
    <row r="334" customHeight="1" spans="1:7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</row>
    <row r="335" customHeight="1" spans="1:7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</row>
    <row r="336" customHeight="1" spans="1:7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</row>
    <row r="337" customHeight="1" spans="1:7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</row>
    <row r="338" customHeight="1" spans="1:7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</row>
    <row r="339" customHeight="1" spans="1:7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</row>
    <row r="340" customHeight="1" spans="1:7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</row>
    <row r="341" customHeight="1" spans="1:7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</row>
    <row r="342" customHeight="1" spans="1:7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</row>
    <row r="343" customHeight="1" spans="1:7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</row>
    <row r="344" customHeight="1" spans="1:7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</row>
    <row r="345" customHeight="1" spans="1:7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</row>
    <row r="346" customHeight="1" spans="1:7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</row>
    <row r="347" customHeight="1" spans="1:7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</row>
    <row r="348" customHeight="1" spans="1:7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</row>
    <row r="349" customHeight="1" spans="1:7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</row>
    <row r="350" customHeight="1" spans="1:7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</row>
    <row r="351" customHeight="1" spans="1:7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</row>
    <row r="352" customHeight="1" spans="1:7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</row>
    <row r="353" customHeight="1" spans="1:7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</row>
    <row r="354" customHeight="1" spans="1:7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</row>
    <row r="355" customHeight="1" spans="1:7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</row>
    <row r="356" customHeight="1" spans="1:7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</row>
    <row r="357" customHeight="1" spans="1:7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</row>
    <row r="358" customHeight="1" spans="1:7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</row>
    <row r="359" customHeight="1" spans="1:7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</row>
    <row r="360" customHeight="1" spans="1:7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</row>
    <row r="361" customHeight="1" spans="1:7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</row>
    <row r="362" customHeight="1" spans="1:7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</row>
    <row r="363" customHeight="1" spans="1:7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</row>
    <row r="364" customHeight="1" spans="1:7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</row>
    <row r="365" customHeight="1" spans="1:7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</row>
    <row r="366" customHeight="1" spans="1:7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</row>
    <row r="367" customHeight="1" spans="1:7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</row>
    <row r="368" customHeight="1" spans="1:7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</row>
    <row r="369" customHeight="1" spans="1:7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</row>
    <row r="370" customHeight="1" spans="1:7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</row>
    <row r="371" customHeight="1" spans="1:7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</row>
    <row r="372" customHeight="1" spans="1:7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</row>
    <row r="373" customHeight="1" spans="1:7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</row>
    <row r="374" customHeight="1" spans="1:7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</row>
    <row r="375" customHeight="1" spans="1:7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</row>
    <row r="376" customHeight="1" spans="1: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</row>
    <row r="377" customHeight="1" spans="1:7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</row>
    <row r="378" customHeight="1" spans="1:7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</row>
    <row r="379" customHeight="1" spans="1:7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</row>
    <row r="380" customHeight="1" spans="1:7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</row>
    <row r="381" customHeight="1" spans="1:7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</row>
    <row r="382" customHeight="1" spans="1:7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</row>
    <row r="383" customHeight="1" spans="1:7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</row>
    <row r="384" customHeight="1" spans="1:7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</row>
    <row r="385" customHeight="1" spans="1:7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</row>
    <row r="386" customHeight="1" spans="1:7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</row>
    <row r="387" customHeight="1" spans="1:7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</row>
    <row r="388" customHeight="1" spans="1:7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</row>
    <row r="389" customHeight="1" spans="1:7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</row>
    <row r="390" customHeight="1" spans="1:7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</row>
    <row r="391" customHeight="1" spans="1:7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</row>
    <row r="392" customHeight="1" spans="1:7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</row>
    <row r="393" customHeight="1" spans="1:7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</row>
    <row r="394" customHeight="1" spans="1:7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</row>
    <row r="395" customHeight="1" spans="1:7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</row>
    <row r="396" customHeight="1" spans="1:7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</row>
    <row r="397" customHeight="1" spans="1:7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</row>
    <row r="398" customHeight="1" spans="1:7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</row>
    <row r="399" customHeight="1" spans="1:7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</row>
    <row r="400" customHeight="1" spans="1:7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</row>
    <row r="401" customHeight="1" spans="1:7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</row>
    <row r="402" customHeight="1" spans="1:7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</row>
    <row r="403" customHeight="1" spans="1:7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</row>
    <row r="404" customHeight="1" spans="1:7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</row>
    <row r="405" customHeight="1" spans="1:7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</row>
    <row r="406" customHeight="1" spans="1:7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</row>
    <row r="407" customHeight="1" spans="1:7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</row>
    <row r="408" customHeight="1" spans="1:7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</row>
    <row r="409" customHeight="1" spans="1:7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</row>
    <row r="410" customHeight="1" spans="1:7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</row>
    <row r="411" customHeight="1" spans="1:7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</row>
    <row r="412" customHeight="1" spans="1:7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</row>
    <row r="413" customHeight="1" spans="1:7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</row>
    <row r="414" customHeight="1" spans="1:7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</row>
    <row r="415" customHeight="1" spans="1:7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</row>
    <row r="416" customHeight="1" spans="1:7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</row>
    <row r="417" customHeight="1" spans="1:7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</row>
    <row r="418" customHeight="1" spans="1:7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</row>
    <row r="419" customHeight="1" spans="1:7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</row>
    <row r="420" customHeight="1" spans="1:7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</row>
    <row r="421" customHeight="1" spans="1:7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</row>
    <row r="422" customHeight="1" spans="1:7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</row>
    <row r="423" customHeight="1" spans="1:7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</row>
    <row r="424" customHeight="1" spans="1:7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</row>
    <row r="425" customHeight="1" spans="1:7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</row>
    <row r="426" customHeight="1" spans="1:7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</row>
    <row r="427" customHeight="1" spans="1:7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</row>
    <row r="428" customHeight="1" spans="1:7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</row>
    <row r="429" customHeight="1" spans="1:7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</row>
    <row r="430" customHeight="1" spans="1:7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</row>
    <row r="431" customHeight="1" spans="1:7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</row>
    <row r="432" customHeight="1" spans="1:7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</row>
    <row r="433" customHeight="1" spans="1:7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</row>
    <row r="434" customHeight="1" spans="1:7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</row>
    <row r="435" customHeight="1" spans="1:7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</row>
    <row r="436" customHeight="1" spans="1:7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</row>
    <row r="437" customHeight="1" spans="1:7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</row>
    <row r="438" customHeight="1" spans="1:7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</row>
    <row r="439" customHeight="1" spans="1:7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</row>
    <row r="440" customHeight="1" spans="1:7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</row>
    <row r="441" customHeight="1" spans="1:7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</row>
    <row r="442" customHeight="1" spans="1:7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</row>
    <row r="443" customHeight="1" spans="1:7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</row>
    <row r="444" customHeight="1" spans="1:7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</row>
    <row r="445" customHeight="1" spans="1:7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</row>
    <row r="446" customHeight="1" spans="1:7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</row>
    <row r="447" customHeight="1" spans="1:7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</row>
    <row r="448" customHeight="1" spans="1:7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</row>
    <row r="449" customHeight="1" spans="1:7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</row>
    <row r="450" customHeight="1" spans="1:7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</row>
    <row r="451" customHeight="1" spans="1:7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</row>
    <row r="452" customHeight="1" spans="1:7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</row>
    <row r="453" customHeight="1" spans="1:7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</row>
    <row r="454" customHeight="1" spans="1:7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</row>
    <row r="455" customHeight="1" spans="1:7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</row>
    <row r="456" customHeight="1" spans="1:7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</row>
    <row r="457" customHeight="1" spans="1:7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</row>
    <row r="458" customHeight="1" spans="1:7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</row>
    <row r="459" customHeight="1" spans="1:7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</row>
    <row r="460" customHeight="1" spans="1:7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</row>
    <row r="461" customHeight="1" spans="1:7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</row>
    <row r="462" customHeight="1" spans="1:7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</row>
    <row r="463" customHeight="1" spans="1:7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</row>
    <row r="464" customHeight="1" spans="1:7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</row>
    <row r="465" customHeight="1" spans="1:7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</row>
    <row r="466" customHeight="1" spans="1:7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</row>
    <row r="467" customHeight="1" spans="1:7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</row>
    <row r="468" customHeight="1" spans="1:7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</row>
    <row r="469" customHeight="1" spans="1:7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</row>
    <row r="470" customHeight="1" spans="1:7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</row>
    <row r="471" customHeight="1" spans="1:7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</row>
    <row r="472" customHeight="1" spans="1:7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</row>
    <row r="473" customHeight="1" spans="1:7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</row>
    <row r="474" customHeight="1" spans="1:7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</row>
    <row r="475" customHeight="1" spans="1:7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</row>
    <row r="476" customHeight="1" spans="1: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</row>
    <row r="477" customHeight="1" spans="1:7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</row>
    <row r="478" customHeight="1" spans="1:7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</row>
    <row r="479" customHeight="1" spans="1:7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</row>
    <row r="480" customHeight="1" spans="1:7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</row>
    <row r="481" customHeight="1" spans="1:7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</row>
    <row r="482" customHeight="1" spans="1:7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</row>
    <row r="483" customHeight="1" spans="1:7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</row>
    <row r="484" customHeight="1" spans="1:7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</row>
    <row r="485" customHeight="1" spans="1:7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</row>
    <row r="486" customHeight="1" spans="1:7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</row>
    <row r="487" customHeight="1" spans="1:7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</row>
    <row r="488" customHeight="1" spans="1:7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</row>
    <row r="489" customHeight="1" spans="1:7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</row>
    <row r="490" customHeight="1" spans="1:7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</row>
    <row r="491" customHeight="1" spans="1:7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</row>
    <row r="492" customHeight="1" spans="1:7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</row>
    <row r="493" customHeight="1" spans="1:7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</row>
    <row r="494" customHeight="1" spans="1:7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</row>
    <row r="495" customHeight="1" spans="1:7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</row>
    <row r="496" customHeight="1" spans="1:7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</row>
    <row r="497" customHeight="1" spans="1:7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</row>
    <row r="498" customHeight="1" spans="1:7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</row>
    <row r="499" customHeight="1" spans="1:7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</row>
    <row r="500" customHeight="1" spans="1:7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</row>
    <row r="501" customHeight="1" spans="1:7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</row>
    <row r="502" customHeight="1" spans="1:7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</row>
    <row r="503" customHeight="1" spans="1:7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</row>
    <row r="504" customHeight="1" spans="1:7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</row>
    <row r="505" customHeight="1" spans="1:7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</row>
    <row r="506" customHeight="1" spans="1:7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</row>
    <row r="507" customHeight="1" spans="1:7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</row>
    <row r="508" customHeight="1" spans="1:7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</row>
    <row r="509" customHeight="1" spans="1:7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</row>
    <row r="510" customHeight="1" spans="1:7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</row>
    <row r="511" customHeight="1" spans="1:7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</row>
    <row r="512" customHeight="1" spans="1:7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</row>
    <row r="513" customHeight="1" spans="1:7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</row>
    <row r="514" customHeight="1" spans="1:7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</row>
    <row r="515" customHeight="1" spans="1:7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</row>
    <row r="516" customHeight="1" spans="1:7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</row>
    <row r="517" customHeight="1" spans="1:7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</row>
    <row r="518" customHeight="1" spans="1:7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</row>
    <row r="519" customHeight="1" spans="1:7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</row>
    <row r="520" customHeight="1" spans="1:7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</row>
    <row r="521" customHeight="1" spans="1:7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</row>
    <row r="522" customHeight="1" spans="1:7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</row>
    <row r="523" customHeight="1" spans="1:7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</row>
    <row r="524" customHeight="1" spans="1:7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</row>
    <row r="525" customHeight="1" spans="1:7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</row>
    <row r="526" customHeight="1" spans="1:7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</row>
    <row r="527" customHeight="1" spans="1:7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</row>
    <row r="528" customHeight="1" spans="1:7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</row>
    <row r="529" customHeight="1" spans="1:7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</row>
    <row r="530" customHeight="1" spans="1:7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</row>
    <row r="531" customHeight="1" spans="1:7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</row>
    <row r="532" customHeight="1" spans="1:7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</row>
    <row r="533" customHeight="1" spans="1:7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</row>
    <row r="534" customHeight="1" spans="1:7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</row>
    <row r="535" customHeight="1" spans="1:7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</row>
    <row r="536" customHeight="1" spans="1:7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</row>
    <row r="537" customHeight="1" spans="1:7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</row>
    <row r="538" customHeight="1" spans="1:7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</row>
    <row r="539" customHeight="1" spans="1:7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</row>
    <row r="540" customHeight="1" spans="1:7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</row>
    <row r="541" customHeight="1" spans="1:7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</row>
    <row r="542" customHeight="1" spans="1:7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</row>
    <row r="543" customHeight="1" spans="1:7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</row>
    <row r="544" customHeight="1" spans="1:7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</row>
    <row r="545" customHeight="1" spans="1:7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</row>
    <row r="546" customHeight="1" spans="1:7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</row>
    <row r="547" customHeight="1" spans="1:7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</row>
    <row r="548" customHeight="1" spans="1:7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</row>
    <row r="549" customHeight="1" spans="1:7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</row>
    <row r="550" customHeight="1" spans="1:7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</row>
    <row r="551" customHeight="1" spans="1:7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</row>
    <row r="552" customHeight="1" spans="1:7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</row>
    <row r="553" customHeight="1" spans="1:7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</row>
    <row r="554" customHeight="1" spans="1:7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</row>
    <row r="555" customHeight="1" spans="1:7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</row>
    <row r="556" customHeight="1" spans="1:7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</row>
    <row r="557" customHeight="1" spans="1:7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</row>
    <row r="558" customHeight="1" spans="1:7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</row>
    <row r="559" customHeight="1" spans="1:7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</row>
    <row r="560" customHeight="1" spans="1:7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</row>
    <row r="561" customHeight="1" spans="1:7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</row>
    <row r="562" customHeight="1" spans="1:7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</row>
    <row r="563" customHeight="1" spans="1:7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</row>
    <row r="564" customHeight="1" spans="1:7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</row>
    <row r="565" customHeight="1" spans="1:7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</row>
    <row r="566" customHeight="1" spans="1:7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</row>
    <row r="567" customHeight="1" spans="1:7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</row>
    <row r="568" customHeight="1" spans="1:7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</row>
    <row r="569" customHeight="1" spans="1:7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</row>
    <row r="570" customHeight="1" spans="1:7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</row>
    <row r="571" customHeight="1" spans="1:7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</row>
    <row r="572" customHeight="1" spans="1:7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</row>
    <row r="573" customHeight="1" spans="1:7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</row>
    <row r="574" customHeight="1" spans="1:7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</row>
    <row r="575" customHeight="1" spans="1:7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</row>
    <row r="576" customHeight="1" spans="1: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</row>
    <row r="577" customHeight="1" spans="1:7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</row>
    <row r="578" customHeight="1" spans="1:7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</row>
    <row r="579" customHeight="1" spans="1:7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</row>
    <row r="580" customHeight="1" spans="1:7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</row>
    <row r="581" customHeight="1" spans="1:7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</row>
    <row r="582" customHeight="1" spans="1:7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</row>
    <row r="583" customHeight="1" spans="1:7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</row>
    <row r="584" customHeight="1" spans="1:7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</row>
    <row r="585" customHeight="1" spans="1:7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</row>
    <row r="586" customHeight="1" spans="1:7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</row>
    <row r="587" customHeight="1" spans="1:7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</row>
    <row r="588" customHeight="1" spans="1:7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</row>
    <row r="589" customHeight="1" spans="1:7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</row>
    <row r="590" customHeight="1" spans="1:7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</row>
    <row r="591" customHeight="1" spans="1:7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</row>
    <row r="592" customHeight="1" spans="1:7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</row>
    <row r="593" customHeight="1" spans="1:7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</row>
    <row r="594" customHeight="1" spans="1:7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</row>
    <row r="595" customHeight="1" spans="1:7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</row>
    <row r="596" customHeight="1" spans="1:7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</row>
    <row r="597" customHeight="1" spans="1:7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</row>
    <row r="598" customHeight="1" spans="1:7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</row>
    <row r="599" customHeight="1" spans="1:7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</row>
    <row r="600" customHeight="1" spans="1:7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</row>
    <row r="601" customHeight="1" spans="1:7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</row>
    <row r="602" customHeight="1" spans="1:7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</row>
    <row r="603" customHeight="1" spans="1:7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</row>
    <row r="604" customHeight="1" spans="1:7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</row>
    <row r="605" customHeight="1" spans="1:7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</row>
    <row r="606" customHeight="1" spans="1:7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</row>
    <row r="607" customHeight="1" spans="1:7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</row>
    <row r="608" customHeight="1" spans="1:7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</row>
    <row r="609" customHeight="1" spans="1:7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</row>
    <row r="610" customHeight="1" spans="1:7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</row>
    <row r="611" customHeight="1" spans="1:7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</row>
    <row r="612" customHeight="1" spans="1:7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</row>
    <row r="613" customHeight="1" spans="1:7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</row>
    <row r="614" customHeight="1" spans="1:7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</row>
    <row r="615" customHeight="1" spans="1:7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</row>
    <row r="616" customHeight="1" spans="1:7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</row>
    <row r="617" customHeight="1" spans="1:7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</row>
    <row r="618" customHeight="1" spans="1:7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</row>
    <row r="619" customHeight="1" spans="1:7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</row>
    <row r="620" customHeight="1" spans="1:7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</row>
    <row r="621" customHeight="1" spans="1:7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</row>
    <row r="622" customHeight="1" spans="1:7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</row>
    <row r="623" customHeight="1" spans="1:7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</row>
    <row r="624" customHeight="1" spans="1:7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</row>
    <row r="625" customHeight="1" spans="1:7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</row>
    <row r="626" customHeight="1" spans="1:7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</row>
    <row r="627" customHeight="1" spans="1:7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</row>
    <row r="628" customHeight="1" spans="1:7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</row>
    <row r="629" customHeight="1" spans="1:7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</row>
    <row r="630" customHeight="1" spans="1:7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</row>
    <row r="631" customHeight="1" spans="1:7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</row>
    <row r="632" customHeight="1" spans="1:7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</row>
    <row r="633" customHeight="1" spans="1:7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</row>
    <row r="634" customHeight="1" spans="1:7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</row>
    <row r="635" customHeight="1" spans="1:7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</row>
    <row r="636" customHeight="1" spans="1:7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</row>
    <row r="637" customHeight="1" spans="1:7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</row>
    <row r="638" customHeight="1" spans="1:7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</row>
    <row r="639" customHeight="1" spans="1:7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</row>
    <row r="640" customHeight="1" spans="1:7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</row>
    <row r="641" customHeight="1" spans="1:7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</row>
    <row r="642" customHeight="1" spans="1:7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</row>
    <row r="643" customHeight="1" spans="1:7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</row>
    <row r="644" customHeight="1" spans="1:7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</row>
    <row r="645" customHeight="1" spans="1:7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</row>
    <row r="646" customHeight="1" spans="1:7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</row>
    <row r="647" customHeight="1" spans="1:7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</row>
    <row r="648" customHeight="1" spans="1:7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</row>
    <row r="649" customHeight="1" spans="1:7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</row>
    <row r="650" customHeight="1" spans="1:7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</row>
    <row r="651" customHeight="1" spans="1:7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</row>
    <row r="652" customHeight="1" spans="1:7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</row>
    <row r="653" customHeight="1" spans="1:7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</row>
    <row r="654" customHeight="1" spans="1:7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</row>
    <row r="655" customHeight="1" spans="1:7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</row>
    <row r="656" customHeight="1" spans="1:7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</row>
    <row r="657" customHeight="1" spans="1:7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</row>
    <row r="658" customHeight="1" spans="1:7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</row>
    <row r="659" customHeight="1" spans="1:7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</row>
    <row r="660" customHeight="1" spans="1:7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</row>
    <row r="661" customHeight="1" spans="1:7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</row>
    <row r="662" customHeight="1" spans="1:7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</row>
    <row r="663" customHeight="1" spans="1:7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</row>
    <row r="664" customHeight="1" spans="1:7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</row>
    <row r="665" customHeight="1" spans="1:7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</row>
    <row r="666" customHeight="1" spans="1:7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</row>
    <row r="667" customHeight="1" spans="1:7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</row>
    <row r="668" customHeight="1" spans="1:7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</row>
    <row r="669" customHeight="1" spans="1:7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</row>
    <row r="670" customHeight="1" spans="1:7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</row>
    <row r="671" customHeight="1" spans="1:7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</row>
    <row r="672" customHeight="1" spans="1:7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</row>
    <row r="673" customHeight="1" spans="1:7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</row>
    <row r="674" customHeight="1" spans="1:7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</row>
    <row r="675" customHeight="1" spans="1:7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</row>
    <row r="676" customHeight="1" spans="1: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</row>
    <row r="677" customHeight="1" spans="1:7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</row>
    <row r="678" customHeight="1" spans="1:7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</row>
    <row r="679" customHeight="1" spans="1:7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</row>
    <row r="680" customHeight="1" spans="1:7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</row>
    <row r="681" customHeight="1" spans="1:7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</row>
    <row r="682" customHeight="1" spans="1:7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</row>
    <row r="683" customHeight="1" spans="1:7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</row>
    <row r="684" customHeight="1" spans="1:7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</row>
    <row r="685" customHeight="1" spans="1:7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</row>
    <row r="686" customHeight="1" spans="1:7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</row>
    <row r="687" customHeight="1" spans="1:7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</row>
    <row r="688" customHeight="1" spans="1:7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</row>
    <row r="689" customHeight="1" spans="1:7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</row>
    <row r="690" customHeight="1" spans="1:7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</row>
    <row r="691" customHeight="1" spans="1:7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</row>
    <row r="692" customHeight="1" spans="1:7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</row>
    <row r="693" customHeight="1" spans="1:7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</row>
    <row r="694" customHeight="1" spans="1:7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</row>
    <row r="695" customHeight="1" spans="1:7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</row>
    <row r="696" customHeight="1" spans="1:7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</row>
    <row r="697" customHeight="1" spans="1:7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</row>
    <row r="698" customHeight="1" spans="1:7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</row>
    <row r="699" customHeight="1" spans="1:7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</row>
    <row r="700" customHeight="1" spans="1:7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</row>
    <row r="701" customHeight="1" spans="1:7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</row>
    <row r="702" customHeight="1" spans="1:7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</row>
    <row r="703" customHeight="1" spans="1:7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</row>
    <row r="704" customHeight="1" spans="1:7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</row>
    <row r="705" customHeight="1" spans="1:7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</row>
    <row r="706" customHeight="1" spans="1:7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</row>
    <row r="707" customHeight="1" spans="1:7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</row>
    <row r="708" customHeight="1" spans="1:7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</row>
    <row r="709" customHeight="1" spans="1:7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</row>
    <row r="710" customHeight="1" spans="1:7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</row>
    <row r="711" customHeight="1" spans="1:7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</row>
    <row r="712" customHeight="1" spans="1:7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</row>
    <row r="713" customHeight="1" spans="1:7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</row>
    <row r="714" customHeight="1" spans="1:7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</row>
    <row r="715" customHeight="1" spans="1:7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</row>
    <row r="716" customHeight="1" spans="1:7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</row>
    <row r="717" customHeight="1" spans="1:7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</row>
    <row r="718" customHeight="1" spans="1:7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</row>
    <row r="719" customHeight="1" spans="1:7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</row>
    <row r="720" customHeight="1" spans="1:7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</row>
    <row r="721" customHeight="1" spans="1:7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</row>
    <row r="722" customHeight="1" spans="1:7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</row>
    <row r="723" customHeight="1" spans="1:7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</row>
    <row r="724" customHeight="1" spans="1:7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</row>
    <row r="725" customHeight="1" spans="1:7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</row>
    <row r="726" customHeight="1" spans="1:7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</row>
    <row r="727" customHeight="1" spans="1:7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</row>
    <row r="728" customHeight="1" spans="1:7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</row>
    <row r="729" customHeight="1" spans="1:7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</row>
    <row r="730" customHeight="1" spans="1:7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</row>
    <row r="731" customHeight="1" spans="1:7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</row>
    <row r="732" customHeight="1" spans="1:7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</row>
    <row r="733" customHeight="1" spans="1:7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</row>
    <row r="734" customHeight="1" spans="1:7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</row>
    <row r="735" customHeight="1" spans="1:7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</row>
    <row r="736" customHeight="1" spans="1:7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</row>
    <row r="737" customHeight="1" spans="1:7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</row>
    <row r="738" customHeight="1" spans="1:7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</row>
    <row r="739" customHeight="1" spans="1:7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</row>
    <row r="740" customHeight="1" spans="1:7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</row>
    <row r="741" customHeight="1" spans="1:7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</row>
    <row r="742" customHeight="1" spans="1:7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</row>
    <row r="743" customHeight="1" spans="1:7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</row>
    <row r="744" customHeight="1" spans="1:7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</row>
    <row r="745" customHeight="1" spans="1:7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</row>
    <row r="746" customHeight="1" spans="1:7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</row>
    <row r="747" customHeight="1" spans="1:7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</row>
    <row r="748" customHeight="1" spans="1:7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</row>
    <row r="749" customHeight="1" spans="1:7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</row>
    <row r="750" customHeight="1" spans="1:7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</row>
    <row r="751" customHeight="1" spans="1:7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</row>
    <row r="752" customHeight="1" spans="1:7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</row>
    <row r="753" customHeight="1" spans="1:7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</row>
    <row r="754" customHeight="1" spans="1:7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</row>
    <row r="755" customHeight="1" spans="1:7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</row>
    <row r="756" customHeight="1" spans="1:7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</row>
    <row r="757" customHeight="1" spans="1:7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</row>
    <row r="758" customHeight="1" spans="1:7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</row>
    <row r="759" customHeight="1" spans="1:7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</row>
    <row r="760" customHeight="1" spans="1:7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</row>
    <row r="761" customHeight="1" spans="1:7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</row>
    <row r="762" customHeight="1" spans="1:7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</row>
    <row r="763" customHeight="1" spans="1:7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</row>
    <row r="764" customHeight="1" spans="1:7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</row>
    <row r="765" customHeight="1" spans="1:7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</row>
    <row r="766" customHeight="1" spans="1:7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</row>
    <row r="767" customHeight="1" spans="1:7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</row>
    <row r="768" customHeight="1" spans="1:7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</row>
    <row r="769" customHeight="1" spans="1:7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</row>
    <row r="770" customHeight="1" spans="1:7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</row>
    <row r="771" customHeight="1" spans="1:7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</row>
    <row r="772" customHeight="1" spans="1:7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</row>
    <row r="773" customHeight="1" spans="1:7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</row>
    <row r="774" customHeight="1" spans="1:7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</row>
    <row r="775" customHeight="1" spans="1:7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</row>
    <row r="776" customHeight="1" spans="1: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</row>
    <row r="777" customHeight="1" spans="1:7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</row>
    <row r="778" customHeight="1" spans="1:7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</row>
    <row r="779" customHeight="1" spans="1:7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</row>
    <row r="780" customHeight="1" spans="1:7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</row>
    <row r="781" customHeight="1" spans="1:7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</row>
    <row r="782" customHeight="1" spans="1:7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</row>
    <row r="783" customHeight="1" spans="1:7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</row>
    <row r="784" customHeight="1" spans="1:7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</row>
    <row r="785" customHeight="1" spans="1:7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</row>
    <row r="786" customHeight="1" spans="1:7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</row>
    <row r="787" customHeight="1" spans="1:7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</row>
    <row r="788" customHeight="1" spans="1:7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</row>
    <row r="789" customHeight="1" spans="1:7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</row>
    <row r="790" customHeight="1" spans="1:7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</row>
    <row r="791" customHeight="1" spans="1:7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</row>
    <row r="792" customHeight="1" spans="1:7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</row>
    <row r="793" customHeight="1" spans="1:7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</row>
    <row r="794" customHeight="1" spans="1:7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</row>
    <row r="795" customHeight="1" spans="1:7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</row>
    <row r="796" customHeight="1" spans="1:7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</row>
    <row r="797" customHeight="1" spans="1:7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</row>
    <row r="798" customHeight="1" spans="1:7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</row>
    <row r="799" customHeight="1" spans="1:7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</row>
    <row r="800" customHeight="1" spans="1:7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</row>
    <row r="801" customHeight="1" spans="1:7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</row>
    <row r="802" customHeight="1" spans="1:7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</row>
    <row r="803" customHeight="1" spans="1:7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</row>
    <row r="804" customHeight="1" spans="1:7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</row>
    <row r="805" customHeight="1" spans="1:7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</row>
    <row r="806" customHeight="1" spans="1:7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</row>
    <row r="807" customHeight="1" spans="1:7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</row>
    <row r="808" customHeight="1" spans="1:7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</row>
    <row r="809" customHeight="1" spans="1:7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</row>
    <row r="810" customHeight="1" spans="1:7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</row>
    <row r="811" customHeight="1" spans="1:7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</row>
    <row r="812" customHeight="1" spans="1:7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</row>
    <row r="813" customHeight="1" spans="1:7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</row>
    <row r="814" customHeight="1" spans="1:7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</row>
    <row r="815" customHeight="1" spans="1:7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</row>
    <row r="816" customHeight="1" spans="1:7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</row>
    <row r="817" customHeight="1" spans="1:7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</row>
    <row r="818" customHeight="1" spans="1:7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</row>
    <row r="819" customHeight="1" spans="1:7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</row>
    <row r="820" customHeight="1" spans="1:7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</row>
    <row r="821" customHeight="1" spans="1:7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</row>
    <row r="822" customHeight="1" spans="1:7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</row>
    <row r="823" customHeight="1" spans="1:7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</row>
    <row r="824" customHeight="1" spans="1:7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</row>
    <row r="825" customHeight="1" spans="1:7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</row>
    <row r="826" customHeight="1" spans="1:7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</row>
    <row r="827" customHeight="1" spans="1:7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</row>
    <row r="828" customHeight="1" spans="1:7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</row>
    <row r="829" customHeight="1" spans="1:7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</row>
    <row r="830" customHeight="1" spans="1:7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</row>
    <row r="831" customHeight="1" spans="1:7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</row>
    <row r="832" customHeight="1" spans="1:7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</row>
    <row r="833" customHeight="1" spans="1:7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</row>
    <row r="834" customHeight="1" spans="1:7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</row>
    <row r="835" customHeight="1" spans="1:7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</row>
    <row r="836" customHeight="1" spans="1:7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</row>
    <row r="837" customHeight="1" spans="1:7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</row>
    <row r="838" customHeight="1" spans="1:7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</row>
    <row r="839" customHeight="1" spans="1:7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</row>
    <row r="840" customHeight="1" spans="1:7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</row>
    <row r="841" customHeight="1" spans="1:7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</row>
    <row r="842" customHeight="1" spans="1:7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</row>
    <row r="843" customHeight="1" spans="1:7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</row>
    <row r="844" customHeight="1" spans="1:7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</row>
    <row r="845" customHeight="1" spans="1:7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</row>
    <row r="846" customHeight="1" spans="1:7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</row>
    <row r="847" customHeight="1" spans="1:7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</row>
    <row r="848" customHeight="1" spans="1:7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</row>
    <row r="849" customHeight="1" spans="1:7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</row>
    <row r="850" customHeight="1" spans="1:7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</row>
    <row r="851" customHeight="1" spans="1:7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</row>
    <row r="852" customHeight="1" spans="1:7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</row>
    <row r="853" customHeight="1" spans="1:7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</row>
    <row r="854" customHeight="1" spans="1:7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</row>
    <row r="855" customHeight="1" spans="1:7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</row>
    <row r="856" customHeight="1" spans="1:7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</row>
    <row r="857" customHeight="1" spans="1:7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</row>
    <row r="858" customHeight="1" spans="1:7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</row>
    <row r="859" customHeight="1" spans="1:7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</row>
    <row r="860" customHeight="1" spans="1:7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</row>
    <row r="861" customHeight="1" spans="1:7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</row>
    <row r="862" customHeight="1" spans="1:7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</row>
    <row r="863" customHeight="1" spans="1:7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</row>
    <row r="864" customHeight="1" spans="1:7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</row>
    <row r="865" customHeight="1" spans="1:7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</row>
    <row r="866" customHeight="1" spans="1:7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</row>
    <row r="867" customHeight="1" spans="1:7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</row>
    <row r="868" customHeight="1" spans="1:7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</row>
    <row r="869" customHeight="1" spans="1:7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</row>
    <row r="870" customHeight="1" spans="1:7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</row>
    <row r="871" customHeight="1" spans="1:7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</row>
    <row r="872" customHeight="1" spans="1:7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</row>
    <row r="873" customHeight="1" spans="1:7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</row>
    <row r="874" customHeight="1" spans="1:7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</row>
    <row r="875" customHeight="1" spans="1:7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</row>
    <row r="876" customHeight="1" spans="1: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</row>
    <row r="877" customHeight="1" spans="1:7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</row>
    <row r="878" customHeight="1" spans="1:7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</row>
    <row r="879" customHeight="1" spans="1:7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</row>
    <row r="880" customHeight="1" spans="1:7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</row>
    <row r="881" customHeight="1" spans="1:7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</row>
    <row r="882" customHeight="1" spans="1:7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</row>
    <row r="883" customHeight="1" spans="1:7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</row>
    <row r="884" customHeight="1" spans="1:7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</row>
    <row r="885" customHeight="1" spans="1:7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</row>
    <row r="886" customHeight="1" spans="1:7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</row>
    <row r="887" customHeight="1" spans="1:7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</row>
    <row r="888" customHeight="1" spans="1:7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</row>
    <row r="889" customHeight="1" spans="1:7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</row>
    <row r="890" customHeight="1" spans="1:7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</row>
    <row r="891" customHeight="1" spans="1:7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</row>
    <row r="892" customHeight="1" spans="1:7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</row>
    <row r="893" customHeight="1" spans="1:7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</row>
    <row r="894" customHeight="1" spans="1:7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</row>
    <row r="895" customHeight="1" spans="1:7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</row>
    <row r="896" customHeight="1" spans="1:7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</row>
    <row r="897" customHeight="1" spans="1:7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</row>
    <row r="898" customHeight="1" spans="1:7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</row>
    <row r="899" customHeight="1" spans="1:7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</row>
    <row r="900" customHeight="1" spans="1:7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</row>
    <row r="901" customHeight="1" spans="1:7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</row>
    <row r="902" customHeight="1" spans="1:7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</row>
    <row r="903" customHeight="1" spans="1:7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</row>
    <row r="904" customHeight="1" spans="1:7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</row>
    <row r="905" customHeight="1" spans="1:7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</row>
    <row r="906" customHeight="1" spans="1:7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</row>
    <row r="907" customHeight="1" spans="1:7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</row>
    <row r="908" customHeight="1" spans="1:7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</row>
    <row r="909" customHeight="1" spans="1:7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</row>
    <row r="910" customHeight="1" spans="1:7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</row>
    <row r="911" customHeight="1" spans="1:7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</row>
    <row r="912" customHeight="1" spans="1:7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</row>
    <row r="913" customHeight="1" spans="1:7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</row>
    <row r="914" customHeight="1" spans="1:7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</row>
    <row r="915" customHeight="1" spans="1:7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</row>
    <row r="916" customHeight="1" spans="1:7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</row>
    <row r="917" customHeight="1" spans="1:7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</row>
    <row r="918" customHeight="1" spans="1:7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</row>
    <row r="919" customHeight="1" spans="1:7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</row>
    <row r="920" customHeight="1" spans="1:7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</row>
    <row r="921" customHeight="1" spans="1:7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</row>
    <row r="922" customHeight="1" spans="1:7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</row>
    <row r="923" customHeight="1" spans="1:7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</row>
    <row r="924" customHeight="1" spans="1:7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</row>
    <row r="925" customHeight="1" spans="1:7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</row>
    <row r="926" customHeight="1" spans="1:7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</row>
    <row r="927" customHeight="1" spans="1:7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</row>
    <row r="928" customHeight="1" spans="1:7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</row>
    <row r="929" customHeight="1" spans="1:7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</row>
    <row r="930" customHeight="1" spans="1:7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</row>
    <row r="931" customHeight="1" spans="1:7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</row>
    <row r="932" customHeight="1" spans="1:7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</row>
    <row r="933" customHeight="1" spans="1:7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</row>
    <row r="934" customHeight="1" spans="1:7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</row>
    <row r="935" customHeight="1" spans="1:7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</row>
    <row r="936" customHeight="1" spans="1:7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</row>
    <row r="937" customHeight="1" spans="1:7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</row>
    <row r="938" customHeight="1" spans="1:7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</row>
    <row r="939" customHeight="1" spans="1:7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</row>
    <row r="940" customHeight="1" spans="1:7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</row>
    <row r="941" customHeight="1" spans="1:7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</row>
    <row r="942" customHeight="1" spans="1:7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</row>
    <row r="943" customHeight="1" spans="1:7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</row>
    <row r="944" customHeight="1" spans="1:7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</row>
    <row r="945" customHeight="1" spans="1:7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</row>
    <row r="946" customHeight="1" spans="1:7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</row>
    <row r="947" customHeight="1" spans="1:7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</row>
    <row r="948" customHeight="1" spans="1:7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</row>
    <row r="949" customHeight="1" spans="1:7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</row>
    <row r="950" customHeight="1" spans="1:7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</row>
    <row r="951" customHeight="1" spans="1:7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</row>
    <row r="952" customHeight="1" spans="1:7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</row>
    <row r="953" customHeight="1" spans="1:7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</row>
    <row r="954" customHeight="1" spans="1:7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</row>
    <row r="955" customHeight="1" spans="1:7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</row>
    <row r="956" customHeight="1" spans="1:7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</row>
    <row r="957" customHeight="1" spans="1:7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</row>
    <row r="958" customHeight="1" spans="1:7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</row>
    <row r="959" customHeight="1" spans="1:7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</row>
    <row r="960" customHeight="1" spans="1:7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</row>
    <row r="961" customHeight="1" spans="1:7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</row>
    <row r="962" customHeight="1" spans="1:7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</row>
    <row r="963" customHeight="1" spans="1:7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</row>
    <row r="964" customHeight="1" spans="1:7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</row>
    <row r="965" customHeight="1" spans="1:7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</row>
    <row r="966" customHeight="1" spans="1:7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</row>
    <row r="967" customHeight="1" spans="1:7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</row>
    <row r="968" customHeight="1" spans="1:7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</row>
    <row r="969" customHeight="1" spans="1:7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</row>
    <row r="970" customHeight="1" spans="1:7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</row>
    <row r="971" customHeight="1" spans="1:7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</row>
    <row r="972" customHeight="1" spans="1:7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</row>
    <row r="973" customHeight="1" spans="1:7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</row>
    <row r="974" customHeight="1" spans="1:7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</row>
    <row r="975" customHeight="1" spans="1:7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</row>
    <row r="976" customHeight="1" spans="1: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</row>
    <row r="977" customHeight="1" spans="1:7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</row>
    <row r="978" customHeight="1" spans="1:7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</row>
    <row r="979" customHeight="1" spans="1:7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</row>
    <row r="980" customHeight="1" spans="1:7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</row>
    <row r="981" customHeight="1" spans="1:7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</row>
    <row r="982" customHeight="1" spans="1:7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</row>
    <row r="983" customHeight="1" spans="1:7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</row>
    <row r="984" customHeight="1" spans="1:7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</row>
    <row r="985" customHeight="1" spans="1:7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</row>
    <row r="986" customHeight="1" spans="1:7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</row>
    <row r="987" customHeight="1" spans="1:7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</row>
    <row r="988" customHeight="1" spans="1:7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</row>
    <row r="989" customHeight="1" spans="1:7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</row>
    <row r="990" customHeight="1" spans="1:7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</row>
    <row r="991" customHeight="1" spans="1:7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</row>
    <row r="992" customHeight="1" spans="1:7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</row>
    <row r="993" customHeight="1" spans="1:7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</row>
    <row r="994" customHeight="1" spans="1:7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</row>
    <row r="995" customHeight="1" spans="1:7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</row>
    <row r="996" customHeight="1" spans="1:7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</row>
    <row r="997" customHeight="1" spans="1:7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</row>
    <row r="998" customHeight="1" spans="1:7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</row>
    <row r="999" customHeight="1" spans="1:76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</row>
    <row r="1000" customHeight="1" spans="1:76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</row>
    <row r="1001" customHeight="1" spans="1:76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</row>
    <row r="1002" customHeight="1" spans="1:76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</row>
    <row r="1003" customHeight="1" spans="1:76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</row>
    <row r="1004" customHeight="1" spans="1:76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</row>
    <row r="1005" customHeight="1" spans="1:76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</row>
    <row r="1006" customHeight="1" spans="1:7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</row>
    <row r="1007" customHeight="1" spans="1:76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</row>
    <row r="1008" customHeight="1" spans="1:76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</row>
    <row r="1009" customHeight="1" spans="1:76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</row>
    <row r="1010" customHeight="1" spans="1:76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</row>
    <row r="1011" customHeight="1" spans="1:76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</row>
    <row r="1012" customHeight="1" spans="1:76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</row>
    <row r="1013" customHeight="1" spans="1:76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</row>
    <row r="1014" customHeight="1" spans="1:76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</row>
    <row r="1015" customHeight="1" spans="1:76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</row>
    <row r="1016" customHeight="1" spans="1:7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</row>
    <row r="1017" customHeight="1" spans="1:76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</row>
    <row r="1018" customHeight="1" spans="1:76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</row>
    <row r="1019" customHeight="1" spans="1:76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</row>
    <row r="1020" customHeight="1" spans="1:76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</row>
    <row r="1021" customHeight="1" spans="1:76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</row>
    <row r="1022" customHeight="1" spans="1:76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</row>
    <row r="1023" customHeight="1" spans="1:76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</row>
    <row r="1024" customHeight="1" spans="1:76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</row>
    <row r="1025" customHeight="1" spans="1:76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</row>
    <row r="1026" customHeight="1" spans="1:7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</row>
    <row r="1027" customHeight="1" spans="1:76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</row>
    <row r="1028" customHeight="1" spans="1:76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</row>
    <row r="1029" customHeight="1" spans="1:76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</row>
    <row r="1030" customHeight="1" spans="1:76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</row>
    <row r="1031" customHeight="1" spans="1:76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</row>
    <row r="1032" customHeight="1" spans="1:76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</row>
    <row r="1033" customHeight="1" spans="1:76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</row>
    <row r="1034" customHeight="1" spans="1:76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</row>
    <row r="1035" customHeight="1" spans="1:76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</row>
    <row r="1036" customHeight="1" spans="1:7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</row>
    <row r="1037" customHeight="1" spans="1:76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</row>
    <row r="1038" customHeight="1" spans="1:76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</row>
    <row r="1039" customHeight="1" spans="1:76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</row>
    <row r="1040" customHeight="1" spans="1:76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</row>
    <row r="1041" customHeight="1" spans="1:76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</row>
    <row r="1042" customHeight="1" spans="1:76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</row>
    <row r="1043" customHeight="1" spans="1:76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</row>
    <row r="1044" customHeight="1" spans="1:76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</row>
    <row r="1045" customHeight="1" spans="1:76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</row>
    <row r="1046" customHeight="1" spans="1:7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</row>
    <row r="1047" customHeight="1" spans="1:76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</row>
    <row r="1048" customHeight="1" spans="1:76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</row>
    <row r="1049" customHeight="1" spans="1:76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</row>
    <row r="1050" customHeight="1" spans="1:76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</row>
    <row r="1051" customHeight="1" spans="1:76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</row>
    <row r="1052" customHeight="1" spans="1:76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</row>
    <row r="1053" customHeight="1" spans="1:76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</row>
    <row r="1054" customHeight="1" spans="1:76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</row>
    <row r="1055" customHeight="1" spans="1:76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</row>
    <row r="1056" customHeight="1" spans="1:7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</row>
    <row r="1057" customHeight="1" spans="1:76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</row>
    <row r="1058" customHeight="1" spans="1:76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</row>
    <row r="1059" customHeight="1" spans="1:76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</row>
    <row r="1060" customHeight="1" spans="1:76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</row>
    <row r="1061" customHeight="1" spans="1:76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</row>
    <row r="1062" customHeight="1" spans="1:76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</row>
    <row r="1063" customHeight="1" spans="1:76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</row>
    <row r="1064" customHeight="1" spans="1:76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</row>
    <row r="1065" customHeight="1" spans="1:76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</row>
    <row r="1066" customHeight="1" spans="1:7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</row>
    <row r="1067" customHeight="1" spans="1:76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</row>
    <row r="1068" customHeight="1" spans="1:76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</row>
    <row r="1069" customHeight="1" spans="1:76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</row>
    <row r="1070" customHeight="1" spans="1:76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</row>
    <row r="1071" customHeight="1" spans="1:76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</row>
    <row r="1072" customHeight="1" spans="1:76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</row>
    <row r="1073" customHeight="1" spans="1:76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</row>
    <row r="1074" customHeight="1" spans="1:76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</row>
    <row r="1075" customHeight="1" spans="1:76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</row>
    <row r="1076" customHeight="1" spans="1: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</row>
    <row r="1077" customHeight="1" spans="1:76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</row>
    <row r="1078" customHeight="1" spans="1:76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</row>
    <row r="1079" customHeight="1" spans="1:76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</row>
    <row r="1080" customHeight="1" spans="1:76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</row>
    <row r="1081" customHeight="1" spans="1:76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</row>
    <row r="1082" customHeight="1" spans="1:76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</row>
    <row r="1083" customHeight="1" spans="1:76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</row>
    <row r="1084" customHeight="1" spans="1:76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</row>
    <row r="1085" customHeight="1" spans="1:76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</row>
    <row r="1086" customHeight="1" spans="1:7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</row>
    <row r="1087" customHeight="1" spans="1:76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</row>
    <row r="1088" customHeight="1" spans="1:76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</row>
    <row r="1089" customHeight="1" spans="1:76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</row>
    <row r="1090" customHeight="1" spans="1:76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</row>
    <row r="1091" customHeight="1" spans="1:76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</row>
    <row r="1092" customHeight="1" spans="1:76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</row>
    <row r="1093" customHeight="1" spans="1:76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</row>
    <row r="1094" customHeight="1" spans="1:76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</row>
    <row r="1095" customHeight="1" spans="1:76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</row>
    <row r="1096" customHeight="1" spans="1:7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</row>
    <row r="1097" customHeight="1" spans="1:76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</row>
    <row r="1098" customHeight="1" spans="1:76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</row>
    <row r="1099" customHeight="1" spans="1:76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</row>
    <row r="1100" customHeight="1" spans="1:76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</row>
    <row r="1101" customHeight="1" spans="1:76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</row>
    <row r="1102" customHeight="1" spans="1:76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</row>
    <row r="1103" customHeight="1" spans="1:76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</row>
    <row r="1104" customHeight="1" spans="1:76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</row>
    <row r="1105" customHeight="1" spans="1:76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</row>
    <row r="1106" customHeight="1" spans="1:76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</row>
    <row r="1107" customHeight="1" spans="1:76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</row>
    <row r="1108" customHeight="1" spans="1:76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</row>
    <row r="1109" customHeight="1" spans="1:76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</row>
    <row r="1110" customHeight="1" spans="1:76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</row>
    <row r="1111" customHeight="1" spans="1:76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</row>
    <row r="1112" customHeight="1" spans="1:76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</row>
    <row r="1113" customHeight="1" spans="1:76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</row>
    <row r="1114" customHeight="1" spans="1:76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</row>
    <row r="1115" customHeight="1" spans="1:76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</row>
    <row r="1116" customHeight="1" spans="1:76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</row>
    <row r="1117" customHeight="1" spans="1:76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</row>
    <row r="1118" customHeight="1" spans="1:76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</row>
    <row r="1119" customHeight="1" spans="1:76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</row>
    <row r="1120" customHeight="1" spans="1:76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</row>
    <row r="1121" customHeight="1" spans="1:76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</row>
    <row r="1122" customHeight="1" spans="1:76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</row>
    <row r="1123" customHeight="1" spans="1:76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</row>
    <row r="1124" customHeight="1" spans="1:76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</row>
    <row r="1125" customHeight="1" spans="1:76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</row>
    <row r="1126" customHeight="1" spans="1:76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</row>
    <row r="1127" customHeight="1" spans="1:76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</row>
    <row r="1128" customHeight="1" spans="1:76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</row>
    <row r="1129" customHeight="1" spans="1:76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</row>
    <row r="1130" customHeight="1" spans="1:76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</row>
    <row r="1131" customHeight="1" spans="1:76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</row>
    <row r="1132" customHeight="1" spans="1:76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</row>
    <row r="1133" customHeight="1" spans="1:76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</row>
    <row r="1134" customHeight="1" spans="1:76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</row>
    <row r="1135" customHeight="1" spans="1:76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</row>
    <row r="1136" customHeight="1" spans="1:76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</row>
    <row r="1137" customHeight="1" spans="1:76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</row>
    <row r="1138" customHeight="1" spans="1:76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</row>
    <row r="1139" customHeight="1" spans="1:76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</row>
    <row r="1140" customHeight="1" spans="1:76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</row>
    <row r="1141" customHeight="1" spans="1:76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</row>
    <row r="1142" customHeight="1" spans="1:76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</row>
    <row r="1143" customHeight="1" spans="1:76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</row>
    <row r="1144" customHeight="1" spans="1:76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</row>
    <row r="1145" customHeight="1" spans="1:76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</row>
    <row r="1146" customHeight="1" spans="1:76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</row>
    <row r="1147" customHeight="1" spans="1:76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</row>
    <row r="1148" customHeight="1" spans="1:76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</row>
    <row r="1149" customHeight="1" spans="1:76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</row>
    <row r="1150" customHeight="1" spans="1:76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</row>
    <row r="1151" customHeight="1" spans="1:76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</row>
    <row r="1152" customHeight="1" spans="1:76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</row>
    <row r="1153" customHeight="1" spans="1:76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</row>
    <row r="1154" customHeight="1" spans="1:76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</row>
    <row r="1155" customHeight="1" spans="1:76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</row>
    <row r="1156" customHeight="1" spans="1:76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</row>
    <row r="1157" customHeight="1" spans="1:76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</row>
    <row r="1158" customHeight="1" spans="1:76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</row>
    <row r="1159" customHeight="1" spans="1:76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</row>
    <row r="1160" customHeight="1" spans="1:76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</row>
    <row r="1161" customHeight="1" spans="1:76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</row>
    <row r="1162" customHeight="1" spans="1:76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</row>
    <row r="1163" customHeight="1" spans="1:76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</row>
    <row r="1164" customHeight="1" spans="1:76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</row>
    <row r="1165" customHeight="1" spans="1:76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</row>
    <row r="1166" customHeight="1" spans="1:76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</row>
    <row r="1167" customHeight="1" spans="1:76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</row>
    <row r="1168" customHeight="1" spans="1:76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</row>
    <row r="1169" customHeight="1" spans="1:76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</row>
    <row r="1170" customHeight="1" spans="1:76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</row>
    <row r="1171" customHeight="1" spans="1:76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</row>
    <row r="1172" customHeight="1" spans="1:76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</row>
    <row r="1173" customHeight="1" spans="1:76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</row>
    <row r="1174" customHeight="1" spans="1:76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</row>
    <row r="1175" customHeight="1" spans="1:76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</row>
    <row r="1176" customHeight="1" spans="1:76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</row>
    <row r="1177" customHeight="1" spans="1:76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</row>
    <row r="1178" customHeight="1" spans="1:76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</row>
    <row r="1179" customHeight="1" spans="1:76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</row>
    <row r="1180" customHeight="1" spans="1:76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</row>
    <row r="1181" customHeight="1" spans="1:76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</row>
    <row r="1182" customHeight="1" spans="1:76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</row>
    <row r="1183" customHeight="1" spans="1:76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</row>
    <row r="1184" customHeight="1" spans="1:76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</row>
    <row r="1185" customHeight="1" spans="1:76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</row>
    <row r="1186" customHeight="1" spans="1:76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</row>
    <row r="1187" customHeight="1" spans="1:76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</row>
    <row r="1188" customHeight="1" spans="1:76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</row>
    <row r="1189" customHeight="1" spans="1:76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</row>
    <row r="1190" customHeight="1" spans="1:76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</row>
    <row r="1191" customHeight="1" spans="1:76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</row>
    <row r="1192" customHeight="1" spans="1:76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</row>
    <row r="1193" customHeight="1" spans="1:76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</row>
    <row r="1194" customHeight="1" spans="1:76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</row>
    <row r="1195" customHeight="1" spans="1:76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</row>
    <row r="1196" customHeight="1" spans="1:76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</row>
    <row r="1197" customHeight="1" spans="1:76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</row>
    <row r="1198" customHeight="1" spans="1:76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</row>
    <row r="1199" customHeight="1" spans="1:76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</row>
    <row r="1200" customHeight="1" spans="1:76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</row>
    <row r="1201" customHeight="1" spans="1:76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</row>
    <row r="1202" customHeight="1" spans="1:76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</row>
    <row r="1203" customHeight="1" spans="1:76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</row>
    <row r="1204" customHeight="1" spans="1:76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</row>
    <row r="1205" customHeight="1" spans="1:76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</row>
    <row r="1206" customHeight="1" spans="1:76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</row>
    <row r="1207" customHeight="1" spans="1:76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</row>
    <row r="1208" customHeight="1" spans="1:76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</row>
    <row r="1209" customHeight="1" spans="1:76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</row>
    <row r="1210" customHeight="1" spans="1:76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</row>
    <row r="1211" customHeight="1" spans="1:76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</row>
    <row r="1212" customHeight="1" spans="1:76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</row>
    <row r="1213" customHeight="1" spans="1:76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</row>
    <row r="1214" customHeight="1" spans="1:76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</row>
    <row r="1215" customHeight="1" spans="1:76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</row>
    <row r="1216" customHeight="1" spans="1:76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</row>
    <row r="1217" customHeight="1" spans="1:76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</row>
    <row r="1218" customHeight="1" spans="1:76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</row>
    <row r="1219" customHeight="1" spans="1:76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</row>
    <row r="1220" customHeight="1" spans="1:76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</row>
    <row r="1221" customHeight="1" spans="1:76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</row>
    <row r="1222" customHeight="1" spans="1:76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</row>
    <row r="1223" customHeight="1" spans="1:76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</row>
    <row r="1224" customHeight="1" spans="1:76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</row>
    <row r="1225" customHeight="1" spans="1:76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</row>
    <row r="1226" customHeight="1" spans="1:76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</row>
    <row r="1227" customHeight="1" spans="1:76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</row>
    <row r="1228" customHeight="1" spans="1:76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</row>
    <row r="1229" customHeight="1" spans="1:76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</row>
    <row r="1230" customHeight="1" spans="1:76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</row>
    <row r="1231" customHeight="1" spans="1:76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</row>
    <row r="1232" customHeight="1" spans="1:76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</row>
    <row r="1233" customHeight="1" spans="1:76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</row>
    <row r="1234" customHeight="1" spans="1:76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</row>
    <row r="1235" customHeight="1" spans="1:76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</row>
    <row r="1236" customHeight="1" spans="1:76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</row>
    <row r="1237" customHeight="1" spans="1:76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</row>
    <row r="1238" customHeight="1" spans="1:76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</row>
    <row r="1239" customHeight="1" spans="1:76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</row>
    <row r="1240" customHeight="1" spans="1:76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</row>
    <row r="1241" customHeight="1" spans="1:76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</row>
    <row r="1242" customHeight="1" spans="1:76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</row>
    <row r="1243" customHeight="1" spans="1:76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</row>
    <row r="1244" customHeight="1" spans="1:76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</row>
    <row r="1245" customHeight="1" spans="1:76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</row>
    <row r="1246" customHeight="1" spans="1:76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</row>
    <row r="1247" customHeight="1" spans="1:76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</row>
    <row r="1248" customHeight="1" spans="1:76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</row>
    <row r="1249" customHeight="1" spans="1:76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</row>
    <row r="1250" customHeight="1" spans="1:76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</row>
    <row r="1251" customHeight="1" spans="1:76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</row>
    <row r="1252" customHeight="1" spans="1:76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</row>
    <row r="1253" customHeight="1" spans="1:76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</row>
    <row r="1254" customHeight="1" spans="1:76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</row>
    <row r="1255" customHeight="1" spans="1:76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</row>
    <row r="1256" customHeight="1" spans="1:76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</row>
    <row r="1257" customHeight="1" spans="1:76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</row>
    <row r="1258" customHeight="1" spans="1:76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</row>
    <row r="1259" customHeight="1" spans="1:76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</row>
    <row r="1260" customHeight="1" spans="1:76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</row>
    <row r="1261" customHeight="1" spans="1:76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</row>
    <row r="1262" customHeight="1" spans="1:76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</row>
    <row r="1263" customHeight="1" spans="1:76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</row>
    <row r="1264" customHeight="1" spans="1:76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</row>
    <row r="1265" customHeight="1" spans="1:76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</row>
    <row r="1266" customHeight="1" spans="1:76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</row>
    <row r="1267" customHeight="1" spans="1:76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</row>
    <row r="1268" customHeight="1" spans="1:76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</row>
    <row r="1269" customHeight="1" spans="1:76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</row>
    <row r="1270" customHeight="1" spans="1:76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</row>
    <row r="1271" customHeight="1" spans="1:76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</row>
    <row r="1272" customHeight="1" spans="1:76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</row>
    <row r="1273" customHeight="1" spans="1:76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</row>
    <row r="1274" customHeight="1" spans="1:76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</row>
    <row r="1275" customHeight="1" spans="1:76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</row>
    <row r="1276" customHeight="1" spans="1:76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</row>
    <row r="1277" customHeight="1" spans="1:76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</row>
    <row r="1278" customHeight="1" spans="1:76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</row>
    <row r="1279" customHeight="1" spans="1:76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</row>
    <row r="1280" customHeight="1" spans="1:76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</row>
    <row r="1281" customHeight="1" spans="1:76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</row>
    <row r="1282" customHeight="1" spans="1:76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</row>
    <row r="1283" customHeight="1" spans="1:76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</row>
    <row r="1284" customHeight="1" spans="1:76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</row>
    <row r="1285" customHeight="1" spans="1:76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</row>
    <row r="1286" customHeight="1" spans="1:76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</row>
    <row r="1287" customHeight="1" spans="1:76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</row>
    <row r="1288" customHeight="1" spans="1:76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</row>
    <row r="1289" customHeight="1" spans="1:76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</row>
    <row r="1290" customHeight="1" spans="1:76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</row>
    <row r="1291" customHeight="1" spans="1:76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</row>
    <row r="1292" customHeight="1" spans="1:76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</row>
    <row r="1293" customHeight="1" spans="1:76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</row>
    <row r="1294" customHeight="1" spans="1:76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</row>
    <row r="1295" customHeight="1" spans="1:76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</row>
    <row r="1296" customHeight="1" spans="1:76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</row>
    <row r="1297" customHeight="1" spans="1:76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</row>
    <row r="1298" customHeight="1" spans="1:76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</row>
    <row r="1299" customHeight="1" spans="1:76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</row>
    <row r="1300" customHeight="1" spans="1:76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</row>
    <row r="1301" customHeight="1" spans="1:76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</row>
    <row r="1302" customHeight="1" spans="1:76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</row>
    <row r="1303" customHeight="1" spans="1:76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</row>
    <row r="1304" customHeight="1" spans="1:76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</row>
    <row r="1305" customHeight="1" spans="1:76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</row>
    <row r="1306" customHeight="1" spans="1:76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</row>
    <row r="1307" customHeight="1" spans="1:76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</row>
    <row r="1308" customHeight="1" spans="1:76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</row>
    <row r="1309" customHeight="1" spans="1:76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</row>
    <row r="1310" customHeight="1" spans="1:76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</row>
    <row r="1311" customHeight="1" spans="1:76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</row>
    <row r="1312" customHeight="1" spans="1:76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</row>
    <row r="1313" customHeight="1" spans="1:76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</row>
    <row r="1314" customHeight="1" spans="1:76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</row>
    <row r="1315" customHeight="1" spans="1:76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</row>
    <row r="1316" customHeight="1" spans="1:76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</row>
    <row r="1317" customHeight="1" spans="1:76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</row>
    <row r="1318" customHeight="1" spans="1:76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</row>
    <row r="1319" customHeight="1" spans="1:76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</row>
    <row r="1320" customHeight="1" spans="1:76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</row>
    <row r="1321" customHeight="1" spans="1:76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</row>
    <row r="1322" customHeight="1" spans="1:76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</row>
    <row r="1323" customHeight="1" spans="1:76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</row>
    <row r="1324" customHeight="1" spans="1:76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</row>
    <row r="1325" customHeight="1" spans="1:76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</row>
    <row r="1326" customHeight="1" spans="1:76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</row>
    <row r="1327" customHeight="1" spans="1:76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</row>
    <row r="1328" customHeight="1" spans="1:76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</row>
    <row r="1329" customHeight="1" spans="1:76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</row>
    <row r="1330" customHeight="1" spans="1:76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</row>
    <row r="1331" customHeight="1" spans="1:76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</row>
    <row r="1332" customHeight="1" spans="1:76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</row>
    <row r="1333" customHeight="1" spans="1:76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</row>
    <row r="1334" customHeight="1" spans="1:76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</row>
    <row r="1335" customHeight="1" spans="1:76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</row>
    <row r="1336" customHeight="1" spans="1:76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</row>
    <row r="1337" customHeight="1" spans="1:76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</row>
    <row r="1338" customHeight="1" spans="1:76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</row>
    <row r="1339" customHeight="1" spans="1:76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</row>
    <row r="1340" customHeight="1" spans="1:76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</row>
    <row r="1341" customHeight="1" spans="1:76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</row>
    <row r="1342" customHeight="1" spans="1:76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</row>
    <row r="1343" customHeight="1" spans="1:76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</row>
    <row r="1344" customHeight="1" spans="1:76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</row>
    <row r="1345" customHeight="1" spans="1:76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</row>
    <row r="1346" customHeight="1" spans="1:76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</row>
    <row r="1347" customHeight="1" spans="1:76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</row>
    <row r="1348" customHeight="1" spans="1:76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</row>
    <row r="1349" customHeight="1" spans="1:76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</row>
    <row r="1350" customHeight="1" spans="1:76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</row>
    <row r="1351" customHeight="1" spans="1:76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</row>
    <row r="1352" customHeight="1" spans="1:76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</row>
    <row r="1353" customHeight="1" spans="1:76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</row>
    <row r="1354" customHeight="1" spans="1:76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</row>
    <row r="1355" customHeight="1" spans="1:76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</row>
    <row r="1356" customHeight="1" spans="1:76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</row>
    <row r="1357" customHeight="1" spans="1:76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</row>
    <row r="1358" customHeight="1" spans="1:76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</row>
    <row r="1359" customHeight="1" spans="1:76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</row>
    <row r="1360" customHeight="1" spans="1:76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</row>
    <row r="1361" customHeight="1" spans="1:76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</row>
    <row r="1362" customHeight="1" spans="1:76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</row>
    <row r="1363" customHeight="1" spans="1:76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</row>
    <row r="1364" customHeight="1" spans="1:76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</row>
    <row r="1365" customHeight="1" spans="1:76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</row>
    <row r="1366" customHeight="1" spans="1:76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</row>
    <row r="1367" customHeight="1" spans="1:76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</row>
    <row r="1368" customHeight="1" spans="1:76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</row>
    <row r="1369" customHeight="1" spans="1:76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</row>
    <row r="1370" customHeight="1" spans="1:76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</row>
    <row r="1371" customHeight="1" spans="1:76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</row>
    <row r="1372" customHeight="1" spans="1:76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</row>
    <row r="1373" customHeight="1" spans="1:76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</row>
    <row r="1374" customHeight="1" spans="1:76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</row>
    <row r="1375" customHeight="1" spans="1:76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</row>
    <row r="1376" customHeight="1" spans="1:76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</row>
    <row r="1377" customHeight="1" spans="1:76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</row>
    <row r="1378" customHeight="1" spans="1:76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</row>
    <row r="1379" customHeight="1" spans="1:76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</row>
    <row r="1380" customHeight="1" spans="1:76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</row>
    <row r="1381" customHeight="1" spans="1:76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</row>
    <row r="1382" customHeight="1" spans="1:76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</row>
    <row r="1383" customHeight="1" spans="1:76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</row>
    <row r="1384" customHeight="1" spans="1:76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</row>
    <row r="1385" customHeight="1" spans="1:76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</row>
    <row r="1386" customHeight="1" spans="1:76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</row>
    <row r="1387" customHeight="1" spans="1:76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</row>
    <row r="1388" customHeight="1" spans="1:76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</row>
    <row r="1389" customHeight="1" spans="1:76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</row>
    <row r="1390" customHeight="1" spans="1:76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</row>
    <row r="1391" customHeight="1" spans="1:76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</row>
    <row r="1392" customHeight="1" spans="1:76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</row>
    <row r="1393" customHeight="1" spans="1:76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</row>
    <row r="1394" customHeight="1" spans="1:76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</row>
    <row r="1395" customHeight="1" spans="1:76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</row>
    <row r="1396" customHeight="1" spans="1:76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</row>
    <row r="1397" customHeight="1" spans="1:76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</row>
    <row r="1398" customHeight="1" spans="1:76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</row>
    <row r="1399" customHeight="1" spans="1:76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</row>
    <row r="1400" customHeight="1" spans="1:76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</row>
    <row r="1401" customHeight="1" spans="1:76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</row>
    <row r="1402" customHeight="1" spans="1:76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</row>
    <row r="1403" customHeight="1" spans="1:76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</row>
    <row r="1404" customHeight="1" spans="1:76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</row>
    <row r="1405" customHeight="1" spans="1:76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</row>
    <row r="1406" customHeight="1" spans="1:76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</row>
    <row r="1407" customHeight="1" spans="1:76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</row>
    <row r="1408" customHeight="1" spans="1:76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</row>
    <row r="1409" customHeight="1" spans="1:76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</row>
    <row r="1410" customHeight="1" spans="1:76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</row>
    <row r="1411" customHeight="1" spans="1:76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</row>
    <row r="1412" customHeight="1" spans="1:76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</row>
    <row r="1413" customHeight="1" spans="1:76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</row>
    <row r="1414" customHeight="1" spans="1:76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</row>
    <row r="1415" customHeight="1" spans="1:76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</row>
    <row r="1416" customHeight="1" spans="1:76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</row>
    <row r="1417" customHeight="1" spans="1:76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</row>
    <row r="1418" customHeight="1" spans="1:76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</row>
    <row r="1419" customHeight="1" spans="1:76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</row>
    <row r="1420" customHeight="1" spans="1:76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</row>
    <row r="1421" customHeight="1" spans="1:76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</row>
    <row r="1422" customHeight="1" spans="1:76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</row>
    <row r="1423" customHeight="1" spans="1:76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</row>
    <row r="1424" customHeight="1" spans="1:76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</row>
    <row r="1425" customHeight="1" spans="1:76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</row>
    <row r="1426" customHeight="1" spans="1:76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</row>
    <row r="1427" customHeight="1" spans="1:76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</row>
    <row r="1428" customHeight="1" spans="1:76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</row>
    <row r="1429" customHeight="1" spans="1:76">
      <c r="A1429" s="1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</row>
    <row r="1430" customHeight="1" spans="1:76">
      <c r="A1430" s="1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</row>
    <row r="1431" customHeight="1" spans="1:76">
      <c r="A1431" s="1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</row>
    <row r="1432" customHeight="1" spans="1:76">
      <c r="A1432" s="1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</row>
    <row r="1433" customHeight="1" spans="1:76">
      <c r="A1433" s="1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</row>
    <row r="1434" customHeight="1" spans="1:76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</row>
    <row r="1435" customHeight="1" spans="1:76">
      <c r="A1435" s="1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</row>
    <row r="1436" customHeight="1" spans="1:76">
      <c r="A1436" s="1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</row>
    <row r="1437" customHeight="1" spans="1:76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</row>
    <row r="1438" customHeight="1" spans="1:76">
      <c r="A1438" s="1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</row>
    <row r="1439" customHeight="1" spans="1:76">
      <c r="A1439" s="1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</row>
    <row r="1440" customHeight="1" spans="1:76">
      <c r="A1440" s="1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</row>
    <row r="1441" customHeight="1" spans="1:76">
      <c r="A1441" s="1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</row>
    <row r="1442" customHeight="1" spans="1:76">
      <c r="A1442" s="1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</row>
    <row r="1443" customHeight="1" spans="1:76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</row>
    <row r="1444" customHeight="1" spans="1:76">
      <c r="A1444" s="1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</row>
    <row r="1445" customHeight="1" spans="1:76">
      <c r="A1445" s="1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</row>
    <row r="1446" customHeight="1" spans="1:76">
      <c r="A1446" s="1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</row>
    <row r="1447" customHeight="1" spans="1:76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</row>
    <row r="1448" customHeight="1" spans="1:76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</row>
    <row r="1449" customHeight="1" spans="1:76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</row>
    <row r="1450" customHeight="1" spans="1:76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</row>
    <row r="1451" customHeight="1" spans="1:76">
      <c r="A1451" s="1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</row>
    <row r="1452" customHeight="1" spans="1:76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</row>
    <row r="1453" customHeight="1" spans="1:76">
      <c r="A1453" s="1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</row>
    <row r="1454" customHeight="1" spans="1:76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</row>
    <row r="1455" customHeight="1" spans="1:76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</row>
    <row r="1456" customHeight="1" spans="1:76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</row>
    <row r="1457" customHeight="1" spans="1:76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</row>
    <row r="1458" customHeight="1" spans="1:76">
      <c r="A1458" s="1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</row>
    <row r="1459" customHeight="1" spans="1:76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</row>
    <row r="1460" customHeight="1" spans="1:76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</row>
    <row r="1461" customHeight="1" spans="1:76">
      <c r="A1461" s="1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</row>
    <row r="1462" customHeight="1" spans="1:76">
      <c r="A1462" s="1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</row>
    <row r="1463" customHeight="1" spans="1:76">
      <c r="A1463" s="1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</row>
    <row r="1464" customHeight="1" spans="1:76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</row>
    <row r="1465" customHeight="1" spans="1:76">
      <c r="A1465" s="1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</row>
    <row r="1466" customHeight="1" spans="1:76">
      <c r="A1466" s="1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</row>
    <row r="1467" customHeight="1" spans="1:76">
      <c r="A1467" s="1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</row>
    <row r="1468" customHeight="1" spans="1:76">
      <c r="A1468" s="1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</row>
    <row r="1469" customHeight="1" spans="1:76">
      <c r="A1469" s="17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</row>
    <row r="1470" customHeight="1" spans="1:76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</row>
    <row r="1471" customHeight="1" spans="1:76">
      <c r="A1471" s="1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</row>
    <row r="1472" customHeight="1" spans="1:76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</row>
    <row r="1473" customHeight="1" spans="1:76">
      <c r="A1473" s="17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</row>
    <row r="1474" customHeight="1" spans="1:76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</row>
    <row r="1475" customHeight="1" spans="1:76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</row>
    <row r="1476" customHeight="1" spans="1:76">
      <c r="A1476" s="17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</row>
    <row r="1477" customHeight="1" spans="1:76">
      <c r="A1477" s="17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</row>
    <row r="1478" customHeight="1" spans="1:76">
      <c r="A1478" s="17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</row>
    <row r="1479" customHeight="1" spans="1:76">
      <c r="A1479" s="17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</row>
    <row r="1480" customHeight="1" spans="1:76">
      <c r="A1480" s="17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</row>
    <row r="1481" customHeight="1" spans="1:76">
      <c r="A1481" s="17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</row>
    <row r="1482" customHeight="1" spans="1:76">
      <c r="A1482" s="17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</row>
    <row r="1483" customHeight="1" spans="1:76">
      <c r="A1483" s="17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</row>
    <row r="1484" customHeight="1" spans="1:76">
      <c r="A1484" s="17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</row>
    <row r="1485" customHeight="1" spans="1:76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</row>
    <row r="1486" customHeight="1" spans="1:76">
      <c r="A1486" s="1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</row>
    <row r="1487" customHeight="1" spans="1:76">
      <c r="A1487" s="1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</row>
    <row r="1488" customHeight="1" spans="1:76">
      <c r="A1488" s="17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</row>
    <row r="1489" customHeight="1" spans="1:76">
      <c r="A1489" s="17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</row>
    <row r="1490" customHeight="1" spans="1:76">
      <c r="A1490" s="1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</row>
    <row r="1491" customHeight="1" spans="1:76">
      <c r="A1491" s="1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</row>
    <row r="1492" customHeight="1" spans="1:76">
      <c r="A1492" s="17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</row>
    <row r="1493" customHeight="1" spans="1:76">
      <c r="A1493" s="17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</row>
    <row r="1494" customHeight="1" spans="1:76">
      <c r="A1494" s="17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</row>
    <row r="1495" customHeight="1" spans="1:76">
      <c r="A1495" s="17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</row>
    <row r="1496" customHeight="1" spans="1:76">
      <c r="A1496" s="1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</row>
    <row r="1497" customHeight="1" spans="1:76">
      <c r="A1497" s="17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</row>
    <row r="1498" customHeight="1" spans="1:76">
      <c r="A1498" s="17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</row>
    <row r="1499" customHeight="1" spans="1:76">
      <c r="A1499" s="17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</row>
    <row r="1500" customHeight="1" spans="1:76">
      <c r="A1500" s="17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</row>
    <row r="1501" customHeight="1" spans="1:76">
      <c r="A1501" s="17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</row>
    <row r="1502" customHeight="1" spans="1:76">
      <c r="A1502" s="17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</row>
    <row r="1503" customHeight="1" spans="1:76">
      <c r="A1503" s="17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</row>
    <row r="1504" customHeight="1" spans="1:76">
      <c r="A1504" s="1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</row>
    <row r="1505" customHeight="1" spans="1:76">
      <c r="A1505" s="17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</row>
    <row r="1506" customHeight="1" spans="1:76">
      <c r="A1506" s="17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</row>
    <row r="1507" customHeight="1" spans="1:76">
      <c r="A1507" s="17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</row>
    <row r="1508" customHeight="1" spans="1:76">
      <c r="A1508" s="1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</row>
    <row r="1509" customHeight="1" spans="1:76">
      <c r="A1509" s="17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</row>
    <row r="1510" customHeight="1" spans="1:76">
      <c r="A1510" s="17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</row>
    <row r="1511" customHeight="1" spans="1:76">
      <c r="A1511" s="1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</row>
    <row r="1512" customHeight="1" spans="1:76">
      <c r="A1512" s="17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</row>
    <row r="1513" customHeight="1" spans="1:76">
      <c r="A1513" s="17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</row>
    <row r="1514" customHeight="1" spans="1:76">
      <c r="A1514" s="17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</row>
    <row r="1515" customHeight="1" spans="1:76">
      <c r="A1515" s="17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</row>
    <row r="1516" customHeight="1" spans="1:76">
      <c r="A1516" s="1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</row>
    <row r="1517" customHeight="1" spans="1:76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</row>
    <row r="1518" customHeight="1" spans="1:76">
      <c r="A1518" s="1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</row>
    <row r="1519" customHeight="1" spans="1:76">
      <c r="A1519" s="1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</row>
    <row r="1520" customHeight="1" spans="1:76">
      <c r="A1520" s="17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</row>
    <row r="1521" customHeight="1" spans="1:76">
      <c r="A1521" s="17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</row>
    <row r="1522" customHeight="1" spans="1:76">
      <c r="A1522" s="1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</row>
    <row r="1523" customHeight="1" spans="1:76">
      <c r="A1523" s="17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</row>
    <row r="1524" customHeight="1" spans="1:76">
      <c r="A1524" s="17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</row>
    <row r="1525" customHeight="1" spans="1:76">
      <c r="A1525" s="1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</row>
    <row r="1526" customHeight="1" spans="1:76">
      <c r="A1526" s="17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</row>
    <row r="1527" customHeight="1" spans="1:76">
      <c r="A1527" s="17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</row>
    <row r="1528" customHeight="1" spans="1:76">
      <c r="A1528" s="17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</row>
    <row r="1529" customHeight="1" spans="1:76">
      <c r="A1529" s="17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</row>
    <row r="1530" customHeight="1" spans="1:76">
      <c r="A1530" s="17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</row>
    <row r="1531" customHeight="1" spans="1:76">
      <c r="A1531" s="17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</row>
    <row r="1532" customHeight="1" spans="1:76">
      <c r="A1532" s="17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</row>
    <row r="1533" customHeight="1" spans="1:76">
      <c r="A1533" s="17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</row>
    <row r="1534" customHeight="1" spans="1:76">
      <c r="A1534" s="1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</row>
    <row r="1535" customHeight="1" spans="1:76">
      <c r="A1535" s="1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</row>
    <row r="1536" customHeight="1" spans="1:76">
      <c r="A1536" s="17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</row>
    <row r="1537" customHeight="1" spans="1:76">
      <c r="A1537" s="1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</row>
    <row r="1538" customHeight="1" spans="1:76">
      <c r="A1538" s="17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</row>
    <row r="1539" customHeight="1" spans="1:76">
      <c r="A1539" s="17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</row>
    <row r="1540" customHeight="1" spans="1:76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</row>
    <row r="1541" customHeight="1" spans="1:76">
      <c r="A1541" s="1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</row>
    <row r="1542" customHeight="1" spans="1:76">
      <c r="A1542" s="17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</row>
    <row r="1543" customHeight="1" spans="1:76">
      <c r="A1543" s="1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</row>
    <row r="1544" customHeight="1" spans="1:76">
      <c r="A1544" s="17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</row>
    <row r="1545" customHeight="1" spans="1:76">
      <c r="A1545" s="17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</row>
    <row r="1546" customHeight="1" spans="1:76">
      <c r="A1546" s="1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</row>
    <row r="1547" customHeight="1" spans="1:76">
      <c r="A1547" s="1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</row>
    <row r="1548" customHeight="1" spans="1:76">
      <c r="A1548" s="17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</row>
    <row r="1549" customHeight="1" spans="1:76">
      <c r="A1549" s="17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</row>
    <row r="1550" customHeight="1" spans="1:76">
      <c r="A1550" s="17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</row>
    <row r="1551" customHeight="1" spans="1:76">
      <c r="A1551" s="17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</row>
    <row r="1552" customHeight="1" spans="1:76">
      <c r="A1552" s="1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</row>
    <row r="1553" customHeight="1" spans="1:76">
      <c r="A1553" s="17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</row>
    <row r="1554" customHeight="1" spans="1:76">
      <c r="A1554" s="1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</row>
    <row r="1555" customHeight="1" spans="1:76">
      <c r="A1555" s="17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</row>
    <row r="1556" customHeight="1" spans="1:76">
      <c r="A1556" s="17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</row>
    <row r="1557" customHeight="1" spans="1:76">
      <c r="A1557" s="1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</row>
    <row r="1558" customHeight="1" spans="1:76">
      <c r="A1558" s="1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</row>
    <row r="1559" customHeight="1" spans="1:76">
      <c r="A1559" s="1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</row>
    <row r="1560" customHeight="1" spans="1:76">
      <c r="A1560" s="17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</row>
    <row r="1561" customHeight="1" spans="1:76">
      <c r="A1561" s="17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</row>
    <row r="1562" customHeight="1" spans="1:76">
      <c r="A1562" s="17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</row>
    <row r="1563" customHeight="1" spans="1:76">
      <c r="A1563" s="17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</row>
    <row r="1564" customHeight="1" spans="1:76">
      <c r="A1564" s="17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</row>
    <row r="1565" customHeight="1" spans="1:76">
      <c r="A1565" s="1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</row>
    <row r="1566" customHeight="1" spans="1:76">
      <c r="A1566" s="17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</row>
    <row r="1567" customHeight="1" spans="1:76">
      <c r="A1567" s="17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</row>
    <row r="1568" customHeight="1" spans="1:76">
      <c r="A1568" s="17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</row>
    <row r="1569" customHeight="1" spans="1:76">
      <c r="A1569" s="17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</row>
    <row r="1570" customHeight="1" spans="1:76">
      <c r="A1570" s="1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</row>
    <row r="1571" customHeight="1" spans="1:76">
      <c r="A1571" s="17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</row>
    <row r="1572" customHeight="1" spans="1:76">
      <c r="A1572" s="17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</row>
    <row r="1573" customHeight="1" spans="1:76">
      <c r="A1573" s="17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</row>
    <row r="1574" customHeight="1" spans="1:76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</row>
    <row r="1575" customHeight="1" spans="1:76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</row>
    <row r="1576" customHeight="1" spans="1:76">
      <c r="A1576" s="17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</row>
    <row r="1577" customHeight="1" spans="1:76">
      <c r="A1577" s="1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</row>
    <row r="1578" customHeight="1" spans="1:76">
      <c r="A1578" s="17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</row>
    <row r="1579" customHeight="1" spans="1:76">
      <c r="A1579" s="1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</row>
    <row r="1580" customHeight="1" spans="1:76">
      <c r="A1580" s="17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</row>
    <row r="1581" customHeight="1" spans="1:76">
      <c r="A1581" s="17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</row>
    <row r="1582" customHeight="1" spans="1:76">
      <c r="A1582" s="1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</row>
    <row r="1583" customHeight="1" spans="1:76">
      <c r="A1583" s="17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</row>
    <row r="1584" customHeight="1" spans="1:76">
      <c r="A1584" s="17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</row>
    <row r="1585" customHeight="1" spans="1:76">
      <c r="A1585" s="1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</row>
    <row r="1586" customHeight="1" spans="1:76">
      <c r="A1586" s="1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</row>
    <row r="1587" customHeight="1" spans="1:76">
      <c r="A1587" s="17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</row>
    <row r="1588" customHeight="1" spans="1:76">
      <c r="A1588" s="17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</row>
    <row r="1589" customHeight="1" spans="1:76">
      <c r="A1589" s="17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</row>
    <row r="1590" customHeight="1" spans="1:76">
      <c r="A1590" s="17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</row>
    <row r="1591" customHeight="1" spans="1:76">
      <c r="A1591" s="1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</row>
    <row r="1592" customHeight="1" spans="1:76">
      <c r="A1592" s="17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</row>
    <row r="1593" customHeight="1" spans="1:76">
      <c r="A1593" s="17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</row>
    <row r="1594" customHeight="1" spans="1:76">
      <c r="A1594" s="17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</row>
    <row r="1595" customHeight="1" spans="1:76">
      <c r="A1595" s="1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</row>
    <row r="1596" customHeight="1" spans="1:76">
      <c r="A1596" s="1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</row>
    <row r="1597" customHeight="1" spans="1:76">
      <c r="A1597" s="17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</row>
    <row r="1598" customHeight="1" spans="1:76">
      <c r="A1598" s="1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</row>
    <row r="1599" customHeight="1" spans="1:76">
      <c r="A1599" s="17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</row>
    <row r="1600" customHeight="1" spans="1:76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</row>
  </sheetData>
  <autoFilter xmlns:etc="http://www.wps.cn/officeDocument/2017/etCustomData" ref="F58" etc:filterBottomFollowUsedRange="0">
    <extLst/>
  </autoFilter>
  <mergeCells count="36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A1:A3"/>
    <mergeCell ref="B1:B3"/>
    <mergeCell ref="C1:C3"/>
    <mergeCell ref="D1:D3"/>
    <mergeCell ref="E1:E3"/>
    <mergeCell ref="F1:F3"/>
  </mergeCells>
  <conditionalFormatting sqref="G4:BN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P50"/>
  <sheetViews>
    <sheetView workbookViewId="0">
      <selection activeCell="A1" sqref="A1:A2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75454545454545" customWidth="1"/>
    <col min="9" max="9" width="9.5" customWidth="1"/>
    <col min="11" max="11" width="9.5" customWidth="1"/>
    <col min="13" max="13" width="9.5" customWidth="1"/>
    <col min="15" max="15" width="9.5" customWidth="1"/>
    <col min="17" max="17" width="9.5" customWidth="1"/>
    <col min="19" max="19" width="9.5" customWidth="1"/>
    <col min="21" max="21" width="9.75454545454545" customWidth="1"/>
    <col min="23" max="23" width="9.5" customWidth="1"/>
    <col min="25" max="25" width="9.5" customWidth="1"/>
    <col min="27" max="27" width="9.38181818181818" customWidth="1"/>
    <col min="29" max="29" width="9.5" customWidth="1"/>
    <col min="31" max="31" width="9.5" customWidth="1"/>
    <col min="33" max="33" width="9.5" customWidth="1"/>
    <col min="35" max="35" width="9.75454545454545" customWidth="1"/>
    <col min="37" max="37" width="9.5" customWidth="1"/>
    <col min="39" max="39" width="9.5" customWidth="1"/>
    <col min="41" max="41" width="9.5" customWidth="1"/>
    <col min="43" max="43" width="9.5" customWidth="1"/>
    <col min="45" max="45" width="9.5" customWidth="1"/>
    <col min="47" max="47" width="9.5" customWidth="1"/>
    <col min="49" max="49" width="9.75454545454545" customWidth="1"/>
    <col min="51" max="51" width="9.5" customWidth="1"/>
    <col min="53" max="53" width="9.5" customWidth="1"/>
    <col min="55" max="55" width="9.5" customWidth="1"/>
    <col min="57" max="57" width="9.5" customWidth="1"/>
    <col min="59" max="59" width="9.5" customWidth="1"/>
    <col min="61" max="61" width="9.5" customWidth="1"/>
    <col min="63" max="63" width="9.75454545454545" customWidth="1"/>
    <col min="65" max="65" width="9.5" customWidth="1"/>
    <col min="67" max="67" width="9.5" customWidth="1"/>
  </cols>
  <sheetData>
    <row r="1" customHeigh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45658</v>
      </c>
      <c r="H1" s="4">
        <f t="shared" ref="H1:BP1" si="0">G1+1</f>
        <v>45659</v>
      </c>
      <c r="I1" s="4">
        <f t="shared" si="0"/>
        <v>45660</v>
      </c>
      <c r="J1" s="4">
        <f t="shared" si="0"/>
        <v>45661</v>
      </c>
      <c r="K1" s="4">
        <f t="shared" si="0"/>
        <v>45662</v>
      </c>
      <c r="L1" s="4">
        <f t="shared" si="0"/>
        <v>45663</v>
      </c>
      <c r="M1" s="4">
        <f t="shared" si="0"/>
        <v>45664</v>
      </c>
      <c r="N1" s="4">
        <f t="shared" si="0"/>
        <v>45665</v>
      </c>
      <c r="O1" s="4">
        <f t="shared" si="0"/>
        <v>45666</v>
      </c>
      <c r="P1" s="4">
        <f t="shared" si="0"/>
        <v>45667</v>
      </c>
      <c r="Q1" s="4">
        <f t="shared" si="0"/>
        <v>45668</v>
      </c>
      <c r="R1" s="4">
        <f t="shared" si="0"/>
        <v>45669</v>
      </c>
      <c r="S1" s="4">
        <f t="shared" si="0"/>
        <v>45670</v>
      </c>
      <c r="T1" s="4">
        <f t="shared" si="0"/>
        <v>45671</v>
      </c>
      <c r="U1" s="4">
        <f t="shared" si="0"/>
        <v>45672</v>
      </c>
      <c r="V1" s="4">
        <f t="shared" si="0"/>
        <v>45673</v>
      </c>
      <c r="W1" s="4">
        <f t="shared" si="0"/>
        <v>45674</v>
      </c>
      <c r="X1" s="4">
        <f t="shared" si="0"/>
        <v>45675</v>
      </c>
      <c r="Y1" s="4">
        <f t="shared" si="0"/>
        <v>45676</v>
      </c>
      <c r="Z1" s="4">
        <f t="shared" si="0"/>
        <v>45677</v>
      </c>
      <c r="AA1" s="4">
        <f t="shared" si="0"/>
        <v>45678</v>
      </c>
      <c r="AB1" s="4">
        <f t="shared" si="0"/>
        <v>45679</v>
      </c>
      <c r="AC1" s="4">
        <f t="shared" si="0"/>
        <v>45680</v>
      </c>
      <c r="AD1" s="4">
        <f t="shared" si="0"/>
        <v>45681</v>
      </c>
      <c r="AE1" s="4">
        <f t="shared" si="0"/>
        <v>45682</v>
      </c>
      <c r="AF1" s="4">
        <f t="shared" si="0"/>
        <v>45683</v>
      </c>
      <c r="AG1" s="4">
        <f t="shared" si="0"/>
        <v>45684</v>
      </c>
      <c r="AH1" s="4">
        <f t="shared" si="0"/>
        <v>45685</v>
      </c>
      <c r="AI1" s="4">
        <f t="shared" si="0"/>
        <v>45686</v>
      </c>
      <c r="AJ1" s="4">
        <f t="shared" si="0"/>
        <v>45687</v>
      </c>
      <c r="AK1" s="4">
        <f t="shared" si="0"/>
        <v>45688</v>
      </c>
      <c r="AL1" s="4">
        <f t="shared" si="0"/>
        <v>45689</v>
      </c>
      <c r="AM1" s="4">
        <f t="shared" si="0"/>
        <v>45690</v>
      </c>
      <c r="AN1" s="4">
        <f t="shared" si="0"/>
        <v>45691</v>
      </c>
      <c r="AO1" s="4">
        <f t="shared" si="0"/>
        <v>45692</v>
      </c>
      <c r="AP1" s="4">
        <f t="shared" si="0"/>
        <v>45693</v>
      </c>
      <c r="AQ1" s="4">
        <f t="shared" si="0"/>
        <v>45694</v>
      </c>
      <c r="AR1" s="4">
        <f t="shared" si="0"/>
        <v>45695</v>
      </c>
      <c r="AS1" s="4">
        <f t="shared" si="0"/>
        <v>45696</v>
      </c>
      <c r="AT1" s="4">
        <f t="shared" si="0"/>
        <v>45697</v>
      </c>
      <c r="AU1" s="4">
        <f t="shared" si="0"/>
        <v>45698</v>
      </c>
      <c r="AV1" s="4">
        <f t="shared" si="0"/>
        <v>45699</v>
      </c>
      <c r="AW1" s="4">
        <f t="shared" si="0"/>
        <v>45700</v>
      </c>
      <c r="AX1" s="4">
        <f t="shared" si="0"/>
        <v>45701</v>
      </c>
      <c r="AY1" s="4">
        <f t="shared" si="0"/>
        <v>45702</v>
      </c>
      <c r="AZ1" s="4">
        <f t="shared" si="0"/>
        <v>45703</v>
      </c>
      <c r="BA1" s="4">
        <f t="shared" si="0"/>
        <v>45704</v>
      </c>
      <c r="BB1" s="4">
        <f t="shared" si="0"/>
        <v>45705</v>
      </c>
      <c r="BC1" s="4">
        <f t="shared" si="0"/>
        <v>45706</v>
      </c>
      <c r="BD1" s="4">
        <f t="shared" si="0"/>
        <v>45707</v>
      </c>
      <c r="BE1" s="4">
        <f t="shared" si="0"/>
        <v>45708</v>
      </c>
      <c r="BF1" s="4">
        <f t="shared" si="0"/>
        <v>45709</v>
      </c>
      <c r="BG1" s="4">
        <f t="shared" si="0"/>
        <v>45710</v>
      </c>
      <c r="BH1" s="4">
        <f t="shared" si="0"/>
        <v>45711</v>
      </c>
      <c r="BI1" s="4">
        <f t="shared" si="0"/>
        <v>45712</v>
      </c>
      <c r="BJ1" s="4">
        <f t="shared" si="0"/>
        <v>45713</v>
      </c>
      <c r="BK1" s="4">
        <f t="shared" si="0"/>
        <v>45714</v>
      </c>
      <c r="BL1" s="4">
        <f t="shared" si="0"/>
        <v>45715</v>
      </c>
      <c r="BM1" s="4">
        <f t="shared" si="0"/>
        <v>45716</v>
      </c>
      <c r="BN1" s="4">
        <f t="shared" si="0"/>
        <v>45717</v>
      </c>
      <c r="BO1" s="4">
        <f t="shared" si="0"/>
        <v>45718</v>
      </c>
      <c r="BP1" s="4">
        <f t="shared" si="0"/>
        <v>45719</v>
      </c>
    </row>
    <row r="2" customHeight="1" spans="1:68">
      <c r="A2" s="5"/>
      <c r="B2" s="5"/>
      <c r="C2" s="5"/>
      <c r="D2" s="5"/>
      <c r="E2" s="5"/>
      <c r="F2" s="5"/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6</v>
      </c>
      <c r="T2" s="6" t="s">
        <v>7</v>
      </c>
      <c r="U2" s="6" t="s">
        <v>8</v>
      </c>
      <c r="V2" s="6" t="s">
        <v>9</v>
      </c>
      <c r="W2" s="6" t="s">
        <v>10</v>
      </c>
      <c r="X2" s="6" t="s">
        <v>11</v>
      </c>
      <c r="Y2" s="6" t="s">
        <v>12</v>
      </c>
      <c r="Z2" s="6" t="s">
        <v>6</v>
      </c>
      <c r="AA2" s="6" t="s">
        <v>7</v>
      </c>
      <c r="AB2" s="6" t="s">
        <v>8</v>
      </c>
      <c r="AC2" s="6" t="s">
        <v>9</v>
      </c>
      <c r="AD2" s="6" t="s">
        <v>10</v>
      </c>
      <c r="AE2" s="6" t="s">
        <v>11</v>
      </c>
      <c r="AF2" s="6" t="s">
        <v>12</v>
      </c>
      <c r="AG2" s="6" t="s">
        <v>6</v>
      </c>
      <c r="AH2" s="6" t="s">
        <v>7</v>
      </c>
      <c r="AI2" s="6" t="s">
        <v>8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3"/>
    </row>
    <row r="3" customHeight="1" spans="1:68">
      <c r="A3" s="7">
        <v>10320410</v>
      </c>
      <c r="B3" s="8" t="s">
        <v>58</v>
      </c>
      <c r="C3" s="7" t="s">
        <v>20</v>
      </c>
      <c r="D3" s="7" t="s">
        <v>21</v>
      </c>
      <c r="E3" s="8" t="s">
        <v>22</v>
      </c>
      <c r="F3" s="9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</row>
    <row r="4" customHeight="1" spans="1:68">
      <c r="A4" s="7">
        <v>10320415</v>
      </c>
      <c r="B4" s="8" t="s">
        <v>63</v>
      </c>
      <c r="C4" s="7" t="s">
        <v>20</v>
      </c>
      <c r="D4" s="7" t="s">
        <v>21</v>
      </c>
      <c r="E4" s="8" t="s">
        <v>22</v>
      </c>
      <c r="F4" s="9">
        <v>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</row>
    <row r="5" customHeight="1" spans="1:68">
      <c r="A5" s="7">
        <v>10317522</v>
      </c>
      <c r="B5" s="8" t="s">
        <v>31</v>
      </c>
      <c r="C5" s="7" t="s">
        <v>20</v>
      </c>
      <c r="D5" s="7" t="s">
        <v>21</v>
      </c>
      <c r="E5" s="8" t="s">
        <v>22</v>
      </c>
      <c r="F5" s="9">
        <v>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</row>
    <row r="6" customHeight="1" spans="1:68">
      <c r="A6" s="7">
        <v>10316549</v>
      </c>
      <c r="B6" s="8" t="s">
        <v>19</v>
      </c>
      <c r="C6" s="7" t="s">
        <v>20</v>
      </c>
      <c r="D6" s="7" t="s">
        <v>86</v>
      </c>
      <c r="E6" s="8" t="s">
        <v>22</v>
      </c>
      <c r="F6" s="9">
        <v>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</row>
    <row r="7" customHeight="1" spans="1:68">
      <c r="A7" s="7">
        <v>10320413</v>
      </c>
      <c r="B7" s="8" t="s">
        <v>60</v>
      </c>
      <c r="C7" s="7" t="s">
        <v>20</v>
      </c>
      <c r="D7" s="7" t="s">
        <v>21</v>
      </c>
      <c r="E7" s="8" t="s">
        <v>22</v>
      </c>
      <c r="F7" s="9">
        <v>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</row>
    <row r="8" customHeight="1" spans="1:68">
      <c r="A8" s="7">
        <v>10320408</v>
      </c>
      <c r="B8" s="8" t="s">
        <v>56</v>
      </c>
      <c r="C8" s="7" t="s">
        <v>20</v>
      </c>
      <c r="D8" s="7" t="s">
        <v>21</v>
      </c>
      <c r="E8" s="8" t="s">
        <v>22</v>
      </c>
      <c r="F8" s="9">
        <v>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</row>
    <row r="9" customHeight="1" spans="1:68">
      <c r="A9" s="7">
        <v>10317147</v>
      </c>
      <c r="B9" s="8" t="s">
        <v>24</v>
      </c>
      <c r="C9" s="7" t="s">
        <v>20</v>
      </c>
      <c r="D9" s="7" t="s">
        <v>21</v>
      </c>
      <c r="E9" s="8" t="s">
        <v>22</v>
      </c>
      <c r="F9" s="9">
        <v>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</row>
    <row r="10" customHeight="1" spans="1:68">
      <c r="A10" s="7">
        <v>10272259</v>
      </c>
      <c r="B10" s="8" t="s">
        <v>32</v>
      </c>
      <c r="C10" s="7" t="s">
        <v>20</v>
      </c>
      <c r="D10" s="7" t="s">
        <v>21</v>
      </c>
      <c r="E10" s="8" t="s">
        <v>22</v>
      </c>
      <c r="F10" s="9">
        <v>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customHeight="1" spans="1:68">
      <c r="A11" s="7">
        <v>10320412</v>
      </c>
      <c r="B11" s="8" t="s">
        <v>59</v>
      </c>
      <c r="C11" s="7" t="s">
        <v>20</v>
      </c>
      <c r="D11" s="7" t="s">
        <v>21</v>
      </c>
      <c r="E11" s="8" t="s">
        <v>22</v>
      </c>
      <c r="F11" s="9">
        <v>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customHeight="1" spans="1:68">
      <c r="A12" s="7">
        <v>10320418</v>
      </c>
      <c r="B12" s="8" t="s">
        <v>68</v>
      </c>
      <c r="C12" s="7" t="s">
        <v>20</v>
      </c>
      <c r="D12" s="7" t="s">
        <v>21</v>
      </c>
      <c r="E12" s="8" t="s">
        <v>22</v>
      </c>
      <c r="F12" s="9">
        <v>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customHeight="1" spans="1:68">
      <c r="A13" s="7">
        <v>10316618</v>
      </c>
      <c r="B13" s="8" t="s">
        <v>33</v>
      </c>
      <c r="C13" s="7" t="s">
        <v>20</v>
      </c>
      <c r="D13" s="7" t="s">
        <v>86</v>
      </c>
      <c r="E13" s="8" t="s">
        <v>22</v>
      </c>
      <c r="F13" s="9">
        <v>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</row>
    <row r="14" customHeight="1" spans="1:68">
      <c r="A14" s="7">
        <v>10250963</v>
      </c>
      <c r="B14" s="8" t="s">
        <v>25</v>
      </c>
      <c r="C14" s="7" t="s">
        <v>20</v>
      </c>
      <c r="D14" s="7" t="s">
        <v>21</v>
      </c>
      <c r="E14" s="8" t="s">
        <v>22</v>
      </c>
      <c r="F14" s="9">
        <v>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customHeight="1" spans="1:68">
      <c r="A15" s="7">
        <v>10295555</v>
      </c>
      <c r="B15" s="8" t="s">
        <v>34</v>
      </c>
      <c r="C15" s="7" t="s">
        <v>20</v>
      </c>
      <c r="D15" s="7" t="s">
        <v>21</v>
      </c>
      <c r="E15" s="8" t="s">
        <v>35</v>
      </c>
      <c r="F15" s="9">
        <v>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customHeight="1" spans="1:68">
      <c r="A16" s="7">
        <v>10317520</v>
      </c>
      <c r="B16" s="8" t="s">
        <v>37</v>
      </c>
      <c r="C16" s="7" t="s">
        <v>20</v>
      </c>
      <c r="D16" s="7" t="s">
        <v>21</v>
      </c>
      <c r="E16" s="8" t="s">
        <v>22</v>
      </c>
      <c r="F16" s="9">
        <v>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</row>
    <row r="17" customHeight="1" spans="1:68">
      <c r="A17" s="7">
        <v>10320414</v>
      </c>
      <c r="B17" s="8" t="s">
        <v>62</v>
      </c>
      <c r="C17" s="7" t="s">
        <v>20</v>
      </c>
      <c r="D17" s="7" t="s">
        <v>21</v>
      </c>
      <c r="E17" s="8" t="s">
        <v>22</v>
      </c>
      <c r="F17" s="9">
        <v>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</row>
    <row r="18" customHeight="1" spans="1:68">
      <c r="A18" s="7">
        <v>10316681</v>
      </c>
      <c r="B18" s="8" t="s">
        <v>38</v>
      </c>
      <c r="C18" s="7" t="s">
        <v>89</v>
      </c>
      <c r="D18" s="7" t="s">
        <v>21</v>
      </c>
      <c r="E18" s="8" t="s">
        <v>22</v>
      </c>
      <c r="F18" s="9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customHeight="1" spans="1:68">
      <c r="A19" s="7">
        <v>10316650</v>
      </c>
      <c r="B19" s="8" t="s">
        <v>39</v>
      </c>
      <c r="C19" s="7" t="s">
        <v>20</v>
      </c>
      <c r="D19" s="7" t="s">
        <v>21</v>
      </c>
      <c r="E19" s="8" t="s">
        <v>22</v>
      </c>
      <c r="F19" s="9">
        <v>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customHeight="1" spans="1:68">
      <c r="A20" s="7">
        <v>10320416</v>
      </c>
      <c r="B20" s="8" t="s">
        <v>66</v>
      </c>
      <c r="C20" s="7" t="s">
        <v>20</v>
      </c>
      <c r="D20" s="7" t="s">
        <v>21</v>
      </c>
      <c r="E20" s="8" t="s">
        <v>22</v>
      </c>
      <c r="F20" s="9">
        <v>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customHeight="1" spans="1:68">
      <c r="A21" s="7">
        <v>10316530</v>
      </c>
      <c r="B21" s="8" t="s">
        <v>26</v>
      </c>
      <c r="C21" s="7" t="s">
        <v>20</v>
      </c>
      <c r="D21" s="7" t="s">
        <v>21</v>
      </c>
      <c r="E21" s="8" t="s">
        <v>22</v>
      </c>
      <c r="F21" s="9">
        <v>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</row>
    <row r="22" customHeight="1" spans="1:68">
      <c r="A22" s="7">
        <v>10316680</v>
      </c>
      <c r="B22" s="8" t="s">
        <v>40</v>
      </c>
      <c r="C22" s="7" t="s">
        <v>20</v>
      </c>
      <c r="D22" s="7" t="s">
        <v>21</v>
      </c>
      <c r="E22" s="8" t="s">
        <v>22</v>
      </c>
      <c r="F22" s="9">
        <v>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</row>
    <row r="23" customHeight="1" spans="1:68">
      <c r="A23" s="7">
        <v>10317943</v>
      </c>
      <c r="B23" s="8" t="s">
        <v>27</v>
      </c>
      <c r="C23" s="7" t="s">
        <v>20</v>
      </c>
      <c r="D23" s="7" t="s">
        <v>21</v>
      </c>
      <c r="E23" s="8" t="s">
        <v>22</v>
      </c>
      <c r="F23" s="9">
        <v>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</row>
    <row r="24" customHeight="1" spans="1:68">
      <c r="A24" s="7">
        <v>10250966</v>
      </c>
      <c r="B24" s="8" t="s">
        <v>61</v>
      </c>
      <c r="C24" s="7" t="s">
        <v>20</v>
      </c>
      <c r="D24" s="7" t="s">
        <v>21</v>
      </c>
      <c r="E24" s="8" t="s">
        <v>22</v>
      </c>
      <c r="F24" s="9">
        <v>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</row>
    <row r="25" customHeight="1" spans="1:68">
      <c r="A25" s="7">
        <v>10316543</v>
      </c>
      <c r="B25" s="8" t="s">
        <v>41</v>
      </c>
      <c r="C25" s="7" t="s">
        <v>20</v>
      </c>
      <c r="D25" s="7" t="s">
        <v>21</v>
      </c>
      <c r="E25" s="8" t="s">
        <v>22</v>
      </c>
      <c r="F25" s="9">
        <v>1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</row>
    <row r="26" customHeight="1" spans="1:68">
      <c r="A26" s="7">
        <v>10317153</v>
      </c>
      <c r="B26" s="8" t="s">
        <v>42</v>
      </c>
      <c r="C26" s="7" t="s">
        <v>20</v>
      </c>
      <c r="D26" s="7" t="s">
        <v>21</v>
      </c>
      <c r="E26" s="8" t="s">
        <v>22</v>
      </c>
      <c r="F26" s="9">
        <v>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</row>
    <row r="27" customHeight="1" spans="1:68">
      <c r="A27" s="7">
        <v>10317521</v>
      </c>
      <c r="B27" s="8" t="s">
        <v>28</v>
      </c>
      <c r="C27" s="7" t="s">
        <v>20</v>
      </c>
      <c r="D27" s="7" t="s">
        <v>21</v>
      </c>
      <c r="E27" s="8" t="s">
        <v>22</v>
      </c>
      <c r="F27" s="9">
        <v>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</row>
    <row r="28" customHeight="1" spans="1:68">
      <c r="A28" s="7">
        <v>10317517</v>
      </c>
      <c r="B28" s="8" t="s">
        <v>29</v>
      </c>
      <c r="C28" s="7" t="s">
        <v>20</v>
      </c>
      <c r="D28" s="7" t="s">
        <v>21</v>
      </c>
      <c r="E28" s="8" t="s">
        <v>22</v>
      </c>
      <c r="F28" s="9">
        <v>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</row>
    <row r="29" customHeight="1" spans="1:68">
      <c r="A29" s="7">
        <v>10252106</v>
      </c>
      <c r="B29" s="8" t="s">
        <v>43</v>
      </c>
      <c r="C29" s="7" t="s">
        <v>20</v>
      </c>
      <c r="D29" s="7" t="s">
        <v>21</v>
      </c>
      <c r="E29" s="8" t="s">
        <v>22</v>
      </c>
      <c r="F29" s="9">
        <v>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</row>
    <row r="30" customHeight="1" spans="1:68">
      <c r="A30" s="7">
        <v>10320407</v>
      </c>
      <c r="B30" s="8" t="s">
        <v>55</v>
      </c>
      <c r="C30" s="7" t="s">
        <v>20</v>
      </c>
      <c r="D30" s="7" t="s">
        <v>21</v>
      </c>
      <c r="E30" s="8" t="s">
        <v>22</v>
      </c>
      <c r="F30" s="9">
        <v>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</row>
    <row r="31" customHeight="1" spans="1:68">
      <c r="A31" s="7">
        <v>10320417</v>
      </c>
      <c r="B31" s="8" t="s">
        <v>67</v>
      </c>
      <c r="C31" s="7" t="s">
        <v>20</v>
      </c>
      <c r="D31" s="7" t="s">
        <v>21</v>
      </c>
      <c r="E31" s="8" t="s">
        <v>22</v>
      </c>
      <c r="F31" s="9">
        <v>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customHeight="1" spans="1:68">
      <c r="A32" s="7">
        <v>10317154</v>
      </c>
      <c r="B32" s="8" t="s">
        <v>70</v>
      </c>
      <c r="C32" s="7" t="s">
        <v>20</v>
      </c>
      <c r="D32" s="7" t="s">
        <v>21</v>
      </c>
      <c r="E32" s="8" t="s">
        <v>22</v>
      </c>
      <c r="F32" s="9">
        <v>3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</row>
    <row r="33" customHeight="1" spans="1:68">
      <c r="A33" s="7">
        <v>10320436</v>
      </c>
      <c r="B33" s="8" t="s">
        <v>90</v>
      </c>
      <c r="C33" s="7" t="s">
        <v>20</v>
      </c>
      <c r="D33" s="7" t="s">
        <v>21</v>
      </c>
      <c r="E33" s="8" t="s">
        <v>22</v>
      </c>
      <c r="F33" s="9">
        <v>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customHeight="1" spans="1:68">
      <c r="A34" s="7">
        <v>10316538</v>
      </c>
      <c r="B34" s="8" t="s">
        <v>44</v>
      </c>
      <c r="C34" s="7" t="s">
        <v>20</v>
      </c>
      <c r="D34" s="7" t="s">
        <v>21</v>
      </c>
      <c r="E34" s="8" t="s">
        <v>22</v>
      </c>
      <c r="F34" s="9">
        <v>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customHeight="1" spans="1:68">
      <c r="A35" s="7">
        <v>10293607</v>
      </c>
      <c r="B35" s="8" t="s">
        <v>65</v>
      </c>
      <c r="C35" s="7" t="s">
        <v>20</v>
      </c>
      <c r="D35" s="7" t="s">
        <v>21</v>
      </c>
      <c r="E35" s="8" t="s">
        <v>22</v>
      </c>
      <c r="F35" s="9">
        <v>3</v>
      </c>
      <c r="G35" s="11" t="s">
        <v>36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customHeight="1" spans="1:68">
      <c r="A36" s="7">
        <v>10316545</v>
      </c>
      <c r="B36" s="8" t="s">
        <v>45</v>
      </c>
      <c r="C36" s="7" t="s">
        <v>20</v>
      </c>
      <c r="D36" s="7" t="s">
        <v>21</v>
      </c>
      <c r="E36" s="8" t="s">
        <v>22</v>
      </c>
      <c r="F36" s="9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customHeight="1" spans="1:68">
      <c r="A37" s="7">
        <v>10316572</v>
      </c>
      <c r="B37" s="8" t="s">
        <v>46</v>
      </c>
      <c r="C37" s="7" t="s">
        <v>20</v>
      </c>
      <c r="D37" s="7" t="s">
        <v>21</v>
      </c>
      <c r="E37" s="8" t="s">
        <v>22</v>
      </c>
      <c r="F37" s="9">
        <v>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customHeight="1" spans="1:68">
      <c r="A38" s="7">
        <v>10316685</v>
      </c>
      <c r="B38" s="8" t="s">
        <v>47</v>
      </c>
      <c r="C38" s="7" t="s">
        <v>89</v>
      </c>
      <c r="D38" s="7" t="s">
        <v>21</v>
      </c>
      <c r="E38" s="8" t="s">
        <v>22</v>
      </c>
      <c r="F38" s="9">
        <v>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customHeight="1" spans="1:68">
      <c r="A39" s="7">
        <v>10274446</v>
      </c>
      <c r="B39" s="8" t="s">
        <v>88</v>
      </c>
      <c r="C39" s="7" t="s">
        <v>20</v>
      </c>
      <c r="D39" s="7" t="s">
        <v>21</v>
      </c>
      <c r="E39" s="8" t="s">
        <v>22</v>
      </c>
      <c r="F39" s="9">
        <v>2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customHeight="1" spans="1:68">
      <c r="A40" s="7">
        <v>10276839</v>
      </c>
      <c r="B40" s="8" t="s">
        <v>54</v>
      </c>
      <c r="C40" s="7" t="s">
        <v>20</v>
      </c>
      <c r="D40" s="7" t="s">
        <v>21</v>
      </c>
      <c r="E40" s="8" t="s">
        <v>22</v>
      </c>
      <c r="F40" s="9">
        <v>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customHeight="1" spans="1:68">
      <c r="A41" s="7">
        <v>10320419</v>
      </c>
      <c r="B41" s="8" t="s">
        <v>69</v>
      </c>
      <c r="C41" s="7" t="s">
        <v>20</v>
      </c>
      <c r="D41" s="7" t="s">
        <v>21</v>
      </c>
      <c r="E41" s="8" t="s">
        <v>22</v>
      </c>
      <c r="F41" s="9">
        <v>3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customHeight="1" spans="1:68">
      <c r="A42" s="7">
        <v>10316546</v>
      </c>
      <c r="B42" s="8" t="s">
        <v>49</v>
      </c>
      <c r="C42" s="7" t="s">
        <v>20</v>
      </c>
      <c r="D42" s="7" t="s">
        <v>21</v>
      </c>
      <c r="E42" s="8" t="s">
        <v>22</v>
      </c>
      <c r="F42" s="9">
        <v>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customHeight="1" spans="1:68">
      <c r="A43" s="7">
        <v>10316551</v>
      </c>
      <c r="B43" s="8" t="s">
        <v>87</v>
      </c>
      <c r="C43" s="7" t="s">
        <v>20</v>
      </c>
      <c r="D43" s="7" t="s">
        <v>21</v>
      </c>
      <c r="E43" s="8" t="s">
        <v>22</v>
      </c>
      <c r="F43" s="9">
        <v>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customHeight="1" spans="1:68">
      <c r="A44" s="7">
        <v>10320435</v>
      </c>
      <c r="B44" s="8" t="s">
        <v>71</v>
      </c>
      <c r="C44" s="7" t="s">
        <v>20</v>
      </c>
      <c r="D44" s="7" t="s">
        <v>21</v>
      </c>
      <c r="E44" s="8" t="s">
        <v>22</v>
      </c>
      <c r="F44" s="9">
        <v>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customHeight="1" spans="1:68">
      <c r="A45" s="7">
        <v>10316683</v>
      </c>
      <c r="B45" s="8" t="s">
        <v>51</v>
      </c>
      <c r="C45" s="7" t="s">
        <v>20</v>
      </c>
      <c r="D45" s="7" t="s">
        <v>21</v>
      </c>
      <c r="E45" s="8" t="s">
        <v>22</v>
      </c>
      <c r="F45" s="9">
        <v>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customHeight="1" spans="1:68">
      <c r="A46" s="7">
        <v>10316540</v>
      </c>
      <c r="B46" s="8" t="s">
        <v>30</v>
      </c>
      <c r="C46" s="7" t="s">
        <v>20</v>
      </c>
      <c r="D46" s="7" t="s">
        <v>86</v>
      </c>
      <c r="E46" s="8" t="s">
        <v>22</v>
      </c>
      <c r="F46" s="9">
        <v>1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customHeight="1" spans="1:68">
      <c r="A47" s="7">
        <v>10293627</v>
      </c>
      <c r="B47" s="8" t="s">
        <v>92</v>
      </c>
      <c r="C47" s="7" t="s">
        <v>20</v>
      </c>
      <c r="D47" s="7" t="s">
        <v>21</v>
      </c>
      <c r="E47" s="8" t="s">
        <v>22</v>
      </c>
      <c r="F47" s="9">
        <v>3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customHeight="1" spans="1:68">
      <c r="A48" s="7">
        <v>10320409</v>
      </c>
      <c r="B48" s="8" t="s">
        <v>57</v>
      </c>
      <c r="C48" s="7" t="s">
        <v>20</v>
      </c>
      <c r="D48" s="7" t="s">
        <v>21</v>
      </c>
      <c r="E48" s="8" t="s">
        <v>22</v>
      </c>
      <c r="F48" s="9">
        <v>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customHeight="1" spans="1:68">
      <c r="A49" s="7">
        <v>10317151</v>
      </c>
      <c r="B49" s="8" t="s">
        <v>52</v>
      </c>
      <c r="C49" s="7" t="s">
        <v>20</v>
      </c>
      <c r="D49" s="7" t="s">
        <v>86</v>
      </c>
      <c r="E49" s="8" t="s">
        <v>22</v>
      </c>
      <c r="F49" s="9">
        <v>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customHeight="1" spans="1:68">
      <c r="A50" s="7">
        <v>10317524</v>
      </c>
      <c r="B50" s="8" t="s">
        <v>53</v>
      </c>
      <c r="C50" s="7" t="s">
        <v>20</v>
      </c>
      <c r="D50" s="7" t="s">
        <v>21</v>
      </c>
      <c r="E50" s="8" t="s">
        <v>22</v>
      </c>
      <c r="F50" s="9">
        <v>2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mergeCells count="6">
    <mergeCell ref="A1:A2"/>
    <mergeCell ref="B1:B2"/>
    <mergeCell ref="C1:C2"/>
    <mergeCell ref="D1:D2"/>
    <mergeCell ref="E1:E2"/>
    <mergeCell ref="F1:F2"/>
  </mergeCells>
  <dataValidations count="1">
    <dataValidation type="list" allowBlank="1" showErrorMessage="1" sqref="G3:BP50">
      <formula1>"AN,Planned SK,Early leave"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WK 47</vt:lpstr>
      <vt:lpstr>Copy of WK 48</vt:lpstr>
      <vt:lpstr>WK2 UPDATED</vt:lpstr>
      <vt:lpstr>Swaps draft</vt:lpstr>
      <vt:lpstr>WK 1</vt:lpstr>
      <vt:lpstr>WK2</vt:lpstr>
      <vt:lpstr>WK 52</vt:lpstr>
      <vt:lpstr>WK 51</vt:lpstr>
      <vt:lpstr>Wk 50</vt:lpstr>
      <vt:lpstr>WK 49</vt:lpstr>
      <vt:lpstr>Jan Schedule</vt:lpstr>
      <vt:lpstr>WK4</vt:lpstr>
      <vt:lpstr>WK3</vt:lpstr>
      <vt:lpstr>WK3 FINAL</vt:lpstr>
      <vt:lpstr>WK3 F</vt:lpstr>
      <vt:lpstr>WK 48</vt:lpstr>
      <vt:lpstr>Schedule Wk 47</vt:lpstr>
      <vt:lpstr>Pref</vt:lpstr>
      <vt:lpstr>WK 46</vt:lpstr>
      <vt:lpstr>sheet</vt:lpstr>
      <vt:lpstr>WK 45</vt:lpstr>
      <vt:lpstr>WK 44</vt:lpstr>
      <vt:lpstr>WK 43</vt:lpstr>
      <vt:lpstr>WK 42</vt:lpstr>
      <vt:lpstr>Dec schedule</vt:lpstr>
      <vt:lpstr>Annuals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2025-01-19T14:01:00Z</dcterms:created>
  <dcterms:modified xsi:type="dcterms:W3CDTF">2025-12-28T17:23:42Z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7B188AEB5A8444EFA83AA6EFD759521B_12</vt:lpwstr>
  </property>
  <property fmtid="{D5CDD505-2E9C-101B-9397-08002B2CF9AE}" pid="3" name="KSOProductBuildVer">
    <vt:lpwstr>2057-12.2.0.23158</vt:lpwstr>
  </property>
</Properties>
</file>
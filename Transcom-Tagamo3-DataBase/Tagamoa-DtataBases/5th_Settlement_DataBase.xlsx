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Weekly!$A$1:$I$1075</definedName>
    <definedName name="_xlnm._FilterDatabase" localSheetId="2" hidden="1">'PASTE Weekly'!$B$1:$H$769</definedName>
    <definedName name="_xlnm._FilterDatabase" localSheetId="3" hidden="1">'Daily Report Data'!$A$1:$H$935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<sst xmlns="http://schemas.openxmlformats.org/spreadsheetml/2006/main" count="11602" uniqueCount="2678">
  <si>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</si>
  <si>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</si>
  <si>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</si>
  <si>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</si>
  <si>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</si>
  <si>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</si>
  <si>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</si>
  <si>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</si>
  <si>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</si>
  <si>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</si>
  <si>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</si>
  <si>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</si>
  <si>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</si>
  <si>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</si>
  <si>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</si>
  <si>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</si>
  <si>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</si>
  <si>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</si>
  <si>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</si>
  <si>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</si>
  <si>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</si>
  <si>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</si>
  <si>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</si>
  <si>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</si>
  <si>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</si>
  <si>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</si>
  <si>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</si>
  <si>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</si>
  <si>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</si>
  <si>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</si>
  <si>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</si>
  <si>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</si>
  <si>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</si>
  <si>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</si>
  <si>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</si>
  <si>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</si>
  <si>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</si>
  <si>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</si>
  <si>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</si>
  <si>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</si>
  <si>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</si>
  <si>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</si>
  <si>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</si>
  <si>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</si>
  <si>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</si>
  <si>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</si>
  <si>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</si>
  <si>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</si>
  <si>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</si>
  <si>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</si>
  <si>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</si>
  <si>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</si>
  <si>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</si>
  <si>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</si>
  <si>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</si>
  <si>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</si>
  <si>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</si>
  <si>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</si>
  <si>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</si>
  <si>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</si>
  <si>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</si>
  <si>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</si>
  <si>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</si>
  <si>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</si>
  <si>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</si>
  <si>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</si>
  <si>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</si>
  <si>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</si>
  <si>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</si>
  <si>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</si>
  <si>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</si>
  <si>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</si>
  <si>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</si>
  <si>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</si>
  <si>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</si>
  <si>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</si>
  <si>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</si>
  <si>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</si>
  <si>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</si>
  <si>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</si>
  <si>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</si>
  <si>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</si>
  <si>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</si>
  <si>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</si>
  <si>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</si>
  <si>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</si>
  <si>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</si>
  <si>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</si>
  <si>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</si>
  <si>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</si>
  <si>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</si>
  <si>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</si>
  <si>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</si>
  <si>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</si>
  <si>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</si>
  <si>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</si>
  <si>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</si>
  <si>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</si>
  <si>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</si>
  <si>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</si>
  <si>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</si>
  <si>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</si>
  <si>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</si>
  <si>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</si>
  <si>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</si>
  <si>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</si>
  <si>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</si>
  <si>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</si>
  <si>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</si>
  <si>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</si>
  <si>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</si>
  <si>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</si>
  <si>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</si>
  <si>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</si>
  <si>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</si>
  <si>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</si>
  <si>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</si>
  <si>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</si>
  <si>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</si>
  <si>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</si>
  <si>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</si>
  <si>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</si>
  <si>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</si>
  <si>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</si>
  <si>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</si>
  <si>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</si>
  <si>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</si>
  <si>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</si>
  <si>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</si>
  <si>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</si>
  <si>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</si>
  <si>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</si>
  <si>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</si>
  <si>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</si>
  <si>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</si>
  <si>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</si>
  <si>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</si>
  <si>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</si>
  <si>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</si>
  <si>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</si>
  <si>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</si>
  <si>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</si>
  <si>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</si>
  <si>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</si>
  <si>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</si>
  <si>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</si>
  <si>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</si>
  <si>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</si>
  <si>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</si>
  <si>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</si>
  <si>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</si>
  <si>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</si>
  <si>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</si>
  <si>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</si>
  <si>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</si>
  <si>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</si>
  <si>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</si>
  <si>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</si>
  <si>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</si>
  <si>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</si>
  <si>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</si>
  <si>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</si>
  <si>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</si>
  <si>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</si>
  <si>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</si>
  <si>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</si>
  <si>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</si>
  <si>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</si>
  <si>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</si>
  <si>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</si>
  <si>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</si>
  <si>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</si>
  <si>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</si>
  <si>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</si>
  <si>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</si>
  <si>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</si>
  <si>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</si>
  <si>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</si>
  <si>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</si>
  <si>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</si>
  <si>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</si>
  <si>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</si>
  <si>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</si>
  <si>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</si>
  <si>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</si>
  <si>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</si>
  <si>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</si>
  <si>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</si>
  <si>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</si>
  <si>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</si>
  <si>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</si>
  <si>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</si>
  <si>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</si>
  <si>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</si>
  <si>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</si>
  <si>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</si>
  <si>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</si>
  <si>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</si>
  <si>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</si>
  <si>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</si>
  <si>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</si>
  <si>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</si>
  <si>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</si>
  <si>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</si>
  <si>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</si>
  <si>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</si>
  <si>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</si>
  <si>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</si>
  <si>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</si>
  <si>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</si>
  <si>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</si>
  <si>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</si>
  <si>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</si>
  <si>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</si>
  <si>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</si>
  <si>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</si>
  <si>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</si>
  <si>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</si>
  <si>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</si>
  <si>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</si>
  <si>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</si>
  <si>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</si>
  <si>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</si>
  <si>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</si>
  <si>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</si>
  <si>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</si>
  <si>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</si>
  <si>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</si>
  <si>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</si>
  <si>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</si>
  <si>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</si>
  <si>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</si>
  <si>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</si>
  <si>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</si>
  <si>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</si>
  <si>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</si>
  <si>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</si>
  <si>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</si>
  <si>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</si>
  <si>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</si>
  <si>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</si>
  <si>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</si>
  <si>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</si>
  <si>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</si>
  <si>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</si>
  <si>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</si>
  <si>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</si>
  <si>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</si>
  <si>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</si>
  <si>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</si>
  <si>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</si>
  <si>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</si>
  <si>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</si>
  <si>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</si>
  <si>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</si>
  <si>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</si>
  <si>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</si>
  <si>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</si>
  <si>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</si>
  <si>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</si>
  <si>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</si>
  <si>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</si>
  <si>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</si>
  <si>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</si>
  <si>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</si>
  <si>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</si>
  <si>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</si>
  <si>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</si>
  <si>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</si>
  <si>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</si>
  <si>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</si>
  <si>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</si>
  <si>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</si>
  <si>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</si>
  <si>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</si>
  <si>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</si>
  <si>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</si>
  <si>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</si>
  <si>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</si>
  <si>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</si>
  <si>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</si>
  <si>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</si>
  <si>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</si>
  <si>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</si>
  <si>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</si>
  <si>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</si>
  <si>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</si>
  <si>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</si>
  <si>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</si>
  <si>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</si>
  <si>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</si>
  <si>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</si>
  <si>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</si>
  <si>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</si>
  <si>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</si>
  <si>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</si>
  <si>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</si>
  <si>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</si>
  <si>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</si>
  <si>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</si>
  <si>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</si>
  <si>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</si>
  <si>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</si>
  <si>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</si>
  <si>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</si>
  <si>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</si>
  <si>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</si>
  <si>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</si>
  <si>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</si>
  <si>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</si>
  <si>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</si>
  <si>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</si>
  <si>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</si>
  <si>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</si>
  <si>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</si>
  <si>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</si>
  <si>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</si>
  <si>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</si>
  <si>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</si>
  <si>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</si>
  <si>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</si>
  <si>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</si>
  <si>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</si>
  <si>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</si>
  <si>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</si>
  <si>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</si>
  <si>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</si>
  <si>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</si>
  <si>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</si>
  <si>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</si>
  <si>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</si>
  <si>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</si>
  <si>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</si>
  <si>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</si>
  <si>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</si>
  <si>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</si>
  <si>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</si>
  <si>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</si>
  <si>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</si>
  <si>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</si>
  <si>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</si>
  <si>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</si>
  <si>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</si>
  <si>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</si>
  <si>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</si>
  <si>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</si>
  <si>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</si>
  <si>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</si>
  <si>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</si>
  <si>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</si>
  <si>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</si>
  <si>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</si>
  <si>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</si>
  <si>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</si>
  <si>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</si>
  <si>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</si>
  <si>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</si>
  <si>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</si>
  <si>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</si>
  <si>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</si>
  <si>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</si>
  <si>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</si>
  <si>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</si>
  <si>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</si>
  <si>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</si>
  <si>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</si>
  <si>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</si>
  <si>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</si>
  <si>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</si>
  <si>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</si>
  <si>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</si>
  <si>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</si>
  <si>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</si>
  <si>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</si>
  <si>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</si>
  <si>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</si>
  <si>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</si>
  <si>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</si>
  <si>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</si>
  <si>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</si>
  <si>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</si>
  <si>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</si>
  <si>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</si>
  <si>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</si>
  <si>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</si>
  <si>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</si>
  <si>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</si>
  <si>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</si>
  <si>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</si>
  <si>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</si>
  <si>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</si>
  <si>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</si>
  <si>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</si>
  <si>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</si>
  <si>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</si>
  <si>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</si>
  <si>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</si>
  <si>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</si>
  <si>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</si>
  <si>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</si>
  <si>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</si>
  <si>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</si>
  <si>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</si>
  <si>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</si>
  <si>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</si>
  <si>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</si>
  <si>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</si>
  <si>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</si>
  <si>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</si>
  <si>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</si>
  <si>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</si>
  <si>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</si>
  <si>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</si>
  <si>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</si>
  <si>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</si>
  <si>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</si>
  <si>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</si>
  <si>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</si>
  <si>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</si>
  <si>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</si>
  <si>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</si>
  <si>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</si>
  <si>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</si>
  <si>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</si>
  <si>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</si>
  <si>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</si>
  <si>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</si>
  <si>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</si>
  <si>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</si>
  <si>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</si>
  <si>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</si>
  <si>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</si>
  <si>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</si>
  <si>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</si>
  <si>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</si>
  <si>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</si>
  <si>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</si>
  <si>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</si>
  <si>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</si>
  <si>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</si>
  <si>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</si>
  <si>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</si>
  <si>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</si>
  <si>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</si>
  <si>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</si>
  <si>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</si>
  <si>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</si>
  <si>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</si>
  <si>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</si>
  <si>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</si>
  <si>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</si>
  <si>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</si>
  <si>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</si>
  <si>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</si>
  <si>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</si>
  <si>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</si>
  <si>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</si>
  <si>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</si>
  <si>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</si>
  <si>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</si>
  <si>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</si>
  <si>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</si>
  <si>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</si>
  <si>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</si>
  <si>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</si>
  <si>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</si>
  <si>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</si>
  <si>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</si>
  <si>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</si>
  <si>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</si>
  <si>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</si>
  <si>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</si>
  <si>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</si>
  <si>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</si>
  <si>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</si>
  <si>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</si>
  <si>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</si>
  <si>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</si>
  <si>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</si>
  <si>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</si>
  <si>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</si>
  <si>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</si>
  <si>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</si>
  <si>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</si>
  <si>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</si>
  <si>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</si>
  <si>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</si>
  <si>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</si>
  <si>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</si>
  <si>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</si>
  <si>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</si>
  <si>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</si>
  <si>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</si>
  <si>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</si>
  <si>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</si>
  <si>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</si>
  <si>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</si>
  <si>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</si>
  <si>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</si>
  <si>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</si>
  <si>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</si>
  <si>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</si>
  <si>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</si>
  <si>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</si>
  <si>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</si>
  <si>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</si>
  <si>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</si>
  <si>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</si>
  <si>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</si>
  <si>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</si>
  <si>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</si>
  <si>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</si>
  <si>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</si>
  <si>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</si>
  <si>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</si>
  <si>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</si>
  <si>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</si>
  <si>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</si>
  <si>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</si>
  <si>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</si>
  <si>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</si>
  <si>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</si>
  <si>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</si>
  <si>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</si>
  <si>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</si>
  <si>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</si>
  <si>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</si>
  <si>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</si>
  <si>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</si>
  <si>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</si>
  <si>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</si>
  <si>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</si>
  <si>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</si>
  <si>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</si>
  <si>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</si>
  <si>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</si>
  <si>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</si>
  <si>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</si>
  <si>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</si>
  <si>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</si>
  <si>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</si>
  <si>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</si>
  <si>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</si>
  <si>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</si>
  <si>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</si>
  <si>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</si>
  <si>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</si>
  <si>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</si>
  <si>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</si>
  <si>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</si>
  <si>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</si>
  <si>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</si>
  <si>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</si>
  <si>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</si>
  <si>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</si>
  <si>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</si>
  <si>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</si>
  <si>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</si>
  <si>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</si>
  <si>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</si>
  <si>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</si>
  <si>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</si>
  <si>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</si>
  <si>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</si>
  <si>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</si>
  <si>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</si>
  <si>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</si>
  <si>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</si>
  <si>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</si>
  <si>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</si>
  <si>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</si>
  <si>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</si>
  <si>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</si>
  <si>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</si>
  <si>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</si>
  <si>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</si>
  <si>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</si>
  <si>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</si>
  <si>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</si>
  <si>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</si>
  <si>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</si>
  <si>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</si>
  <si>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</si>
  <si>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</si>
  <si>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</si>
  <si>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</si>
  <si>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</si>
  <si>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</si>
  <si>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</si>
  <si>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</si>
  <si>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</si>
  <si>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</si>
  <si>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</si>
  <si>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</si>
  <si>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</si>
  <si>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</si>
  <si>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</si>
  <si>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</si>
  <si>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</si>
  <si>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</si>
  <si>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</si>
  <si>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</si>
  <si>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</si>
  <si>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</si>
  <si>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</si>
  <si>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</si>
  <si>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</si>
  <si>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</si>
  <si>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</si>
  <si>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</si>
  <si>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</si>
  <si>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</si>
  <si>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</si>
  <si>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</si>
  <si>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</si>
  <si>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</si>
  <si>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</si>
  <si>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</si>
  <si>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</si>
  <si>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</si>
  <si>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</si>
  <si>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</si>
  <si>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</si>
  <si>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</si>
  <si>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</si>
  <si>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</si>
  <si>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</si>
  <si>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</si>
  <si>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</si>
  <si>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</si>
  <si>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</si>
  <si>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</si>
  <si>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</si>
  <si>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</si>
  <si>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</si>
  <si>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</si>
  <si>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</si>
  <si>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</si>
  <si>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</si>
  <si>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</si>
  <si>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</si>
  <si>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</si>
  <si>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</si>
  <si>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</si>
  <si>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</si>
  <si>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</si>
  <si>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</si>
  <si>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</si>
  <si>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</si>
  <si>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</si>
  <si>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</si>
  <si>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</si>
  <si>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</si>
  <si>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</si>
  <si>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</si>
  <si>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</si>
  <si>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</si>
  <si>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</si>
  <si>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</si>
  <si>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</si>
  <si>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</si>
  <si>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</si>
  <si>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</si>
  <si>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</si>
  <si>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</si>
  <si>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</si>
  <si>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</si>
  <si>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</si>
  <si>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</si>
  <si>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</si>
  <si>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</si>
  <si>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</si>
  <si>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</si>
  <si>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</si>
  <si>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</si>
  <si>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</si>
  <si>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</si>
  <si>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</si>
  <si>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</si>
  <si>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</si>
  <si>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</si>
  <si>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</si>
  <si>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</si>
  <si>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</si>
  <si>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</si>
  <si>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</si>
  <si>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</si>
  <si>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</si>
  <si>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</si>
  <si>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</si>
  <si>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</si>
  <si>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</si>
  <si>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</si>
  <si>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</si>
  <si>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</si>
  <si>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</si>
  <si>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</si>
  <si>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</si>
  <si>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</si>
  <si>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</si>
  <si>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</si>
  <si>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</si>
  <si>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</si>
  <si>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</si>
  <si>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</si>
  <si>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</si>
  <si>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</si>
  <si>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</si>
  <si>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</si>
  <si>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</si>
  <si>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</si>
  <si>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</si>
  <si>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</si>
  <si>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</si>
  <si>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</si>
  <si>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</si>
  <si>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</si>
  <si>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</si>
  <si>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</si>
  <si>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</si>
  <si>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</si>
  <si>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</si>
  <si>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</si>
  <si>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</si>
  <si>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</si>
  <si>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</si>
  <si>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</si>
  <si>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</si>
  <si>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</si>
  <si>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</si>
  <si>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</si>
  <si>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</si>
  <si>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</si>
  <si>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</si>
  <si>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</si>
  <si>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</si>
  <si>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</si>
  <si>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</si>
  <si>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</si>
  <si>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</si>
  <si>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</si>
  <si>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</si>
  <si>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</si>
  <si>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</si>
  <si>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</si>
  <si>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</si>
  <si>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</si>
  <si>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</si>
  <si>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</si>
  <si>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</si>
  <si>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</si>
  <si>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</si>
  <si>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</si>
  <si>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</si>
  <si>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</si>
  <si>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</si>
  <si>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</si>
  <si>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</si>
  <si>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</si>
  <si>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</si>
  <si>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</si>
  <si>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</si>
  <si>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</si>
  <si>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</si>
  <si>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</si>
  <si>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</si>
  <si>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</si>
  <si>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</si>
  <si>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</si>
  <si>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</si>
  <si>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</si>
  <si>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</si>
  <si>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</si>
  <si>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</si>
  <si>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</si>
  <si>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</si>
  <si>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</si>
  <si>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</si>
  <si>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</si>
  <si>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</si>
  <si>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</si>
  <si>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</si>
  <si>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</si>
  <si>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</si>
  <si>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</si>
  <si>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</si>
  <si>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</si>
  <si>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</si>
  <si>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</si>
  <si>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</si>
  <si>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</si>
  <si>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</si>
  <si>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</si>
  <si>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</si>
  <si>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</si>
  <si>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</si>
  <si>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</si>
  <si>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</si>
  <si>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</si>
  <si>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</si>
  <si>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</si>
  <si>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</si>
  <si>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</si>
  <si>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</si>
  <si>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</si>
  <si>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</si>
  <si>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</si>
  <si>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</si>
  <si>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</si>
  <si>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</si>
  <si>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</si>
  <si>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</si>
  <si>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</si>
  <si>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</si>
  <si>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</si>
  <si>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</si>
  <si>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</si>
  <si>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</si>
  <si>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</si>
  <si>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</si>
  <si>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</si>
  <si>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</si>
  <si>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</si>
  <si>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</si>
  <si>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</si>
  <si>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</si>
  <si>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</si>
  <si>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</si>
  <si>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</si>
  <si>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</si>
  <si>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</si>
  <si>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</si>
  <si>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</si>
  <si>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</si>
  <si>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</si>
  <si>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</si>
  <si>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</si>
  <si>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</si>
  <si>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</si>
  <si>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</si>
  <si>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</si>
  <si>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</si>
  <si>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</si>
  <si>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</si>
  <si>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</si>
  <si>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</si>
  <si>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</si>
  <si>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</si>
  <si>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</si>
  <si>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</si>
  <si>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</si>
  <si>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</si>
  <si>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</si>
  <si>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</si>
  <si>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</si>
  <si>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</si>
  <si>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</si>
  <si>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</si>
  <si>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</si>
  <si>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</si>
  <si>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</si>
  <si>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</si>
  <si>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</si>
  <si>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</si>
  <si>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</si>
  <si>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</si>
  <si>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</si>
  <si>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</si>
  <si>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</si>
  <si>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</si>
  <si>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</si>
  <si>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</si>
  <si>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</si>
  <si>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</si>
  <si>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</si>
  <si>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</si>
  <si>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</si>
  <si>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</si>
  <si>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</si>
  <si>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</si>
  <si>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</si>
  <si>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</si>
  <si>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</si>
  <si>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</si>
  <si>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</si>
  <si>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</si>
  <si>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</si>
  <si>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</si>
  <si>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</si>
  <si>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</si>
  <si>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</si>
  <si>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</si>
  <si>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</si>
  <si>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</si>
  <si>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</si>
  <si>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</si>
  <si>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</si>
  <si>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</si>
  <si>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</si>
  <si>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</si>
  <si>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</si>
  <si>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</si>
  <si>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</si>
  <si>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</si>
  <si>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</si>
  <si>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</si>
  <si>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</si>
  <si>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</si>
  <si>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</si>
  <si>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</si>
  <si>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</si>
  <si>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</si>
  <si>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</si>
  <si>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</si>
  <si>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</si>
  <si>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</si>
  <si>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</si>
  <si>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</si>
  <si>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</si>
  <si>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</si>
  <si>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</si>
  <si>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</si>
  <si>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</si>
  <si>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</si>
  <si>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</si>
  <si>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</si>
  <si>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</si>
  <si>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</si>
  <si>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</si>
  <si>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</si>
  <si>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</si>
  <si>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</si>
  <si>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</si>
  <si>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</si>
  <si>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</si>
  <si>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</si>
  <si>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</si>
  <si>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</si>
  <si>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</si>
  <si>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</si>
  <si>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</si>
  <si>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</si>
  <si>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</si>
  <si>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</si>
  <si>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</si>
  <si>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</si>
  <si>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</si>
  <si>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</si>
  <si>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</si>
  <si>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</si>
  <si>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</si>
  <si>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</si>
  <si>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</si>
  <si>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</si>
  <si>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</si>
  <si>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</si>
  <si>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</si>
  <si>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</si>
  <si>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</si>
  <si>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</si>
  <si>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</si>
  <si>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</si>
  <si>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</si>
  <si>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</si>
  <si>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</si>
  <si>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</si>
  <si>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</si>
  <si>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</si>
  <si>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</si>
  <si>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</si>
  <si>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</si>
  <si>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</si>
  <si>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</si>
  <si>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</si>
  <si>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</si>
  <si>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</si>
  <si>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</si>
  <si>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</si>
  <si>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</si>
  <si>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</si>
  <si>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</si>
  <si>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</si>
  <si>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</si>
  <si>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</si>
  <si>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</si>
  <si>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</si>
  <si>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</si>
  <si>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</si>
  <si>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</si>
  <si>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</si>
  <si>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</si>
  <si>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</si>
  <si>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</si>
  <si>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</si>
  <si>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</si>
  <si>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</si>
  <si>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</si>
  <si>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</si>
  <si>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</si>
  <si>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</si>
  <si>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</si>
  <si>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</si>
  <si>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</si>
  <si>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</si>
  <si>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</si>
  <si>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</si>
  <si>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</si>
  <si>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</si>
  <si>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</si>
  <si>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</si>
  <si>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</si>
  <si>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</si>
  <si>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</si>
  <si>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</si>
  <si>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</si>
  <si>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</si>
  <si>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</si>
  <si>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</si>
  <si>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</si>
  <si>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</si>
  <si>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</si>
  <si>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</si>
  <si>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</si>
  <si>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</si>
  <si>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</si>
  <si>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</si>
  <si>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</si>
  <si>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</si>
  <si>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</si>
  <si>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</si>
  <si>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</si>
  <si>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</si>
  <si>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</si>
  <si>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</si>
  <si>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</si>
  <si>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</si>
  <si>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</si>
  <si>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</si>
  <si>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</si>
  <si>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</si>
  <si>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</si>
  <si>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</si>
  <si>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</si>
  <si>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</si>
  <si>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</si>
  <si>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</si>
  <si>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</si>
  <si>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</si>
  <si>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</si>
  <si>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</si>
  <si>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</si>
  <si>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</si>
  <si>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</si>
  <si>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</si>
  <si>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</si>
  <si>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</si>
  <si>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</si>
  <si>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</si>
  <si>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</si>
  <si>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</si>
  <si>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</si>
  <si>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</si>
  <si>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</si>
  <si>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</si>
  <si>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</si>
  <si>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</si>
  <si>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</si>
  <si>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</si>
  <si>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</si>
  <si>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</si>
  <si>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</si>
  <si>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</si>
  <si>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</si>
  <si>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</si>
  <si>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</si>
  <si>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</si>
  <si>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</si>
  <si>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</si>
  <si>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</si>
  <si>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</si>
  <si>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</si>
  <si>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</si>
  <si>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</si>
  <si>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</si>
  <si>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</si>
  <si>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</si>
  <si>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</si>
  <si>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</si>
  <si>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</si>
  <si>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</si>
  <si>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</si>
  <si>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</si>
  <si>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</si>
  <si>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</si>
  <si>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</si>
  <si>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</si>
  <si>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</si>
  <si>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</si>
  <si>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</si>
  <si>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</si>
  <si>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</si>
  <si>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</si>
  <si>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</si>
  <si>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</si>
  <si>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</si>
  <si>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</si>
  <si>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</si>
  <si>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</si>
  <si>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</si>
  <si>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</si>
  <si>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</si>
  <si>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</si>
  <si>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</si>
  <si>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</si>
  <si>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</si>
  <si>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</si>
  <si>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</si>
  <si>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</si>
  <si>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</si>
  <si>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</si>
  <si>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</si>
  <si>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</si>
  <si>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</si>
  <si>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</si>
  <si>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</si>
  <si>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</si>
  <si>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</si>
  <si>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</si>
  <si>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</si>
  <si>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</si>
  <si>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</si>
  <si>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</si>
  <si>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</si>
  <si>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</si>
  <si>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</si>
  <si>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</si>
  <si>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</si>
  <si>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</si>
  <si>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</si>
  <si>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</si>
  <si>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</si>
  <si>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</si>
  <si>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</si>
  <si>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</si>
  <si>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</si>
  <si>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</si>
  <si>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</si>
  <si>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</si>
  <si>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</si>
  <si>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</si>
  <si>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</si>
  <si>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</si>
  <si>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</si>
  <si>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</si>
  <si>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</si>
  <si>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</si>
  <si>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</si>
  <si>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</si>
  <si>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</si>
  <si>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</si>
  <si>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</si>
  <si>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</si>
  <si>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</si>
  <si>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</si>
  <si>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</si>
  <si>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</si>
  <si>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</si>
  <si>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</si>
  <si>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</si>
  <si>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</si>
  <si>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</si>
  <si>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</si>
  <si>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</si>
  <si>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</si>
  <si>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</si>
  <si>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</si>
  <si>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</si>
  <si>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</si>
  <si>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</si>
  <si>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</si>
  <si>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</si>
  <si>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</si>
  <si>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</si>
  <si>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</si>
  <si>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</si>
  <si>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</si>
  <si>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</si>
  <si>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</si>
  <si>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</si>
  <si>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</si>
  <si>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</si>
  <si>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</si>
  <si>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</si>
  <si>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</si>
  <si>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</si>
  <si>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</si>
  <si>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</si>
  <si>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</si>
  <si>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</si>
  <si>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</si>
  <si>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</si>
  <si>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</si>
  <si>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</si>
  <si>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</si>
  <si>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</si>
  <si>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</si>
  <si>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</si>
  <si>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</si>
  <si>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</si>
  <si>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</si>
  <si>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</si>
  <si>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</si>
  <si>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</si>
  <si>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</si>
  <si>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</si>
  <si>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</si>
  <si>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</si>
  <si>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</si>
  <si>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</si>
  <si>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</si>
  <si>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</si>
  <si>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</si>
  <si>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</si>
  <si>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</si>
  <si>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</si>
  <si>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</si>
  <si>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</si>
  <si>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</si>
  <si>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</si>
  <si>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</si>
  <si>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</si>
  <si>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</si>
  <si>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</si>
  <si>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</si>
  <si>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</si>
  <si>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</si>
  <si>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</si>
  <si>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</si>
  <si>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</si>
  <si>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</si>
  <si>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</si>
  <si>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</si>
  <si>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</si>
  <si>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</si>
  <si>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</si>
  <si>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</si>
  <si>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</si>
  <si>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</si>
  <si>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</si>
  <si>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</si>
  <si>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</si>
  <si>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</si>
  <si>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</si>
  <si>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</si>
  <si>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</si>
  <si>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</si>
  <si>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</si>
  <si>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</si>
  <si>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</si>
  <si>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</si>
  <si>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</si>
  <si>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</si>
  <si>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</si>
  <si>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</si>
  <si>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</si>
  <si>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</si>
  <si>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</si>
  <si>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</si>
  <si>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</si>
  <si>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</si>
  <si>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</si>
  <si>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</si>
  <si>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</si>
  <si>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</si>
  <si>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</si>
  <si>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</si>
  <si>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</si>
  <si>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</si>
  <si>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</si>
  <si>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</si>
  <si>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</si>
  <si>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</si>
  <si>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</si>
  <si>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</si>
  <si>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</si>
  <si>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</si>
  <si>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</si>
  <si>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</si>
  <si>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</si>
  <si>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</si>
  <si>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</si>
  <si>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</si>
  <si>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</si>
  <si>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</si>
  <si>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</si>
  <si>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</si>
  <si>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</si>
  <si>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</si>
  <si>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</si>
  <si>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</si>
  <si>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</si>
  <si>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</si>
  <si>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</si>
  <si>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</si>
  <si>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</si>
  <si>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</si>
  <si>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</si>
  <si>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</si>
  <si>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</si>
  <si>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</si>
  <si>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</si>
  <si>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</si>
  <si>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</si>
  <si>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</si>
  <si>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</si>
  <si>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</si>
  <si>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</si>
  <si>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</si>
  <si>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</si>
  <si>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</si>
  <si>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</si>
  <si>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</si>
  <si>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</si>
  <si>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</si>
  <si>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</si>
  <si>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</si>
  <si>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</si>
  <si>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</si>
  <si>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</si>
  <si>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</si>
  <si>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</si>
  <si>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</si>
  <si>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</si>
  <si>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</si>
  <si>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</si>
  <si>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</si>
  <si>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</si>
  <si>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</si>
  <si>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</si>
  <si>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</si>
  <si>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</si>
  <si>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</si>
  <si>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</si>
  <si>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</si>
  <si>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</si>
  <si>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</si>
  <si>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</si>
  <si>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</si>
  <si>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</si>
  <si>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</si>
  <si>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</si>
  <si>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</si>
  <si>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</si>
  <si>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</si>
  <si>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</si>
  <si>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</si>
  <si>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</si>
  <si>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</si>
  <si>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</si>
  <si>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</si>
  <si>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</si>
  <si>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</si>
  <si>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</si>
  <si>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</si>
  <si>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</si>
  <si>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</si>
  <si>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</si>
  <si>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</si>
  <si>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</si>
  <si>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</si>
  <si>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</si>
  <si>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</si>
  <si>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</si>
  <si>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</si>
  <si>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</si>
  <si>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</si>
  <si>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</si>
  <si>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</si>
  <si>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</si>
  <si>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</si>
  <si>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</si>
  <si>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</si>
  <si>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</si>
  <si>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</si>
  <si>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</si>
  <si>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</si>
  <si>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</si>
  <si>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</si>
  <si>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</si>
  <si>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</si>
  <si>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</si>
  <si>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</si>
  <si>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</si>
  <si>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</si>
  <si>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</si>
  <si>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</si>
  <si>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</si>
  <si>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</si>
  <si>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</si>
  <si>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</si>
  <si>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</si>
  <si>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</si>
  <si>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</si>
  <si>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</si>
  <si>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</si>
  <si>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</si>
  <si>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</si>
  <si>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</si>
  <si>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</si>
  <si>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</si>
  <si>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</si>
  <si>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</si>
  <si>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</si>
  <si>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</si>
  <si>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</si>
  <si>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</si>
  <si>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</si>
  <si>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</si>
  <si>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</si>
  <si>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</si>
  <si>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</si>
  <si>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</si>
  <si>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</si>
  <si>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</si>
  <si>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</si>
  <si>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</si>
  <si>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</si>
  <si>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</si>
  <si>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</si>
  <si>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</si>
  <si>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</si>
  <si>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</si>
  <si>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</si>
  <si>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</si>
  <si>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</si>
  <si>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</si>
  <si>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</si>
  <si>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</si>
  <si>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</si>
  <si>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</si>
  <si>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</si>
  <si>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</si>
  <si>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</si>
  <si>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</si>
  <si>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</si>
  <si>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</si>
  <si>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</si>
  <si>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</si>
  <si>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</si>
  <si>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</si>
  <si>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</si>
  <si>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</si>
  <si>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</si>
  <si>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</si>
  <si>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</si>
  <si>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</si>
  <si>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</si>
  <si>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</si>
  <si>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</si>
  <si>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</si>
  <si>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</si>
  <si>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</si>
  <si>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</si>
  <si>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</si>
  <si>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</si>
  <si>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</si>
  <si>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</si>
  <si>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</si>
  <si>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</si>
  <si>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</si>
  <si>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</si>
  <si>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</si>
  <si>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</si>
  <si>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</si>
  <si>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</si>
  <si>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</si>
  <si>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</si>
  <si>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</si>
  <si>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</si>
  <si>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</si>
  <si>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</si>
  <si>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</si>
  <si>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</si>
  <si>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</si>
  <si>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</si>
  <si>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</si>
  <si>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</si>
  <si>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</si>
  <si>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</si>
  <si>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</si>
  <si>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</si>
  <si>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</si>
  <si>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</si>
  <si>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</si>
  <si>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</si>
  <si>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</si>
  <si>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</si>
  <si>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</si>
  <si>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</si>
  <si>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</si>
  <si>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</si>
  <si>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</si>
  <si>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</si>
  <si>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</si>
  <si>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</si>
  <si>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</si>
  <si>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</si>
  <si>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</si>
  <si>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</si>
  <si>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</si>
  <si>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</si>
  <si>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</si>
  <si>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</si>
  <si>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</si>
  <si>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</si>
  <si>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</si>
  <si>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</si>
  <si>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</si>
  <si>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</si>
  <si>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</si>
  <si>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</si>
  <si>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</si>
  <si>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</si>
  <si>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</si>
  <si>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</si>
  <si>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</si>
  <si>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</si>
  <si>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</si>
  <si>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</si>
  <si>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</si>
  <si>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</si>
  <si>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</si>
  <si>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</si>
  <si>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</si>
  <si>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</si>
  <si>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</si>
  <si>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</si>
  <si>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</si>
  <si>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</si>
  <si>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</si>
  <si>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</si>
  <si>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</si>
  <si>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</si>
  <si>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</si>
  <si>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</si>
  <si>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</si>
  <si>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</si>
  <si>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</si>
  <si>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</si>
  <si>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</si>
  <si>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</si>
  <si>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</si>
  <si>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</si>
  <si>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</si>
  <si>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</si>
  <si>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</si>
  <si>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</si>
  <si>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</si>
  <si>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</si>
  <si>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</si>
  <si>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</si>
  <si>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</si>
  <si>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</si>
  <si>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</si>
  <si>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</si>
  <si>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</si>
  <si>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</si>
  <si>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</si>
  <si>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</si>
  <si>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</si>
  <si>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</si>
  <si>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</si>
  <si>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</si>
  <si>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</si>
  <si>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</si>
  <si>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</si>
  <si>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</si>
  <si>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</si>
  <si>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</si>
  <si>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</si>
  <si>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</si>
  <si>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</si>
  <si>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</si>
  <si>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</si>
  <si>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</si>
  <si>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</si>
  <si>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</si>
  <si>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</si>
  <si>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</si>
  <si>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</si>
  <si>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</si>
  <si>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</si>
  <si>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</si>
  <si>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</si>
  <si>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</si>
  <si>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</si>
  <si>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</si>
  <si>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</si>
  <si>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</si>
  <si>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</si>
  <si>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</si>
  <si>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</si>
  <si>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</si>
  <si>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</si>
  <si>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</si>
  <si>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</si>
  <si>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</si>
  <si>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</si>
  <si>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</si>
  <si>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</si>
  <si>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</si>
  <si>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</si>
  <si>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</si>
  <si>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</si>
  <si>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</si>
  <si>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</si>
  <si>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</si>
  <si>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</si>
  <si>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</si>
  <si>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</si>
  <si>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</si>
  <si>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</si>
  <si>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</si>
  <si>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</si>
  <si>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</si>
  <si>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</si>
  <si>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</si>
  <si>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</si>
  <si>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</si>
  <si>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</si>
  <si>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</si>
  <si>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</si>
  <si>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</si>
  <si>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</si>
  <si>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</si>
  <si>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</si>
  <si>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</si>
  <si>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</si>
  <si>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</si>
  <si>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</si>
  <si>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</si>
  <si>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</si>
  <si>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</si>
  <si>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</si>
  <si>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</si>
  <si>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</si>
  <si>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</si>
  <si>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</si>
  <si>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</si>
  <si>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</si>
  <si>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</si>
  <si>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</si>
  <si>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</si>
  <si>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</si>
  <si>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</si>
  <si>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</si>
  <si>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</si>
  <si>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</si>
  <si>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</si>
  <si>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</si>
  <si>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</si>
  <si>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</si>
  <si>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</si>
  <si>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</si>
  <si>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</si>
  <si>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</si>
  <si>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</si>
  <si>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</si>
  <si>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</si>
  <si>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</si>
  <si>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</si>
  <si>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</si>
  <si>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</si>
  <si>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</si>
  <si>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</si>
  <si>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</si>
  <si>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</si>
  <si>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</si>
  <si>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</si>
  <si>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</si>
  <si>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</si>
  <si>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</si>
  <si>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</si>
  <si>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</si>
  <si>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</si>
  <si>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</si>
  <si>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</si>
  <si>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</si>
  <si>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</si>
  <si>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</si>
  <si>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</si>
  <si>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</si>
  <si>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</si>
  <si>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</si>
  <si>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</si>
  <si>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</si>
  <si>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</si>
  <si>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</si>
  <si>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</si>
  <si>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</si>
  <si>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</si>
  <si>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</si>
  <si>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</si>
  <si>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</si>
  <si>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</si>
  <si>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</si>
  <si>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</si>
  <si>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</si>
  <si>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</si>
  <si>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</si>
  <si>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</si>
  <si>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</si>
  <si>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</si>
  <si>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</si>
  <si>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</si>
  <si>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</si>
  <si>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</si>
  <si>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</si>
  <si>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</si>
  <si>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</si>
  <si>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</si>
  <si>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</si>
  <si>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</si>
  <si>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</si>
  <si>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</si>
  <si>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</si>
  <si>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</si>
  <si>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</si>
  <si>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</si>
  <si>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</si>
  <si>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</si>
  <si>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</si>
  <si>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</si>
  <si>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</si>
  <si>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</si>
  <si>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</si>
  <si>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</si>
  <si>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</si>
  <si>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</si>
  <si>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</si>
  <si>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</si>
  <si>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</si>
  <si>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</si>
  <si>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</si>
  <si>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</si>
  <si>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</si>
  <si>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</si>
  <si>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</si>
  <si>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</si>
  <si>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</si>
  <si>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</si>
  <si>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</si>
  <si>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</si>
  <si>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</si>
  <si>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</si>
  <si>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</si>
  <si>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</si>
  <si>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</si>
  <si>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</si>
  <si>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</si>
  <si>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</si>
  <si>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</si>
  <si>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</si>
  <si>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</si>
  <si>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</si>
  <si>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</si>
  <si>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</si>
  <si>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</si>
  <si>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</si>
  <si>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</si>
  <si>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</si>
  <si>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</si>
  <si>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</si>
  <si>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</si>
  <si>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</si>
  <si>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</si>
  <si>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</si>
  <si>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</si>
  <si>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</si>
  <si>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</si>
  <si>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</si>
  <si>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</si>
  <si>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</si>
  <si>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</si>
  <si>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</si>
  <si>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</si>
  <si>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</si>
  <si>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</si>
  <si>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</si>
  <si>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</si>
  <si>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</si>
  <si>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</si>
  <si>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</si>
  <si>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</si>
  <si>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</si>
  <si>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</si>
  <si>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</si>
  <si>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</si>
  <si>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</si>
  <si>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</si>
  <si>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</si>
  <si>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</si>
  <si>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</si>
  <si>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</si>
  <si>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</si>
  <si>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</si>
  <si>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</si>
  <si>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</si>
  <si>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</si>
  <si>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</si>
  <si>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</si>
  <si>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</si>
  <si>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</si>
  <si>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</si>
  <si>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</si>
  <si>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</si>
  <si>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</si>
  <si>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</si>
  <si>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</si>
  <si>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</si>
  <si>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</si>
  <si>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</si>
  <si>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</si>
  <si>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</si>
  <si>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</si>
  <si>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</si>
  <si>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</si>
  <si>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</si>
  <si>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</si>
  <si>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</si>
  <si>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</si>
  <si>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</si>
  <si>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</si>
  <si>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</si>
  <si>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</si>
  <si>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</si>
  <si>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</si>
  <si>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</si>
  <si>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</si>
  <si>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</si>
  <si>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الابيض اول فيصل</t>
  </si>
  <si>
    <t>عبد الرحمن اشرف</t>
  </si>
  <si>
    <t>عبدالله خالد</t>
  </si>
  <si>
    <t>1012795796/249969000088</t>
  </si>
  <si>
    <t>أحمد الهادي عبدالله</t>
  </si>
  <si>
    <t>احمد الحكيم</t>
  </si>
  <si>
    <t>احمد محمد يونس</t>
  </si>
  <si>
    <t>فاطمة محيي الدين</t>
  </si>
  <si>
    <t>مآب ناجي</t>
  </si>
  <si>
    <t>1515496586 / 1552997470</t>
  </si>
  <si>
    <t>قليوب</t>
  </si>
  <si>
    <t>محمود احمد هلال</t>
  </si>
  <si>
    <t>مصطفي احمد علي</t>
  </si>
  <si>
    <t>عثمان ابراهيم</t>
  </si>
  <si>
    <t>شاهيناز علي</t>
  </si>
  <si>
    <t>يارا عمر</t>
  </si>
  <si>
    <t>روكسي - العبودي</t>
  </si>
  <si>
    <t>توقا</t>
  </si>
  <si>
    <t>نديم خالد</t>
  </si>
  <si>
    <t>مرغني محمد</t>
  </si>
  <si>
    <t>1126486745/1551991955</t>
  </si>
  <si>
    <t>زياد يونس</t>
  </si>
  <si>
    <t>1127320350/79196761276</t>
  </si>
  <si>
    <t>احمد بكري</t>
  </si>
  <si>
    <t>مدخل معصرة الاتوستراد</t>
  </si>
  <si>
    <t>تادرس وجيه</t>
  </si>
  <si>
    <t>عبدالعزيز ابراهيم</t>
  </si>
  <si>
    <t>نور خالد</t>
  </si>
  <si>
    <t>بدر الدين خليل</t>
  </si>
  <si>
    <t>1288044455 / 1277933331</t>
  </si>
  <si>
    <t>سيما احمد</t>
  </si>
  <si>
    <t>آمنة مأمون</t>
  </si>
  <si>
    <t>خالد عبد القادر</t>
  </si>
  <si>
    <t>احمد البدري</t>
  </si>
  <si>
    <t>1559889751/249901586173</t>
  </si>
  <si>
    <t>مصطفى محمد عبد المنعم السيد</t>
  </si>
  <si>
    <t>صالح عبد القادر عمر محمد</t>
  </si>
  <si>
    <t>مروان امير</t>
  </si>
  <si>
    <t>أولاجيد إيمانويل تولولبي</t>
  </si>
  <si>
    <t>ضحى أحمد</t>
  </si>
  <si>
    <t>مروان زهران</t>
  </si>
  <si>
    <t>هشام حسن</t>
  </si>
  <si>
    <t>عزت كردوسي</t>
  </si>
  <si>
    <t>حسين جمعة</t>
  </si>
  <si>
    <t>1021011962/ 1505614990</t>
  </si>
  <si>
    <t>مزة حاتم يعقوب</t>
  </si>
  <si>
    <t>عبد الرحمن رستم</t>
  </si>
  <si>
    <t>عمار عبدالمجيد بدوي</t>
  </si>
  <si>
    <t>1022106531 / 1062917693</t>
  </si>
  <si>
    <t>عمر شيجلا</t>
  </si>
  <si>
    <t>1515945067/249966155689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</si>
  <si>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</si>
  <si>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</si>
  <si>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</si>
  <si>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</si>
  <si>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</si>
  <si>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</si>
  <si>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</si>
  <si>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</si>
  <si>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</si>
  <si>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</si>
  <si>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</si>
  <si>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</si>
  <si>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</si>
  <si>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</si>
  <si>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</si>
  <si>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</si>
  <si>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</si>
  <si>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</si>
  <si>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</si>
  <si>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</si>
  <si>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</si>
  <si>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</si>
  <si>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</si>
  <si>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</si>
  <si>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</si>
  <si>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</si>
  <si>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</si>
  <si>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</si>
  <si>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</si>
  <si>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</si>
  <si>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</si>
  <si>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</si>
  <si>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</si>
  <si>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</si>
  <si>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</si>
  <si>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</si>
  <si>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</si>
  <si>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</si>
  <si>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</si>
  <si>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</si>
  <si>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</si>
  <si>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</si>
  <si>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</si>
  <si>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</si>
  <si>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</si>
  <si>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</si>
  <si>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OFF</t>
  </si>
  <si>
    <t>Mohamed Amjad</t>
  </si>
  <si>
    <t>Mohamed Yasser</t>
  </si>
  <si>
    <t>Mohamed Yasser Elnegouli</t>
  </si>
  <si>
    <t>Rawan Medhat</t>
  </si>
  <si>
    <t>Mahmoud Anis</t>
  </si>
  <si>
    <t>Reyan Ali Nour</t>
  </si>
  <si>
    <t>Saja Abdelsalam</t>
  </si>
  <si>
    <t>Tibyan Azhari</t>
  </si>
  <si>
    <t>Abdallah Hamdy</t>
  </si>
  <si>
    <t>Rawyah Alsafi</t>
  </si>
  <si>
    <t>Yasmeen Ayman Mohamed Saif</t>
  </si>
  <si>
    <t>Ahmed Hendy</t>
  </si>
  <si>
    <t>Ahmed Noshy</t>
  </si>
  <si>
    <t>Alaa Mohamed</t>
  </si>
  <si>
    <t>ANN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</si>
  <si>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</si>
  <si>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</si>
  <si>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</si>
  <si>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</si>
  <si>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</si>
  <si>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</si>
  <si>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</si>
  <si>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</si>
  <si>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</si>
  <si>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</si>
  <si>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</si>
  <si>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</si>
  <si>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</si>
  <si>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</si>
  <si>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</si>
  <si>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</si>
  <si>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</si>
  <si>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</si>
  <si>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</si>
  <si>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</si>
  <si>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</si>
  <si>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</si>
  <si>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</si>
  <si>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</si>
  <si>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</si>
  <si>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</si>
  <si>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</si>
  <si>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</si>
  <si>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</si>
  <si>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</si>
  <si>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</si>
  <si>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</si>
  <si>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</si>
  <si>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</si>
  <si>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</si>
  <si>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</si>
  <si>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</si>
  <si>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</si>
  <si>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</si>
  <si>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</si>
  <si>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</si>
  <si>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</si>
  <si>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</si>
  <si>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</si>
  <si>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</si>
  <si>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</si>
  <si>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Eslam Naeem</t>
  </si>
  <si>
    <t>Islam Abdelsalam</t>
  </si>
  <si>
    <t>Rewan Tarek</t>
  </si>
  <si>
    <t>Doaa Abdelnasser</t>
  </si>
  <si>
    <t>Ezzat Mohamed</t>
  </si>
  <si>
    <t>Hesham Elbaz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</si>
  <si>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</si>
  <si>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</si>
  <si>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</si>
  <si>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</si>
  <si>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</si>
  <si>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</si>
  <si>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</si>
  <si>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</si>
  <si>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</si>
  <si>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</si>
  <si>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</si>
  <si>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</si>
  <si>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</si>
  <si>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</si>
  <si>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</si>
  <si>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</si>
  <si>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</si>
  <si>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</si>
  <si>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</si>
  <si>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</si>
  <si>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</si>
  <si>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</si>
  <si>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</si>
  <si>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</si>
  <si>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</si>
  <si>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</si>
  <si>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</si>
  <si>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</si>
  <si>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</si>
  <si>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Malak Salah</t>
  </si>
  <si>
    <t>Hebatallah Nofal</t>
  </si>
  <si>
    <t>Yousra Sherif</t>
  </si>
  <si>
    <t>Tibian Awad</t>
  </si>
  <si>
    <t>Ammar Yasser</t>
  </si>
  <si>
    <t>Ellia Barsoum</t>
  </si>
  <si>
    <t>Mina Michrigi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</si>
  <si>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</si>
  <si>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</si>
  <si>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</si>
  <si>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</si>
  <si>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</si>
  <si>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</si>
  <si>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</si>
  <si>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Hana Ashraf</t>
  </si>
  <si>
    <t>Hassan Abdelraheem</t>
  </si>
  <si>
    <t>Mohamed Gamal</t>
  </si>
  <si>
    <t>Israa Salah</t>
  </si>
  <si>
    <t>Marwan Hanafy</t>
  </si>
  <si>
    <t>Kareem Fawzy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</si>
  <si>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</si>
  <si>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</si>
  <si>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</si>
  <si>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</si>
  <si>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</si>
  <si>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</si>
  <si>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</si>
  <si>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</si>
  <si>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</si>
  <si>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</si>
  <si>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</si>
  <si>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</si>
  <si>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</si>
  <si>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</si>
  <si>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</si>
  <si>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</si>
  <si>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</si>
  <si>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</si>
  <si>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</si>
  <si>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</si>
  <si>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</si>
  <si>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</si>
  <si>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</si>
  <si>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</si>
  <si>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</si>
  <si>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</si>
  <si>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</si>
  <si>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</si>
  <si>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</si>
  <si>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</si>
  <si>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Youssef Nasser</t>
  </si>
  <si>
    <t>John Medhat</t>
  </si>
  <si>
    <t>Mahmoud Ahmed</t>
  </si>
  <si>
    <t>AN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</si>
  <si>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</si>
  <si>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</si>
  <si>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</si>
  <si>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</si>
  <si>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</si>
  <si>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</si>
  <si>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</si>
  <si>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</si>
  <si>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</si>
  <si>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</si>
  <si>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</si>
  <si>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</si>
  <si>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</si>
  <si>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</si>
  <si>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</si>
  <si>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</si>
  <si>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</si>
  <si>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</si>
  <si>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</si>
  <si>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</si>
  <si>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</si>
  <si>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</si>
  <si>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</si>
  <si>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</si>
  <si>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</si>
  <si>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</si>
  <si>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</si>
  <si>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</si>
  <si>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</si>
  <si>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</si>
  <si>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</si>
  <si>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</si>
  <si>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</si>
  <si>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</si>
  <si>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</si>
  <si>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</si>
  <si>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</si>
  <si>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</si>
  <si>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</si>
  <si>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</si>
  <si>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</si>
  <si>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</si>
  <si>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</si>
  <si>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</si>
  <si>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</si>
  <si>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</si>
  <si>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</si>
  <si>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</si>
  <si>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</si>
  <si>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</si>
  <si>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</si>
  <si>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</si>
  <si>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</si>
  <si>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</si>
  <si>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</si>
  <si>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</si>
  <si>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</si>
  <si>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</si>
  <si>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</si>
  <si>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</si>
  <si>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</si>
  <si>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</si>
  <si>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</si>
  <si>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</si>
  <si>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</si>
  <si>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</si>
  <si>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</si>
  <si>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</si>
  <si>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</si>
  <si>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</si>
  <si>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</si>
  <si>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</si>
  <si>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</si>
  <si>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</si>
  <si>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</si>
  <si>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</si>
  <si>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</si>
  <si>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</si>
  <si>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</si>
  <si>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</si>
  <si>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</si>
  <si>
    <t>Dina Khogali</t>
  </si>
  <si>
    <t>Toqa Mohamed</t>
  </si>
  <si>
    <t>Ali Bashir</t>
  </si>
  <si>
    <t>Benjamin Joseph Lemi Noel</t>
  </si>
  <si>
    <t>Amna Mamoun</t>
  </si>
  <si>
    <t>Shahd Abuelhassan Aburas</t>
  </si>
  <si>
    <t>Abdalaziz Ibrahim</t>
  </si>
  <si>
    <t>Bolis Santino</t>
  </si>
  <si>
    <t>Khaled Abdlader</t>
  </si>
  <si>
    <t>Ahmed Al Badri</t>
  </si>
  <si>
    <t>Yara Omar</t>
  </si>
  <si>
    <t>Douaa Desogi</t>
  </si>
  <si>
    <t>Hicham Farid Faris</t>
  </si>
  <si>
    <t>Mostafa Abdulmonem</t>
  </si>
  <si>
    <t>Ahmed Alfatih</t>
  </si>
  <si>
    <t>Khattab Ahmed</t>
  </si>
  <si>
    <t>Saleh Omer</t>
  </si>
  <si>
    <t>Mohamed Hamid</t>
  </si>
  <si>
    <t>Bashar Mohamed Elbashir</t>
  </si>
  <si>
    <t>Karim Hassan</t>
  </si>
  <si>
    <t>Nadeem Khaled</t>
  </si>
  <si>
    <t>Hisham Ibrahim Hassan</t>
  </si>
  <si>
    <t>Senait Tesfay</t>
  </si>
  <si>
    <t>Aseel Jameel</t>
  </si>
  <si>
    <t>Amina Alnayal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</si>
  <si>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</si>
  <si>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</si>
  <si>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</si>
  <si>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</si>
  <si>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</si>
  <si>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</si>
  <si>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</si>
  <si>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</si>
  <si>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Mohamed Tarek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</si>
  <si>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</si>
  <si>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</si>
  <si>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</si>
  <si>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</si>
  <si>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</si>
  <si>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</si>
  <si>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</si>
  <si>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</si>
  <si>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</si>
  <si>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</si>
  <si>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</si>
  <si>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</si>
  <si>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</si>
  <si>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</si>
  <si>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</si>
  <si>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</si>
  <si>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</si>
  <si>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</si>
  <si>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</si>
  <si>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</si>
  <si>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</si>
  <si>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</si>
  <si>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</si>
  <si>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</si>
  <si>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</si>
  <si>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</si>
  <si>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</si>
  <si>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</si>
  <si>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</si>
  <si>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</si>
  <si>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</si>
  <si>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</si>
  <si>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</si>
  <si>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</si>
  <si>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</si>
  <si>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</si>
  <si>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</si>
  <si>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</si>
  <si>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</si>
  <si>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</si>
  <si>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</si>
  <si>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</si>
  <si>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</si>
  <si>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</si>
  <si>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</si>
  <si>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</si>
  <si>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</si>
  <si>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</si>
  <si>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</si>
  <si>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</si>
  <si>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</si>
  <si>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</si>
  <si>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</si>
  <si>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</si>
  <si>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</si>
  <si>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</si>
  <si>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</si>
  <si>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</si>
  <si>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</si>
  <si>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</si>
  <si>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</si>
  <si>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</si>
  <si>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</si>
  <si>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</si>
  <si>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</si>
  <si>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</si>
  <si>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Jurey Ameer Farouq</t>
  </si>
  <si>
    <t>Musaab Siddig</t>
  </si>
  <si>
    <t>Moamen Salah</t>
  </si>
  <si>
    <t>Mahmoud Atif</t>
  </si>
  <si>
    <t>Aya ELhag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</si>
  <si>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</si>
  <si>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</si>
  <si>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</si>
  <si>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</si>
  <si>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</si>
  <si>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</si>
  <si>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</si>
  <si>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</si>
  <si>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</si>
  <si>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</si>
  <si>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</si>
  <si>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</si>
  <si>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</si>
  <si>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</si>
  <si>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</si>
  <si>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</si>
  <si>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</si>
  <si>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</si>
  <si>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</si>
  <si>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</si>
  <si>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</si>
  <si>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</si>
  <si>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</si>
  <si>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</si>
  <si>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</si>
  <si>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</si>
  <si>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</si>
  <si>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</si>
  <si>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</si>
  <si>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</si>
  <si>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Eyad Yassir</t>
  </si>
  <si>
    <t>Seif Wael</t>
  </si>
  <si>
    <t>Hossam Eldain Waleed Mostafa</t>
  </si>
  <si>
    <t>Nada Saad</t>
  </si>
  <si>
    <t>Laila Hamdy</t>
  </si>
  <si>
    <t>Abdullah Tarek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</si>
  <si>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</si>
  <si>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</si>
  <si>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</si>
  <si>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</si>
  <si>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</si>
  <si>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</si>
  <si>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</si>
  <si>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</si>
  <si>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</si>
  <si>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</si>
  <si>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</si>
  <si>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</si>
  <si>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</si>
  <si>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</si>
  <si>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</si>
  <si>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</si>
  <si>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</si>
  <si>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</si>
  <si>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</si>
  <si>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</si>
  <si>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</si>
  <si>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</si>
  <si>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</si>
  <si>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Adel</t>
  </si>
  <si>
    <t>Mohamed Badri Babiker</t>
  </si>
  <si>
    <t>Abdelmoneim Khaled</t>
  </si>
  <si>
    <t>Baraa Mohamed</t>
  </si>
  <si>
    <t>Osman Noureldain</t>
  </si>
  <si>
    <t>Basil Motaz</t>
  </si>
  <si>
    <t>Ahmed Shibl</t>
  </si>
  <si>
    <t>Youssef Taher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</si>
  <si>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</si>
  <si>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</si>
  <si>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</si>
  <si>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</si>
  <si>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</si>
  <si>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</si>
  <si>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</si>
  <si>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</si>
  <si>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Omar El-Fatih</t>
  </si>
  <si>
    <t>Youssef Grant</t>
  </si>
  <si>
    <t>Lujina Ahmed kamel</t>
  </si>
  <si>
    <t>Rania Abdelrahman</t>
  </si>
  <si>
    <t>Abdelrahman Abdellatif</t>
  </si>
  <si>
    <t>Mohamed Ibrahim</t>
  </si>
  <si>
    <t>Hussein Gomaa</t>
  </si>
  <si>
    <t>Mazza Hatem Yagoub</t>
  </si>
  <si>
    <t>Abdelrahman Rustom</t>
  </si>
  <si>
    <t>Amar Abdalmajid badawi</t>
  </si>
  <si>
    <t>Ayak Deng</t>
  </si>
  <si>
    <t>Malak Anton Mahana</t>
  </si>
  <si>
    <t>Omar Mahdy</t>
  </si>
  <si>
    <t>Eyad Khairy</t>
  </si>
  <si>
    <t>Mamdoh Tabdi</t>
  </si>
  <si>
    <t>Sara Ashmawey</t>
  </si>
  <si>
    <t>Fayad Hamdi</t>
  </si>
  <si>
    <t>Munzer Babiker</t>
  </si>
  <si>
    <t>Almustafa Ahmed</t>
  </si>
  <si>
    <t>Aaya Mohamed Elsiddig</t>
  </si>
  <si>
    <t>Firas Ben Osama</t>
  </si>
  <si>
    <t>Amal Mahdi Omar</t>
  </si>
  <si>
    <t>Omar Mostafa</t>
  </si>
  <si>
    <t>Amr Azzam</t>
  </si>
  <si>
    <t>Zeyad Thabet</t>
  </si>
  <si>
    <t>Amr Maged</t>
  </si>
  <si>
    <t>Duha Ahmed</t>
  </si>
  <si>
    <t>Mohamed Mohsen</t>
  </si>
  <si>
    <t>Habiba Khaled Salama</t>
  </si>
  <si>
    <t>Abdallah Elnawiri</t>
  </si>
  <si>
    <t>Dan Ahmed</t>
  </si>
  <si>
    <t>Ahmed Bakri</t>
  </si>
  <si>
    <t>Esraa Samy</t>
  </si>
  <si>
    <t>Moses Wahied</t>
  </si>
  <si>
    <t>Rana Shams Eldin</t>
  </si>
  <si>
    <t>Faris Khalifa</t>
  </si>
  <si>
    <t>Tadros wageh</t>
  </si>
  <si>
    <t>Ahmed Elkhadrgi</t>
  </si>
  <si>
    <t>Huzifa Kandil</t>
  </si>
  <si>
    <t>Mohamed El-Azab</t>
  </si>
  <si>
    <t>Rokaya Hashiem</t>
  </si>
  <si>
    <t>Xena Nader abdelmoneam</t>
  </si>
  <si>
    <t>Umna Amir</t>
  </si>
  <si>
    <t>Khalid Waleed</t>
  </si>
  <si>
    <t>Mohamed Abdoun</t>
  </si>
  <si>
    <t>Dahab Mohamed</t>
  </si>
  <si>
    <t>Fatima Alzain</t>
  </si>
  <si>
    <t>Reem Abass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</si>
  <si>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</si>
  <si>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</si>
  <si>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</si>
  <si>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</si>
  <si>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</si>
  <si>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</si>
  <si>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</si>
  <si>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</si>
  <si>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</si>
  <si>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</si>
  <si>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</si>
  <si>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</si>
  <si>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</si>
  <si>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</si>
  <si>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</si>
  <si>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</si>
  <si>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</si>
  <si>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</si>
  <si>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Ahmed Sami</t>
  </si>
  <si>
    <t>Youssef Eldesokky</t>
  </si>
  <si>
    <t>Caroline Girgies</t>
  </si>
  <si>
    <t>Mohamed Abdallah</t>
  </si>
  <si>
    <t>Mohamed Ahmed Fathy</t>
  </si>
  <si>
    <t>Soha Omer</t>
  </si>
  <si>
    <t>Ahmed Abdelkader</t>
  </si>
  <si>
    <t>Mohamed Youssef</t>
  </si>
  <si>
    <t>Youssef Amr</t>
  </si>
  <si>
    <t>Wafaa Abdo</t>
  </si>
  <si>
    <t>Lana Sameh</t>
  </si>
  <si>
    <t>Menna Yehia</t>
  </si>
  <si>
    <t>Mennatallah Samir</t>
  </si>
  <si>
    <t>Ahmed Belal</t>
  </si>
  <si>
    <t>Aliaa Abouelazem</t>
  </si>
  <si>
    <t>Cheima Mahamat</t>
  </si>
  <si>
    <t>Khloud ElBadry</t>
  </si>
  <si>
    <t>Habiba Khaled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</si>
  <si>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</si>
  <si>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</si>
  <si>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</si>
  <si>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</si>
  <si>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</si>
  <si>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</si>
  <si>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</si>
  <si>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</si>
  <si>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</si>
  <si>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</si>
  <si>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</si>
  <si>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</si>
  <si>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</si>
  <si>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</si>
  <si>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</si>
  <si>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</si>
  <si>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</si>
  <si>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</si>
  <si>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</si>
  <si>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</si>
  <si>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</si>
  <si>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</si>
  <si>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</si>
  <si>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</si>
  <si>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</si>
  <si>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</si>
  <si>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</si>
  <si>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</si>
  <si>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</si>
  <si>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</si>
  <si>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</si>
  <si>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</si>
  <si>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</si>
  <si>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</si>
  <si>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</si>
  <si>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</si>
  <si>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</si>
  <si>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</si>
  <si>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</si>
  <si>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</si>
  <si>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</si>
  <si>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</si>
  <si>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</si>
  <si>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</si>
  <si>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</si>
  <si>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</si>
  <si>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</si>
  <si>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</si>
  <si>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</si>
  <si>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</si>
  <si>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</si>
  <si>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</si>
  <si>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</si>
  <si>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</si>
  <si>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</si>
  <si>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</si>
  <si>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</si>
  <si>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</si>
  <si>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</si>
  <si>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</si>
  <si>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</si>
  <si>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</si>
  <si>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</si>
  <si>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</si>
  <si>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</si>
  <si>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</si>
  <si>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</si>
  <si>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</si>
  <si>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</si>
  <si>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</si>
  <si>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</si>
  <si>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</si>
  <si>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</si>
  <si>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</si>
  <si>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</si>
  <si>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</si>
  <si>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</si>
  <si>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</si>
  <si>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</si>
  <si>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</si>
  <si>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</si>
  <si>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</si>
  <si>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</si>
  <si>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</si>
  <si>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</si>
  <si>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</si>
  <si>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</si>
  <si>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</si>
  <si>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</si>
  <si>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</si>
  <si>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</si>
  <si>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</si>
  <si>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</si>
  <si>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</si>
  <si>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</si>
  <si>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</si>
  <si>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Fatma Bahaa</t>
  </si>
  <si>
    <t>Abdelsalam Hisham</t>
  </si>
  <si>
    <t>Mohamed Aref Azzam</t>
  </si>
  <si>
    <t>Joudi Moussa</t>
  </si>
  <si>
    <t>Youssef Amer</t>
  </si>
  <si>
    <t>Aya Shehabeldin</t>
  </si>
  <si>
    <t>Ahmed Fahmy</t>
  </si>
  <si>
    <t>Almoatazbellah Soliman</t>
  </si>
  <si>
    <t>Wendy dawood</t>
  </si>
  <si>
    <t>David Michael Gabriel</t>
  </si>
  <si>
    <t>Omar Suliman</t>
  </si>
  <si>
    <t>Rawan Essa</t>
  </si>
  <si>
    <t>Ziyad Sherif</t>
  </si>
  <si>
    <t>Aya Ashraf</t>
  </si>
  <si>
    <t>Shahd Mahmoud</t>
  </si>
  <si>
    <t>Maha Zaki Salem Farouk</t>
  </si>
  <si>
    <t>Mina Sadallah</t>
  </si>
  <si>
    <t>Hady Adel</t>
  </si>
  <si>
    <t>Zaki Elrefaie</t>
  </si>
  <si>
    <t>Nadeen Tarek</t>
  </si>
  <si>
    <t>Suhaila Hany</t>
  </si>
  <si>
    <t>Amira Daashoush</t>
  </si>
  <si>
    <t>Eslam Wessam</t>
  </si>
  <si>
    <t>William Gilada</t>
  </si>
  <si>
    <t>Abdullah Haroon</t>
  </si>
  <si>
    <t>Edmound Nichola Ali</t>
  </si>
  <si>
    <t>Ahmed Gobba</t>
  </si>
  <si>
    <t>Ahmed Salaheldin</t>
  </si>
  <si>
    <t>Youssef Khalid</t>
  </si>
  <si>
    <t>Yomna Salah</t>
  </si>
  <si>
    <t>Baheja Muhammad Fayad</t>
  </si>
  <si>
    <t>Abdelrahman Ibraheem</t>
  </si>
  <si>
    <t>Akram Mohamed Hassan</t>
  </si>
  <si>
    <t>Hadya Waheed</t>
  </si>
  <si>
    <t>Ziad Ahmed</t>
  </si>
  <si>
    <t>Mariam Ahmed</t>
  </si>
  <si>
    <t>Omer Alsadig Alfadil</t>
  </si>
  <si>
    <t>Adnan Fouad</t>
  </si>
  <si>
    <t>Mustafa Mohamed</t>
  </si>
  <si>
    <t>Donia Elbanan</t>
  </si>
  <si>
    <t>Belal Karam Fawzy Qassem</t>
  </si>
  <si>
    <t>Nour Eldine</t>
  </si>
  <si>
    <t>Huda Ezz</t>
  </si>
  <si>
    <t>Passant Ahmed Samir</t>
  </si>
  <si>
    <t>Mariam Abu Bakr</t>
  </si>
  <si>
    <t>Rawda Elmasri</t>
  </si>
  <si>
    <t>Ahmed Dawod</t>
  </si>
  <si>
    <t>Timothy Moody</t>
  </si>
  <si>
    <t>Karim Mohammed Ali Abdeljawad</t>
  </si>
  <si>
    <t>Suhaila Atef</t>
  </si>
  <si>
    <t>Mohamed Ahmed Ismail</t>
  </si>
  <si>
    <t>Aboul Alor</t>
  </si>
  <si>
    <t>Amira Ahmed</t>
  </si>
  <si>
    <t>Maher Ali Dahab</t>
  </si>
  <si>
    <t>Hatoon Babiker</t>
  </si>
  <si>
    <t>Alaa Karam</t>
  </si>
  <si>
    <t>Hossam Elamin</t>
  </si>
  <si>
    <t>Nour Rabie</t>
  </si>
  <si>
    <t>Bassel Hesham</t>
  </si>
  <si>
    <t>Talabat Training</t>
  </si>
  <si>
    <t>?</t>
  </si>
  <si>
    <t>رضوى شلبي</t>
  </si>
  <si>
    <t>وليد مصطفى محمد</t>
  </si>
  <si>
    <t>ماجد ثابت</t>
  </si>
  <si>
    <t>رؤى عمرو حسن</t>
  </si>
  <si>
    <t>احمد عتمان</t>
  </si>
  <si>
    <t>No need</t>
  </si>
  <si>
    <t>كريم الدماطي</t>
  </si>
  <si>
    <t>صالح عبدالله</t>
  </si>
  <si>
    <t>لبنى مصطفى</t>
  </si>
  <si>
    <t>هايبر</t>
  </si>
  <si>
    <t>تهليل عبد الرحيم</t>
  </si>
  <si>
    <t>عادل عمرو عادل الششتاوي</t>
  </si>
  <si>
    <t>249968925580 /1555307816</t>
  </si>
  <si>
    <t>مهج حاتم</t>
  </si>
  <si>
    <t>New Joiner</t>
  </si>
  <si>
    <t>شيتو عباس</t>
  </si>
  <si>
    <t>العباسيه و الضاهر</t>
  </si>
  <si>
    <t>Facility</t>
  </si>
  <si>
    <t>فادي وجدي</t>
  </si>
  <si>
    <t>منة احمد</t>
  </si>
  <si>
    <t>سامية توماس</t>
  </si>
  <si>
    <t>أمين إدريس حامد محمد</t>
  </si>
  <si>
    <t>1123068497 / 1505247914</t>
  </si>
  <si>
    <t>مزن صلاح الدين</t>
  </si>
  <si>
    <t>1148385756 / 249114832384</t>
  </si>
  <si>
    <t>ايلاف محمد</t>
  </si>
  <si>
    <t>جانا محمد</t>
  </si>
  <si>
    <t>بوابة دجلة</t>
  </si>
  <si>
    <t>عبد القدوس محمود محمد</t>
  </si>
  <si>
    <t>أحمد تاج السر عثمان الحاج</t>
  </si>
  <si>
    <t>رزان النور</t>
  </si>
  <si>
    <t>اكرم عاطف</t>
  </si>
  <si>
    <t>السواح</t>
  </si>
  <si>
    <t>هناء عبد العال</t>
  </si>
  <si>
    <t>109 793 5118/12 83085247</t>
  </si>
  <si>
    <t>محمد علام</t>
  </si>
  <si>
    <t>عبدون، محمد</t>
  </si>
  <si>
    <t>بكر، معتز</t>
  </si>
  <si>
    <t>عبد الحليم محمد</t>
  </si>
  <si>
    <t>حازم وليد محمد</t>
  </si>
  <si>
    <t>249121888966 / 1552383291</t>
  </si>
  <si>
    <t>محمد مختار</t>
  </si>
  <si>
    <t>التوحيد والنور</t>
  </si>
  <si>
    <t>صالح صبحي</t>
  </si>
  <si>
    <t>بيشوي عادل</t>
  </si>
  <si>
    <t>آية أشرف</t>
  </si>
  <si>
    <t>نزله المرج</t>
  </si>
  <si>
    <t>شيماء علاء الدين</t>
  </si>
  <si>
    <t>109 231 6631</t>
  </si>
  <si>
    <t>فارس طارق</t>
  </si>
  <si>
    <t>يوسف الخبيري</t>
  </si>
  <si>
    <t>1157337865/249129151555</t>
  </si>
  <si>
    <t>آية الصديق محمد عثمان</t>
  </si>
  <si>
    <t>1156373555 / 1094380933</t>
  </si>
  <si>
    <t>1148041781 / WA 1555957070</t>
  </si>
  <si>
    <t>احمد اسماعيل</t>
  </si>
  <si>
    <t>1505654667 / WA 966542643992</t>
  </si>
  <si>
    <t>عبد العزيز عبد الرحمن عبد المنان الفكي</t>
  </si>
  <si>
    <t>نور امير</t>
  </si>
  <si>
    <t>249968765743 / 1154372954</t>
  </si>
  <si>
    <t>شذى فايز عمر</t>
  </si>
  <si>
    <t>1013909775 / 971522191678</t>
  </si>
  <si>
    <t>وليد كريم</t>
  </si>
  <si>
    <t>1515446756 / +249990814298</t>
  </si>
  <si>
    <t>مريوطيه</t>
  </si>
  <si>
    <t>ميرنا عبادة</t>
  </si>
  <si>
    <t>العروبه</t>
  </si>
  <si>
    <t>فاطمة عماد محمد</t>
  </si>
  <si>
    <t>اربيلا</t>
  </si>
  <si>
    <t>طيبة طلال عمر</t>
  </si>
  <si>
    <t>بوابه 13</t>
  </si>
  <si>
    <t>براء عزت</t>
  </si>
  <si>
    <t>روان عصمت</t>
  </si>
  <si>
    <t>شريف علي</t>
  </si>
  <si>
    <t>عاصم كمال</t>
  </si>
  <si>
    <t>موقف العاشر</t>
  </si>
  <si>
    <t>منة حسونة</t>
  </si>
  <si>
    <t>1108399618 / WA249967370792</t>
  </si>
  <si>
    <t>عثمان، أميمة</t>
  </si>
  <si>
    <t>جينيرال، محمد</t>
  </si>
  <si>
    <t>ميدان رابعه</t>
  </si>
  <si>
    <t>تورك، ياسين</t>
  </si>
  <si>
    <t>يوسف علي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</si>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</sst>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99D1CD2F-D569-4A32-9DA1-2ACED60DB5AB}">
      <tableStyleElement type="firstRowStripe" dxfId="3"/>
      <tableStyleElement type="secondRowStripe" dxfId="2"/>
    </tableStyle>
    <tableStyle name="Apr 7 - Apr 13-style" pivot="0" count="2" xr9:uid="{6EF10B5B-5EC1-4C45-9D2B-0330E49B3EFD}">
      <tableStyleElement type="firstRowStripe" dxfId="5"/>
      <tableStyleElement type="secondRowStripe" dxfId="4"/>
    </tableStyle>
    <tableStyle name="Apr 14 - Apr 20-style 2" pivot="0" count="2" xr9:uid="{87DF25AF-2EF8-4531-A2C9-226822770DA4}">
      <tableStyleElement type="firstRowStripe" dxfId="7"/>
      <tableStyleElement type="secondRowStripe" dxfId="6"/>
    </tableStyle>
    <tableStyle name="Apr 14 - Apr 20-style 4" pivot="0" count="2" xr9:uid="{31C193E2-BBEA-4409-BFA0-45D71E32539D}">
      <tableStyleElement type="firstRowStripe" dxfId="9"/>
      <tableStyleElement type="secondRowStripe" dxfId="8"/>
    </tableStyle>
    <tableStyle name="Apr 21 - Apr 27-style 2" pivot="0" count="2" xr9:uid="{2CBD4764-87D6-45FD-84CA-0F2F0AD618E8}">
      <tableStyleElement type="firstRowStripe" dxfId="11"/>
      <tableStyleElement type="secondRowStripe" dxfId="10"/>
    </tableStyle>
    <tableStyle name="Apr 21 - Apr 27-style 3" pivot="0" count="2" xr9:uid="{24847339-257D-4E7B-8268-F2E62D2AD70D}">
      <tableStyleElement type="firstRowStripe" dxfId="13"/>
      <tableStyleElement type="secondRowStripe" dxfId="12"/>
    </tableStyle>
    <tableStyle name="Apr 21 - Apr 27-style 5" pivot="0" count="2" xr9:uid="{75A532DE-2FAD-4D43-9C06-28B2802A0671}">
      <tableStyleElement type="firstRowStripe" dxfId="15"/>
      <tableStyleElement type="secondRowStripe" dxfId="14"/>
    </tableStyle>
    <tableStyle name="Apr 28 - May 4-style 2" pivot="0" count="2" xr9:uid="{850FA03D-8135-430D-BC4F-42CBEB0ACC07}">
      <tableStyleElement type="firstRowStripe" dxfId="17"/>
      <tableStyleElement type="secondRowStripe" dxfId="16"/>
    </tableStyle>
    <tableStyle name="Apr 28 - May 4-style 3" pivot="0" count="2" xr9:uid="{2836A926-DAB1-46C4-BDAE-24EF54E72230}">
      <tableStyleElement type="firstRowStripe" dxfId="19"/>
      <tableStyleElement type="secondRowStripe" dxfId="18"/>
    </tableStyle>
    <tableStyle name="May 5 - May 11-style 2" pivot="0" count="2" xr9:uid="{1D9E01D8-91F1-45B7-BD44-6A2CFF5A2C2E}">
      <tableStyleElement type="firstRowStripe" dxfId="21"/>
      <tableStyleElement type="secondRowStripe" dxfId="20"/>
    </tableStyle>
    <tableStyle name="May 5 - May 11-style 3" pivot="0" count="2" xr9:uid="{5291BB71-0512-4866-8D96-B936EC5245A2}">
      <tableStyleElement type="firstRowStripe" dxfId="23"/>
      <tableStyleElement type="secondRowStripe" dxfId="22"/>
    </tableStyle>
    <tableStyle name="May 12 - May 18-style 4" pivot="0" count="2" xr9:uid="{6D4212D7-37A5-4988-8874-617BF7DE778A}">
      <tableStyleElement type="firstRowStripe" dxfId="25"/>
      <tableStyleElement type="secondRowStripe" dxfId="24"/>
    </tableStyle>
    <tableStyle name="May 12 - May 18-style 5" pivot="0" count="2" xr9:uid="{AF9F2DC8-3631-43DD-9281-A9D53F2E83E7}">
      <tableStyleElement type="firstRowStripe" dxfId="27"/>
      <tableStyleElement type="secondRowStripe" dxfId="26"/>
    </tableStyle>
    <tableStyle name="May 12 - May 18-style 9" pivot="0" count="2" xr9:uid="{9C467B54-EE28-42E8-9AD9-3C4CDA5D4EC6}">
      <tableStyleElement type="firstRowStripe" dxfId="29"/>
      <tableStyleElement type="secondRowStripe" dxfId="28"/>
    </tableStyle>
    <tableStyle name="May 19 - May 25-style 4" pivot="0" count="2" xr9:uid="{DA7469B0-3A79-4203-B40D-DFBC34B42802}">
      <tableStyleElement type="firstRowStripe" dxfId="31"/>
      <tableStyleElement type="secondRowStripe" dxfId="30"/>
    </tableStyle>
    <tableStyle name="May 19 - May 25-style 5" pivot="0" count="2" xr9:uid="{11D52439-3EA1-4127-B4B1-93CBC4AE2B4F}">
      <tableStyleElement type="firstRowStripe" dxfId="33"/>
      <tableStyleElement type="secondRowStripe" dxfId="32"/>
    </tableStyle>
    <tableStyle name="May 19 - May 25-style 9" pivot="0" count="2" xr9:uid="{43D477CD-D573-44DB-ADF7-820C7B7BFFB6}">
      <tableStyleElement type="firstRowStripe" dxfId="35"/>
      <tableStyleElement type="secondRowStripe" dxfId="34"/>
    </tableStyle>
    <tableStyle name="Jun 2 - JUN 8-style 4" pivot="0" count="2" xr9:uid="{1FC651C7-FB66-4D17-9485-31B87C438506}">
      <tableStyleElement type="firstRowStripe" dxfId="37"/>
      <tableStyleElement type="secondRowStripe" dxfId="36"/>
    </tableStyle>
    <tableStyle name="Jun 2 - JUN 8-style 5" pivot="0" count="2" xr9:uid="{649D9E1E-C443-4FE9-8447-63BF3D458F0C}">
      <tableStyleElement type="firstRowStripe" dxfId="39"/>
      <tableStyleElement type="secondRowStripe" dxfId="38"/>
    </tableStyle>
    <tableStyle name="Jun 2 - JUN 8-style 9" pivot="0" count="2" xr9:uid="{A3247375-C8D8-4011-A858-3544B9B7435D}">
      <tableStyleElement type="firstRowStripe" dxfId="41"/>
      <tableStyleElement type="secondRowStripe" dxfId="40"/>
    </tableStyle>
    <tableStyle name="Jun 9 - Jun 15-style 4" pivot="0" count="2" xr9:uid="{9F7A2BA8-FA6F-4FAB-804D-2368E004D731}">
      <tableStyleElement type="firstRowStripe" dxfId="43"/>
      <tableStyleElement type="secondRowStripe" dxfId="42"/>
    </tableStyle>
    <tableStyle name="Jun 9 - Jun 15-style 5" pivot="0" count="2" xr9:uid="{328A0F4C-0507-4C41-A0C8-EBF1FF17F25D}">
      <tableStyleElement type="firstRowStripe" dxfId="45"/>
      <tableStyleElement type="secondRowStripe" dxfId="44"/>
    </tableStyle>
    <tableStyle name="Jun 9 - Jun 15-style 9" pivot="0" count="2" xr9:uid="{0DD240CF-3863-4D5F-BBDD-242383F7BDFF}">
      <tableStyleElement type="firstRowStripe" dxfId="47"/>
      <tableStyleElement type="secondRowStripe" dxfId="46"/>
    </tableStyle>
    <tableStyle name="Jun 16 - Jun 22-style 2" pivot="0" count="2" xr9:uid="{89D30461-FEE7-48AB-8019-EE95BB2E9776}">
      <tableStyleElement type="firstRowStripe" dxfId="49"/>
      <tableStyleElement type="secondRowStripe" dxfId="48"/>
    </tableStyle>
    <tableStyle name="Jun 16 - Jun 22-style 9" pivot="0" count="2" xr9:uid="{6B868057-9358-4E98-A11E-160EFB88AF2D}">
      <tableStyleElement type="firstRowStripe" dxfId="51"/>
      <tableStyleElement type="secondRowStripe" dxfId="50"/>
    </tableStyle>
    <tableStyle name="Jun 16 - Jun 22-style 16" pivot="0" count="2" xr9:uid="{DF6E209B-D6CB-4B7F-A5FE-B105EB0B0FB9}">
      <tableStyleElement type="firstRowStripe" dxfId="53"/>
      <tableStyleElement type="secondRowStripe" dxfId="52"/>
    </tableStyle>
    <tableStyle name="Jun 16 - Jun 22-style 17" pivot="0" count="2" xr9:uid="{3C1BD764-6917-4B45-8621-026BECE64450}">
      <tableStyleElement type="firstRowStripe" dxfId="55"/>
      <tableStyleElement type="secondRowStripe" dxfId="54"/>
    </tableStyle>
    <tableStyle name="Jun 16 - Jun 22-style 13" pivot="0" count="2" xr9:uid="{6793B637-E4FE-4E5F-BD23-38F1E5C8571C}">
      <tableStyleElement type="firstRowStripe" dxfId="57"/>
      <tableStyleElement type="secondRowStripe" dxfId="56"/>
    </tableStyle>
    <tableStyle name="Jun 16 - Jun 22-style 18" pivot="0" count="2" xr9:uid="{70D60554-845A-42D8-B9D0-38009642ABC4}">
      <tableStyleElement type="firstRowStripe" dxfId="59"/>
      <tableStyleElement type="secondRowStripe" dxfId="58"/>
    </tableStyle>
    <tableStyle name="Jun 16 - Jun 22-style 14" pivot="0" count="2" xr9:uid="{07546678-6EE5-4353-9BD0-E8D626CE2EDE}">
      <tableStyleElement type="firstRowStripe" dxfId="61"/>
      <tableStyleElement type="secondRowStripe" dxfId="60"/>
    </tableStyle>
    <tableStyle name="Jun 16 - Jun 22-style 15" pivot="0" count="2" xr9:uid="{6C053FFF-5DE0-4A9F-94E0-CBC35788C543}">
      <tableStyleElement type="firstRowStripe" dxfId="63"/>
      <tableStyleElement type="secondRowStripe" dxfId="62"/>
    </tableStyle>
    <tableStyle name="Jun 16 - Jun 22-style 5" pivot="0" count="2" xr9:uid="{A8F7BEDF-3374-4082-8082-DD168B8B01E9}">
      <tableStyleElement type="firstRowStripe" dxfId="65"/>
      <tableStyleElement type="secondRowStripe" dxfId="64"/>
    </tableStyle>
    <tableStyle name="Jun 16 - Jun 22-style 12" pivot="0" count="2" xr9:uid="{C6E152D0-4A06-498D-B618-C7217722D991}">
      <tableStyleElement type="firstRowStripe" dxfId="67"/>
      <tableStyleElement type="secondRowStripe" dxfId="66"/>
    </tableStyle>
    <tableStyle name="Jun 16 - Jun 22-style 6" pivot="0" count="2" xr9:uid="{DA3A81EE-95F3-4737-BA62-63A5EEFC4271}">
      <tableStyleElement type="firstRowStripe" dxfId="69"/>
      <tableStyleElement type="secondRowStripe" dxfId="68"/>
    </tableStyle>
    <tableStyle name="Jun 16 - Jun 22-style 11" pivot="0" count="2" xr9:uid="{C3387A10-DD1C-445B-BA0A-E588E624E692}">
      <tableStyleElement type="firstRowStripe" dxfId="71"/>
      <tableStyleElement type="secondRowStripe" dxfId="70"/>
    </tableStyle>
    <tableStyle name="Jun 23 - Jun 29-style 2" pivot="0" count="2" xr9:uid="{A89DF285-6633-482D-9660-74FFC91D3E60}">
      <tableStyleElement type="firstRowStripe" dxfId="73"/>
      <tableStyleElement type="secondRowStripe" dxfId="72"/>
    </tableStyle>
    <tableStyle name="Jun 23 - Jun 29-style 9" pivot="0" count="2" xr9:uid="{EC0C4FAC-9EDC-441A-A564-5E8794A7DE9D}">
      <tableStyleElement type="firstRowStripe" dxfId="75"/>
      <tableStyleElement type="secondRowStripe" dxfId="74"/>
    </tableStyle>
    <tableStyle name="Jun 23 - Jun 29-style 16" pivot="0" count="2" xr9:uid="{4BDE2EB8-2E5C-4EF1-BF11-42C76516B010}">
      <tableStyleElement type="firstRowStripe" dxfId="77"/>
      <tableStyleElement type="secondRowStripe" dxfId="76"/>
    </tableStyle>
    <tableStyle name="Jun 23 - Jun 29-style 17" pivot="0" count="2" xr9:uid="{51D6A1F0-4B4F-45DB-84BE-025429C01863}">
      <tableStyleElement type="firstRowStripe" dxfId="79"/>
      <tableStyleElement type="secondRowStripe" dxfId="78"/>
    </tableStyle>
    <tableStyle name="Jun 23 - Jun 29-style 13" pivot="0" count="2" xr9:uid="{4EEA6180-470F-45C8-825A-861DB5DE5B78}">
      <tableStyleElement type="firstRowStripe" dxfId="81"/>
      <tableStyleElement type="secondRowStripe" dxfId="80"/>
    </tableStyle>
    <tableStyle name="Jun 23 - Jun 29-style 18" pivot="0" count="2" xr9:uid="{FBA01DC2-7DE4-4A08-8042-CD8E6E203071}">
      <tableStyleElement type="firstRowStripe" dxfId="83"/>
      <tableStyleElement type="secondRowStripe" dxfId="82"/>
    </tableStyle>
    <tableStyle name="Jun 23 - Jun 29-style 14" pivot="0" count="2" xr9:uid="{A47C7C08-A61F-40AA-9C9E-1C29568A6226}">
      <tableStyleElement type="firstRowStripe" dxfId="85"/>
      <tableStyleElement type="secondRowStripe" dxfId="84"/>
    </tableStyle>
    <tableStyle name="Jun 23 - Jun 29-style 15" pivot="0" count="2" xr9:uid="{1C3B0CBA-1692-4DEE-A326-5B8272F78341}">
      <tableStyleElement type="firstRowStripe" dxfId="87"/>
      <tableStyleElement type="secondRowStripe" dxfId="86"/>
    </tableStyle>
    <tableStyle name="Jun 23 - Jun 29-style 5" pivot="0" count="2" xr9:uid="{DCD802CB-31A6-4CC2-97AD-398D2B6847FE}">
      <tableStyleElement type="firstRowStripe" dxfId="89"/>
      <tableStyleElement type="secondRowStripe" dxfId="88"/>
    </tableStyle>
    <tableStyle name="Jun 23 - Jun 29-style 12" pivot="0" count="2" xr9:uid="{8F7E2E89-FA0D-49A9-BEF6-0738BFD2E19C}">
      <tableStyleElement type="firstRowStripe" dxfId="91"/>
      <tableStyleElement type="secondRowStripe" dxfId="90"/>
    </tableStyle>
    <tableStyle name="Jun 23 - Jun 29-style 6" pivot="0" count="2" xr9:uid="{C0992B83-073A-4EC8-AAE7-6EC74D50A718}">
      <tableStyleElement type="firstRowStripe" dxfId="93"/>
      <tableStyleElement type="secondRowStripe" dxfId="92"/>
    </tableStyle>
    <tableStyle name="Jun 23 - Jun 29-style 11" pivot="0" count="2" xr9:uid="{46400392-0DB1-402E-ABE3-68F6FC9E20F5}">
      <tableStyleElement type="firstRowStripe" dxfId="95"/>
      <tableStyleElement type="secondRowStripe" dxfId="94"/>
    </tableStyle>
    <tableStyle name="Jun 30 - Jul 6-style 7" pivot="0" count="2" xr9:uid="{D1ABA7ED-87A1-4AEA-B2E2-1396A380D04E}">
      <tableStyleElement type="firstRowStripe" dxfId="97"/>
      <tableStyleElement type="secondRowStripe" dxfId="96"/>
    </tableStyle>
    <tableStyle name="Jun 30 - Jul 6-style 14" pivot="0" count="2" xr9:uid="{9191EDC8-200C-4B26-9DD3-7D572B53B8B6}">
      <tableStyleElement type="firstRowStripe" dxfId="99"/>
      <tableStyleElement type="secondRowStripe" dxfId="98"/>
    </tableStyle>
    <tableStyle name="Jun 30 - Jul 6-style 15" pivot="0" count="2" xr9:uid="{81B8D6B7-A17B-47CB-AC60-D51A6DD9EA21}">
      <tableStyleElement type="firstRowStripe" dxfId="101"/>
      <tableStyleElement type="secondRowStripe" dxfId="100"/>
    </tableStyle>
    <tableStyle name="Jun 30 - Jul 6-style 11" pivot="0" count="2" xr9:uid="{14084783-AEF5-4E31-B7FB-C2C9A3432DE5}">
      <tableStyleElement type="firstRowStripe" dxfId="103"/>
      <tableStyleElement type="secondRowStripe" dxfId="102"/>
    </tableStyle>
    <tableStyle name="Jun 30 - Jul 6-style 16" pivot="0" count="2" xr9:uid="{D908C3EF-E6F5-4685-927D-6BDF73A31AC2}">
      <tableStyleElement type="firstRowStripe" dxfId="105"/>
      <tableStyleElement type="secondRowStripe" dxfId="104"/>
    </tableStyle>
    <tableStyle name="Jun 30 - Jul 6-style 12" pivot="0" count="2" xr9:uid="{2DB0212F-6248-4CEF-87B8-D64E44483AFB}">
      <tableStyleElement type="firstRowStripe" dxfId="107"/>
      <tableStyleElement type="secondRowStripe" dxfId="106"/>
    </tableStyle>
    <tableStyle name="Jun 30 - Jul 6-style 13" pivot="0" count="2" xr9:uid="{C97A30EE-9006-40D9-87F8-0B243A987479}">
      <tableStyleElement type="firstRowStripe" dxfId="109"/>
      <tableStyleElement type="secondRowStripe" dxfId="108"/>
    </tableStyle>
    <tableStyle name="Jun 30 - Jul 6-style 3" pivot="0" count="2" xr9:uid="{AB175589-C90B-4A6E-8253-EDA1F16CD040}">
      <tableStyleElement type="firstRowStripe" dxfId="111"/>
      <tableStyleElement type="secondRowStripe" dxfId="110"/>
    </tableStyle>
    <tableStyle name="Jun 30 - Jul 6-style 10" pivot="0" count="2" xr9:uid="{3A44325C-008C-4BB4-AB27-360B585673FE}">
      <tableStyleElement type="firstRowStripe" dxfId="113"/>
      <tableStyleElement type="secondRowStripe" dxfId="112"/>
    </tableStyle>
    <tableStyle name="Jun 30 - Jul 6-style 4" pivot="0" count="2" xr9:uid="{22A1F8D6-A840-48EE-A7BA-401D00A0C421}">
      <tableStyleElement type="firstRowStripe" dxfId="115"/>
      <tableStyleElement type="secondRowStripe" dxfId="114"/>
    </tableStyle>
    <tableStyle name="Jun 30 - Jul 6-style 9" pivot="0" count="2" xr9:uid="{7E659BBB-136A-45FB-871A-6EC6909FA8A2}">
      <tableStyleElement type="firstRowStripe" dxfId="117"/>
      <tableStyleElement type="secondRowStripe" dxfId="116"/>
    </tableStyle>
    <tableStyle name="Jul 7 - Jul 13-style 3" pivot="0" count="2" xr9:uid="{9CD215FE-98F5-4560-B626-5B5AC75C3667}">
      <tableStyleElement type="firstRowStripe" dxfId="119"/>
      <tableStyleElement type="secondRowStripe" dxfId="118"/>
    </tableStyle>
    <tableStyle name="Jul 7 - Jul 13-style 5" pivot="0" count="2" xr9:uid="{99C27922-1DFD-4B29-BAA9-E2AE0C5BB239}">
      <tableStyleElement type="firstRowStripe" dxfId="121"/>
      <tableStyleElement type="secondRowStripe" dxfId="120"/>
    </tableStyle>
    <tableStyle name="Jul 7 - Jul 13-style 7" pivot="0" count="2" xr9:uid="{D153C314-35BB-46F0-9434-ED01428963CB}">
      <tableStyleElement type="firstRowStripe" dxfId="123"/>
      <tableStyleElement type="secondRowStripe" dxfId="122"/>
    </tableStyle>
    <tableStyle name="Jul 7 - Jul 13-style 14" pivot="0" count="2" xr9:uid="{A62EB16D-E158-4316-AE0E-688A153D30DF}">
      <tableStyleElement type="firstRowStripe" dxfId="125"/>
      <tableStyleElement type="secondRowStripe" dxfId="124"/>
    </tableStyle>
    <tableStyle name="Jul 7 - Jul 13-style 21" pivot="0" count="2" xr9:uid="{554D8853-3758-491E-9D28-0B07287A5D0B}">
      <tableStyleElement type="firstRowStripe" dxfId="127"/>
      <tableStyleElement type="secondRowStripe" dxfId="126"/>
    </tableStyle>
    <tableStyle name="Jul 7 - Jul 13-style 22" pivot="0" count="2" xr9:uid="{5FA10823-A261-457F-8275-08A21D914CD7}">
      <tableStyleElement type="firstRowStripe" dxfId="129"/>
      <tableStyleElement type="secondRowStripe" dxfId="128"/>
    </tableStyle>
    <tableStyle name="Jul 7 - Jul 13-style 4" pivot="0" count="2" xr9:uid="{FE4C53CF-C269-46EB-AF77-E716151A5EDD}">
      <tableStyleElement type="firstRowStripe" dxfId="131"/>
      <tableStyleElement type="secondRowStripe" dxfId="130"/>
    </tableStyle>
    <tableStyle name="Jul 7 - Jul 13-style 6" pivot="0" count="2" xr9:uid="{45067325-5A69-4050-849B-7A6071F17A1D}">
      <tableStyleElement type="firstRowStripe" dxfId="133"/>
      <tableStyleElement type="secondRowStripe" dxfId="132"/>
    </tableStyle>
    <tableStyle name="Jul 7 - Jul 13-style 18" pivot="0" count="2" xr9:uid="{1B60B0E3-DEF6-41EF-AF00-5B4BD9EB0654}">
      <tableStyleElement type="firstRowStripe" dxfId="135"/>
      <tableStyleElement type="secondRowStripe" dxfId="134"/>
    </tableStyle>
    <tableStyle name="Jul 7 - Jul 13-style 23" pivot="0" count="2" xr9:uid="{D3C5F01D-1F31-495B-9741-0EC741085860}">
      <tableStyleElement type="firstRowStripe" dxfId="137"/>
      <tableStyleElement type="secondRowStripe" dxfId="136"/>
    </tableStyle>
    <tableStyle name="Jul 7 - Jul 13-style 2" pivot="0" count="2" xr9:uid="{8A66ECD3-4A73-483D-8855-7A0F181A72FE}">
      <tableStyleElement type="firstRowStripe" dxfId="139"/>
      <tableStyleElement type="secondRowStripe" dxfId="138"/>
    </tableStyle>
    <tableStyle name="Jul 7 - Jul 13-style 19" pivot="0" count="2" xr9:uid="{D1879F08-4D03-4DED-B966-9D4337D99DD7}">
      <tableStyleElement type="firstRowStripe" dxfId="141"/>
      <tableStyleElement type="secondRowStripe" dxfId="140"/>
    </tableStyle>
    <tableStyle name="Jul 7 - Jul 13-style 20" pivot="0" count="2" xr9:uid="{25FF8CAE-960F-41B6-9339-CB3CF89BE4A6}">
      <tableStyleElement type="firstRowStripe" dxfId="143"/>
      <tableStyleElement type="secondRowStripe" dxfId="142"/>
    </tableStyle>
    <tableStyle name="Jul 7 - Jul 13-style 9" pivot="0" count="2" xr9:uid="{55E044D9-9117-4381-81C3-B354AC553E15}">
      <tableStyleElement type="firstRowStripe" dxfId="145"/>
      <tableStyleElement type="secondRowStripe" dxfId="144"/>
    </tableStyle>
    <tableStyle name="Jul 7 - Jul 13-style 17" pivot="0" count="2" xr9:uid="{D0222B08-D2DD-4D77-BD75-9F8537D52D45}">
      <tableStyleElement type="firstRowStripe" dxfId="147"/>
      <tableStyleElement type="secondRowStripe" dxfId="146"/>
    </tableStyle>
    <tableStyle name="Jul 7 - Jul 13-style 10" pivot="0" count="2" xr9:uid="{D24419DE-7C6E-4FBA-A33A-530F9797FF0C}">
      <tableStyleElement type="firstRowStripe" dxfId="149"/>
      <tableStyleElement type="secondRowStripe" dxfId="148"/>
    </tableStyle>
    <tableStyle name="Jul 7 - Jul 13-style 16" pivot="0" count="2" xr9:uid="{FC0733A6-F467-41A0-9E8D-4F54DDC34885}">
      <tableStyleElement type="firstRowStripe" dxfId="151"/>
      <tableStyleElement type="secondRowStripe" dxfId="150"/>
    </tableStyle>
    <tableStyle name="Jul 7 - Jul 13-style 13" pivot="0" count="2" xr9:uid="{499DEF61-66AA-4D34-B120-F099DFC0EB5A}">
      <tableStyleElement type="firstRowStripe" dxfId="153"/>
      <tableStyleElement type="secondRowStripe" dxfId="152"/>
    </tableStyle>
    <tableStyle name="Jul 21 - Jul 27-style 3" pivot="0" count="2" xr9:uid="{6F83DEF1-1C5C-42BF-A3DA-96BC6E883639}">
      <tableStyleElement type="firstRowStripe" dxfId="155"/>
      <tableStyleElement type="secondRowStripe" dxfId="154"/>
    </tableStyle>
    <tableStyle name="Jul 21 - Jul 27-style 5" pivot="0" count="2" xr9:uid="{8A26A82D-2BD9-4F13-84D3-1B315CA2A390}">
      <tableStyleElement type="firstRowStripe" dxfId="157"/>
      <tableStyleElement type="secondRowStripe" dxfId="156"/>
    </tableStyle>
    <tableStyle name="Jul 21 - Jul 27-style 7" pivot="0" count="2" xr9:uid="{13897F64-9A9F-4867-9E1C-A5B76E71E3CB}">
      <tableStyleElement type="firstRowStripe" dxfId="159"/>
      <tableStyleElement type="secondRowStripe" dxfId="158"/>
    </tableStyle>
    <tableStyle name="Jul 21 - Jul 27-style 10" pivot="0" count="2" xr9:uid="{DB5F685F-7C0A-49D8-A3FA-22BE8F4309F3}">
      <tableStyleElement type="firstRowStripe" dxfId="161"/>
      <tableStyleElement type="secondRowStripe" dxfId="160"/>
    </tableStyle>
    <tableStyle name="Jul 21 - Jul 27-style 13" pivot="0" count="2" xr9:uid="{7EDDE4B8-3BAC-4E35-81AF-96B8591E953E}">
      <tableStyleElement type="firstRowStripe" dxfId="163"/>
      <tableStyleElement type="secondRowStripe" dxfId="162"/>
    </tableStyle>
    <tableStyle name="Jul 21 - Jul 27-style 15" pivot="0" count="2" xr9:uid="{F0309876-45F1-4599-936B-B7D096B59BCB}">
      <tableStyleElement type="firstRowStripe" dxfId="165"/>
      <tableStyleElement type="secondRowStripe" dxfId="164"/>
    </tableStyle>
    <tableStyle name="Jul 21 - Jul 27-style 20" pivot="0" count="2" xr9:uid="{2C3FCDCB-4318-4108-95C7-0C4112733F79}">
      <tableStyleElement type="firstRowStripe" dxfId="167"/>
      <tableStyleElement type="secondRowStripe" dxfId="166"/>
    </tableStyle>
    <tableStyle name="Jul 21 - Jul 27-style 21" pivot="0" count="2" xr9:uid="{9BE077BB-640D-4A85-A7DC-471F38AD3C8D}">
      <tableStyleElement type="firstRowStripe" dxfId="169"/>
      <tableStyleElement type="secondRowStripe" dxfId="168"/>
    </tableStyle>
    <tableStyle name="Jul 21 - Jul 27-style 22" pivot="0" count="2" xr9:uid="{4814DFF8-C0D9-4AB8-9B8E-662E2AAFC4D6}">
      <tableStyleElement type="firstRowStripe" dxfId="171"/>
      <tableStyleElement type="secondRowStripe" dxfId="170"/>
    </tableStyle>
    <tableStyle name="Jul 21 - Jul 27-style 24" pivot="0" count="2" xr9:uid="{DAFB3FC0-28C1-4B2A-95E2-98B92BF548A6}">
      <tableStyleElement type="firstRowStripe" dxfId="173"/>
      <tableStyleElement type="secondRowStripe" dxfId="172"/>
    </tableStyle>
    <tableStyle name="Jul 21 - Jul 27-style 31" pivot="0" count="2" xr9:uid="{7A312744-8125-4CF5-9D5E-1377B76CA4AB}">
      <tableStyleElement type="firstRowStripe" dxfId="175"/>
      <tableStyleElement type="secondRowStripe" dxfId="174"/>
    </tableStyle>
    <tableStyle name="Jul 21 - Jul 27-style 33" pivot="0" count="2" xr9:uid="{7E7A1D0D-C5C2-48BB-AB3C-E6840B79F905}">
      <tableStyleElement type="firstRowStripe" dxfId="177"/>
      <tableStyleElement type="secondRowStripe" dxfId="176"/>
    </tableStyle>
    <tableStyle name="Jul 21 - Jul 27-style 4" pivot="0" count="2" xr9:uid="{FB163938-D3F9-4843-91E6-0B9975A1328B}">
      <tableStyleElement type="firstRowStripe" dxfId="179"/>
      <tableStyleElement type="secondRowStripe" dxfId="178"/>
    </tableStyle>
    <tableStyle name="Jul 21 - Jul 27-style 6" pivot="0" count="2" xr9:uid="{3813D8B7-F2DD-4213-98FE-E20DC13C1D74}">
      <tableStyleElement type="firstRowStripe" dxfId="181"/>
      <tableStyleElement type="secondRowStripe" dxfId="180"/>
    </tableStyle>
    <tableStyle name="Jul 21 - Jul 27-style 8" pivot="0" count="2" xr9:uid="{C03C303B-F23C-47E0-92CB-44DC92F36C69}">
      <tableStyleElement type="firstRowStripe" dxfId="183"/>
      <tableStyleElement type="secondRowStripe" dxfId="182"/>
    </tableStyle>
    <tableStyle name="Jul 21 - Jul 27-style 11" pivot="0" count="2" xr9:uid="{CEF152AE-AD45-48F7-8E48-0BC2EF084678}">
      <tableStyleElement type="firstRowStripe" dxfId="185"/>
      <tableStyleElement type="secondRowStripe" dxfId="184"/>
    </tableStyle>
    <tableStyle name="Jul 21 - Jul 27-style 12" pivot="0" count="2" xr9:uid="{82B20FED-4262-4ED0-93F4-72C2CDF2BF99}">
      <tableStyleElement type="firstRowStripe" dxfId="187"/>
      <tableStyleElement type="secondRowStripe" dxfId="186"/>
    </tableStyle>
    <tableStyle name="Jul 21 - Jul 27-style 28" pivot="0" count="2" xr9:uid="{0CF0E980-A202-42DD-BE07-676A9507126B}">
      <tableStyleElement type="firstRowStripe" dxfId="189"/>
      <tableStyleElement type="secondRowStripe" dxfId="188"/>
    </tableStyle>
    <tableStyle name="Jul 21 - Jul 27-style 34" pivot="0" count="2" xr9:uid="{24E513D9-23C9-4DBD-82A5-860B702AEF3D}">
      <tableStyleElement type="firstRowStripe" dxfId="191"/>
      <tableStyleElement type="secondRowStripe" dxfId="190"/>
    </tableStyle>
    <tableStyle name="Jul 21 - Jul 27-style 2" pivot="0" count="2" xr9:uid="{9A00F784-F437-4CC5-997E-6BB1449D5904}">
      <tableStyleElement type="firstRowStripe" dxfId="193"/>
      <tableStyleElement type="secondRowStripe" dxfId="192"/>
    </tableStyle>
    <tableStyle name="Jul 21 - Jul 27-style 9" pivot="0" count="2" xr9:uid="{15B14513-0148-4797-8257-12F7C6B9CD97}">
      <tableStyleElement type="firstRowStripe" dxfId="195"/>
      <tableStyleElement type="secondRowStripe" dxfId="194"/>
    </tableStyle>
    <tableStyle name="Jul 21 - Jul 27-style 29" pivot="0" count="2" xr9:uid="{C48EC411-EB15-4A1A-BDDD-97964A760840}">
      <tableStyleElement type="firstRowStripe" dxfId="197"/>
      <tableStyleElement type="secondRowStripe" dxfId="196"/>
    </tableStyle>
    <tableStyle name="Jul 21 - Jul 27-style 30" pivot="0" count="2" xr9:uid="{0B9DF3CA-3B7C-467C-B78D-68E7274C8C6A}">
      <tableStyleElement type="firstRowStripe" dxfId="199"/>
      <tableStyleElement type="secondRowStripe" dxfId="198"/>
    </tableStyle>
    <tableStyle name="Jul 21 - Jul 27-style 32" pivot="0" count="2" xr9:uid="{978A730F-E7EE-44D8-A150-91A7E7095E1C}">
      <tableStyleElement type="firstRowStripe" dxfId="201"/>
      <tableStyleElement type="secondRowStripe" dxfId="200"/>
    </tableStyle>
    <tableStyle name="Jul 21 - Jul 27-style 35" pivot="0" count="2" xr9:uid="{9A1550E2-979E-4D01-9E05-00AC3F61368F}">
      <tableStyleElement type="firstRowStripe" dxfId="203"/>
      <tableStyleElement type="secondRowStripe" dxfId="202"/>
    </tableStyle>
    <tableStyle name="Jul 21 - Jul 27-style 16" pivot="0" count="2" xr9:uid="{02259B43-3895-48C3-AABE-1CE154448560}">
      <tableStyleElement type="firstRowStripe" dxfId="205"/>
      <tableStyleElement type="secondRowStripe" dxfId="204"/>
    </tableStyle>
    <tableStyle name="Jul 21 - Jul 27-style 26" pivot="0" count="2" xr9:uid="{296CB43A-4F34-4767-A8F6-7242159B1DCD}">
      <tableStyleElement type="firstRowStripe" dxfId="207"/>
      <tableStyleElement type="secondRowStripe" dxfId="206"/>
    </tableStyle>
    <tableStyle name="Jul 21 - Jul 27-style 27" pivot="0" count="2" xr9:uid="{8219B6BF-A143-467B-8223-9570AA09DE31}">
      <tableStyleElement type="firstRowStripe" dxfId="209"/>
      <tableStyleElement type="secondRowStripe" dxfId="208"/>
    </tableStyle>
    <tableStyle name="Jul 21 - Jul 27-style 17" pivot="0" count="2" xr9:uid="{228FD69D-57F2-4EA8-868E-5E29FE5D6FC4}">
      <tableStyleElement type="firstRowStripe" dxfId="211"/>
      <tableStyleElement type="secondRowStripe" dxfId="210"/>
    </tableStyle>
    <tableStyle name="Jul 21 - Jul 27-style 25" pivot="0" count="2" xr9:uid="{F7EE949A-88E5-475C-8217-C7D026CDF92D}">
      <tableStyleElement type="firstRowStripe" dxfId="213"/>
      <tableStyleElement type="secondRowStripe" dxfId="212"/>
    </tableStyle>
    <tableStyle name="Jul 21 - Jul 27-style 40" pivot="0" count="2" xr9:uid="{9338FB22-3D2A-43D8-AD10-22F7BC54F2E6}">
      <tableStyleElement type="firstRowStripe" dxfId="215"/>
      <tableStyleElement type="secondRowStripe" dxfId="214"/>
    </tableStyle>
    <tableStyle name="Jul 21 - Jul 27-style 43" pivot="0" count="2" xr9:uid="{43F59082-5581-4F9B-BF6F-8B34F7740AF4}">
      <tableStyleElement type="firstRowStripe" dxfId="217"/>
      <tableStyleElement type="secondRowStripe" dxfId="216"/>
    </tableStyle>
    <tableStyle name="Jul 21 - Jul 27-style 41" pivot="0" count="2" xr9:uid="{78FDC659-EAB3-456E-92BE-FBD9564B987B}">
      <tableStyleElement type="firstRowStripe" dxfId="219"/>
      <tableStyleElement type="secondRowStripe" dxfId="218"/>
    </tableStyle>
    <tableStyle name="Jul 21 - Jul 27-style 42" pivot="0" count="2" xr9:uid="{310A9809-C81F-4C43-8651-7EBE7DBF6C06}">
      <tableStyleElement type="firstRowStripe" dxfId="221"/>
      <tableStyleElement type="secondRowStripe" dxfId="220"/>
    </tableStyle>
    <tableStyle name="Jul 21 - Jul 27-style 44" pivot="0" count="2" xr9:uid="{33DBE9EF-F649-433E-BF51-CB0E17B82827}">
      <tableStyleElement type="firstRowStripe" dxfId="223"/>
      <tableStyleElement type="secondRowStripe" dxfId="222"/>
    </tableStyle>
    <tableStyle name="Jul 28 - Aug 3-style 3" pivot="0" count="2" xr9:uid="{57057A54-5B13-4D2E-927D-C74BC5EEC196}">
      <tableStyleElement type="firstRowStripe" dxfId="225"/>
      <tableStyleElement type="secondRowStripe" dxfId="224"/>
    </tableStyle>
    <tableStyle name="Jul 28 - Aug 3-style 5" pivot="0" count="2" xr9:uid="{6B68304F-67F2-4167-93E7-E306E0F1657C}">
      <tableStyleElement type="firstRowStripe" dxfId="227"/>
      <tableStyleElement type="secondRowStripe" dxfId="226"/>
    </tableStyle>
    <tableStyle name="Jul 28 - Aug 3-style 7" pivot="0" count="2" xr9:uid="{26D2BC3D-1EF1-4E1E-B13F-609F8D5DE826}">
      <tableStyleElement type="firstRowStripe" dxfId="229"/>
      <tableStyleElement type="secondRowStripe" dxfId="228"/>
    </tableStyle>
    <tableStyle name="Jul 28 - Aug 3-style 10" pivot="0" count="2" xr9:uid="{E1A4A20E-BB15-47E2-9139-9D37FC9A507E}">
      <tableStyleElement type="firstRowStripe" dxfId="231"/>
      <tableStyleElement type="secondRowStripe" dxfId="230"/>
    </tableStyle>
    <tableStyle name="Jul 28 - Aug 3-style 13" pivot="0" count="2" xr9:uid="{9F0280B3-2BC1-49F7-8F4C-F97D8493C603}">
      <tableStyleElement type="firstRowStripe" dxfId="233"/>
      <tableStyleElement type="secondRowStripe" dxfId="232"/>
    </tableStyle>
    <tableStyle name="Jul 28 - Aug 3-style 15" pivot="0" count="2" xr9:uid="{1F847CD2-A311-4499-ADD6-EBFDFF2413C5}">
      <tableStyleElement type="firstRowStripe" dxfId="235"/>
      <tableStyleElement type="secondRowStripe" dxfId="234"/>
    </tableStyle>
    <tableStyle name="Jul 28 - Aug 3-style 20" pivot="0" count="2" xr9:uid="{98A91178-DCF2-4A51-92EA-552828388866}">
      <tableStyleElement type="firstRowStripe" dxfId="237"/>
      <tableStyleElement type="secondRowStripe" dxfId="236"/>
    </tableStyle>
    <tableStyle name="Jul 28 - Aug 3-style 21" pivot="0" count="2" xr9:uid="{5E4338DD-7911-48B4-A2AB-27DCCB0445CF}">
      <tableStyleElement type="firstRowStripe" dxfId="239"/>
      <tableStyleElement type="secondRowStripe" dxfId="238"/>
    </tableStyle>
    <tableStyle name="Jul 28 - Aug 3-style 22" pivot="0" count="2" xr9:uid="{AB8DF90A-15AB-4A5D-8A5E-C0AAD35FF756}">
      <tableStyleElement type="firstRowStripe" dxfId="241"/>
      <tableStyleElement type="secondRowStripe" dxfId="240"/>
    </tableStyle>
    <tableStyle name="Jul 28 - Aug 3-style 23" pivot="0" count="2" xr9:uid="{00F8E300-D68C-4954-AB74-8B4E82E118C6}">
      <tableStyleElement type="firstRowStripe" dxfId="243"/>
      <tableStyleElement type="secondRowStripe" dxfId="242"/>
    </tableStyle>
    <tableStyle name="Jul 28 - Aug 3-style 24" pivot="0" count="2" xr9:uid="{1102276A-F638-4A76-A22D-4C395243296D}">
      <tableStyleElement type="firstRowStripe" dxfId="245"/>
      <tableStyleElement type="secondRowStripe" dxfId="244"/>
    </tableStyle>
    <tableStyle name="Jul 28 - Aug 3-style 26" pivot="0" count="2" xr9:uid="{C308844F-1828-45D8-8788-EF01F692A685}">
      <tableStyleElement type="firstRowStripe" dxfId="247"/>
      <tableStyleElement type="secondRowStripe" dxfId="246"/>
    </tableStyle>
    <tableStyle name="Jul 28 - Aug 3-style 34" pivot="0" count="2" xr9:uid="{E16CF39D-44FA-4E0D-9489-0F571587B303}">
      <tableStyleElement type="firstRowStripe" dxfId="249"/>
      <tableStyleElement type="secondRowStripe" dxfId="248"/>
    </tableStyle>
    <tableStyle name="Jul 28 - Aug 3-style 36" pivot="0" count="2" xr9:uid="{194A01C6-2C90-43FB-AB5B-27AC0D4EDD13}">
      <tableStyleElement type="firstRowStripe" dxfId="251"/>
      <tableStyleElement type="secondRowStripe" dxfId="250"/>
    </tableStyle>
    <tableStyle name="Jul 28 - Aug 3-style 4" pivot="0" count="2" xr9:uid="{F9754616-8658-4430-B387-35B6735C56DE}">
      <tableStyleElement type="firstRowStripe" dxfId="253"/>
      <tableStyleElement type="secondRowStripe" dxfId="252"/>
    </tableStyle>
    <tableStyle name="Jul 28 - Aug 3-style 6" pivot="0" count="2" xr9:uid="{13BB52C3-42B6-4DB7-859F-38776F95CBDF}">
      <tableStyleElement type="firstRowStripe" dxfId="255"/>
      <tableStyleElement type="secondRowStripe" dxfId="254"/>
    </tableStyle>
    <tableStyle name="Jul 28 - Aug 3-style 8" pivot="0" count="2" xr9:uid="{18B1AD59-B2F4-4C56-A18C-0D0831CDE383}">
      <tableStyleElement type="firstRowStripe" dxfId="257"/>
      <tableStyleElement type="secondRowStripe" dxfId="256"/>
    </tableStyle>
    <tableStyle name="Jul 28 - Aug 3-style 11" pivot="0" count="2" xr9:uid="{7CA3163D-C869-49D8-9F51-9B2AA3435696}">
      <tableStyleElement type="firstRowStripe" dxfId="259"/>
      <tableStyleElement type="secondRowStripe" dxfId="258"/>
    </tableStyle>
    <tableStyle name="Jul 28 - Aug 3-style 12" pivot="0" count="2" xr9:uid="{3F3FEAF6-6926-4D43-B9C1-71627F60B227}">
      <tableStyleElement type="firstRowStripe" dxfId="261"/>
      <tableStyleElement type="secondRowStripe" dxfId="260"/>
    </tableStyle>
    <tableStyle name="Jul 28 - Aug 3-style 31" pivot="0" count="2" xr9:uid="{E24E5192-9B2C-4FAE-920D-0E2FCF03A9AA}">
      <tableStyleElement type="firstRowStripe" dxfId="263"/>
      <tableStyleElement type="secondRowStripe" dxfId="262"/>
    </tableStyle>
    <tableStyle name="Jul 28 - Aug 3-style 37" pivot="0" count="2" xr9:uid="{E3BE1CD7-BEA3-4B18-9F4E-7AAFC8CDB73D}">
      <tableStyleElement type="firstRowStripe" dxfId="265"/>
      <tableStyleElement type="secondRowStripe" dxfId="264"/>
    </tableStyle>
    <tableStyle name="Jul 28 - Aug 3-style 2" pivot="0" count="2" xr9:uid="{01A68484-A878-4987-BF8E-60B1A968DB22}">
      <tableStyleElement type="firstRowStripe" dxfId="267"/>
      <tableStyleElement type="secondRowStripe" dxfId="266"/>
    </tableStyle>
    <tableStyle name="Jul 28 - Aug 3-style 9" pivot="0" count="2" xr9:uid="{B7C98F70-A1EF-41E2-8926-DA103C916B2F}">
      <tableStyleElement type="firstRowStripe" dxfId="269"/>
      <tableStyleElement type="secondRowStripe" dxfId="268"/>
    </tableStyle>
    <tableStyle name="Jul 28 - Aug 3-style 32" pivot="0" count="2" xr9:uid="{78ADAD60-10CD-4892-8A9C-D46D078FB736}">
      <tableStyleElement type="firstRowStripe" dxfId="271"/>
      <tableStyleElement type="secondRowStripe" dxfId="270"/>
    </tableStyle>
    <tableStyle name="Jul 28 - Aug 3-style 33" pivot="0" count="2" xr9:uid="{0AAAFCA4-A5F2-4CAF-B010-4CCAF690EB1E}">
      <tableStyleElement type="firstRowStripe" dxfId="273"/>
      <tableStyleElement type="secondRowStripe" dxfId="272"/>
    </tableStyle>
    <tableStyle name="Jul 28 - Aug 3-style 35" pivot="0" count="2" xr9:uid="{1B170BA6-C1FE-4D62-B969-DB53B158DF3C}">
      <tableStyleElement type="firstRowStripe" dxfId="275"/>
      <tableStyleElement type="secondRowStripe" dxfId="274"/>
    </tableStyle>
    <tableStyle name="Jul 28 - Aug 3-style 38" pivot="0" count="2" xr9:uid="{49D7A479-D902-4985-834E-81ABBF238477}">
      <tableStyleElement type="firstRowStripe" dxfId="277"/>
      <tableStyleElement type="secondRowStripe" dxfId="276"/>
    </tableStyle>
    <tableStyle name="Jul 28 - Aug 3-style 39" pivot="0" count="2" xr9:uid="{FA629885-DDD3-49CB-B0C9-CCDAE7E24790}">
      <tableStyleElement type="firstRowStripe" dxfId="279"/>
      <tableStyleElement type="secondRowStripe" dxfId="278"/>
    </tableStyle>
    <tableStyle name="Jul 28 - Aug 3-style 16" pivot="0" count="2" xr9:uid="{72340178-003C-4C3D-980E-D72E6157FEBB}">
      <tableStyleElement type="firstRowStripe" dxfId="281"/>
      <tableStyleElement type="secondRowStripe" dxfId="280"/>
    </tableStyle>
    <tableStyle name="Jul 28 - Aug 3-style 28" pivot="0" count="2" xr9:uid="{37024544-94BE-4869-BEEA-6A0D19599E29}">
      <tableStyleElement type="firstRowStripe" dxfId="283"/>
      <tableStyleElement type="secondRowStripe" dxfId="282"/>
    </tableStyle>
    <tableStyle name="Jul 28 - Aug 3-style 29" pivot="0" count="2" xr9:uid="{984E9201-7EC2-4460-BA88-97527E39750D}">
      <tableStyleElement type="firstRowStripe" dxfId="285"/>
      <tableStyleElement type="secondRowStripe" dxfId="284"/>
    </tableStyle>
    <tableStyle name="Jul 28 - Aug 3-style 30" pivot="0" count="2" xr9:uid="{707D5986-CF8C-43D7-99A7-C9FCA3E01BE7}">
      <tableStyleElement type="firstRowStripe" dxfId="287"/>
      <tableStyleElement type="secondRowStripe" dxfId="286"/>
    </tableStyle>
    <tableStyle name="Jul 28 - Aug 3-style 17" pivot="0" count="2" xr9:uid="{46EFEAC9-0486-45DE-96C6-209352B7716C}">
      <tableStyleElement type="firstRowStripe" dxfId="289"/>
      <tableStyleElement type="secondRowStripe" dxfId="288"/>
    </tableStyle>
    <tableStyle name="Jul 28 - Aug 3-style 27" pivot="0" count="2" xr9:uid="{F1390FCF-FAB8-4C54-84D3-36E95B7E17A6}">
      <tableStyleElement type="firstRowStripe" dxfId="291"/>
      <tableStyleElement type="secondRowStripe" dxfId="290"/>
    </tableStyle>
    <tableStyle name="Jul 28 - Aug 3-style 45" pivot="0" count="2" xr9:uid="{27123F34-9E4B-48CB-B495-32770F4A9E20}">
      <tableStyleElement type="firstRowStripe" dxfId="293"/>
      <tableStyleElement type="secondRowStripe" dxfId="292"/>
    </tableStyle>
    <tableStyle name="Jul 28 - Aug 3-style 48" pivot="0" count="2" xr9:uid="{AEFA1C96-C760-435F-BB9F-118684AC9ABA}">
      <tableStyleElement type="firstRowStripe" dxfId="295"/>
      <tableStyleElement type="secondRowStripe" dxfId="294"/>
    </tableStyle>
    <tableStyle name="Jul 28 - Aug 3-style 44" pivot="0" count="2" xr9:uid="{1633EA28-BA24-4ACA-A89C-4E5C13E76023}">
      <tableStyleElement type="firstRowStripe" dxfId="297"/>
      <tableStyleElement type="secondRowStripe" dxfId="296"/>
    </tableStyle>
    <tableStyle name="Jul 28 - Aug 3-style 46" pivot="0" count="2" xr9:uid="{F19E9B36-9913-4F31-8DC1-F0C354DE1132}">
      <tableStyleElement type="firstRowStripe" dxfId="299"/>
      <tableStyleElement type="secondRowStripe" dxfId="298"/>
    </tableStyle>
    <tableStyle name="Jul 28 - Aug 3-style 47" pivot="0" count="2" xr9:uid="{203A492E-F5B8-4C92-B117-6B751F9699B7}">
      <tableStyleElement type="firstRowStripe" dxfId="301"/>
      <tableStyleElement type="secondRowStripe" dxfId="300"/>
    </tableStyle>
    <tableStyle name="Jul 28 - Aug 3-style 49" pivot="0" count="2" xr9:uid="{B62E7875-1AA6-4804-8926-77EFE86225E1}">
      <tableStyleElement type="firstRowStripe" dxfId="303"/>
      <tableStyleElement type="secondRowStripe" dxfId="302"/>
    </tableStyle>
    <tableStyle name="Jul 28 - Aug 3-style 50" pivot="0" count="2" xr9:uid="{998DB99F-ACF0-46E4-B83A-76AE102AB897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009" workbookViewId="0">
      <selection activeCell="A1018" sqref="$A1018:$XFD1018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29</v>
      </c>
      <c r="C253" s="39" t="s">
        <v>30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22</v>
      </c>
      <c r="C255" s="39" t="s">
        <v>23</v>
      </c>
      <c r="D255" s="39" t="s">
        <v>362</v>
      </c>
      <c r="E255" s="40">
        <v>1090878414</v>
      </c>
      <c r="F255" s="39" t="s">
        <v>363</v>
      </c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381</v>
      </c>
      <c r="C272" s="39" t="s">
        <v>30</v>
      </c>
      <c r="D272" s="39" t="s">
        <v>382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383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384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385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386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387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388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389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390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391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392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393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394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395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396</v>
      </c>
      <c r="E286" s="40" t="s">
        <v>397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398</v>
      </c>
      <c r="E287" s="40" t="s">
        <v>399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400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401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402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403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404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405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406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407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408</v>
      </c>
      <c r="E296" s="40">
        <v>1095126666</v>
      </c>
      <c r="F296" s="39"/>
    </row>
    <row r="297" spans="1:6">
      <c r="A297" s="39">
        <v>10322035</v>
      </c>
      <c r="B297" s="39" t="s">
        <v>409</v>
      </c>
      <c r="C297" s="39" t="s">
        <v>151</v>
      </c>
      <c r="D297" s="39" t="s">
        <v>410</v>
      </c>
      <c r="E297" s="40" t="s">
        <v>411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412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413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414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415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416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417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418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419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420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421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422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423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424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425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426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427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428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429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430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431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432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433</v>
      </c>
      <c r="E319" s="40">
        <v>1115383753</v>
      </c>
      <c r="F319" s="39"/>
    </row>
    <row r="320" spans="1:6">
      <c r="A320" s="39">
        <v>10331637</v>
      </c>
      <c r="B320" s="39" t="s">
        <v>434</v>
      </c>
      <c r="C320" s="39" t="s">
        <v>16</v>
      </c>
      <c r="D320" s="39" t="s">
        <v>435</v>
      </c>
      <c r="E320" s="40" t="s">
        <v>436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437</v>
      </c>
      <c r="E321" s="40">
        <v>1124486001</v>
      </c>
      <c r="F321" s="39"/>
    </row>
    <row r="322" spans="1:6">
      <c r="A322" s="39">
        <v>10331627</v>
      </c>
      <c r="B322" s="39" t="s">
        <v>134</v>
      </c>
      <c r="C322" s="39" t="s">
        <v>40</v>
      </c>
      <c r="D322" s="39" t="s">
        <v>438</v>
      </c>
      <c r="E322" s="40" t="s">
        <v>439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440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441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442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443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444</v>
      </c>
      <c r="E327" s="40" t="s">
        <v>445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446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447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448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449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450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451</v>
      </c>
      <c r="E333" s="40" t="s">
        <v>452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453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454</v>
      </c>
      <c r="E335" s="40">
        <v>1014256234</v>
      </c>
      <c r="F335" s="39"/>
    </row>
    <row r="336" spans="1:6">
      <c r="A336" s="39">
        <v>10292112</v>
      </c>
      <c r="B336" s="39" t="s">
        <v>455</v>
      </c>
      <c r="C336" s="39" t="s">
        <v>151</v>
      </c>
      <c r="D336" s="39" t="s">
        <v>456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457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458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459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460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461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462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463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464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465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466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467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468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469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470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471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472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473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474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475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476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477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478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479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480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481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482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483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484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485</v>
      </c>
      <c r="E366" s="40">
        <v>1121822251</v>
      </c>
      <c r="F366" s="39"/>
    </row>
    <row r="367" spans="1:6">
      <c r="A367" s="39">
        <v>10240270</v>
      </c>
      <c r="B367" s="39" t="s">
        <v>409</v>
      </c>
      <c r="C367" s="39" t="s">
        <v>151</v>
      </c>
      <c r="D367" s="39" t="s">
        <v>486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487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488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489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490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491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492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493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494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495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496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497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498</v>
      </c>
      <c r="E379" s="40" t="s">
        <v>499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500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501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502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503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504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505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506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507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508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509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510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511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512</v>
      </c>
      <c r="E392" s="40" t="s">
        <v>513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514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515</v>
      </c>
      <c r="E394" s="40" t="s">
        <v>516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517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518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519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520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521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466</v>
      </c>
      <c r="E400" s="40" t="s">
        <v>522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523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524</v>
      </c>
      <c r="E402" s="40" t="s">
        <v>525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526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527</v>
      </c>
      <c r="E404" s="40" t="s">
        <v>528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529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530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531</v>
      </c>
      <c r="E407" s="40" t="s">
        <v>532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533</v>
      </c>
      <c r="E408" s="40" t="s">
        <v>534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535</v>
      </c>
      <c r="E409" s="40" t="s">
        <v>536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537</v>
      </c>
      <c r="E410" s="40" t="s">
        <v>538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539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540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541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542</v>
      </c>
      <c r="E414" s="40">
        <v>1508459958</v>
      </c>
      <c r="F414" s="39"/>
    </row>
    <row r="415" spans="1:6">
      <c r="A415" s="39">
        <v>10273349</v>
      </c>
      <c r="B415" s="39" t="s">
        <v>543</v>
      </c>
      <c r="C415" s="39" t="s">
        <v>151</v>
      </c>
      <c r="D415" s="39" t="s">
        <v>544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545</v>
      </c>
      <c r="E416" s="40">
        <v>1127552530</v>
      </c>
      <c r="F416" s="39" t="s">
        <v>363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546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547</v>
      </c>
      <c r="E418" s="40" t="s">
        <v>548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549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550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551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552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553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537</v>
      </c>
      <c r="E424" s="40" t="s">
        <v>538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539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540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554</v>
      </c>
      <c r="E427" s="40">
        <v>1025613339</v>
      </c>
      <c r="F427" s="39"/>
    </row>
    <row r="428" spans="1:6">
      <c r="A428" s="39">
        <v>10333416</v>
      </c>
      <c r="B428" s="39" t="s">
        <v>381</v>
      </c>
      <c r="C428" s="39" t="s">
        <v>30</v>
      </c>
      <c r="D428" s="39" t="s">
        <v>555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556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557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558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559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560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561</v>
      </c>
      <c r="E434" s="40" t="s">
        <v>562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563</v>
      </c>
      <c r="E435" s="40" t="s">
        <v>564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565</v>
      </c>
      <c r="E436" s="40" t="s">
        <v>566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489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567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568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569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570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571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572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573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574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575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576</v>
      </c>
      <c r="E448" s="40">
        <v>1090766789</v>
      </c>
      <c r="F448" s="39"/>
    </row>
    <row r="449" spans="1:6">
      <c r="A449" s="39">
        <v>10331809</v>
      </c>
      <c r="B449" s="39" t="s">
        <v>577</v>
      </c>
      <c r="C449" s="39" t="s">
        <v>27</v>
      </c>
      <c r="D449" s="39" t="s">
        <v>578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579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580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581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582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583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584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585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586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587</v>
      </c>
      <c r="E458" s="40" t="s">
        <v>588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589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590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591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592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593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594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595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596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597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598</v>
      </c>
      <c r="E468" s="40">
        <v>1093161776</v>
      </c>
      <c r="F468" s="39"/>
    </row>
    <row r="469" spans="1:6">
      <c r="A469" s="39">
        <v>10333938</v>
      </c>
      <c r="B469" s="39" t="s">
        <v>599</v>
      </c>
      <c r="C469" s="39" t="s">
        <v>76</v>
      </c>
      <c r="D469" s="39" t="s">
        <v>600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601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602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603</v>
      </c>
      <c r="E472" s="40">
        <v>1065353669</v>
      </c>
      <c r="F472" s="39"/>
    </row>
    <row r="473" spans="1:6">
      <c r="A473" s="39">
        <v>10333973</v>
      </c>
      <c r="B473" s="39" t="s">
        <v>434</v>
      </c>
      <c r="C473" s="39" t="s">
        <v>434</v>
      </c>
      <c r="D473" s="39" t="s">
        <v>604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605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606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607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608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609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610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611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612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613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614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615</v>
      </c>
      <c r="E484" s="40" t="s">
        <v>616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617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618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619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620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621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622</v>
      </c>
      <c r="E490" s="40" t="s">
        <v>623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624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625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626</v>
      </c>
      <c r="E493" s="40" t="s">
        <v>627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628</v>
      </c>
      <c r="E494" s="40" t="s">
        <v>629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630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631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632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633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634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635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636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637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638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639</v>
      </c>
      <c r="E505" s="40" t="s">
        <v>640</v>
      </c>
      <c r="F505" s="39"/>
    </row>
    <row r="506" spans="1:6">
      <c r="A506" s="39">
        <v>10334497</v>
      </c>
      <c r="B506" s="39" t="s">
        <v>599</v>
      </c>
      <c r="C506" s="39" t="s">
        <v>76</v>
      </c>
      <c r="D506" s="39" t="s">
        <v>641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642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643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644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645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646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647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648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649</v>
      </c>
      <c r="E514" s="40" t="s">
        <v>650</v>
      </c>
      <c r="F514" s="39"/>
    </row>
    <row r="515" spans="1:6">
      <c r="A515" s="39">
        <v>10334668</v>
      </c>
      <c r="B515" s="39" t="s">
        <v>113</v>
      </c>
      <c r="C515" s="39" t="s">
        <v>95</v>
      </c>
      <c r="D515" s="39" t="s">
        <v>651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652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653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654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655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656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657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658</v>
      </c>
      <c r="E522" s="40" t="s">
        <v>659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660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661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662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663</v>
      </c>
      <c r="E526" s="40">
        <v>1276595561</v>
      </c>
      <c r="F526" s="39"/>
    </row>
    <row r="527" spans="1:6">
      <c r="A527" s="39">
        <v>10334829</v>
      </c>
      <c r="B527" s="39" t="s">
        <v>434</v>
      </c>
      <c r="C527" s="39" t="s">
        <v>434</v>
      </c>
      <c r="D527" s="39" t="s">
        <v>664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665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666</v>
      </c>
      <c r="E529" s="40" t="s">
        <v>667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668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601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669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466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670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671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672</v>
      </c>
      <c r="E536" s="40" t="s">
        <v>673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674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675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676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677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678</v>
      </c>
      <c r="E541" s="40" t="s">
        <v>679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680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681</v>
      </c>
      <c r="E543" s="40" t="s">
        <v>682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683</v>
      </c>
      <c r="E544" s="40">
        <v>1093159095</v>
      </c>
      <c r="F544" s="39"/>
    </row>
    <row r="545" spans="1:6">
      <c r="A545" s="39">
        <v>10334705</v>
      </c>
      <c r="B545" s="39" t="s">
        <v>434</v>
      </c>
      <c r="C545" s="39" t="s">
        <v>434</v>
      </c>
      <c r="D545" s="39" t="s">
        <v>684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685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686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687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688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689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690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691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692</v>
      </c>
      <c r="E553" s="40">
        <v>1158665484</v>
      </c>
      <c r="F553" s="39"/>
    </row>
    <row r="554" spans="1:6">
      <c r="A554" s="39">
        <v>10334788</v>
      </c>
      <c r="B554" s="39" t="s">
        <v>409</v>
      </c>
      <c r="C554" s="39" t="s">
        <v>151</v>
      </c>
      <c r="D554" s="39" t="s">
        <v>693</v>
      </c>
      <c r="E554" s="40">
        <v>1129654772</v>
      </c>
      <c r="F554" s="39"/>
    </row>
    <row r="555" spans="1:6">
      <c r="A555" s="39">
        <v>10334700</v>
      </c>
      <c r="B555" s="39" t="s">
        <v>409</v>
      </c>
      <c r="C555" s="39" t="s">
        <v>151</v>
      </c>
      <c r="D555" s="39" t="s">
        <v>694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695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696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697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698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699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700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701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702</v>
      </c>
      <c r="E563" s="40" t="s">
        <v>703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704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705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706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707</v>
      </c>
      <c r="E567" s="40" t="s">
        <v>708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709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710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711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712</v>
      </c>
      <c r="E571" s="40" t="s">
        <v>713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714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715</v>
      </c>
      <c r="E573" s="40" t="s">
        <v>716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717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718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719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720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721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722</v>
      </c>
      <c r="E579" s="40">
        <v>1129619680</v>
      </c>
      <c r="F579" s="39"/>
    </row>
    <row r="580" spans="1:6">
      <c r="A580" s="39">
        <v>10335066</v>
      </c>
      <c r="B580" s="39" t="s">
        <v>381</v>
      </c>
      <c r="C580" s="39" t="s">
        <v>30</v>
      </c>
      <c r="D580" s="39" t="s">
        <v>723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724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725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726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727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728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729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730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731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732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733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734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735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736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737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738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739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740</v>
      </c>
      <c r="E597" s="40" t="s">
        <v>741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742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743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744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745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746</v>
      </c>
      <c r="E603" s="40"/>
      <c r="F603" s="39"/>
    </row>
    <row r="604" spans="1:6">
      <c r="A604" s="39">
        <v>10334469</v>
      </c>
      <c r="B604" s="39" t="s">
        <v>599</v>
      </c>
      <c r="C604" s="39" t="s">
        <v>76</v>
      </c>
      <c r="D604" s="39" t="s">
        <v>747</v>
      </c>
      <c r="E604" s="40">
        <v>1147359910</v>
      </c>
      <c r="F604" s="39"/>
    </row>
    <row r="605" spans="1:6">
      <c r="A605" s="39">
        <v>10334374</v>
      </c>
      <c r="B605" s="39" t="s">
        <v>434</v>
      </c>
      <c r="C605" s="39" t="s">
        <v>434</v>
      </c>
      <c r="D605" s="39" t="s">
        <v>748</v>
      </c>
      <c r="E605" s="40"/>
      <c r="F605" s="39"/>
    </row>
    <row r="606" spans="1:6">
      <c r="A606" s="39">
        <v>10334401</v>
      </c>
      <c r="B606" s="39" t="s">
        <v>434</v>
      </c>
      <c r="C606" s="39" t="s">
        <v>434</v>
      </c>
      <c r="D606" s="39" t="s">
        <v>749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750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751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752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753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754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755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756</v>
      </c>
      <c r="E613" s="40">
        <v>1006296446</v>
      </c>
      <c r="F613" s="39"/>
    </row>
    <row r="614" spans="1:6">
      <c r="A614" s="39">
        <v>10335593</v>
      </c>
      <c r="B614" s="39" t="s">
        <v>455</v>
      </c>
      <c r="C614" s="39" t="s">
        <v>151</v>
      </c>
      <c r="D614" s="39" t="s">
        <v>757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758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759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760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761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762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763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764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765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766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767</v>
      </c>
      <c r="E624" s="40">
        <v>1001272857</v>
      </c>
      <c r="F624" s="39"/>
    </row>
    <row r="625" spans="1:6">
      <c r="A625" s="39">
        <v>10333540</v>
      </c>
      <c r="B625" s="39" t="s">
        <v>434</v>
      </c>
      <c r="C625" s="39" t="s">
        <v>434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768</v>
      </c>
      <c r="C626" s="39" t="s">
        <v>67</v>
      </c>
      <c r="D626" s="39" t="s">
        <v>769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770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771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772</v>
      </c>
      <c r="E629" s="40" t="s">
        <v>773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774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775</v>
      </c>
      <c r="E631" s="40" t="s">
        <v>776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777</v>
      </c>
      <c r="E632" s="40">
        <v>1143961842</v>
      </c>
      <c r="F632" s="39"/>
    </row>
    <row r="633" spans="1:6">
      <c r="A633" s="39">
        <v>10279726</v>
      </c>
      <c r="B633" s="39" t="s">
        <v>778</v>
      </c>
      <c r="C633" s="39" t="s">
        <v>67</v>
      </c>
      <c r="D633" s="39" t="s">
        <v>779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780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781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782</v>
      </c>
      <c r="E636" s="40">
        <v>1110362192</v>
      </c>
      <c r="F636" s="39"/>
    </row>
    <row r="637" spans="1:6">
      <c r="A637" s="39">
        <v>10331731</v>
      </c>
      <c r="B637" s="39" t="s">
        <v>783</v>
      </c>
      <c r="C637" s="39" t="s">
        <v>67</v>
      </c>
      <c r="D637" s="39" t="s">
        <v>784</v>
      </c>
      <c r="E637" s="40">
        <v>1117144146</v>
      </c>
      <c r="F637" s="39"/>
    </row>
    <row r="638" spans="1:6">
      <c r="A638" s="39">
        <v>10333456</v>
      </c>
      <c r="B638" s="39" t="s">
        <v>785</v>
      </c>
      <c r="C638" s="39" t="s">
        <v>67</v>
      </c>
      <c r="D638" s="39" t="s">
        <v>398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786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787</v>
      </c>
      <c r="E640" s="40">
        <v>1500415611</v>
      </c>
      <c r="F640" s="39"/>
    </row>
    <row r="641" spans="1:6">
      <c r="A641" s="39">
        <v>10293172</v>
      </c>
      <c r="B641" s="39" t="s">
        <v>788</v>
      </c>
      <c r="C641" s="39" t="s">
        <v>67</v>
      </c>
      <c r="D641" s="39" t="s">
        <v>789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790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791</v>
      </c>
      <c r="E643" s="40">
        <v>1026111889</v>
      </c>
      <c r="F643" s="39"/>
    </row>
    <row r="644" spans="1:6">
      <c r="A644" s="39">
        <v>10328978</v>
      </c>
      <c r="B644" s="39" t="s">
        <v>792</v>
      </c>
      <c r="C644" s="39" t="s">
        <v>67</v>
      </c>
      <c r="D644" s="39" t="s">
        <v>793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794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795</v>
      </c>
      <c r="E646" s="40">
        <v>1030608437</v>
      </c>
      <c r="F646" s="39"/>
    </row>
    <row r="647" spans="1:6">
      <c r="A647" s="39">
        <v>10307213</v>
      </c>
      <c r="B647" s="39" t="s">
        <v>792</v>
      </c>
      <c r="C647" s="39" t="s">
        <v>67</v>
      </c>
      <c r="D647" s="39" t="s">
        <v>796</v>
      </c>
      <c r="E647" s="40">
        <v>1159029261</v>
      </c>
      <c r="F647" s="39"/>
    </row>
    <row r="648" spans="1:6">
      <c r="A648" s="39">
        <v>10245219</v>
      </c>
      <c r="B648" s="39" t="s">
        <v>768</v>
      </c>
      <c r="C648" s="39" t="s">
        <v>67</v>
      </c>
      <c r="D648" s="39" t="s">
        <v>797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798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799</v>
      </c>
      <c r="E650" s="40">
        <v>1016959510</v>
      </c>
      <c r="F650" s="39"/>
    </row>
    <row r="651" spans="1:6">
      <c r="A651" s="39">
        <v>10330154</v>
      </c>
      <c r="B651" s="39" t="s">
        <v>800</v>
      </c>
      <c r="C651" s="39" t="s">
        <v>67</v>
      </c>
      <c r="D651" s="39" t="s">
        <v>801</v>
      </c>
      <c r="E651" s="40">
        <v>1151747985</v>
      </c>
      <c r="F651" s="39"/>
    </row>
    <row r="652" spans="1:6">
      <c r="A652" s="39">
        <v>10330178</v>
      </c>
      <c r="B652" s="39" t="s">
        <v>802</v>
      </c>
      <c r="C652" s="39" t="s">
        <v>67</v>
      </c>
      <c r="D652" s="39" t="s">
        <v>803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804</v>
      </c>
      <c r="E653" s="40">
        <v>1095039549</v>
      </c>
      <c r="F653" s="39"/>
    </row>
    <row r="654" spans="1:6">
      <c r="A654" s="39">
        <v>10279741</v>
      </c>
      <c r="B654" s="39" t="s">
        <v>778</v>
      </c>
      <c r="C654" s="39" t="s">
        <v>67</v>
      </c>
      <c r="D654" s="39" t="s">
        <v>805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806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807</v>
      </c>
      <c r="E656" s="40">
        <v>1557469961</v>
      </c>
      <c r="F656" s="39"/>
    </row>
    <row r="657" spans="1:6">
      <c r="A657" s="39">
        <v>10326893</v>
      </c>
      <c r="B657" s="39" t="s">
        <v>792</v>
      </c>
      <c r="C657" s="39" t="s">
        <v>67</v>
      </c>
      <c r="D657" s="39" t="s">
        <v>808</v>
      </c>
      <c r="E657" s="40">
        <v>1001386455</v>
      </c>
      <c r="F657" s="39"/>
    </row>
    <row r="658" spans="1:6">
      <c r="A658" s="39">
        <v>10327070</v>
      </c>
      <c r="B658" s="39" t="s">
        <v>146</v>
      </c>
      <c r="C658" s="39" t="s">
        <v>67</v>
      </c>
      <c r="D658" s="39" t="s">
        <v>424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809</v>
      </c>
      <c r="E659" s="40">
        <v>1145096689</v>
      </c>
      <c r="F659" s="39"/>
    </row>
    <row r="660" spans="1:6">
      <c r="A660" s="39">
        <v>10327103</v>
      </c>
      <c r="B660" s="39" t="s">
        <v>788</v>
      </c>
      <c r="C660" s="39" t="s">
        <v>67</v>
      </c>
      <c r="D660" s="39" t="s">
        <v>810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811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812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813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814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815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816</v>
      </c>
      <c r="E666" s="40">
        <v>1028812556</v>
      </c>
      <c r="F666" s="39"/>
    </row>
    <row r="667" spans="1:6">
      <c r="A667" s="39">
        <v>10319952</v>
      </c>
      <c r="B667" s="39" t="s">
        <v>817</v>
      </c>
      <c r="C667" s="39" t="s">
        <v>67</v>
      </c>
      <c r="D667" s="39" t="s">
        <v>818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819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820</v>
      </c>
      <c r="E669" s="40">
        <v>1507637803</v>
      </c>
      <c r="F669" s="39"/>
    </row>
    <row r="670" spans="1:6">
      <c r="A670" s="39">
        <v>10333591</v>
      </c>
      <c r="B670" s="39" t="s">
        <v>821</v>
      </c>
      <c r="C670" s="39" t="s">
        <v>221</v>
      </c>
      <c r="D670" s="39" t="s">
        <v>822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823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824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825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826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827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828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829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508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830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831</v>
      </c>
      <c r="E680" s="40">
        <v>1064052828</v>
      </c>
      <c r="F680" s="39"/>
    </row>
    <row r="681" spans="1:6">
      <c r="A681" s="39">
        <v>10333455</v>
      </c>
      <c r="B681" s="39" t="s">
        <v>832</v>
      </c>
      <c r="C681" s="39" t="s">
        <v>16</v>
      </c>
      <c r="D681" s="39" t="s">
        <v>833</v>
      </c>
      <c r="E681" s="40">
        <v>1095131784</v>
      </c>
      <c r="F681" s="39"/>
    </row>
    <row r="682" spans="1:6">
      <c r="A682" s="43">
        <v>10328372</v>
      </c>
      <c r="B682" s="39" t="s">
        <v>832</v>
      </c>
      <c r="C682" s="39" t="s">
        <v>16</v>
      </c>
      <c r="D682" s="39" t="s">
        <v>834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835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836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837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838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839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840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841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842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843</v>
      </c>
      <c r="E691" s="40">
        <v>1013834191</v>
      </c>
      <c r="F691" s="39"/>
    </row>
    <row r="692" spans="1:6">
      <c r="A692" s="39">
        <v>10237033</v>
      </c>
      <c r="B692" s="39" t="s">
        <v>832</v>
      </c>
      <c r="C692" s="39" t="s">
        <v>16</v>
      </c>
      <c r="D692" s="39" t="s">
        <v>844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845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846</v>
      </c>
      <c r="E694" s="40">
        <v>1202830120</v>
      </c>
      <c r="F694" s="39"/>
    </row>
    <row r="695" spans="1:6">
      <c r="A695" s="39">
        <v>10299509</v>
      </c>
      <c r="B695" s="39" t="s">
        <v>847</v>
      </c>
      <c r="C695" s="39" t="s">
        <v>847</v>
      </c>
      <c r="D695" s="39" t="s">
        <v>848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461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849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850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851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852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853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854</v>
      </c>
      <c r="E702" s="40" t="s">
        <v>855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856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857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858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859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860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861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862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863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864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865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866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867</v>
      </c>
      <c r="E714" s="40">
        <v>1119083860</v>
      </c>
      <c r="F714" s="39"/>
    </row>
    <row r="715" spans="1:6">
      <c r="A715" s="39">
        <v>10332004</v>
      </c>
      <c r="B715" s="39" t="s">
        <v>868</v>
      </c>
      <c r="C715" s="39" t="s">
        <v>53</v>
      </c>
      <c r="D715" s="39" t="s">
        <v>869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870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871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872</v>
      </c>
      <c r="E718" s="40">
        <v>1126817827</v>
      </c>
      <c r="F718" s="39"/>
    </row>
    <row r="719" spans="1:6">
      <c r="A719" s="39">
        <v>10326296</v>
      </c>
      <c r="B719" s="39" t="s">
        <v>873</v>
      </c>
      <c r="C719" s="39" t="s">
        <v>53</v>
      </c>
      <c r="D719" s="39" t="s">
        <v>874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875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876</v>
      </c>
      <c r="E721" s="40">
        <v>1105908668</v>
      </c>
      <c r="F721" s="39"/>
    </row>
    <row r="722" spans="1:6">
      <c r="A722" s="39">
        <v>10306589</v>
      </c>
      <c r="B722" s="39" t="s">
        <v>877</v>
      </c>
      <c r="C722" s="39" t="s">
        <v>314</v>
      </c>
      <c r="D722" s="39" t="s">
        <v>878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879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880</v>
      </c>
      <c r="E724" s="40">
        <v>1080567254</v>
      </c>
      <c r="F724" s="39"/>
    </row>
    <row r="725" spans="1:6">
      <c r="A725" s="39">
        <v>10332497</v>
      </c>
      <c r="B725" s="39" t="s">
        <v>877</v>
      </c>
      <c r="C725" s="39" t="s">
        <v>314</v>
      </c>
      <c r="D725" s="39" t="s">
        <v>881</v>
      </c>
      <c r="E725" s="40" t="s">
        <v>882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883</v>
      </c>
      <c r="E726" s="40" t="s">
        <v>884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885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886</v>
      </c>
      <c r="E728" s="40" t="s">
        <v>887</v>
      </c>
      <c r="F728" s="39"/>
    </row>
    <row r="729" spans="1:6">
      <c r="A729" s="39">
        <v>10325448</v>
      </c>
      <c r="B729" s="39" t="s">
        <v>800</v>
      </c>
      <c r="C729" s="39" t="s">
        <v>151</v>
      </c>
      <c r="D729" s="39" t="s">
        <v>888</v>
      </c>
      <c r="E729" s="40">
        <v>1202344638</v>
      </c>
      <c r="F729" s="39"/>
    </row>
    <row r="730" spans="1:6">
      <c r="A730" s="39">
        <v>10332076</v>
      </c>
      <c r="B730" s="39" t="s">
        <v>800</v>
      </c>
      <c r="C730" s="39" t="s">
        <v>151</v>
      </c>
      <c r="D730" s="39" t="s">
        <v>889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890</v>
      </c>
      <c r="E731" s="40" t="s">
        <v>891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892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893</v>
      </c>
      <c r="E733" s="40">
        <v>1025058050</v>
      </c>
      <c r="F733" s="39"/>
    </row>
    <row r="734" spans="1:6">
      <c r="A734" s="39">
        <v>10328460</v>
      </c>
      <c r="B734" s="39" t="s">
        <v>455</v>
      </c>
      <c r="C734" s="39" t="s">
        <v>151</v>
      </c>
      <c r="D734" s="39" t="s">
        <v>894</v>
      </c>
      <c r="E734" s="40">
        <v>1505689593</v>
      </c>
      <c r="F734" s="39"/>
    </row>
    <row r="735" spans="1:6">
      <c r="A735" s="39">
        <v>10308471</v>
      </c>
      <c r="B735" s="39" t="s">
        <v>895</v>
      </c>
      <c r="C735" s="39" t="s">
        <v>151</v>
      </c>
      <c r="D735" s="39" t="s">
        <v>896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897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898</v>
      </c>
      <c r="E737" s="40">
        <v>1125528722</v>
      </c>
      <c r="F737" s="39"/>
    </row>
    <row r="738" spans="1:6">
      <c r="A738" s="39">
        <v>10294363</v>
      </c>
      <c r="B738" s="39" t="s">
        <v>455</v>
      </c>
      <c r="C738" s="39" t="s">
        <v>151</v>
      </c>
      <c r="D738" s="39" t="s">
        <v>574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899</v>
      </c>
      <c r="E739" s="40" t="s">
        <v>900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901</v>
      </c>
      <c r="E740" s="40">
        <v>1008722287</v>
      </c>
      <c r="F740" s="39"/>
    </row>
    <row r="741" spans="1:6">
      <c r="A741" s="39">
        <v>10274970</v>
      </c>
      <c r="B741" s="39" t="s">
        <v>409</v>
      </c>
      <c r="C741" s="39" t="s">
        <v>151</v>
      </c>
      <c r="D741" s="39" t="s">
        <v>902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903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904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905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906</v>
      </c>
      <c r="E745" s="40">
        <v>1060307020</v>
      </c>
      <c r="F745" s="39"/>
    </row>
    <row r="746" spans="1:6">
      <c r="A746" s="39">
        <v>10294361</v>
      </c>
      <c r="B746" s="39" t="s">
        <v>577</v>
      </c>
      <c r="C746" s="39" t="s">
        <v>27</v>
      </c>
      <c r="D746" s="39" t="s">
        <v>907</v>
      </c>
      <c r="E746" s="40" t="s">
        <v>908</v>
      </c>
      <c r="F746" s="39"/>
    </row>
    <row r="747" spans="1:6">
      <c r="A747" s="39">
        <v>10331123</v>
      </c>
      <c r="B747" s="39" t="s">
        <v>599</v>
      </c>
      <c r="C747" s="39" t="s">
        <v>76</v>
      </c>
      <c r="D747" s="39" t="s">
        <v>909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910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911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912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913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914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915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916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917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918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552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747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919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920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921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922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923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924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672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925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926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927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928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929</v>
      </c>
      <c r="E770" s="40" t="s">
        <v>930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931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932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933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934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935</v>
      </c>
      <c r="E775" s="40" t="s">
        <v>936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937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938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939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940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941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942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943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944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945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946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947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948</v>
      </c>
      <c r="E787" s="40" t="s">
        <v>949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950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951</v>
      </c>
      <c r="E789" s="40" t="s">
        <v>952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953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954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955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956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957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958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959</v>
      </c>
      <c r="E798" s="40" t="s">
        <v>960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961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962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963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964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965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966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967</v>
      </c>
      <c r="E805" s="40" t="s">
        <v>968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969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970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971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972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973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974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975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976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977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978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979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980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981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982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983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984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985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986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987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988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989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990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991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992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993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994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995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996</v>
      </c>
      <c r="E833" s="40" t="s">
        <v>997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998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999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1000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1001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1002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1003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1004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1005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1006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1007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1008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1009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1010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1011</v>
      </c>
      <c r="E847" s="40" t="s">
        <v>1012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1013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1014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1015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1016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1017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1018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1019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1020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1021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1022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1023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1024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1025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1026</v>
      </c>
      <c r="E862" s="40" t="s">
        <v>1027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1028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1029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1030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1031</v>
      </c>
      <c r="E866" s="40">
        <v>0</v>
      </c>
      <c r="F866" s="39"/>
    </row>
    <row r="867" spans="1:6">
      <c r="A867" s="39">
        <v>10275932</v>
      </c>
      <c r="B867" s="39" t="s">
        <v>1032</v>
      </c>
      <c r="C867" s="39" t="s">
        <v>40</v>
      </c>
      <c r="D867" s="39" t="s">
        <v>1033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1034</v>
      </c>
      <c r="E868" s="40">
        <v>1114151350</v>
      </c>
      <c r="F868" s="39"/>
    </row>
    <row r="869" spans="1:6">
      <c r="A869" s="39">
        <v>10294359</v>
      </c>
      <c r="B869" s="39" t="s">
        <v>1032</v>
      </c>
      <c r="C869" s="39" t="s">
        <v>40</v>
      </c>
      <c r="D869" s="39" t="s">
        <v>1035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1036</v>
      </c>
      <c r="E870" s="40" t="s">
        <v>1037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1038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1039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1040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1041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1042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1043</v>
      </c>
      <c r="E876" s="40">
        <v>1151906889</v>
      </c>
      <c r="F876" s="39"/>
    </row>
    <row r="877" spans="1:6">
      <c r="A877" s="39">
        <v>10319945</v>
      </c>
      <c r="B877" s="39" t="s">
        <v>1032</v>
      </c>
      <c r="C877" s="39" t="s">
        <v>40</v>
      </c>
      <c r="D877" s="39" t="s">
        <v>747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831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1044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1045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1046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1047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1048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1049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1050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1051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1052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1053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1054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1055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1056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1057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1058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1059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1060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1061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1062</v>
      </c>
      <c r="E897" s="40" t="s">
        <v>1063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1064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1065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1066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1067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1068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1069</v>
      </c>
      <c r="E903" s="40">
        <v>1030788901</v>
      </c>
      <c r="F903" s="39"/>
    </row>
    <row r="904" spans="1:6">
      <c r="A904" s="39">
        <v>10337078</v>
      </c>
      <c r="B904" s="39" t="s">
        <v>39</v>
      </c>
      <c r="C904" s="39" t="s">
        <v>40</v>
      </c>
      <c r="D904" s="39" t="s">
        <v>1070</v>
      </c>
      <c r="E904" s="40" t="s">
        <v>1071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1072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1073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1074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1075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1076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1077</v>
      </c>
      <c r="E910" s="40" t="s">
        <v>1078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1079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1080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1081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1082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1083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1084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1085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1086</v>
      </c>
      <c r="E918" s="40">
        <v>1156255534</v>
      </c>
      <c r="F918" s="39"/>
    </row>
    <row r="919" spans="1:6">
      <c r="A919" s="39">
        <v>10326498</v>
      </c>
      <c r="B919" s="39" t="s">
        <v>409</v>
      </c>
      <c r="C919" s="39" t="s">
        <v>151</v>
      </c>
      <c r="D919" s="39" t="s">
        <v>1087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1088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1089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1090</v>
      </c>
      <c r="E922" s="40">
        <v>1205004224</v>
      </c>
      <c r="F922" s="39"/>
    </row>
    <row r="923" spans="1:6">
      <c r="A923" s="39">
        <v>10337782</v>
      </c>
      <c r="B923" s="39" t="s">
        <v>1091</v>
      </c>
      <c r="C923" s="39" t="s">
        <v>30</v>
      </c>
      <c r="D923" s="39" t="s">
        <v>1092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1093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1094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1095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1096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1097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1098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1099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1100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1101</v>
      </c>
      <c r="E932" s="40">
        <v>1277329318</v>
      </c>
      <c r="F932" s="39" t="s">
        <v>205</v>
      </c>
    </row>
    <row r="933" spans="1:6">
      <c r="A933" s="39">
        <v>10337709</v>
      </c>
      <c r="B933" s="39" t="s">
        <v>20</v>
      </c>
      <c r="C933" s="39" t="s">
        <v>16</v>
      </c>
      <c r="D933" s="39" t="s">
        <v>1102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1103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1104</v>
      </c>
      <c r="E935" s="40" t="s">
        <v>1105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1106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1107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1108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1109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1110</v>
      </c>
      <c r="E940" s="40" t="s">
        <v>1111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1112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1113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1114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1115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1116</v>
      </c>
      <c r="E945" s="41" t="s">
        <v>1117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1118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1119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1120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1121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1122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1123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1124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1125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1126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1127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1128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1129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1130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1131</v>
      </c>
      <c r="E959" s="41">
        <v>1029970353</v>
      </c>
      <c r="F959" s="39"/>
    </row>
    <row r="960" spans="1:6">
      <c r="A960" s="39">
        <v>10337784</v>
      </c>
      <c r="B960" s="39" t="s">
        <v>434</v>
      </c>
      <c r="C960" s="39" t="s">
        <v>434</v>
      </c>
      <c r="D960" s="39" t="s">
        <v>1132</v>
      </c>
      <c r="E960" s="41" t="s">
        <v>1133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1134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1135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1136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1137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1138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1139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1140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757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1141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1142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1143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1144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1145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1146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1147</v>
      </c>
      <c r="E975" s="41">
        <v>1098630360</v>
      </c>
      <c r="F975" s="39"/>
    </row>
    <row r="976" spans="1:6">
      <c r="A976" s="39" t="s">
        <v>1148</v>
      </c>
      <c r="B976" s="39" t="s">
        <v>162</v>
      </c>
      <c r="C976" s="39" t="s">
        <v>85</v>
      </c>
      <c r="D976" s="39" t="s">
        <v>1149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1150</v>
      </c>
      <c r="E977" s="41">
        <v>1551707019</v>
      </c>
      <c r="F977" s="39" t="s">
        <v>363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1151</v>
      </c>
      <c r="E978" s="41">
        <v>1030283695</v>
      </c>
      <c r="F978" s="39" t="s">
        <v>363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1152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1153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1154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1155</v>
      </c>
      <c r="E982" s="41"/>
      <c r="F982" s="39" t="s">
        <v>1156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1157</v>
      </c>
      <c r="E983" s="41"/>
      <c r="F983" s="39" t="s">
        <v>1156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1158</v>
      </c>
      <c r="E984" s="41">
        <v>1142366838</v>
      </c>
      <c r="F984" s="39" t="s">
        <v>1156</v>
      </c>
    </row>
    <row r="985" spans="1:6">
      <c r="A985" s="39">
        <v>10337807</v>
      </c>
      <c r="B985" s="39" t="s">
        <v>434</v>
      </c>
      <c r="C985" s="39" t="s">
        <v>434</v>
      </c>
      <c r="D985" s="35" t="s">
        <v>1159</v>
      </c>
      <c r="E985" s="41"/>
      <c r="F985" s="39" t="s">
        <v>1156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1160</v>
      </c>
      <c r="E986" s="41">
        <v>1007879704</v>
      </c>
      <c r="F986" s="39" t="s">
        <v>1156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1161</v>
      </c>
      <c r="E987" s="41">
        <v>1101043966</v>
      </c>
      <c r="F987" s="39" t="s">
        <v>1156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1162</v>
      </c>
      <c r="E988" s="41" t="s">
        <v>1163</v>
      </c>
      <c r="F988" s="39" t="s">
        <v>1156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974</v>
      </c>
      <c r="E989" s="41">
        <v>1022617981</v>
      </c>
      <c r="F989" s="39" t="s">
        <v>1156</v>
      </c>
    </row>
    <row r="990" spans="1:6">
      <c r="A990" s="39">
        <v>10338037</v>
      </c>
      <c r="B990" s="39" t="s">
        <v>1164</v>
      </c>
      <c r="C990" s="39" t="s">
        <v>1164</v>
      </c>
      <c r="D990" s="39" t="s">
        <v>1165</v>
      </c>
      <c r="E990" s="41">
        <v>1066926193</v>
      </c>
      <c r="F990" s="39" t="s">
        <v>1156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1166</v>
      </c>
      <c r="E991" s="41">
        <v>1152645175</v>
      </c>
      <c r="F991" s="39" t="s">
        <v>1156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1167</v>
      </c>
      <c r="E992" s="41">
        <v>1012981220</v>
      </c>
      <c r="F992" s="39" t="s">
        <v>1156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1168</v>
      </c>
      <c r="E993" s="41">
        <v>1125744467</v>
      </c>
      <c r="F993" s="39" t="s">
        <v>1156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1169</v>
      </c>
      <c r="E994" s="41">
        <v>1001481649</v>
      </c>
      <c r="F994" s="39" t="s">
        <v>1156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1170</v>
      </c>
      <c r="E995" s="41" t="s">
        <v>1171</v>
      </c>
      <c r="F995" s="39" t="s">
        <v>1156</v>
      </c>
    </row>
    <row r="996" spans="1:6">
      <c r="A996" s="39">
        <v>10337746</v>
      </c>
      <c r="B996" s="39" t="s">
        <v>599</v>
      </c>
      <c r="C996" s="39" t="s">
        <v>76</v>
      </c>
      <c r="D996" s="39" t="s">
        <v>1172</v>
      </c>
      <c r="E996" s="41">
        <v>1024995760</v>
      </c>
      <c r="F996" s="39" t="s">
        <v>1156</v>
      </c>
    </row>
    <row r="997" spans="1:6">
      <c r="A997" s="39">
        <v>10337495</v>
      </c>
      <c r="B997" s="39" t="s">
        <v>577</v>
      </c>
      <c r="C997" s="39" t="s">
        <v>27</v>
      </c>
      <c r="D997" s="39" t="s">
        <v>1173</v>
      </c>
      <c r="E997" s="41">
        <v>1123222315</v>
      </c>
      <c r="F997" s="39" t="s">
        <v>1156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1174</v>
      </c>
      <c r="E998" s="41">
        <v>1021782963</v>
      </c>
      <c r="F998" s="39" t="s">
        <v>1156</v>
      </c>
    </row>
    <row r="999" spans="1:6">
      <c r="A999" s="39">
        <v>10337465</v>
      </c>
      <c r="B999" s="39" t="s">
        <v>302</v>
      </c>
      <c r="C999" s="39" t="s">
        <v>10</v>
      </c>
      <c r="D999" s="39" t="s">
        <v>1175</v>
      </c>
      <c r="E999" s="41">
        <v>1144282773</v>
      </c>
      <c r="F999" s="39" t="s">
        <v>1156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1176</v>
      </c>
      <c r="E1000" s="41" t="s">
        <v>1177</v>
      </c>
      <c r="F1000" s="39" t="s">
        <v>1156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1178</v>
      </c>
      <c r="E1001" s="41">
        <v>1016740036</v>
      </c>
      <c r="F1001" s="39" t="s">
        <v>1156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1179</v>
      </c>
      <c r="E1002" s="41">
        <v>1141036897</v>
      </c>
      <c r="F1002" s="39" t="s">
        <v>1156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1180</v>
      </c>
      <c r="E1003" s="41">
        <v>1146898396</v>
      </c>
      <c r="F1003" s="39" t="s">
        <v>1156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1181</v>
      </c>
      <c r="E1004" s="41">
        <v>1030294228</v>
      </c>
      <c r="F1004" s="39" t="s">
        <v>1156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1182</v>
      </c>
      <c r="E1005" s="41">
        <v>1275449276</v>
      </c>
      <c r="F1005" s="39" t="s">
        <v>1156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1095</v>
      </c>
      <c r="E1006" s="41">
        <v>1101289093</v>
      </c>
      <c r="F1006" s="39" t="s">
        <v>1156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1183</v>
      </c>
      <c r="E1007" s="41">
        <v>1112616693</v>
      </c>
      <c r="F1007" s="39" t="s">
        <v>1156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1184</v>
      </c>
      <c r="E1008" s="41">
        <v>1011275160</v>
      </c>
      <c r="F1008" s="39" t="s">
        <v>1156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1185</v>
      </c>
      <c r="E1009" s="41">
        <v>1092866275</v>
      </c>
      <c r="F1009" s="39" t="s">
        <v>1156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1186</v>
      </c>
      <c r="E1010" s="41">
        <v>1142640176</v>
      </c>
      <c r="F1010" s="39" t="s">
        <v>1156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1187</v>
      </c>
      <c r="E1011" s="41">
        <v>1096113503</v>
      </c>
      <c r="F1011" s="39" t="s">
        <v>1156</v>
      </c>
    </row>
    <row r="1012" spans="1:6">
      <c r="A1012" s="39" t="s">
        <v>1188</v>
      </c>
      <c r="B1012" s="39" t="s">
        <v>20</v>
      </c>
      <c r="C1012" s="39" t="s">
        <v>16</v>
      </c>
      <c r="D1012" s="39" t="s">
        <v>1189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1190</v>
      </c>
      <c r="E1013" s="41">
        <v>1155792366</v>
      </c>
      <c r="F1013" s="39" t="s">
        <v>1156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1191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1192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1193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39</v>
      </c>
      <c r="C1018" s="39" t="s">
        <v>40</v>
      </c>
      <c r="D1018" s="39" t="s">
        <v>1194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1195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1196</v>
      </c>
      <c r="E1020" s="41" t="s">
        <v>1197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1198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1199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601</v>
      </c>
      <c r="E1023" s="41" t="s">
        <v>1200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1201</v>
      </c>
      <c r="E1024" s="41">
        <v>1553095680</v>
      </c>
      <c r="F1024" s="39" t="s">
        <v>363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1202</v>
      </c>
      <c r="E1025" s="41">
        <v>1111286284</v>
      </c>
      <c r="F1025" s="39" t="s">
        <v>363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1203</v>
      </c>
      <c r="E1026" s="41">
        <v>1557961863</v>
      </c>
      <c r="F1026" s="39" t="s">
        <v>363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1204</v>
      </c>
      <c r="E1027" s="41">
        <v>1016283541</v>
      </c>
      <c r="F1027" s="39" t="s">
        <v>363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1205</v>
      </c>
      <c r="E1028" s="41">
        <v>1003794419</v>
      </c>
      <c r="F1028" s="39" t="s">
        <v>363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1206</v>
      </c>
      <c r="E1029" s="41" t="s">
        <v>1207</v>
      </c>
      <c r="F1029" s="39" t="s">
        <v>363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1208</v>
      </c>
      <c r="E1030" s="41">
        <v>1124376024</v>
      </c>
      <c r="F1030" s="39" t="s">
        <v>363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1209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1210</v>
      </c>
      <c r="E1032" s="41" t="s">
        <v>1211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1212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1213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1214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1215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1216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1217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1218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409</v>
      </c>
      <c r="C1041" s="39" t="s">
        <v>151</v>
      </c>
      <c r="D1041" s="39" t="s">
        <v>1219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409</v>
      </c>
      <c r="C1042" s="39" t="s">
        <v>151</v>
      </c>
      <c r="D1042" s="39" t="s">
        <v>1220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1221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1222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1223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1224</v>
      </c>
      <c r="E1046" s="41" t="s">
        <v>1225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1226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1227</v>
      </c>
      <c r="E1048" s="41" t="s">
        <v>1228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1229</v>
      </c>
      <c r="E1049" s="41" t="s">
        <v>1230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621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1231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1232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1233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1234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1235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1236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1237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52</v>
      </c>
      <c r="C1058" s="39" t="s">
        <v>53</v>
      </c>
      <c r="D1058" s="39" t="s">
        <v>1238</v>
      </c>
      <c r="E1058" s="41">
        <v>1550134462</v>
      </c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1239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1240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461</v>
      </c>
      <c r="E1061" s="41">
        <v>1153911186</v>
      </c>
      <c r="F1061" s="39" t="s">
        <v>363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1241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1242</v>
      </c>
      <c r="E1063" s="41" t="s">
        <v>1243</v>
      </c>
      <c r="F1063" s="39" t="s">
        <v>363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1244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1245</v>
      </c>
      <c r="E1065" s="41">
        <v>1119014673</v>
      </c>
      <c r="F1065" s="39" t="s">
        <v>363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1246</v>
      </c>
      <c r="E1066" s="41">
        <v>1095882923</v>
      </c>
      <c r="F1066" s="39" t="s">
        <v>363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1247</v>
      </c>
      <c r="E1067" s="41"/>
      <c r="F1067" s="39" t="s">
        <v>1156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1248</v>
      </c>
      <c r="E1068" s="41"/>
      <c r="F1068" s="39" t="s">
        <v>1156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1249</v>
      </c>
      <c r="E1069" s="41">
        <v>1154939383</v>
      </c>
      <c r="F1069" s="39" t="s">
        <v>363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1250</v>
      </c>
      <c r="E1070" s="41">
        <v>1068150097</v>
      </c>
      <c r="F1070" s="39" t="s">
        <v>363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1251</v>
      </c>
      <c r="E1071" s="41">
        <v>0</v>
      </c>
      <c r="F1071" s="39" t="s">
        <v>363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380</v>
      </c>
      <c r="E1072" s="41">
        <v>1069960575</v>
      </c>
      <c r="F1072" s="39" t="s">
        <v>363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1252</v>
      </c>
      <c r="E1073" s="41">
        <v>1018147242</v>
      </c>
      <c r="F1073" s="39" t="s">
        <v>363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1253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1254</v>
      </c>
      <c r="E1075" s="41" t="s">
        <v>1255</v>
      </c>
      <c r="F1075" s="39" t="s">
        <v>205</v>
      </c>
    </row>
    <row r="1076" spans="1:6">
      <c r="A1076" s="39">
        <v>10339936</v>
      </c>
      <c r="B1076" s="39" t="s">
        <v>381</v>
      </c>
      <c r="C1076" s="39" t="s">
        <v>30</v>
      </c>
      <c r="D1076" s="39" t="s">
        <v>620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1256</v>
      </c>
      <c r="E1077" s="41" t="s">
        <v>1257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1258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1259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1260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599</v>
      </c>
      <c r="C1081" s="39" t="s">
        <v>76</v>
      </c>
      <c r="D1081" s="39" t="s">
        <v>1261</v>
      </c>
      <c r="E1081" s="41" t="s">
        <v>1262</v>
      </c>
      <c r="F1081" s="39" t="s">
        <v>205</v>
      </c>
    </row>
    <row r="1082" spans="1:6">
      <c r="A1082" s="39">
        <v>10340061</v>
      </c>
      <c r="B1082" s="35" t="s">
        <v>599</v>
      </c>
      <c r="C1082" s="39" t="s">
        <v>76</v>
      </c>
      <c r="D1082" s="39" t="s">
        <v>1263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1264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1265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1266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1267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1268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1269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1227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12</v>
      </c>
      <c r="C1090" s="39" t="s">
        <v>13</v>
      </c>
      <c r="D1090" s="39" t="s">
        <v>1270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1271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1272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1273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1274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1275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1276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1277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434</v>
      </c>
      <c r="C1098" s="39" t="s">
        <v>434</v>
      </c>
      <c r="D1098" s="39" t="s">
        <v>1278</v>
      </c>
      <c r="E1098" s="41">
        <v>1012680394</v>
      </c>
      <c r="F1098" s="39" t="s">
        <v>205</v>
      </c>
    </row>
    <row r="1099" spans="1:6">
      <c r="A1099" s="39" t="s">
        <v>1279</v>
      </c>
      <c r="B1099" s="39" t="s">
        <v>434</v>
      </c>
      <c r="C1099" s="39" t="s">
        <v>434</v>
      </c>
      <c r="D1099" s="39" t="s">
        <v>1280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1281</v>
      </c>
      <c r="E1100" s="41" t="s">
        <v>1282</v>
      </c>
      <c r="F1100" s="39" t="s">
        <v>363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1283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1284</v>
      </c>
      <c r="E1102" s="41" t="s">
        <v>1285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1286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1287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1288</v>
      </c>
      <c r="E1105" s="41" t="s">
        <v>1289</v>
      </c>
      <c r="F1105" s="39" t="s">
        <v>205</v>
      </c>
    </row>
    <row r="1106" spans="1:6">
      <c r="A1106" s="39">
        <v>10340644</v>
      </c>
      <c r="B1106" s="39" t="s">
        <v>877</v>
      </c>
      <c r="C1106" s="39" t="s">
        <v>314</v>
      </c>
      <c r="D1106" s="39" t="s">
        <v>1290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395</v>
      </c>
      <c r="E1107" s="41" t="s">
        <v>1291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1292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1293</v>
      </c>
      <c r="E1109" s="41" t="s">
        <v>1294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1295</v>
      </c>
      <c r="E1110" s="41" t="s">
        <v>1296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1297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661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1298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1299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1300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1301</v>
      </c>
      <c r="E1116" s="41" t="s">
        <v>1302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1303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1304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1305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1306</v>
      </c>
      <c r="E1120" s="41">
        <v>1002924890</v>
      </c>
      <c r="F1120" s="39" t="s">
        <v>363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1307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1308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821</v>
      </c>
      <c r="C1123" s="39" t="s">
        <v>221</v>
      </c>
      <c r="D1123" s="39" t="s">
        <v>1309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1310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1311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1312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1313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1314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1315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1316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1317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1318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1319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1320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1321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1322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381</v>
      </c>
      <c r="C1137" s="39" t="s">
        <v>30</v>
      </c>
      <c r="D1137" s="39" t="s">
        <v>1323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1324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1325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1326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1327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800</v>
      </c>
      <c r="C1142" s="39" t="s">
        <v>151</v>
      </c>
      <c r="D1142" s="39" t="s">
        <v>1328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994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1329</v>
      </c>
      <c r="E1144" s="41" t="s">
        <v>1330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460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1331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1332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1333</v>
      </c>
      <c r="E1148" s="41" t="s">
        <v>1334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1335</v>
      </c>
      <c r="E1149" s="41" t="s">
        <v>1336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1337</v>
      </c>
      <c r="E1150" s="41" t="s">
        <v>1338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1339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1340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1341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1342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1343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1344</v>
      </c>
      <c r="E1156" s="41" t="s">
        <v>1345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1346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1347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434</v>
      </c>
      <c r="C1159" s="39" t="s">
        <v>434</v>
      </c>
      <c r="D1159" s="39" t="s">
        <v>1348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1349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1350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1351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1352</v>
      </c>
      <c r="E1163" s="41" t="s">
        <v>1353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1354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1355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1356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1357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1358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1125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1359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80</v>
      </c>
      <c r="C1171" s="39" t="s">
        <v>13</v>
      </c>
      <c r="D1171" s="39" t="s">
        <v>1360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1361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1362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1363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1364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1365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1366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1091</v>
      </c>
      <c r="C1179" s="39" t="s">
        <v>30</v>
      </c>
      <c r="D1179" s="39" t="s">
        <v>1367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1368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395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1369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1370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1371</v>
      </c>
      <c r="C1184" s="39" t="s">
        <v>13</v>
      </c>
      <c r="D1184" s="39" t="s">
        <v>417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1372</v>
      </c>
      <c r="E1185" s="41">
        <v>1010368141</v>
      </c>
      <c r="F1185" s="39" t="s">
        <v>1156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1373</v>
      </c>
      <c r="E1186" s="41" t="s">
        <v>1374</v>
      </c>
      <c r="F1186" s="39" t="s">
        <v>1156</v>
      </c>
    </row>
    <row r="1187" spans="1:6">
      <c r="A1187" s="39">
        <v>10319962</v>
      </c>
      <c r="B1187" s="39" t="s">
        <v>381</v>
      </c>
      <c r="C1187" s="39" t="s">
        <v>30</v>
      </c>
      <c r="D1187" s="39" t="s">
        <v>1375</v>
      </c>
      <c r="E1187" s="41">
        <v>1004496366</v>
      </c>
      <c r="F1187" s="39" t="s">
        <v>1156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1343</v>
      </c>
      <c r="E1188" s="41">
        <v>1123518604</v>
      </c>
      <c r="F1188" s="39" t="s">
        <v>1156</v>
      </c>
    </row>
    <row r="1189" spans="1:6">
      <c r="A1189" s="39">
        <v>10341132</v>
      </c>
      <c r="B1189" s="39" t="s">
        <v>162</v>
      </c>
      <c r="C1189" s="39" t="s">
        <v>85</v>
      </c>
      <c r="D1189" s="39" t="s">
        <v>1376</v>
      </c>
      <c r="E1189" s="41">
        <v>1064855780</v>
      </c>
      <c r="F1189" s="39" t="s">
        <v>1156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1377</v>
      </c>
      <c r="E1190" s="41">
        <v>1018950953</v>
      </c>
      <c r="F1190" s="39" t="s">
        <v>1156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961</v>
      </c>
      <c r="E1191" s="41">
        <v>1116915333</v>
      </c>
      <c r="F1191" s="39" t="s">
        <v>1156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1378</v>
      </c>
      <c r="E1192" s="41">
        <v>1003492249</v>
      </c>
      <c r="F1192" s="39" t="s">
        <v>1156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1379</v>
      </c>
      <c r="E1193" s="41">
        <v>1112750439</v>
      </c>
      <c r="F1193" s="39" t="s">
        <v>1156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1380</v>
      </c>
      <c r="E1194" s="41">
        <v>1030878125</v>
      </c>
      <c r="F1194" s="39" t="s">
        <v>1156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1381</v>
      </c>
      <c r="F1195" s="39" t="s">
        <v>1156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1382</v>
      </c>
      <c r="E1196" s="41">
        <v>1149166330</v>
      </c>
      <c r="F1196" s="39" t="s">
        <v>363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1383</v>
      </c>
      <c r="E1197" s="41"/>
      <c r="F1197" s="39" t="s">
        <v>1384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1385</v>
      </c>
      <c r="E1198" s="41">
        <v>1100406487</v>
      </c>
      <c r="F1198" s="39" t="s">
        <v>363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1386</v>
      </c>
      <c r="E1199" s="41">
        <v>1097305335</v>
      </c>
      <c r="F1199" s="39" t="s">
        <v>363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1387</v>
      </c>
      <c r="E1200" s="41"/>
      <c r="F1200" s="39" t="s">
        <v>1384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1388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1389</v>
      </c>
      <c r="E1202" s="41">
        <v>1019247490</v>
      </c>
      <c r="F1202" s="39" t="s">
        <v>1388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1390</v>
      </c>
      <c r="E1203" s="41">
        <v>1012764001</v>
      </c>
      <c r="F1203" s="39" t="s">
        <v>1388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1391</v>
      </c>
      <c r="E1204" s="41">
        <v>1022171730</v>
      </c>
      <c r="F1204" s="39" t="s">
        <v>1388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1392</v>
      </c>
      <c r="E1205" s="41">
        <v>1012997137</v>
      </c>
      <c r="F1205" s="39" t="s">
        <v>1388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1393</v>
      </c>
      <c r="E1206" s="41">
        <v>1118082037</v>
      </c>
      <c r="F1206" s="39" t="s">
        <v>1388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1394</v>
      </c>
      <c r="E1207" s="41">
        <v>1012692499</v>
      </c>
      <c r="F1207" s="39" t="s">
        <v>1388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1395</v>
      </c>
      <c r="E1208" s="41"/>
      <c r="F1208" s="39" t="s">
        <v>1388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1396</v>
      </c>
      <c r="E1209" s="41">
        <v>1090500604</v>
      </c>
      <c r="F1209" s="39" t="s">
        <v>1388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1397</v>
      </c>
      <c r="E1210" s="41">
        <v>1121452045</v>
      </c>
      <c r="F1210" s="39" t="s">
        <v>1388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1398</v>
      </c>
      <c r="E1211" s="41">
        <v>1005729091</v>
      </c>
      <c r="F1211" s="39" t="s">
        <v>1388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1399</v>
      </c>
      <c r="E1212" s="41">
        <v>1065734525</v>
      </c>
      <c r="F1212" s="39" t="s">
        <v>1388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1400</v>
      </c>
      <c r="E1213" s="41">
        <v>1206006198</v>
      </c>
      <c r="F1213" s="39" t="s">
        <v>1388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1401</v>
      </c>
      <c r="E1214" s="41">
        <v>1112106710</v>
      </c>
      <c r="F1214" s="39" t="s">
        <v>1388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1402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1403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1404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1405</v>
      </c>
      <c r="E1218" s="41" t="s">
        <v>1406</v>
      </c>
      <c r="F1218" s="39" t="s">
        <v>363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1407</v>
      </c>
      <c r="E1219" s="41">
        <v>1096857341</v>
      </c>
      <c r="F1219" s="39" t="s">
        <v>363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1408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1409</v>
      </c>
      <c r="E1221" s="41"/>
      <c r="F1221" s="39" t="s">
        <v>1384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1410</v>
      </c>
      <c r="E1222" s="41">
        <v>1141915010</v>
      </c>
      <c r="F1222" s="39" t="s">
        <v>1411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1412</v>
      </c>
      <c r="E1223" s="41">
        <v>1097830817</v>
      </c>
      <c r="F1223" s="39" t="s">
        <v>1411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1413</v>
      </c>
      <c r="E1224" s="41">
        <v>1092831999</v>
      </c>
      <c r="F1224" s="39" t="s">
        <v>1411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1414</v>
      </c>
      <c r="E1225" s="41" t="s">
        <v>1415</v>
      </c>
      <c r="F1225" s="39" t="s">
        <v>1411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1411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1411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1411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1411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1421</v>
      </c>
      <c r="E1230" s="41">
        <v>1146041916</v>
      </c>
      <c r="F1230" s="39" t="s">
        <v>1411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1422</v>
      </c>
      <c r="E1231" s="41">
        <v>1114759572</v>
      </c>
      <c r="F1231" s="39" t="s">
        <v>1411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1423</v>
      </c>
      <c r="E1232" s="41">
        <v>1033950513</v>
      </c>
      <c r="F1232" s="39" t="s">
        <v>1411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1424</v>
      </c>
      <c r="E1233" s="41">
        <v>1140254052</v>
      </c>
      <c r="F1233" s="39" t="s">
        <v>1411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1425</v>
      </c>
      <c r="E1234" s="41">
        <v>1126128951</v>
      </c>
      <c r="F1234" s="39" t="s">
        <v>1411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1426</v>
      </c>
      <c r="E1235" s="41">
        <v>1284234931</v>
      </c>
      <c r="F1235" s="39" t="s">
        <v>1411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1427</v>
      </c>
      <c r="E1236" s="41">
        <v>1098670413</v>
      </c>
      <c r="F1236" s="39" t="s">
        <v>1411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1428</v>
      </c>
      <c r="E1237" s="41">
        <v>1285622455</v>
      </c>
      <c r="F1237" s="39" t="s">
        <v>1411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1429</v>
      </c>
      <c r="E1238" s="41">
        <v>1095204998</v>
      </c>
      <c r="F1238" s="39" t="s">
        <v>1411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620</v>
      </c>
      <c r="E1239" s="41">
        <v>1004911039</v>
      </c>
      <c r="F1239" s="39" t="s">
        <v>1411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1430</v>
      </c>
      <c r="E1240" s="41">
        <v>1226223707</v>
      </c>
      <c r="F1240" s="39" t="s">
        <v>1411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1431</v>
      </c>
      <c r="E1241" s="41">
        <v>1060392059</v>
      </c>
      <c r="F1241" s="39" t="s">
        <v>1411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1432</v>
      </c>
      <c r="E1242" s="41" t="s">
        <v>1433</v>
      </c>
      <c r="F1242" s="39" t="s">
        <v>1411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1434</v>
      </c>
      <c r="E1243" s="41" t="s">
        <v>1435</v>
      </c>
      <c r="F1243" s="39" t="s">
        <v>1411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1436</v>
      </c>
      <c r="E1244" s="41">
        <v>1001474051</v>
      </c>
      <c r="F1244" s="39" t="s">
        <v>1411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1437</v>
      </c>
      <c r="E1245" s="41">
        <v>1145149773</v>
      </c>
      <c r="F1245" s="39" t="s">
        <v>1411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1438</v>
      </c>
      <c r="E1246" s="41">
        <v>1555097529</v>
      </c>
      <c r="F1246" s="39" t="s">
        <v>1411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1439</v>
      </c>
      <c r="E1247" s="41">
        <v>1026041099</v>
      </c>
      <c r="F1247" s="39" t="s">
        <v>1411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1440</v>
      </c>
      <c r="E1248" s="41" t="s">
        <v>1441</v>
      </c>
      <c r="F1248" s="39" t="s">
        <v>1411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1442</v>
      </c>
      <c r="E1249" s="41">
        <v>1121899603</v>
      </c>
      <c r="F1249" s="39" t="s">
        <v>1411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1443</v>
      </c>
      <c r="E1250" s="41">
        <v>1550894577</v>
      </c>
      <c r="F1250" s="39" t="s">
        <v>1411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1444</v>
      </c>
      <c r="E1251" s="41">
        <v>1509946439</v>
      </c>
      <c r="F1251" s="39" t="s">
        <v>1411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1445</v>
      </c>
      <c r="E1252" s="41">
        <v>1040334849</v>
      </c>
      <c r="F1252" s="39" t="s">
        <v>1411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1446</v>
      </c>
      <c r="E1253" s="41" t="s">
        <v>1447</v>
      </c>
      <c r="F1253" s="39" t="s">
        <v>1411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1448</v>
      </c>
      <c r="E1254" s="41">
        <v>1555975766</v>
      </c>
      <c r="F1254" s="39" t="s">
        <v>1411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1449</v>
      </c>
      <c r="E1255" s="41">
        <v>1203091448</v>
      </c>
      <c r="F1255" s="39" t="s">
        <v>1411</v>
      </c>
    </row>
    <row r="1256" spans="1:6">
      <c r="A1256" s="39" t="s">
        <v>1450</v>
      </c>
      <c r="B1256" s="39" t="s">
        <v>434</v>
      </c>
      <c r="C1256" s="39" t="s">
        <v>434</v>
      </c>
      <c r="D1256" s="39" t="s">
        <v>1451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1452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1453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1454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381</v>
      </c>
      <c r="C1260" s="39" t="s">
        <v>30</v>
      </c>
      <c r="D1260" s="39" t="s">
        <v>1455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1456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1457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1458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1459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1460</v>
      </c>
      <c r="E1265" s="41">
        <v>1158021888</v>
      </c>
      <c r="F1265" s="39" t="s">
        <v>205</v>
      </c>
    </row>
    <row r="1266" spans="1:6">
      <c r="A1266" s="39" t="s">
        <v>1461</v>
      </c>
      <c r="B1266" s="39" t="s">
        <v>137</v>
      </c>
      <c r="C1266" s="39" t="s">
        <v>95</v>
      </c>
      <c r="D1266" s="39" t="s">
        <v>1462</v>
      </c>
      <c r="E1266" s="41">
        <v>1150504469</v>
      </c>
      <c r="F1266" s="39" t="s">
        <v>205</v>
      </c>
    </row>
    <row r="1267" spans="1:6">
      <c r="A1267" s="39" t="s">
        <v>1463</v>
      </c>
      <c r="B1267" s="39" t="s">
        <v>113</v>
      </c>
      <c r="C1267" s="39" t="s">
        <v>95</v>
      </c>
      <c r="D1267" s="39" t="s">
        <v>1464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1465</v>
      </c>
      <c r="E1268" s="41">
        <v>1129964189</v>
      </c>
      <c r="F1268" s="39" t="s">
        <v>205</v>
      </c>
    </row>
    <row r="1269" spans="1:6">
      <c r="A1269" s="39" t="s">
        <v>1466</v>
      </c>
      <c r="B1269" s="39" t="s">
        <v>45</v>
      </c>
      <c r="C1269" s="39" t="s">
        <v>10</v>
      </c>
      <c r="D1269" s="39" t="s">
        <v>1467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1468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1469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1470</v>
      </c>
      <c r="E1272" s="41">
        <v>1018861565</v>
      </c>
      <c r="F1272" s="39" t="s">
        <v>205</v>
      </c>
    </row>
    <row r="1273" spans="1:6">
      <c r="A1273" s="39" t="s">
        <v>1471</v>
      </c>
      <c r="B1273" s="39" t="s">
        <v>6</v>
      </c>
      <c r="C1273" s="39" t="s">
        <v>7</v>
      </c>
      <c r="D1273" s="39" t="s">
        <v>1472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1473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1474</v>
      </c>
      <c r="E1275" s="41" t="s">
        <v>1475</v>
      </c>
      <c r="F1275" s="39" t="s">
        <v>1384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1476</v>
      </c>
      <c r="E1276" s="41">
        <v>1274904061</v>
      </c>
      <c r="F1276" s="39" t="s">
        <v>1411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432</v>
      </c>
      <c r="E1277" s="41">
        <v>1019633118</v>
      </c>
      <c r="F1277" s="39" t="s">
        <v>1411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1477</v>
      </c>
      <c r="E1278" s="41">
        <v>1200090832</v>
      </c>
      <c r="F1278" s="39" t="s">
        <v>1411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1478</v>
      </c>
      <c r="E1279" s="41">
        <v>1008448127</v>
      </c>
      <c r="F1279" s="39" t="s">
        <v>1411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1479</v>
      </c>
      <c r="E1280" s="41">
        <v>1127261406</v>
      </c>
      <c r="F1280" s="39" t="s">
        <v>1411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982</v>
      </c>
      <c r="E1281" s="41" t="s">
        <v>1480</v>
      </c>
      <c r="F1281" s="39" t="s">
        <v>1411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1481</v>
      </c>
      <c r="E1282" s="41">
        <v>1141552649</v>
      </c>
      <c r="F1282" s="39" t="s">
        <v>1411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1482</v>
      </c>
      <c r="E1283" s="41">
        <v>1117228732</v>
      </c>
      <c r="F1283" s="39" t="s">
        <v>1411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1483</v>
      </c>
      <c r="E1284" s="41" t="s">
        <v>1484</v>
      </c>
      <c r="F1284" s="39" t="s">
        <v>1411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1485</v>
      </c>
      <c r="E1285" s="41">
        <v>1009533599</v>
      </c>
      <c r="F1285" s="39" t="s">
        <v>1411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1486</v>
      </c>
      <c r="E1286" s="41">
        <v>1102766064</v>
      </c>
      <c r="F1286" s="39" t="s">
        <v>1411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1487</v>
      </c>
      <c r="E1287" s="41">
        <v>1204108343</v>
      </c>
      <c r="F1287" s="39" t="s">
        <v>1411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1488</v>
      </c>
      <c r="E1288" s="41" t="s">
        <v>1489</v>
      </c>
      <c r="F1288" s="39" t="s">
        <v>1411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1490</v>
      </c>
      <c r="E1289" s="41">
        <v>1118972534</v>
      </c>
      <c r="F1289" s="39" t="s">
        <v>1411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1491</v>
      </c>
      <c r="E1290" s="41">
        <v>1153727814</v>
      </c>
      <c r="F1290" s="39" t="s">
        <v>1411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1492</v>
      </c>
      <c r="E1291" s="41">
        <v>1274776024</v>
      </c>
      <c r="F1291" s="39" t="s">
        <v>1411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1493</v>
      </c>
      <c r="E1292" s="41">
        <v>1013447363</v>
      </c>
      <c r="F1292" s="39" t="s">
        <v>1411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1494</v>
      </c>
      <c r="E1293" s="41">
        <v>1080545669</v>
      </c>
      <c r="F1293" s="39" t="s">
        <v>1411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1411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1495</v>
      </c>
      <c r="E1295" s="41">
        <v>1207053881</v>
      </c>
      <c r="F1295" s="39" t="s">
        <v>1411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926</v>
      </c>
      <c r="E1296" s="41">
        <v>1552456793</v>
      </c>
      <c r="F1296" s="39" t="s">
        <v>1411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1496</v>
      </c>
      <c r="E1297" s="41">
        <v>1556577514</v>
      </c>
      <c r="F1297" s="39" t="s">
        <v>1411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1497</v>
      </c>
      <c r="E1298" s="41">
        <v>1144462771</v>
      </c>
      <c r="F1298" s="39" t="s">
        <v>1411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1498</v>
      </c>
      <c r="E1299" s="41">
        <v>1149475370</v>
      </c>
      <c r="F1299" s="39" t="s">
        <v>1411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1499</v>
      </c>
      <c r="E1300" s="41">
        <v>1004402706</v>
      </c>
      <c r="F1300" s="39" t="s">
        <v>1411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1500</v>
      </c>
      <c r="E1301" s="41">
        <v>1093443771</v>
      </c>
      <c r="F1301" s="39" t="s">
        <v>1411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1501</v>
      </c>
      <c r="E1302" s="41" t="s">
        <v>1502</v>
      </c>
      <c r="F1302" s="39" t="s">
        <v>1411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1503</v>
      </c>
      <c r="E1303" s="41">
        <v>1207169781</v>
      </c>
      <c r="F1303" s="39" t="s">
        <v>1411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1504</v>
      </c>
      <c r="E1304" s="41" t="s">
        <v>1505</v>
      </c>
      <c r="F1304" s="39" t="s">
        <v>1411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1506</v>
      </c>
      <c r="E1305" s="41">
        <v>1090642201</v>
      </c>
      <c r="F1305" s="39" t="s">
        <v>1411</v>
      </c>
    </row>
    <row r="1306" spans="1:6">
      <c r="A1306" s="39">
        <v>10344672</v>
      </c>
      <c r="B1306" s="39" t="s">
        <v>434</v>
      </c>
      <c r="C1306" s="39" t="s">
        <v>434</v>
      </c>
      <c r="D1306" s="39" t="s">
        <v>1507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434</v>
      </c>
      <c r="C1307" s="39" t="s">
        <v>434</v>
      </c>
      <c r="D1307" s="39" t="s">
        <v>730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821</v>
      </c>
      <c r="C1308" s="39" t="s">
        <v>221</v>
      </c>
      <c r="D1308" s="39" t="s">
        <v>1508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381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1509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1510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1511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1512</v>
      </c>
      <c r="E1313" s="41" t="s">
        <v>1513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1514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1515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1516</v>
      </c>
      <c r="E1316" s="41">
        <v>1278809178</v>
      </c>
      <c r="F1316" s="39" t="s">
        <v>1411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1517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1518</v>
      </c>
      <c r="E1318" s="41" t="s">
        <v>1519</v>
      </c>
      <c r="F1318" s="39" t="s">
        <v>1411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1520</v>
      </c>
      <c r="E1319" s="41">
        <v>1070390659</v>
      </c>
      <c r="F1319" s="39" t="s">
        <v>1411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1521</v>
      </c>
      <c r="E1320" s="41">
        <v>1095617866</v>
      </c>
      <c r="F1320" s="39" t="s">
        <v>1411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1522</v>
      </c>
      <c r="E1321" s="41">
        <v>1226167723</v>
      </c>
      <c r="F1321" s="39" t="s">
        <v>1411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1523</v>
      </c>
      <c r="E1322" s="41">
        <v>1066953383</v>
      </c>
      <c r="F1322" s="39" t="s">
        <v>1411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620</v>
      </c>
      <c r="E1323" s="41">
        <v>1025470192</v>
      </c>
      <c r="F1323" s="39" t="s">
        <v>1411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1524</v>
      </c>
      <c r="E1324" s="41">
        <v>1505849880</v>
      </c>
      <c r="F1324" s="39" t="s">
        <v>1411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1525</v>
      </c>
      <c r="E1325" s="41">
        <v>1024731489</v>
      </c>
      <c r="F1325" s="39" t="s">
        <v>1411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1526</v>
      </c>
      <c r="E1326" s="41" t="s">
        <v>1527</v>
      </c>
      <c r="F1326" s="39" t="s">
        <v>1411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1528</v>
      </c>
      <c r="E1327" s="41">
        <v>1122706070</v>
      </c>
      <c r="F1327" s="39" t="s">
        <v>1411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1529</v>
      </c>
      <c r="E1328" s="41">
        <v>1129574541</v>
      </c>
      <c r="F1328" s="39" t="s">
        <v>1411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1530</v>
      </c>
      <c r="E1329" s="41">
        <v>1153210480</v>
      </c>
      <c r="F1329" s="39" t="s">
        <v>1411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558</v>
      </c>
      <c r="E1330" s="41">
        <v>1021293302</v>
      </c>
      <c r="F1330" s="39" t="s">
        <v>1411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1531</v>
      </c>
      <c r="E1331" s="41">
        <v>1008333606</v>
      </c>
      <c r="F1331" s="39" t="s">
        <v>1411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1532</v>
      </c>
      <c r="E1332" s="41">
        <v>1023850840</v>
      </c>
      <c r="F1332" s="39" t="s">
        <v>1411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1533</v>
      </c>
      <c r="E1333" s="41">
        <v>1099361043</v>
      </c>
      <c r="F1333" s="39" t="s">
        <v>1411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1534</v>
      </c>
      <c r="E1334" s="41" t="s">
        <v>1535</v>
      </c>
      <c r="F1334" s="39" t="s">
        <v>1411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1536</v>
      </c>
      <c r="E1335" s="41">
        <v>1555493119</v>
      </c>
      <c r="F1335" s="39" t="s">
        <v>1411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1537</v>
      </c>
      <c r="E1336" s="41">
        <v>1090598043</v>
      </c>
      <c r="F1336" s="39" t="s">
        <v>1411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1538</v>
      </c>
      <c r="E1337" s="41">
        <v>1157018062</v>
      </c>
      <c r="F1337" s="39" t="s">
        <v>363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1539</v>
      </c>
      <c r="E1338" s="41">
        <v>1030654731</v>
      </c>
      <c r="F1338" s="39" t="s">
        <v>363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1540</v>
      </c>
      <c r="E1339" s="41">
        <v>1067038550</v>
      </c>
      <c r="F1339" s="39" t="s">
        <v>363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1541</v>
      </c>
      <c r="E1340" s="41">
        <v>1026876551</v>
      </c>
      <c r="F1340" s="39" t="s">
        <v>1411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1542</v>
      </c>
      <c r="E1341" s="41">
        <v>1143585920</v>
      </c>
      <c r="F1341" s="39" t="s">
        <v>1411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1543</v>
      </c>
      <c r="E1342" s="41">
        <v>1018702653</v>
      </c>
      <c r="F1342" s="39" t="s">
        <v>1411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1544</v>
      </c>
      <c r="E1343" s="41">
        <v>1069532092</v>
      </c>
      <c r="F1343" s="39" t="s">
        <v>1411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1545</v>
      </c>
      <c r="E1344" s="41" t="s">
        <v>1546</v>
      </c>
      <c r="F1344" s="39" t="s">
        <v>1411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1547</v>
      </c>
      <c r="E1345" s="41">
        <v>1115054271</v>
      </c>
      <c r="F1345" s="39" t="s">
        <v>1411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1548</v>
      </c>
      <c r="E1346" s="41">
        <v>1281887573</v>
      </c>
      <c r="F1346" s="39" t="s">
        <v>1411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1549</v>
      </c>
      <c r="E1347" s="41">
        <v>1123298769</v>
      </c>
      <c r="F1347" s="39" t="s">
        <v>1411</v>
      </c>
    </row>
    <row r="1348" spans="1:6">
      <c r="A1348" s="39">
        <v>10346118</v>
      </c>
      <c r="B1348" s="39" t="s">
        <v>434</v>
      </c>
      <c r="C1348" s="39" t="s">
        <v>434</v>
      </c>
      <c r="D1348" s="39" t="s">
        <v>1550</v>
      </c>
      <c r="E1348" s="41" t="s">
        <v>1551</v>
      </c>
      <c r="F1348" s="39" t="s">
        <v>1411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1552</v>
      </c>
      <c r="E1349" s="41">
        <v>1271844482</v>
      </c>
      <c r="F1349" s="39" t="s">
        <v>1411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678</v>
      </c>
      <c r="E1350" s="41">
        <v>1027322379</v>
      </c>
      <c r="F1350" s="39" t="s">
        <v>1411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1553</v>
      </c>
      <c r="E1351" s="41">
        <v>1507554968</v>
      </c>
      <c r="F1351" s="39" t="s">
        <v>1411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1554</v>
      </c>
      <c r="E1352" s="41" t="s">
        <v>1555</v>
      </c>
      <c r="F1352" s="39" t="s">
        <v>1411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1556</v>
      </c>
      <c r="E1353" s="41" t="s">
        <v>1557</v>
      </c>
      <c r="F1353" s="39" t="s">
        <v>1411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1558</v>
      </c>
      <c r="E1354" s="41">
        <v>1116231956</v>
      </c>
      <c r="F1354" s="39" t="s">
        <v>1411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1559</v>
      </c>
      <c r="E1355" s="41">
        <v>1094190472</v>
      </c>
      <c r="F1355" s="39" t="s">
        <v>1411</v>
      </c>
    </row>
    <row r="1356" spans="1:6">
      <c r="A1356" s="39">
        <v>10345547</v>
      </c>
      <c r="B1356" s="39" t="s">
        <v>434</v>
      </c>
      <c r="C1356" s="39" t="s">
        <v>434</v>
      </c>
      <c r="D1356" s="39" t="s">
        <v>1155</v>
      </c>
      <c r="E1356" s="41"/>
      <c r="F1356" s="39" t="s">
        <v>1411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1560</v>
      </c>
      <c r="E1357" s="41">
        <v>1550752064</v>
      </c>
      <c r="F1357" s="39" t="s">
        <v>1561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1562</v>
      </c>
      <c r="E1358" s="41">
        <v>1019578796</v>
      </c>
      <c r="F1358" s="39" t="s">
        <v>1561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1563</v>
      </c>
      <c r="E1359" s="41">
        <v>1065421169</v>
      </c>
      <c r="F1359" s="39" t="s">
        <v>1411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1325</v>
      </c>
      <c r="E1360" s="41">
        <v>1066712259</v>
      </c>
      <c r="F1360" s="39" t="s">
        <v>1411</v>
      </c>
    </row>
    <row r="1361" spans="1:6">
      <c r="A1361" s="39">
        <v>10346784</v>
      </c>
      <c r="B1361" s="39" t="s">
        <v>434</v>
      </c>
      <c r="C1361" s="39" t="s">
        <v>434</v>
      </c>
      <c r="D1361" s="39" t="s">
        <v>1564</v>
      </c>
      <c r="E1361" s="41" t="s">
        <v>1565</v>
      </c>
      <c r="F1361" s="39" t="s">
        <v>1411</v>
      </c>
    </row>
    <row r="1362" spans="1:6">
      <c r="A1362" s="39">
        <v>10346237</v>
      </c>
      <c r="B1362" s="39" t="s">
        <v>434</v>
      </c>
      <c r="C1362" s="39" t="s">
        <v>434</v>
      </c>
      <c r="D1362" s="39" t="s">
        <v>1566</v>
      </c>
      <c r="E1362" s="41">
        <v>1555450803</v>
      </c>
      <c r="F1362" s="39" t="s">
        <v>1411</v>
      </c>
    </row>
    <row r="1363" spans="1:6">
      <c r="A1363" s="39">
        <v>10346369</v>
      </c>
      <c r="B1363" s="39" t="s">
        <v>434</v>
      </c>
      <c r="C1363" s="39" t="s">
        <v>434</v>
      </c>
      <c r="D1363" s="39" t="s">
        <v>1567</v>
      </c>
      <c r="E1363" s="41">
        <v>1018644882</v>
      </c>
      <c r="F1363" s="39" t="s">
        <v>1411</v>
      </c>
    </row>
    <row r="1364" spans="1:6">
      <c r="A1364" s="39">
        <v>10346498</v>
      </c>
      <c r="B1364" s="39" t="s">
        <v>434</v>
      </c>
      <c r="C1364" s="39" t="s">
        <v>434</v>
      </c>
      <c r="D1364" s="39" t="s">
        <v>1568</v>
      </c>
      <c r="E1364" s="41">
        <v>1013538846</v>
      </c>
      <c r="F1364" s="39" t="s">
        <v>1411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1411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1569</v>
      </c>
      <c r="E1366" s="41">
        <v>1277749159</v>
      </c>
      <c r="F1366" s="39" t="s">
        <v>1411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1570</v>
      </c>
      <c r="E1367" s="41">
        <v>1108106097</v>
      </c>
      <c r="F1367" s="39" t="s">
        <v>1411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1571</v>
      </c>
      <c r="E1368" s="41">
        <v>1280325265</v>
      </c>
      <c r="F1368" s="39" t="s">
        <v>1411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1572</v>
      </c>
      <c r="E1369" s="41">
        <v>1126257048</v>
      </c>
      <c r="F1369" s="39" t="s">
        <v>1411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1573</v>
      </c>
      <c r="E1370" s="41">
        <v>1150872122</v>
      </c>
      <c r="F1370" s="39" t="s">
        <v>1411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1574</v>
      </c>
      <c r="E1371" s="41" t="s">
        <v>1575</v>
      </c>
      <c r="F1371" s="39" t="s">
        <v>1411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1576</v>
      </c>
      <c r="E1372" s="41">
        <v>1505672706</v>
      </c>
      <c r="F1372" s="39" t="s">
        <v>1411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1577</v>
      </c>
      <c r="E1373" s="41">
        <v>1015592867</v>
      </c>
      <c r="F1373" s="39" t="s">
        <v>1411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1578</v>
      </c>
      <c r="E1374" s="41">
        <v>1022749434</v>
      </c>
      <c r="F1374" s="39" t="s">
        <v>1411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670</v>
      </c>
      <c r="E1375" s="41">
        <v>1070413418</v>
      </c>
      <c r="F1375" s="39" t="s">
        <v>1411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1579</v>
      </c>
      <c r="E1376" s="41">
        <v>1080652791</v>
      </c>
      <c r="F1376" s="39" t="s">
        <v>1411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1580</v>
      </c>
      <c r="E1377" s="41">
        <v>1152380728</v>
      </c>
      <c r="F1377" s="39" t="s">
        <v>1411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1153</v>
      </c>
      <c r="E1378" s="41" t="s">
        <v>1581</v>
      </c>
      <c r="F1378" s="39" t="s">
        <v>1411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1582</v>
      </c>
      <c r="E1379" s="41">
        <v>1124069931</v>
      </c>
      <c r="F1379" s="39" t="s">
        <v>1411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1583</v>
      </c>
      <c r="E1380" s="41">
        <v>1098465023</v>
      </c>
      <c r="F1380" s="39" t="s">
        <v>1411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1584</v>
      </c>
      <c r="E1381" s="41">
        <v>1100286082</v>
      </c>
      <c r="F1381" s="39" t="s">
        <v>1411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1585</v>
      </c>
      <c r="E1382" s="41">
        <v>1099884506</v>
      </c>
      <c r="F1382" s="39" t="s">
        <v>1411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1586</v>
      </c>
      <c r="E1383" s="41">
        <v>1007809277</v>
      </c>
      <c r="F1383" s="39" t="s">
        <v>1411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1587</v>
      </c>
      <c r="E1384" s="41">
        <v>1044237280</v>
      </c>
      <c r="F1384" s="39" t="s">
        <v>1411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1588</v>
      </c>
      <c r="E1385" s="41">
        <v>1507947778</v>
      </c>
      <c r="F1385" s="39" t="s">
        <v>1411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1589</v>
      </c>
      <c r="E1386" s="41">
        <v>1554175753</v>
      </c>
      <c r="F1386" s="39" t="s">
        <v>1411</v>
      </c>
    </row>
    <row r="1387" spans="1:6">
      <c r="A1387" s="39">
        <v>10346560</v>
      </c>
      <c r="B1387" s="39" t="s">
        <v>434</v>
      </c>
      <c r="C1387" s="39" t="s">
        <v>37</v>
      </c>
      <c r="D1387" s="39" t="s">
        <v>1590</v>
      </c>
      <c r="E1387" s="41">
        <v>1280323963</v>
      </c>
      <c r="F1387" s="39" t="s">
        <v>1411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1591</v>
      </c>
      <c r="E1388" s="41" t="s">
        <v>1592</v>
      </c>
      <c r="F1388" s="39" t="s">
        <v>1411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1593</v>
      </c>
      <c r="E1389" s="41">
        <v>1005695576</v>
      </c>
      <c r="F1389" s="39" t="s">
        <v>1411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1594</v>
      </c>
      <c r="E1390" s="41" t="s">
        <v>1595</v>
      </c>
      <c r="F1390" s="39" t="s">
        <v>1411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1596</v>
      </c>
      <c r="E1391" s="41">
        <v>1020488691</v>
      </c>
      <c r="F1391" s="39" t="s">
        <v>1411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1597</v>
      </c>
      <c r="E1392" s="41" t="s">
        <v>1598</v>
      </c>
      <c r="F1392" s="39" t="s">
        <v>1411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1599</v>
      </c>
      <c r="E1393" s="41">
        <v>1501002468</v>
      </c>
      <c r="F1393" s="39" t="s">
        <v>1411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1600</v>
      </c>
      <c r="E1394" s="41">
        <v>1276272363</v>
      </c>
      <c r="F1394" s="39" t="s">
        <v>1411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1601</v>
      </c>
      <c r="E1395" s="41">
        <v>1508807331</v>
      </c>
      <c r="F1395" s="39" t="s">
        <v>1411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1602</v>
      </c>
      <c r="E1396" s="41">
        <v>1142234058</v>
      </c>
      <c r="F1396" s="39" t="s">
        <v>1411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1603</v>
      </c>
      <c r="E1397" s="41">
        <v>1552032039</v>
      </c>
      <c r="F1397" s="39" t="s">
        <v>1411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1604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1411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1605</v>
      </c>
      <c r="E1400" s="41">
        <v>1117773717</v>
      </c>
      <c r="F1400" s="39" t="s">
        <v>363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1388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1606</v>
      </c>
      <c r="E1402" s="41">
        <v>1222544740</v>
      </c>
      <c r="F1402" s="39" t="s">
        <v>1388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1607</v>
      </c>
      <c r="E1403" s="41">
        <v>1117297939</v>
      </c>
      <c r="F1403" s="39" t="s">
        <v>1388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1608</v>
      </c>
      <c r="E1404" s="41" t="s">
        <v>1609</v>
      </c>
      <c r="F1404" s="39" t="s">
        <v>1388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1610</v>
      </c>
      <c r="E1405" s="41">
        <v>1012805735</v>
      </c>
      <c r="F1405" s="39" t="s">
        <v>1388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1611</v>
      </c>
      <c r="E1406" s="41">
        <v>1026740215</v>
      </c>
      <c r="F1406" s="39" t="s">
        <v>1388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1612</v>
      </c>
      <c r="E1407" s="41">
        <v>1200050553</v>
      </c>
      <c r="F1407" s="39" t="s">
        <v>1388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1613</v>
      </c>
      <c r="E1408" s="41" t="s">
        <v>1614</v>
      </c>
      <c r="F1408" s="39" t="s">
        <v>1388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1615</v>
      </c>
      <c r="E1409" s="41">
        <v>1108718978</v>
      </c>
      <c r="F1409" s="39" t="s">
        <v>1388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1616</v>
      </c>
      <c r="E1410" s="41" t="s">
        <v>1617</v>
      </c>
      <c r="F1410" s="39" t="s">
        <v>1388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1618</v>
      </c>
      <c r="E1411" s="41">
        <v>1016826235</v>
      </c>
      <c r="F1411" s="39" t="s">
        <v>1388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1619</v>
      </c>
      <c r="E1412" s="41">
        <v>1286209830</v>
      </c>
      <c r="F1412" s="39" t="s">
        <v>1388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1620</v>
      </c>
      <c r="E1413" s="41">
        <v>1032874133</v>
      </c>
      <c r="F1413" s="39" t="s">
        <v>1388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1621</v>
      </c>
      <c r="E1414" s="41">
        <v>1001473220</v>
      </c>
      <c r="F1414" s="39" t="s">
        <v>1388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1622</v>
      </c>
      <c r="E1415" s="41">
        <v>1155829737</v>
      </c>
      <c r="F1415" s="39" t="s">
        <v>1411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1623</v>
      </c>
      <c r="E1416" s="41">
        <v>1002894384</v>
      </c>
      <c r="F1416" s="39" t="s">
        <v>1411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1624</v>
      </c>
      <c r="E1417" s="41" t="s">
        <v>1625</v>
      </c>
      <c r="F1417" s="39" t="s">
        <v>1411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1626</v>
      </c>
      <c r="E1418" s="41">
        <v>1014606374</v>
      </c>
      <c r="F1418" s="39" t="s">
        <v>1411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1627</v>
      </c>
      <c r="E1419" s="41">
        <v>1031695970</v>
      </c>
      <c r="F1419" s="39" t="s">
        <v>1411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1628</v>
      </c>
      <c r="E1420" s="41">
        <v>1281239426</v>
      </c>
      <c r="F1420" s="39" t="s">
        <v>1411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1629</v>
      </c>
      <c r="E1421" s="41">
        <v>1146188508</v>
      </c>
      <c r="F1421" s="39" t="s">
        <v>1411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1630</v>
      </c>
      <c r="E1422" s="41"/>
      <c r="F1422" s="39" t="s">
        <v>1411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1631</v>
      </c>
      <c r="E1423" s="41">
        <v>1554565056</v>
      </c>
      <c r="F1423" s="39" t="s">
        <v>1411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1632</v>
      </c>
      <c r="E1424" s="41">
        <v>1091324859</v>
      </c>
      <c r="F1424" s="39" t="s">
        <v>1411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1633</v>
      </c>
      <c r="E1425" s="41">
        <v>1146630188</v>
      </c>
      <c r="F1425" s="39" t="s">
        <v>1411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1634</v>
      </c>
      <c r="E1426" s="41" t="s">
        <v>1635</v>
      </c>
      <c r="F1426" s="39" t="s">
        <v>1411</v>
      </c>
    </row>
    <row r="1427" spans="1:6">
      <c r="A1427" s="39">
        <v>10347015</v>
      </c>
      <c r="B1427" s="39" t="s">
        <v>43</v>
      </c>
      <c r="C1427" s="39" t="s">
        <v>23</v>
      </c>
      <c r="D1427" s="39" t="s">
        <v>1636</v>
      </c>
      <c r="E1427" s="41">
        <v>1098356001</v>
      </c>
      <c r="F1427" s="39" t="s">
        <v>1411</v>
      </c>
    </row>
    <row r="1428" spans="1:6">
      <c r="A1428" s="39">
        <v>10347176</v>
      </c>
      <c r="B1428" s="39" t="s">
        <v>103</v>
      </c>
      <c r="C1428" s="39" t="s">
        <v>104</v>
      </c>
      <c r="D1428" s="39" t="s">
        <v>1637</v>
      </c>
      <c r="E1428" s="41">
        <v>1011053278</v>
      </c>
      <c r="F1428" s="39" t="s">
        <v>1411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1638</v>
      </c>
      <c r="E1429" s="41">
        <v>1004919775</v>
      </c>
      <c r="F1429" s="39" t="s">
        <v>1411</v>
      </c>
    </row>
    <row r="1430" spans="1:6">
      <c r="A1430" s="39">
        <v>10346612</v>
      </c>
      <c r="B1430" s="39" t="s">
        <v>434</v>
      </c>
      <c r="C1430" s="39" t="s">
        <v>434</v>
      </c>
      <c r="D1430" s="39" t="s">
        <v>1639</v>
      </c>
      <c r="E1430" s="41"/>
      <c r="F1430" s="39" t="s">
        <v>1411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1640</v>
      </c>
      <c r="E1431" s="41">
        <v>1129422164</v>
      </c>
      <c r="F1431" s="39" t="s">
        <v>1411</v>
      </c>
    </row>
    <row r="1432" spans="1:6">
      <c r="A1432" s="39">
        <v>10347014</v>
      </c>
      <c r="B1432" s="39" t="s">
        <v>434</v>
      </c>
      <c r="C1432" s="39" t="s">
        <v>434</v>
      </c>
      <c r="D1432" s="39" t="s">
        <v>1641</v>
      </c>
      <c r="E1432" s="41">
        <v>1005018561</v>
      </c>
      <c r="F1432" s="39" t="s">
        <v>1411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1642</v>
      </c>
      <c r="E1433" s="41">
        <v>1044859463</v>
      </c>
      <c r="F1433" s="39" t="s">
        <v>1411</v>
      </c>
    </row>
    <row r="1434" spans="1:6">
      <c r="A1434" s="39">
        <v>10347347</v>
      </c>
      <c r="B1434" s="39" t="s">
        <v>434</v>
      </c>
      <c r="C1434" s="39" t="s">
        <v>434</v>
      </c>
      <c r="D1434" s="39" t="s">
        <v>1643</v>
      </c>
      <c r="E1434" s="41"/>
      <c r="F1434" s="39" t="s">
        <v>1411</v>
      </c>
    </row>
    <row r="1435" spans="1:6">
      <c r="A1435" s="39">
        <v>10324552</v>
      </c>
      <c r="B1435" s="39" t="s">
        <v>1644</v>
      </c>
      <c r="C1435" s="39" t="s">
        <v>53</v>
      </c>
      <c r="D1435" s="39" t="s">
        <v>1645</v>
      </c>
      <c r="E1435" s="41"/>
      <c r="F1435" s="39" t="s">
        <v>1411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1646</v>
      </c>
      <c r="E1436" s="41">
        <v>1559562770</v>
      </c>
      <c r="F1436" s="39" t="s">
        <v>1411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1647</v>
      </c>
      <c r="E1437" s="41">
        <v>1024271525</v>
      </c>
      <c r="F1437" s="39" t="s">
        <v>1411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1648</v>
      </c>
      <c r="E1438" s="41" t="s">
        <v>1649</v>
      </c>
      <c r="F1438" s="39" t="s">
        <v>1411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1650</v>
      </c>
      <c r="E1439" s="41">
        <v>1033206100</v>
      </c>
      <c r="F1439" s="39" t="s">
        <v>1411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1651</v>
      </c>
      <c r="E1440" s="41">
        <v>1115409972</v>
      </c>
      <c r="F1440" s="39" t="s">
        <v>1411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1652</v>
      </c>
      <c r="E1441" s="41">
        <v>1148282927</v>
      </c>
      <c r="F1441" s="39" t="s">
        <v>1411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1653</v>
      </c>
      <c r="E1442" s="41">
        <v>1011919329</v>
      </c>
      <c r="F1442" s="39" t="s">
        <v>1411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1654</v>
      </c>
      <c r="E1443" s="41">
        <v>1158630184</v>
      </c>
      <c r="F1443" s="39" t="s">
        <v>1411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1655</v>
      </c>
      <c r="E1444" s="41">
        <v>1555693374</v>
      </c>
      <c r="F1444" s="39" t="s">
        <v>1411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1656</v>
      </c>
      <c r="E1445" s="41">
        <v>1222696146</v>
      </c>
      <c r="F1445" s="39" t="s">
        <v>1411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1657</v>
      </c>
      <c r="E1446" s="41">
        <v>1093300936</v>
      </c>
      <c r="F1446" s="39" t="s">
        <v>1411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1658</v>
      </c>
      <c r="E1447" s="41">
        <v>1091172333</v>
      </c>
      <c r="F1447" s="39" t="s">
        <v>1411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1659</v>
      </c>
      <c r="E1448" s="41">
        <v>1144418499</v>
      </c>
      <c r="F1448" s="39" t="s">
        <v>1411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1660</v>
      </c>
      <c r="E1449" s="41">
        <v>1070677030</v>
      </c>
      <c r="F1449" s="39" t="s">
        <v>1411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1661</v>
      </c>
      <c r="E1450" s="41">
        <v>1020340671</v>
      </c>
      <c r="F1450" s="39" t="s">
        <v>1411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1662</v>
      </c>
      <c r="E1451" s="41">
        <v>1096062793</v>
      </c>
      <c r="F1451" s="39" t="s">
        <v>1411</v>
      </c>
    </row>
    <row r="1452" spans="1:6">
      <c r="A1452" s="39">
        <v>10347758</v>
      </c>
      <c r="B1452" s="39" t="s">
        <v>195</v>
      </c>
      <c r="C1452" s="39" t="s">
        <v>37</v>
      </c>
      <c r="D1452" s="39" t="s">
        <v>1663</v>
      </c>
      <c r="E1452" s="41">
        <v>1228798735</v>
      </c>
      <c r="F1452" s="39" t="s">
        <v>1411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1664</v>
      </c>
      <c r="E1453" s="41">
        <v>1023360348</v>
      </c>
      <c r="F1453" s="39" t="s">
        <v>1411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1665</v>
      </c>
      <c r="E1454" s="41">
        <v>1551182622</v>
      </c>
      <c r="F1454" s="39" t="s">
        <v>1561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1666</v>
      </c>
      <c r="E1455" s="41">
        <v>1068770533</v>
      </c>
      <c r="F1455" s="39" t="s">
        <v>363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1667</v>
      </c>
      <c r="E1456" s="41">
        <v>1021697070</v>
      </c>
      <c r="F1456" s="39" t="s">
        <v>363</v>
      </c>
    </row>
    <row r="1457" spans="1:6">
      <c r="A1457" s="39">
        <v>10348008</v>
      </c>
      <c r="B1457" s="39" t="s">
        <v>1668</v>
      </c>
      <c r="C1457" s="39" t="s">
        <v>104</v>
      </c>
      <c r="D1457" s="39" t="s">
        <v>1669</v>
      </c>
      <c r="E1457" s="41" t="s">
        <v>1670</v>
      </c>
      <c r="F1457" s="39" t="s">
        <v>1411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1671</v>
      </c>
      <c r="E1458" s="41">
        <v>1010757990</v>
      </c>
      <c r="F1458" s="39" t="s">
        <v>1411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624</v>
      </c>
      <c r="E1459" s="41">
        <v>1013996057</v>
      </c>
      <c r="F1459" s="39" t="s">
        <v>1411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1672</v>
      </c>
      <c r="E1460" s="41">
        <v>1055980976</v>
      </c>
      <c r="F1460" s="39" t="s">
        <v>1411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1673</v>
      </c>
      <c r="E1461" s="41">
        <v>1111993596</v>
      </c>
      <c r="F1461" s="39" t="s">
        <v>1411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1674</v>
      </c>
      <c r="E1462" s="41" t="s">
        <v>1675</v>
      </c>
      <c r="F1462" s="39" t="s">
        <v>1411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1676</v>
      </c>
      <c r="E1463" s="41" t="s">
        <v>1677</v>
      </c>
      <c r="F1463" s="39" t="s">
        <v>1411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1678</v>
      </c>
      <c r="E1464" s="41">
        <v>1097424636</v>
      </c>
      <c r="F1464" s="39" t="s">
        <v>1411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1679</v>
      </c>
      <c r="E1465" s="41">
        <v>1505091326</v>
      </c>
      <c r="F1465" s="39" t="s">
        <v>1411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1680</v>
      </c>
      <c r="E1466" s="41">
        <v>1016508706</v>
      </c>
      <c r="F1466" s="39" t="s">
        <v>1411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1124</v>
      </c>
      <c r="E1467" s="41">
        <v>1270864338</v>
      </c>
      <c r="F1467" s="39" t="s">
        <v>1411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1681</v>
      </c>
      <c r="E1468" s="41">
        <v>1146026653</v>
      </c>
      <c r="F1468" s="39" t="s">
        <v>1411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1682</v>
      </c>
      <c r="E1469" s="41">
        <v>1104380295</v>
      </c>
      <c r="F1469" s="39" t="s">
        <v>1411</v>
      </c>
    </row>
    <row r="1470" spans="1:6">
      <c r="A1470" s="39">
        <v>10348000</v>
      </c>
      <c r="B1470" s="39" t="s">
        <v>1683</v>
      </c>
      <c r="C1470" s="39" t="s">
        <v>23</v>
      </c>
      <c r="D1470" s="39" t="s">
        <v>1684</v>
      </c>
      <c r="E1470" s="41" t="s">
        <v>1685</v>
      </c>
      <c r="F1470" s="39" t="s">
        <v>1411</v>
      </c>
    </row>
    <row r="1471" spans="1:6">
      <c r="A1471" s="39">
        <v>10348055</v>
      </c>
      <c r="B1471" s="39" t="s">
        <v>1668</v>
      </c>
      <c r="C1471" s="39" t="s">
        <v>104</v>
      </c>
      <c r="D1471" s="39" t="s">
        <v>1686</v>
      </c>
      <c r="E1471" s="41">
        <v>1558595142</v>
      </c>
      <c r="F1471" s="39" t="s">
        <v>1411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1687</v>
      </c>
      <c r="E1472" s="41">
        <v>1507870093</v>
      </c>
      <c r="F1472" s="39" t="s">
        <v>1411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1688</v>
      </c>
      <c r="E1473" s="41" t="s">
        <v>1689</v>
      </c>
      <c r="F1473" s="39" t="s">
        <v>1411</v>
      </c>
    </row>
    <row r="1474" spans="1:6">
      <c r="A1474" s="39">
        <v>10348054</v>
      </c>
      <c r="B1474" s="39" t="s">
        <v>1690</v>
      </c>
      <c r="C1474" s="39" t="s">
        <v>37</v>
      </c>
      <c r="D1474" s="39" t="s">
        <v>1691</v>
      </c>
      <c r="E1474" s="41">
        <v>1500087789</v>
      </c>
      <c r="F1474" s="39" t="s">
        <v>1411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1692</v>
      </c>
      <c r="E1475" s="41">
        <v>1050623708</v>
      </c>
      <c r="F1475" s="39" t="s">
        <v>1411</v>
      </c>
    </row>
    <row r="1476" spans="1:6">
      <c r="A1476" s="39">
        <v>10348044</v>
      </c>
      <c r="B1476" s="39" t="s">
        <v>126</v>
      </c>
      <c r="C1476" s="39" t="s">
        <v>16</v>
      </c>
      <c r="D1476" s="39" t="s">
        <v>1693</v>
      </c>
      <c r="E1476" s="41" t="s">
        <v>1694</v>
      </c>
      <c r="F1476" s="39" t="s">
        <v>1411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1695</v>
      </c>
      <c r="E1477" s="41">
        <v>1500488938</v>
      </c>
      <c r="F1477" s="39" t="s">
        <v>1411</v>
      </c>
    </row>
    <row r="1478" spans="1:6">
      <c r="A1478" s="39">
        <v>10347280</v>
      </c>
      <c r="B1478" s="39" t="s">
        <v>1696</v>
      </c>
      <c r="C1478" s="39" t="s">
        <v>23</v>
      </c>
      <c r="D1478" s="39" t="s">
        <v>1697</v>
      </c>
      <c r="E1478" s="41">
        <v>1222749900</v>
      </c>
      <c r="F1478" s="39" t="s">
        <v>1411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1698</v>
      </c>
      <c r="E1479" s="41" t="s">
        <v>1699</v>
      </c>
      <c r="F1479" s="39" t="s">
        <v>1411</v>
      </c>
    </row>
    <row r="1480" spans="1:6">
      <c r="A1480" s="39">
        <v>10348215</v>
      </c>
      <c r="B1480" s="39" t="s">
        <v>1700</v>
      </c>
      <c r="C1480" s="39" t="s">
        <v>1700</v>
      </c>
      <c r="D1480" s="39" t="s">
        <v>1701</v>
      </c>
      <c r="E1480" s="41">
        <v>1270041241</v>
      </c>
      <c r="F1480" s="39" t="s">
        <v>1411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1643</v>
      </c>
      <c r="E1481" s="41">
        <v>1044330535</v>
      </c>
      <c r="F1481" s="39" t="s">
        <v>1411</v>
      </c>
    </row>
    <row r="1482" spans="1:6">
      <c r="A1482" s="39">
        <v>10348222</v>
      </c>
      <c r="B1482" s="39" t="s">
        <v>1696</v>
      </c>
      <c r="C1482" s="39" t="s">
        <v>23</v>
      </c>
      <c r="D1482" s="39" t="s">
        <v>1702</v>
      </c>
      <c r="E1482" s="41">
        <v>1225921809</v>
      </c>
      <c r="F1482" s="39" t="s">
        <v>1411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1297</v>
      </c>
      <c r="E1483" s="41">
        <v>11567115272</v>
      </c>
      <c r="F1483" s="39" t="s">
        <v>1411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985</v>
      </c>
      <c r="E1484" s="41">
        <v>1070199150</v>
      </c>
      <c r="F1484" s="39" t="s">
        <v>1411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1703</v>
      </c>
      <c r="E1485" s="41">
        <v>1001659410</v>
      </c>
      <c r="F1485" s="39" t="s">
        <v>1411</v>
      </c>
    </row>
    <row r="1486" spans="1:6">
      <c r="A1486" s="39">
        <v>10348258</v>
      </c>
      <c r="B1486" s="39" t="s">
        <v>1704</v>
      </c>
      <c r="C1486" s="39" t="s">
        <v>16</v>
      </c>
      <c r="D1486" s="39" t="s">
        <v>1705</v>
      </c>
      <c r="E1486" s="41">
        <v>1552670605</v>
      </c>
      <c r="F1486" s="39" t="s">
        <v>1411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1706</v>
      </c>
      <c r="E1487" s="41">
        <v>1210997417</v>
      </c>
      <c r="F1487" s="39" t="s">
        <v>1411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1707</v>
      </c>
      <c r="E1488" s="41">
        <v>1210789851</v>
      </c>
      <c r="F1488" s="39" t="s">
        <v>1411</v>
      </c>
    </row>
    <row r="1489" spans="1:6">
      <c r="A1489" s="39">
        <v>10348277</v>
      </c>
      <c r="B1489" s="39" t="s">
        <v>1708</v>
      </c>
      <c r="C1489" s="39" t="s">
        <v>13</v>
      </c>
      <c r="D1489" s="39" t="s">
        <v>1709</v>
      </c>
      <c r="E1489" s="41" t="s">
        <v>1710</v>
      </c>
      <c r="F1489" s="39" t="s">
        <v>1411</v>
      </c>
    </row>
    <row r="1490" spans="1:6">
      <c r="A1490" s="39">
        <v>10348293</v>
      </c>
      <c r="B1490" s="39" t="s">
        <v>1668</v>
      </c>
      <c r="C1490" s="39" t="s">
        <v>104</v>
      </c>
      <c r="D1490" s="39" t="s">
        <v>558</v>
      </c>
      <c r="E1490" s="41">
        <v>1007614330</v>
      </c>
      <c r="F1490" s="39" t="s">
        <v>1411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1711</v>
      </c>
      <c r="E1491" s="41" t="s">
        <v>1712</v>
      </c>
      <c r="F1491" s="39" t="s">
        <v>1411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1713</v>
      </c>
      <c r="E1492" s="41" t="s">
        <v>1714</v>
      </c>
      <c r="F1492" s="39" t="s">
        <v>1411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1715</v>
      </c>
      <c r="E1493" s="41">
        <v>1154442437</v>
      </c>
      <c r="F1493" s="39" t="s">
        <v>1411</v>
      </c>
    </row>
    <row r="1494" spans="1:6">
      <c r="A1494" s="39">
        <v>10348308</v>
      </c>
      <c r="B1494" s="39" t="s">
        <v>1700</v>
      </c>
      <c r="C1494" s="39" t="s">
        <v>1700</v>
      </c>
      <c r="D1494" s="39" t="s">
        <v>1716</v>
      </c>
      <c r="E1494" s="41">
        <v>1556278711</v>
      </c>
      <c r="F1494" s="39" t="s">
        <v>1411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1717</v>
      </c>
      <c r="E1495" s="41">
        <v>1553723865</v>
      </c>
      <c r="F1495" s="39" t="s">
        <v>1411</v>
      </c>
    </row>
    <row r="1496" spans="1:6">
      <c r="A1496" s="39">
        <v>10347418</v>
      </c>
      <c r="B1496" s="39" t="s">
        <v>162</v>
      </c>
      <c r="C1496" s="39" t="s">
        <v>85</v>
      </c>
      <c r="D1496" s="39" t="s">
        <v>1718</v>
      </c>
      <c r="E1496" s="41">
        <v>1003336191</v>
      </c>
      <c r="F1496" s="39" t="s">
        <v>1156</v>
      </c>
    </row>
    <row r="1497" spans="1:6">
      <c r="A1497" s="39">
        <v>10347427</v>
      </c>
      <c r="B1497" s="39" t="s">
        <v>115</v>
      </c>
      <c r="C1497" s="39" t="s">
        <v>37</v>
      </c>
      <c r="D1497" s="39" t="s">
        <v>1719</v>
      </c>
      <c r="E1497" s="41">
        <v>1109165438</v>
      </c>
      <c r="F1497" s="39" t="s">
        <v>1156</v>
      </c>
    </row>
    <row r="1498" spans="1:6">
      <c r="A1498" s="39">
        <v>10347428</v>
      </c>
      <c r="B1498" s="39" t="s">
        <v>6</v>
      </c>
      <c r="C1498" s="39" t="s">
        <v>7</v>
      </c>
      <c r="D1498" s="39" t="s">
        <v>1720</v>
      </c>
      <c r="E1498" s="41">
        <v>1044608425</v>
      </c>
      <c r="F1498" s="39" t="s">
        <v>1156</v>
      </c>
    </row>
    <row r="1499" spans="1:6">
      <c r="A1499" s="39">
        <v>10347429</v>
      </c>
      <c r="B1499" s="39" t="s">
        <v>131</v>
      </c>
      <c r="C1499" s="39" t="s">
        <v>37</v>
      </c>
      <c r="D1499" s="39" t="s">
        <v>1721</v>
      </c>
      <c r="E1499" s="41">
        <v>1017913776</v>
      </c>
      <c r="F1499" s="39" t="s">
        <v>1156</v>
      </c>
    </row>
    <row r="1500" spans="1:6">
      <c r="A1500" s="39">
        <v>10347419</v>
      </c>
      <c r="B1500" s="39" t="s">
        <v>220</v>
      </c>
      <c r="C1500" s="39" t="s">
        <v>221</v>
      </c>
      <c r="D1500" s="39" t="s">
        <v>1722</v>
      </c>
      <c r="E1500" s="41">
        <v>1144129655</v>
      </c>
      <c r="F1500" s="39" t="s">
        <v>1156</v>
      </c>
    </row>
    <row r="1501" spans="1:6">
      <c r="A1501" s="39">
        <v>10348095</v>
      </c>
      <c r="B1501" s="39" t="s">
        <v>78</v>
      </c>
      <c r="C1501" s="39" t="s">
        <v>13</v>
      </c>
      <c r="D1501" s="39" t="s">
        <v>1723</v>
      </c>
      <c r="E1501" s="41">
        <v>1026170107</v>
      </c>
      <c r="F1501" s="39" t="s">
        <v>1156</v>
      </c>
    </row>
    <row r="1502" spans="1:6">
      <c r="A1502" s="39">
        <v>10347420</v>
      </c>
      <c r="B1502" s="39" t="s">
        <v>134</v>
      </c>
      <c r="C1502" s="39" t="s">
        <v>40</v>
      </c>
      <c r="D1502" s="39" t="s">
        <v>1724</v>
      </c>
      <c r="E1502" s="41" t="s">
        <v>1725</v>
      </c>
      <c r="F1502" s="39" t="s">
        <v>1156</v>
      </c>
    </row>
    <row r="1503" spans="1:6">
      <c r="A1503" s="39">
        <v>10347639</v>
      </c>
      <c r="B1503" s="39" t="s">
        <v>434</v>
      </c>
      <c r="C1503" s="39" t="s">
        <v>434</v>
      </c>
      <c r="D1503" s="39" t="s">
        <v>1726</v>
      </c>
      <c r="E1503" s="41">
        <v>1002105332</v>
      </c>
      <c r="F1503" s="39" t="s">
        <v>1411</v>
      </c>
    </row>
    <row r="1504" spans="1:6">
      <c r="A1504" s="39">
        <v>10347643</v>
      </c>
      <c r="B1504" s="39" t="s">
        <v>434</v>
      </c>
      <c r="C1504" s="39" t="s">
        <v>434</v>
      </c>
      <c r="D1504" s="39" t="s">
        <v>1727</v>
      </c>
      <c r="E1504" s="41">
        <v>1508397610</v>
      </c>
      <c r="F1504" s="39" t="s">
        <v>1411</v>
      </c>
    </row>
    <row r="1505" spans="1:6">
      <c r="A1505" s="39">
        <v>10347623</v>
      </c>
      <c r="B1505" s="39" t="s">
        <v>434</v>
      </c>
      <c r="C1505" s="39" t="s">
        <v>434</v>
      </c>
      <c r="D1505" s="39" t="s">
        <v>1728</v>
      </c>
      <c r="E1505" s="41">
        <v>1023151819</v>
      </c>
      <c r="F1505" s="39" t="s">
        <v>1411</v>
      </c>
    </row>
    <row r="1506" spans="1:6">
      <c r="A1506" s="39">
        <v>10347770</v>
      </c>
      <c r="B1506" s="39" t="s">
        <v>434</v>
      </c>
      <c r="C1506" s="39" t="s">
        <v>434</v>
      </c>
      <c r="D1506" s="39" t="s">
        <v>1729</v>
      </c>
      <c r="E1506" s="41">
        <v>1014383050</v>
      </c>
      <c r="F1506" s="39" t="s">
        <v>1411</v>
      </c>
    </row>
    <row r="1507" spans="1:6">
      <c r="A1507" s="39">
        <v>10347762</v>
      </c>
      <c r="B1507" s="39" t="s">
        <v>434</v>
      </c>
      <c r="C1507" s="39" t="s">
        <v>434</v>
      </c>
      <c r="D1507" s="39" t="s">
        <v>1730</v>
      </c>
      <c r="E1507" s="41">
        <v>1091400410</v>
      </c>
      <c r="F1507" s="39" t="s">
        <v>1411</v>
      </c>
    </row>
    <row r="1508" spans="1:6">
      <c r="A1508" s="39">
        <v>10347756</v>
      </c>
      <c r="B1508" s="39" t="s">
        <v>434</v>
      </c>
      <c r="C1508" s="39" t="s">
        <v>434</v>
      </c>
      <c r="D1508" s="39" t="s">
        <v>1731</v>
      </c>
      <c r="E1508" s="41">
        <v>1158808766</v>
      </c>
      <c r="F1508" s="39" t="s">
        <v>1411</v>
      </c>
    </row>
    <row r="1509" spans="1:6">
      <c r="A1509" s="39">
        <v>10347768</v>
      </c>
      <c r="B1509" s="39" t="s">
        <v>434</v>
      </c>
      <c r="C1509" s="39" t="s">
        <v>434</v>
      </c>
      <c r="D1509" s="39" t="s">
        <v>1732</v>
      </c>
      <c r="E1509" s="41">
        <v>1063790715</v>
      </c>
      <c r="F1509" s="39" t="s">
        <v>1411</v>
      </c>
    </row>
    <row r="1510" spans="1:6">
      <c r="A1510" s="39">
        <v>10292718</v>
      </c>
      <c r="B1510" s="39" t="s">
        <v>6</v>
      </c>
      <c r="C1510" s="39" t="s">
        <v>151</v>
      </c>
      <c r="D1510" s="39" t="s">
        <v>1733</v>
      </c>
      <c r="E1510" s="41" t="s">
        <v>1734</v>
      </c>
      <c r="F1510" s="39" t="s">
        <v>363</v>
      </c>
    </row>
    <row r="1511" spans="1:6">
      <c r="A1511" s="39">
        <v>10320490</v>
      </c>
      <c r="B1511" s="39" t="s">
        <v>170</v>
      </c>
      <c r="C1511" s="39" t="s">
        <v>13</v>
      </c>
      <c r="D1511" s="39" t="s">
        <v>1735</v>
      </c>
      <c r="E1511" s="41">
        <v>1140412372</v>
      </c>
      <c r="F1511" s="39" t="s">
        <v>363</v>
      </c>
    </row>
    <row r="1512" spans="1:6">
      <c r="A1512" s="39">
        <v>10270497</v>
      </c>
      <c r="B1512" s="39" t="s">
        <v>66</v>
      </c>
      <c r="C1512" s="39" t="s">
        <v>67</v>
      </c>
      <c r="D1512" s="39" t="s">
        <v>1736</v>
      </c>
      <c r="E1512" s="41">
        <v>1017467206</v>
      </c>
      <c r="F1512" s="39" t="s">
        <v>1411</v>
      </c>
    </row>
    <row r="1513" spans="1:6">
      <c r="A1513" s="39">
        <v>10282243</v>
      </c>
      <c r="B1513" s="39" t="s">
        <v>1737</v>
      </c>
      <c r="C1513" s="39" t="s">
        <v>221</v>
      </c>
      <c r="D1513" s="39" t="s">
        <v>1738</v>
      </c>
      <c r="E1513" s="41">
        <v>1556527721</v>
      </c>
      <c r="F1513" s="39" t="s">
        <v>1411</v>
      </c>
    </row>
    <row r="1514" spans="1:6">
      <c r="A1514" s="39">
        <v>10324535</v>
      </c>
      <c r="B1514" s="39" t="s">
        <v>34</v>
      </c>
      <c r="C1514" s="39" t="s">
        <v>16</v>
      </c>
      <c r="D1514" s="39" t="s">
        <v>33</v>
      </c>
      <c r="E1514" s="41" t="s">
        <v>1739</v>
      </c>
      <c r="F1514" s="39" t="s">
        <v>1411</v>
      </c>
    </row>
    <row r="1515" spans="1:6">
      <c r="A1515" s="39">
        <v>10319795</v>
      </c>
      <c r="B1515" s="39" t="s">
        <v>126</v>
      </c>
      <c r="C1515" s="39" t="s">
        <v>16</v>
      </c>
      <c r="D1515" s="39" t="s">
        <v>1740</v>
      </c>
      <c r="E1515" s="41" t="s">
        <v>1741</v>
      </c>
      <c r="F1515" s="39" t="s">
        <v>1411</v>
      </c>
    </row>
    <row r="1516" spans="1:6">
      <c r="A1516" s="39">
        <v>10319094</v>
      </c>
      <c r="B1516" s="39" t="s">
        <v>381</v>
      </c>
      <c r="C1516" s="39" t="s">
        <v>30</v>
      </c>
      <c r="D1516" s="39" t="s">
        <v>1742</v>
      </c>
      <c r="E1516" s="41">
        <v>1145153164</v>
      </c>
      <c r="F1516" s="39" t="s">
        <v>1411</v>
      </c>
    </row>
    <row r="1517" spans="1:6">
      <c r="A1517" s="39">
        <v>10334215</v>
      </c>
      <c r="B1517" s="39" t="s">
        <v>264</v>
      </c>
      <c r="C1517" s="39" t="s">
        <v>151</v>
      </c>
      <c r="D1517" s="39" t="s">
        <v>1743</v>
      </c>
      <c r="E1517" s="41">
        <v>1070874137</v>
      </c>
      <c r="F1517" s="39" t="s">
        <v>1411</v>
      </c>
    </row>
    <row r="1518" spans="1:6">
      <c r="A1518" s="39">
        <v>10319095</v>
      </c>
      <c r="B1518" s="39" t="s">
        <v>1744</v>
      </c>
      <c r="C1518" s="39" t="s">
        <v>95</v>
      </c>
      <c r="D1518" s="39" t="s">
        <v>1745</v>
      </c>
      <c r="E1518" s="41">
        <v>1158825770</v>
      </c>
      <c r="F1518" s="39" t="s">
        <v>1411</v>
      </c>
    </row>
    <row r="1519" spans="1:6">
      <c r="A1519" s="39">
        <v>10340369</v>
      </c>
      <c r="B1519" s="39" t="s">
        <v>228</v>
      </c>
      <c r="C1519" s="39" t="s">
        <v>95</v>
      </c>
      <c r="D1519" s="39" t="s">
        <v>1746</v>
      </c>
      <c r="E1519" s="41" t="s">
        <v>1747</v>
      </c>
      <c r="F1519" s="39" t="s">
        <v>1411</v>
      </c>
    </row>
    <row r="1520" spans="1:6">
      <c r="A1520" s="39">
        <v>10336453</v>
      </c>
      <c r="B1520" s="39" t="s">
        <v>228</v>
      </c>
      <c r="C1520" s="39" t="s">
        <v>95</v>
      </c>
      <c r="D1520" s="39" t="s">
        <v>1748</v>
      </c>
      <c r="E1520" s="41">
        <v>1122755871</v>
      </c>
      <c r="F1520" s="39" t="s">
        <v>1411</v>
      </c>
    </row>
    <row r="1521" spans="1:6">
      <c r="A1521" s="39">
        <v>10335392</v>
      </c>
      <c r="B1521" s="39" t="s">
        <v>228</v>
      </c>
      <c r="C1521" s="39" t="s">
        <v>95</v>
      </c>
      <c r="D1521" s="39" t="s">
        <v>1749</v>
      </c>
      <c r="E1521" s="41" t="s">
        <v>1750</v>
      </c>
      <c r="F1521" s="39" t="s">
        <v>1411</v>
      </c>
    </row>
    <row r="1522" spans="1:6">
      <c r="A1522" s="39">
        <v>10323972</v>
      </c>
      <c r="B1522" s="39" t="s">
        <v>228</v>
      </c>
      <c r="C1522" s="39" t="s">
        <v>95</v>
      </c>
      <c r="D1522" s="39" t="s">
        <v>1751</v>
      </c>
      <c r="E1522" s="41" t="s">
        <v>1752</v>
      </c>
      <c r="F1522" s="39" t="s">
        <v>1411</v>
      </c>
    </row>
    <row r="1523" spans="1:6">
      <c r="A1523" s="39">
        <v>10341611</v>
      </c>
      <c r="B1523" s="39" t="s">
        <v>228</v>
      </c>
      <c r="C1523" s="39" t="s">
        <v>95</v>
      </c>
      <c r="D1523" s="39" t="s">
        <v>1753</v>
      </c>
      <c r="E1523" s="41">
        <v>1032492021</v>
      </c>
      <c r="F1523" s="39" t="s">
        <v>1411</v>
      </c>
    </row>
    <row r="1524" spans="1:6">
      <c r="A1524" s="39">
        <v>10320291</v>
      </c>
      <c r="B1524" s="39" t="s">
        <v>45</v>
      </c>
      <c r="C1524" s="39" t="s">
        <v>10</v>
      </c>
      <c r="D1524" s="39" t="s">
        <v>1754</v>
      </c>
      <c r="E1524" s="41">
        <v>1154351904</v>
      </c>
      <c r="F1524" s="39" t="s">
        <v>1411</v>
      </c>
    </row>
    <row r="1525" spans="1:6">
      <c r="A1525" s="39">
        <v>10291620</v>
      </c>
      <c r="B1525" s="39" t="s">
        <v>87</v>
      </c>
      <c r="C1525" s="39" t="s">
        <v>13</v>
      </c>
      <c r="D1525" s="39" t="s">
        <v>1755</v>
      </c>
      <c r="E1525" s="41">
        <v>1114918093</v>
      </c>
      <c r="F1525" s="39" t="s">
        <v>1411</v>
      </c>
    </row>
    <row r="1526" spans="1:6">
      <c r="A1526" s="39">
        <v>10345543</v>
      </c>
      <c r="B1526" s="39" t="s">
        <v>106</v>
      </c>
      <c r="C1526" s="39" t="s">
        <v>13</v>
      </c>
      <c r="D1526" s="39" t="s">
        <v>1756</v>
      </c>
      <c r="E1526" s="41">
        <v>1149265144</v>
      </c>
      <c r="F1526" s="39" t="s">
        <v>1411</v>
      </c>
    </row>
    <row r="1527" spans="1:6">
      <c r="A1527" s="39">
        <v>10338474</v>
      </c>
      <c r="B1527" s="39" t="s">
        <v>43</v>
      </c>
      <c r="C1527" s="39" t="s">
        <v>23</v>
      </c>
      <c r="D1527" s="39" t="s">
        <v>1757</v>
      </c>
      <c r="E1527" s="41">
        <v>1148646797</v>
      </c>
      <c r="F1527" s="39" t="s">
        <v>1411</v>
      </c>
    </row>
    <row r="1528" spans="1:6">
      <c r="A1528" s="39">
        <v>10337070</v>
      </c>
      <c r="B1528" s="39" t="s">
        <v>172</v>
      </c>
      <c r="C1528" s="39" t="s">
        <v>23</v>
      </c>
      <c r="D1528" s="39" t="s">
        <v>1758</v>
      </c>
      <c r="E1528" s="41">
        <v>1144811677</v>
      </c>
      <c r="F1528" s="39" t="s">
        <v>1411</v>
      </c>
    </row>
    <row r="1529" spans="1:6">
      <c r="A1529" s="39">
        <v>10323448</v>
      </c>
      <c r="B1529" s="39" t="s">
        <v>101</v>
      </c>
      <c r="C1529" s="39" t="s">
        <v>23</v>
      </c>
      <c r="D1529" s="39" t="s">
        <v>1759</v>
      </c>
      <c r="E1529" s="41">
        <v>1091061813</v>
      </c>
      <c r="F1529" s="39" t="s">
        <v>1411</v>
      </c>
    </row>
    <row r="1530" spans="1:6">
      <c r="A1530" s="39">
        <v>10274975</v>
      </c>
      <c r="B1530" s="39" t="s">
        <v>1760</v>
      </c>
      <c r="C1530" s="39" t="s">
        <v>23</v>
      </c>
      <c r="D1530" s="39" t="s">
        <v>1761</v>
      </c>
      <c r="E1530" s="41">
        <v>1092636192</v>
      </c>
      <c r="F1530" s="39" t="s">
        <v>1411</v>
      </c>
    </row>
    <row r="1531" spans="1:6">
      <c r="A1531" s="39">
        <v>10267962</v>
      </c>
      <c r="B1531" s="39" t="s">
        <v>276</v>
      </c>
      <c r="C1531" s="39" t="s">
        <v>23</v>
      </c>
      <c r="D1531" s="39" t="s">
        <v>265</v>
      </c>
      <c r="E1531" s="41">
        <v>1018145481</v>
      </c>
      <c r="F1531" s="39" t="s">
        <v>1411</v>
      </c>
    </row>
    <row r="1532" spans="1:6">
      <c r="A1532" s="39">
        <v>10341595</v>
      </c>
      <c r="B1532" s="39" t="s">
        <v>101</v>
      </c>
      <c r="C1532" s="39" t="s">
        <v>23</v>
      </c>
      <c r="D1532" s="39" t="s">
        <v>1762</v>
      </c>
      <c r="E1532" s="41">
        <v>1044822349</v>
      </c>
      <c r="F1532" s="39" t="s">
        <v>1411</v>
      </c>
    </row>
    <row r="1533" spans="1:6">
      <c r="A1533" s="39">
        <v>10339759</v>
      </c>
      <c r="B1533" s="39" t="s">
        <v>48</v>
      </c>
      <c r="C1533" s="39" t="s">
        <v>49</v>
      </c>
      <c r="D1533" s="39" t="s">
        <v>1763</v>
      </c>
      <c r="E1533" s="41">
        <v>1555073993</v>
      </c>
      <c r="F1533" s="39" t="s">
        <v>1411</v>
      </c>
    </row>
    <row r="1534" spans="1:6">
      <c r="A1534" s="39">
        <v>10342331</v>
      </c>
      <c r="B1534" s="39" t="s">
        <v>115</v>
      </c>
      <c r="C1534" s="39" t="s">
        <v>37</v>
      </c>
      <c r="D1534" s="39" t="s">
        <v>1764</v>
      </c>
      <c r="E1534" s="41">
        <v>1080445221</v>
      </c>
      <c r="F1534" s="39" t="s">
        <v>1411</v>
      </c>
    </row>
    <row r="1535" spans="1:6">
      <c r="A1535" s="39">
        <v>10340416</v>
      </c>
      <c r="B1535" s="39" t="s">
        <v>115</v>
      </c>
      <c r="C1535" s="39" t="s">
        <v>37</v>
      </c>
      <c r="D1535" s="39" t="s">
        <v>1765</v>
      </c>
      <c r="E1535" s="41">
        <v>1095250514</v>
      </c>
      <c r="F1535" s="39" t="s">
        <v>1411</v>
      </c>
    </row>
    <row r="1536" spans="1:6">
      <c r="A1536" s="39">
        <v>10332473</v>
      </c>
      <c r="B1536" s="39" t="s">
        <v>1766</v>
      </c>
      <c r="C1536" s="39" t="s">
        <v>37</v>
      </c>
      <c r="D1536" s="39" t="s">
        <v>1767</v>
      </c>
      <c r="E1536" s="41" t="s">
        <v>1768</v>
      </c>
      <c r="F1536" s="39" t="s">
        <v>1411</v>
      </c>
    </row>
    <row r="1537" spans="1:6">
      <c r="A1537" s="39">
        <v>10316740</v>
      </c>
      <c r="B1537" s="39" t="s">
        <v>115</v>
      </c>
      <c r="C1537" s="39" t="s">
        <v>37</v>
      </c>
      <c r="D1537" s="39" t="s">
        <v>1769</v>
      </c>
      <c r="E1537" s="41">
        <v>1110689559</v>
      </c>
      <c r="F1537" s="39" t="s">
        <v>1411</v>
      </c>
    </row>
    <row r="1538" spans="1:6">
      <c r="A1538" s="39">
        <v>10317235</v>
      </c>
      <c r="B1538" s="39" t="s">
        <v>115</v>
      </c>
      <c r="C1538" s="39" t="s">
        <v>37</v>
      </c>
      <c r="D1538" s="39" t="s">
        <v>1770</v>
      </c>
      <c r="E1538" s="41">
        <v>1555036873</v>
      </c>
      <c r="F1538" s="39" t="s">
        <v>1411</v>
      </c>
    </row>
    <row r="1539" spans="1:6">
      <c r="A1539" s="39">
        <v>10341020</v>
      </c>
      <c r="B1539" s="39" t="s">
        <v>195</v>
      </c>
      <c r="C1539" s="39" t="s">
        <v>37</v>
      </c>
      <c r="D1539" s="39" t="s">
        <v>1771</v>
      </c>
      <c r="E1539" s="41">
        <v>1153235087</v>
      </c>
      <c r="F1539" s="39" t="s">
        <v>1411</v>
      </c>
    </row>
    <row r="1540" spans="1:6">
      <c r="A1540" s="39">
        <v>10342889</v>
      </c>
      <c r="B1540" s="39" t="s">
        <v>1668</v>
      </c>
      <c r="C1540" s="39" t="s">
        <v>104</v>
      </c>
      <c r="D1540" s="39" t="s">
        <v>1772</v>
      </c>
      <c r="E1540" s="41" t="s">
        <v>1773</v>
      </c>
      <c r="F1540" s="39" t="s">
        <v>1411</v>
      </c>
    </row>
    <row r="1541" spans="1:6">
      <c r="A1541" s="39">
        <v>10338462</v>
      </c>
      <c r="B1541" s="39" t="s">
        <v>1668</v>
      </c>
      <c r="C1541" s="39" t="s">
        <v>104</v>
      </c>
      <c r="D1541" s="39" t="s">
        <v>1774</v>
      </c>
      <c r="E1541" s="41">
        <v>1115460558</v>
      </c>
      <c r="F1541" s="39" t="s">
        <v>1411</v>
      </c>
    </row>
    <row r="1542" spans="1:6">
      <c r="A1542" s="39">
        <v>10343475</v>
      </c>
      <c r="B1542" s="39" t="s">
        <v>1668</v>
      </c>
      <c r="C1542" s="39" t="s">
        <v>104</v>
      </c>
      <c r="D1542" s="39" t="s">
        <v>1775</v>
      </c>
      <c r="E1542" s="41">
        <v>1559633455</v>
      </c>
      <c r="F1542" s="39" t="s">
        <v>1411</v>
      </c>
    </row>
    <row r="1543" spans="1:6">
      <c r="A1543" s="39">
        <v>10316787</v>
      </c>
      <c r="B1543" s="39" t="s">
        <v>6</v>
      </c>
      <c r="C1543" s="39" t="s">
        <v>7</v>
      </c>
      <c r="D1543" s="39" t="s">
        <v>1776</v>
      </c>
      <c r="E1543" s="41">
        <v>1287028152</v>
      </c>
      <c r="F1543" s="39" t="s">
        <v>1411</v>
      </c>
    </row>
    <row r="1544" spans="1:6">
      <c r="A1544" s="39">
        <v>10331204</v>
      </c>
      <c r="B1544" s="39" t="s">
        <v>6</v>
      </c>
      <c r="C1544" s="39" t="s">
        <v>7</v>
      </c>
      <c r="D1544" s="39" t="s">
        <v>1777</v>
      </c>
      <c r="E1544" s="41">
        <v>1123084929</v>
      </c>
      <c r="F1544" s="39" t="s">
        <v>1411</v>
      </c>
    </row>
    <row r="1545" spans="1:6">
      <c r="A1545" s="39">
        <v>10329904</v>
      </c>
      <c r="B1545" s="39" t="s">
        <v>39</v>
      </c>
      <c r="C1545" s="39" t="s">
        <v>40</v>
      </c>
      <c r="D1545" s="39" t="s">
        <v>1778</v>
      </c>
      <c r="E1545" s="41">
        <v>1104178758</v>
      </c>
      <c r="F1545" s="39" t="s">
        <v>1411</v>
      </c>
    </row>
    <row r="1546" spans="1:6">
      <c r="A1546" s="39">
        <v>10335909</v>
      </c>
      <c r="B1546" s="39" t="s">
        <v>69</v>
      </c>
      <c r="C1546" s="39" t="s">
        <v>70</v>
      </c>
      <c r="D1546" s="39" t="s">
        <v>1779</v>
      </c>
      <c r="E1546" s="41">
        <v>1555773066</v>
      </c>
      <c r="F1546" s="39" t="s">
        <v>1411</v>
      </c>
    </row>
    <row r="1547" spans="1:6">
      <c r="A1547" s="39">
        <v>10212383</v>
      </c>
      <c r="B1547" s="39" t="s">
        <v>1780</v>
      </c>
      <c r="C1547" s="39" t="s">
        <v>95</v>
      </c>
      <c r="D1547" s="39" t="s">
        <v>1781</v>
      </c>
      <c r="E1547" s="41">
        <v>1123800117</v>
      </c>
      <c r="F1547" s="39" t="s">
        <v>1411</v>
      </c>
    </row>
    <row r="1548" spans="1:6">
      <c r="A1548" s="39">
        <v>10308019</v>
      </c>
      <c r="B1548" s="39" t="s">
        <v>126</v>
      </c>
      <c r="C1548" s="39" t="s">
        <v>16</v>
      </c>
      <c r="D1548" s="39" t="s">
        <v>1782</v>
      </c>
      <c r="E1548" s="41">
        <v>1121378981</v>
      </c>
      <c r="F1548" s="39" t="s">
        <v>1411</v>
      </c>
    </row>
    <row r="1549" spans="1:6">
      <c r="A1549" s="39">
        <v>10348485</v>
      </c>
      <c r="B1549" s="39" t="s">
        <v>126</v>
      </c>
      <c r="C1549" s="39" t="s">
        <v>16</v>
      </c>
      <c r="D1549" s="39" t="s">
        <v>1783</v>
      </c>
      <c r="E1549" s="41">
        <v>1205310663</v>
      </c>
      <c r="F1549" s="39" t="s">
        <v>1411</v>
      </c>
    </row>
    <row r="1550" spans="1:6">
      <c r="A1550" s="39">
        <v>10348552</v>
      </c>
      <c r="B1550" s="39" t="s">
        <v>45</v>
      </c>
      <c r="C1550" s="39" t="s">
        <v>10</v>
      </c>
      <c r="D1550" s="39" t="s">
        <v>1784</v>
      </c>
      <c r="E1550" s="41">
        <v>1287010193</v>
      </c>
      <c r="F1550" s="39" t="s">
        <v>1411</v>
      </c>
    </row>
    <row r="1551" spans="1:6">
      <c r="A1551" s="39">
        <v>10254383</v>
      </c>
      <c r="B1551" s="39" t="s">
        <v>80</v>
      </c>
      <c r="C1551" s="39" t="s">
        <v>13</v>
      </c>
      <c r="D1551" s="39" t="s">
        <v>1785</v>
      </c>
      <c r="E1551" s="41">
        <v>1271406300</v>
      </c>
      <c r="F1551" s="39" t="s">
        <v>1561</v>
      </c>
    </row>
    <row r="1552" spans="1:6">
      <c r="A1552" s="39" t="s">
        <v>1786</v>
      </c>
      <c r="B1552" s="39" t="s">
        <v>228</v>
      </c>
      <c r="C1552" s="39" t="s">
        <v>27</v>
      </c>
      <c r="D1552" s="39" t="s">
        <v>672</v>
      </c>
      <c r="E1552" s="41">
        <v>1128086234</v>
      </c>
      <c r="F1552" s="39" t="s">
        <v>205</v>
      </c>
    </row>
    <row r="1553" spans="1:6">
      <c r="A1553" s="39">
        <v>10349026</v>
      </c>
      <c r="B1553" s="39" t="s">
        <v>57</v>
      </c>
      <c r="C1553" s="39" t="s">
        <v>58</v>
      </c>
      <c r="D1553" s="39" t="s">
        <v>1787</v>
      </c>
      <c r="E1553" s="41">
        <v>1070454217</v>
      </c>
      <c r="F1553" s="39" t="s">
        <v>205</v>
      </c>
    </row>
    <row r="1554" spans="1:6">
      <c r="A1554" s="39">
        <v>10349014</v>
      </c>
      <c r="B1554" s="39" t="s">
        <v>1788</v>
      </c>
      <c r="C1554" s="39" t="s">
        <v>314</v>
      </c>
      <c r="D1554" s="39" t="s">
        <v>1789</v>
      </c>
      <c r="E1554" s="41">
        <v>1000037062</v>
      </c>
      <c r="F1554" s="39" t="s">
        <v>205</v>
      </c>
    </row>
    <row r="1555" spans="1:6">
      <c r="A1555" s="39">
        <v>10336631</v>
      </c>
      <c r="B1555" s="39" t="s">
        <v>1790</v>
      </c>
      <c r="C1555" s="39" t="s">
        <v>151</v>
      </c>
      <c r="D1555" s="39" t="s">
        <v>1791</v>
      </c>
      <c r="E1555" s="41">
        <v>1121670258</v>
      </c>
      <c r="F1555" s="39" t="s">
        <v>205</v>
      </c>
    </row>
    <row r="1556" spans="1:6">
      <c r="A1556" s="39">
        <v>10349015</v>
      </c>
      <c r="B1556" s="39" t="s">
        <v>1792</v>
      </c>
      <c r="C1556" s="39" t="s">
        <v>95</v>
      </c>
      <c r="D1556" s="39" t="s">
        <v>1793</v>
      </c>
      <c r="E1556" s="41">
        <v>1044744639</v>
      </c>
      <c r="F1556" s="39" t="s">
        <v>205</v>
      </c>
    </row>
    <row r="1557" spans="1:6">
      <c r="A1557" s="39">
        <v>10349056</v>
      </c>
      <c r="B1557" s="39" t="s">
        <v>94</v>
      </c>
      <c r="C1557" s="39" t="s">
        <v>95</v>
      </c>
      <c r="D1557" s="39" t="s">
        <v>1794</v>
      </c>
      <c r="E1557" s="41">
        <v>1288271110</v>
      </c>
      <c r="F1557" s="39" t="s">
        <v>205</v>
      </c>
    </row>
    <row r="1558" spans="1:6">
      <c r="A1558" s="39">
        <v>10349025</v>
      </c>
      <c r="B1558" s="39" t="s">
        <v>45</v>
      </c>
      <c r="C1558" s="39" t="s">
        <v>10</v>
      </c>
      <c r="D1558" s="39" t="s">
        <v>1795</v>
      </c>
      <c r="E1558" s="41">
        <v>1069684801</v>
      </c>
      <c r="F1558" s="39" t="s">
        <v>205</v>
      </c>
    </row>
    <row r="1559" spans="1:6">
      <c r="A1559" s="39">
        <v>10349030</v>
      </c>
      <c r="B1559" s="39" t="s">
        <v>302</v>
      </c>
      <c r="C1559" s="39" t="s">
        <v>10</v>
      </c>
      <c r="D1559" s="39" t="s">
        <v>1796</v>
      </c>
      <c r="E1559" s="41" t="s">
        <v>1797</v>
      </c>
      <c r="F1559" s="39" t="s">
        <v>205</v>
      </c>
    </row>
    <row r="1560" spans="1:6">
      <c r="A1560" s="39">
        <v>10349032</v>
      </c>
      <c r="B1560" s="39" t="s">
        <v>45</v>
      </c>
      <c r="C1560" s="39" t="s">
        <v>10</v>
      </c>
      <c r="D1560" s="39" t="s">
        <v>1798</v>
      </c>
      <c r="E1560" s="41">
        <v>1223429209</v>
      </c>
      <c r="F1560" s="39" t="s">
        <v>205</v>
      </c>
    </row>
    <row r="1561" spans="1:6">
      <c r="A1561" s="39">
        <v>10349033</v>
      </c>
      <c r="B1561" s="39" t="s">
        <v>12</v>
      </c>
      <c r="C1561" s="39" t="s">
        <v>13</v>
      </c>
      <c r="D1561" s="39" t="s">
        <v>551</v>
      </c>
      <c r="E1561" s="41" t="s">
        <v>1799</v>
      </c>
      <c r="F1561" s="39" t="s">
        <v>205</v>
      </c>
    </row>
    <row r="1562" spans="1:6">
      <c r="A1562" s="39">
        <v>10348986</v>
      </c>
      <c r="B1562" s="39" t="s">
        <v>32</v>
      </c>
      <c r="C1562" s="39" t="s">
        <v>13</v>
      </c>
      <c r="D1562" s="39" t="s">
        <v>1800</v>
      </c>
      <c r="E1562" s="41">
        <v>1155645885</v>
      </c>
      <c r="F1562" s="39" t="s">
        <v>205</v>
      </c>
    </row>
    <row r="1563" spans="1:6">
      <c r="A1563" s="39">
        <v>10349017</v>
      </c>
      <c r="B1563" s="39" t="s">
        <v>1801</v>
      </c>
      <c r="C1563" s="39" t="s">
        <v>13</v>
      </c>
      <c r="D1563" s="39" t="s">
        <v>1802</v>
      </c>
      <c r="E1563" s="41" t="s">
        <v>1803</v>
      </c>
      <c r="F1563" s="39" t="s">
        <v>205</v>
      </c>
    </row>
    <row r="1564" spans="1:6">
      <c r="A1564" s="39">
        <v>10349013</v>
      </c>
      <c r="B1564" s="39" t="s">
        <v>106</v>
      </c>
      <c r="C1564" s="39" t="s">
        <v>13</v>
      </c>
      <c r="D1564" s="39" t="s">
        <v>1804</v>
      </c>
      <c r="E1564" s="41">
        <v>1061512549</v>
      </c>
      <c r="F1564" s="39" t="s">
        <v>205</v>
      </c>
    </row>
    <row r="1565" spans="1:6">
      <c r="A1565" s="39">
        <v>10348989</v>
      </c>
      <c r="B1565" s="39" t="s">
        <v>195</v>
      </c>
      <c r="C1565" s="39" t="s">
        <v>37</v>
      </c>
      <c r="D1565" s="39" t="s">
        <v>1805</v>
      </c>
      <c r="E1565" s="41">
        <v>1555119737</v>
      </c>
      <c r="F1565" s="39" t="s">
        <v>205</v>
      </c>
    </row>
    <row r="1566" spans="1:6">
      <c r="A1566" s="39">
        <v>10349016</v>
      </c>
      <c r="B1566" s="39" t="s">
        <v>1806</v>
      </c>
      <c r="C1566" s="39" t="s">
        <v>40</v>
      </c>
      <c r="D1566" s="39" t="s">
        <v>979</v>
      </c>
      <c r="E1566" s="41">
        <v>1126291393</v>
      </c>
      <c r="F1566" s="39" t="s">
        <v>205</v>
      </c>
    </row>
    <row r="1567" spans="1:6">
      <c r="A1567" s="39">
        <v>10347384</v>
      </c>
      <c r="B1567" s="39" t="s">
        <v>36</v>
      </c>
      <c r="C1567" s="39" t="s">
        <v>37</v>
      </c>
      <c r="D1567" s="39" t="s">
        <v>1807</v>
      </c>
      <c r="E1567" s="41">
        <v>1008169172</v>
      </c>
      <c r="F1567" s="39" t="s">
        <v>1156</v>
      </c>
    </row>
    <row r="1568" spans="1:6">
      <c r="A1568" s="39">
        <v>10347383</v>
      </c>
      <c r="B1568" s="39" t="s">
        <v>36</v>
      </c>
      <c r="C1568" s="39" t="s">
        <v>37</v>
      </c>
      <c r="D1568" s="39" t="s">
        <v>1808</v>
      </c>
      <c r="E1568" s="41">
        <v>1207281495</v>
      </c>
      <c r="F1568" s="39" t="s">
        <v>1156</v>
      </c>
    </row>
    <row r="1569" spans="1:6">
      <c r="A1569" s="39">
        <v>10348085</v>
      </c>
      <c r="B1569" s="39" t="s">
        <v>1809</v>
      </c>
      <c r="C1569" s="39" t="s">
        <v>95</v>
      </c>
      <c r="D1569" s="39" t="s">
        <v>1810</v>
      </c>
      <c r="E1569" s="41">
        <v>1158607339</v>
      </c>
      <c r="F1569" s="39" t="s">
        <v>1156</v>
      </c>
    </row>
    <row r="1570" spans="1:6">
      <c r="A1570" s="39">
        <v>10348091</v>
      </c>
      <c r="B1570" s="39" t="s">
        <v>84</v>
      </c>
      <c r="C1570" s="39" t="s">
        <v>85</v>
      </c>
      <c r="D1570" s="39" t="s">
        <v>1811</v>
      </c>
      <c r="E1570" s="41">
        <v>1146739976</v>
      </c>
      <c r="F1570" s="39" t="s">
        <v>1156</v>
      </c>
    </row>
    <row r="1571" spans="1:6">
      <c r="A1571" s="39">
        <v>10274128</v>
      </c>
      <c r="B1571" s="39" t="s">
        <v>62</v>
      </c>
      <c r="C1571" s="39" t="s">
        <v>23</v>
      </c>
      <c r="D1571" s="39" t="s">
        <v>1812</v>
      </c>
      <c r="E1571" s="41">
        <v>1018132641</v>
      </c>
      <c r="F1571" s="39"/>
    </row>
    <row r="1572" spans="1:6">
      <c r="A1572" s="39">
        <v>10287534</v>
      </c>
      <c r="B1572" s="39" t="s">
        <v>6</v>
      </c>
      <c r="C1572" s="39" t="s">
        <v>7</v>
      </c>
      <c r="D1572" s="39" t="s">
        <v>1813</v>
      </c>
      <c r="E1572" s="41">
        <v>1026652608</v>
      </c>
      <c r="F1572" s="39"/>
    </row>
    <row r="1573" spans="1:6">
      <c r="A1573" s="39">
        <v>10282873</v>
      </c>
      <c r="B1573" s="39" t="s">
        <v>264</v>
      </c>
      <c r="C1573" s="39" t="s">
        <v>151</v>
      </c>
      <c r="D1573" s="39" t="s">
        <v>1814</v>
      </c>
      <c r="E1573" s="41">
        <v>1557759476</v>
      </c>
      <c r="F1573" s="39"/>
    </row>
    <row r="1574" spans="1:6">
      <c r="A1574" s="39">
        <v>10340418</v>
      </c>
      <c r="B1574" s="39" t="s">
        <v>15</v>
      </c>
      <c r="C1574" s="39" t="s">
        <v>16</v>
      </c>
      <c r="D1574" s="39" t="s">
        <v>1815</v>
      </c>
      <c r="E1574" s="41">
        <v>1008135243</v>
      </c>
      <c r="F1574" s="39" t="s">
        <v>1411</v>
      </c>
    </row>
    <row r="1575" spans="1:6">
      <c r="A1575" s="39">
        <v>10342917</v>
      </c>
      <c r="B1575" s="39" t="s">
        <v>108</v>
      </c>
      <c r="C1575" s="39" t="s">
        <v>95</v>
      </c>
      <c r="D1575" s="39" t="s">
        <v>1816</v>
      </c>
      <c r="E1575" s="41">
        <v>1016228319</v>
      </c>
      <c r="F1575" s="39" t="s">
        <v>1411</v>
      </c>
    </row>
    <row r="1576" spans="1:6">
      <c r="A1576" s="39">
        <v>10346700</v>
      </c>
      <c r="B1576" s="39" t="s">
        <v>32</v>
      </c>
      <c r="C1576" s="39" t="s">
        <v>13</v>
      </c>
      <c r="D1576" s="39" t="s">
        <v>1817</v>
      </c>
      <c r="E1576" s="41">
        <v>1147772688</v>
      </c>
      <c r="F1576" s="39" t="s">
        <v>1411</v>
      </c>
    </row>
    <row r="1577" spans="1:6">
      <c r="A1577" s="39">
        <v>10330282</v>
      </c>
      <c r="B1577" s="39" t="s">
        <v>1708</v>
      </c>
      <c r="C1577" s="39" t="s">
        <v>13</v>
      </c>
      <c r="D1577" s="39" t="s">
        <v>1818</v>
      </c>
      <c r="E1577" s="41">
        <v>1129759974</v>
      </c>
      <c r="F1577" s="39" t="s">
        <v>1411</v>
      </c>
    </row>
    <row r="1578" spans="1:6">
      <c r="A1578" s="39">
        <v>10344239</v>
      </c>
      <c r="B1578" s="39" t="s">
        <v>1819</v>
      </c>
      <c r="C1578" s="39" t="s">
        <v>13</v>
      </c>
      <c r="D1578" s="39" t="s">
        <v>1820</v>
      </c>
      <c r="E1578" s="41">
        <v>1031837851</v>
      </c>
      <c r="F1578" s="39" t="s">
        <v>1411</v>
      </c>
    </row>
    <row r="1579" spans="1:6">
      <c r="A1579" s="39">
        <v>10341047</v>
      </c>
      <c r="B1579" s="39" t="s">
        <v>43</v>
      </c>
      <c r="C1579" s="39" t="s">
        <v>23</v>
      </c>
      <c r="D1579" s="39" t="s">
        <v>1821</v>
      </c>
      <c r="E1579" s="41">
        <v>1050915746</v>
      </c>
      <c r="F1579" s="39" t="s">
        <v>1411</v>
      </c>
    </row>
    <row r="1580" spans="1:6">
      <c r="A1580" s="39">
        <v>10327949</v>
      </c>
      <c r="B1580" s="39" t="s">
        <v>276</v>
      </c>
      <c r="C1580" s="39" t="s">
        <v>23</v>
      </c>
      <c r="D1580" s="39" t="s">
        <v>1822</v>
      </c>
      <c r="E1580" s="41">
        <v>1156602488</v>
      </c>
      <c r="F1580" s="39" t="s">
        <v>1411</v>
      </c>
    </row>
    <row r="1581" spans="1:6">
      <c r="A1581" s="39">
        <v>10337957</v>
      </c>
      <c r="B1581" s="39" t="s">
        <v>281</v>
      </c>
      <c r="C1581" s="39" t="s">
        <v>49</v>
      </c>
      <c r="D1581" s="39" t="s">
        <v>1823</v>
      </c>
      <c r="E1581" s="41">
        <v>1142763373</v>
      </c>
      <c r="F1581" s="39" t="s">
        <v>1411</v>
      </c>
    </row>
    <row r="1582" spans="1:6">
      <c r="A1582" s="39">
        <v>10335881</v>
      </c>
      <c r="B1582" s="39" t="s">
        <v>195</v>
      </c>
      <c r="C1582" s="39" t="s">
        <v>37</v>
      </c>
      <c r="D1582" s="39" t="s">
        <v>1824</v>
      </c>
      <c r="E1582" s="41">
        <v>1551687375</v>
      </c>
      <c r="F1582" s="39" t="s">
        <v>1411</v>
      </c>
    </row>
    <row r="1583" spans="1:6">
      <c r="A1583" s="39">
        <v>10340379</v>
      </c>
      <c r="B1583" s="39" t="s">
        <v>115</v>
      </c>
      <c r="C1583" s="39" t="s">
        <v>37</v>
      </c>
      <c r="D1583" s="39" t="s">
        <v>1825</v>
      </c>
      <c r="E1583" s="41" t="s">
        <v>1826</v>
      </c>
      <c r="F1583" s="39" t="s">
        <v>1411</v>
      </c>
    </row>
    <row r="1584" spans="1:6">
      <c r="A1584" s="39">
        <v>10342330</v>
      </c>
      <c r="B1584" s="39" t="s">
        <v>36</v>
      </c>
      <c r="C1584" s="39" t="s">
        <v>37</v>
      </c>
      <c r="D1584" s="39" t="s">
        <v>135</v>
      </c>
      <c r="E1584" s="41">
        <v>1123321087</v>
      </c>
      <c r="F1584" s="39" t="s">
        <v>1411</v>
      </c>
    </row>
    <row r="1585" spans="1:6">
      <c r="A1585" s="39">
        <v>10285962</v>
      </c>
      <c r="B1585" s="39" t="s">
        <v>195</v>
      </c>
      <c r="C1585" s="39" t="s">
        <v>37</v>
      </c>
      <c r="D1585" s="39" t="s">
        <v>1827</v>
      </c>
      <c r="E1585" s="41">
        <v>1070847564</v>
      </c>
      <c r="F1585" s="39" t="s">
        <v>1411</v>
      </c>
    </row>
    <row r="1586" spans="1:6">
      <c r="A1586" s="39">
        <v>10307125</v>
      </c>
      <c r="B1586" s="39" t="s">
        <v>1828</v>
      </c>
      <c r="C1586" s="39" t="s">
        <v>7</v>
      </c>
      <c r="D1586" s="39" t="s">
        <v>1829</v>
      </c>
      <c r="E1586" s="41" t="s">
        <v>1830</v>
      </c>
      <c r="F1586" s="39" t="s">
        <v>1411</v>
      </c>
    </row>
    <row r="1587" spans="1:6">
      <c r="A1587" s="39">
        <v>10335408</v>
      </c>
      <c r="B1587" s="39" t="s">
        <v>6</v>
      </c>
      <c r="C1587" s="39" t="s">
        <v>7</v>
      </c>
      <c r="D1587" s="39" t="s">
        <v>1831</v>
      </c>
      <c r="E1587" s="41">
        <v>1550567520</v>
      </c>
      <c r="F1587" s="39" t="s">
        <v>1411</v>
      </c>
    </row>
    <row r="1588" spans="1:6">
      <c r="A1588" s="39">
        <v>10346798</v>
      </c>
      <c r="B1588" s="39" t="s">
        <v>6</v>
      </c>
      <c r="C1588" s="39" t="s">
        <v>7</v>
      </c>
      <c r="D1588" s="39" t="s">
        <v>1832</v>
      </c>
      <c r="E1588" s="41" t="s">
        <v>1833</v>
      </c>
      <c r="F1588" s="39" t="s">
        <v>1411</v>
      </c>
    </row>
    <row r="1589" spans="1:6">
      <c r="A1589" s="39">
        <v>10342327</v>
      </c>
      <c r="B1589" s="39" t="s">
        <v>134</v>
      </c>
      <c r="C1589" s="39" t="s">
        <v>1834</v>
      </c>
      <c r="D1589" s="39" t="s">
        <v>1835</v>
      </c>
      <c r="E1589" s="41">
        <v>1557628989</v>
      </c>
      <c r="F1589" s="39" t="s">
        <v>1411</v>
      </c>
    </row>
    <row r="1590" spans="1:6">
      <c r="A1590" s="39">
        <v>10331220</v>
      </c>
      <c r="B1590" s="39" t="s">
        <v>39</v>
      </c>
      <c r="C1590" s="39" t="s">
        <v>1834</v>
      </c>
      <c r="D1590" s="39" t="s">
        <v>1836</v>
      </c>
      <c r="E1590" s="41" t="s">
        <v>1837</v>
      </c>
      <c r="F1590" s="39" t="s">
        <v>1411</v>
      </c>
    </row>
    <row r="1591" spans="1:6">
      <c r="A1591" s="39">
        <v>10341599</v>
      </c>
      <c r="B1591" s="39" t="s">
        <v>36</v>
      </c>
      <c r="C1591" s="39" t="s">
        <v>37</v>
      </c>
      <c r="D1591" s="39" t="s">
        <v>1838</v>
      </c>
      <c r="E1591" s="41"/>
      <c r="F1591" s="39" t="s">
        <v>1411</v>
      </c>
    </row>
    <row r="1592" spans="1:6">
      <c r="A1592" s="39">
        <v>10303671</v>
      </c>
      <c r="B1592" s="39" t="s">
        <v>1371</v>
      </c>
      <c r="C1592" s="39" t="s">
        <v>13</v>
      </c>
      <c r="D1592" s="39" t="s">
        <v>1839</v>
      </c>
      <c r="E1592" s="41">
        <v>1021857484</v>
      </c>
      <c r="F1592" s="39" t="s">
        <v>1411</v>
      </c>
    </row>
    <row r="1593" spans="1:6">
      <c r="A1593" s="39">
        <v>10349354</v>
      </c>
      <c r="B1593" s="39" t="s">
        <v>1840</v>
      </c>
      <c r="C1593" s="39" t="s">
        <v>13</v>
      </c>
      <c r="D1593" s="39" t="s">
        <v>1841</v>
      </c>
      <c r="E1593" s="41">
        <v>1119444137</v>
      </c>
      <c r="F1593" s="39" t="s">
        <v>205</v>
      </c>
    </row>
    <row r="1594" spans="1:6">
      <c r="A1594" s="39">
        <v>10349489</v>
      </c>
      <c r="B1594" s="39" t="s">
        <v>6</v>
      </c>
      <c r="C1594" s="39" t="s">
        <v>7</v>
      </c>
      <c r="D1594" s="39" t="s">
        <v>1842</v>
      </c>
      <c r="E1594" s="41" t="s">
        <v>1843</v>
      </c>
      <c r="F1594" s="39" t="s">
        <v>205</v>
      </c>
    </row>
    <row r="1595" spans="1:6">
      <c r="A1595" s="39">
        <v>10349404</v>
      </c>
      <c r="B1595" s="39" t="s">
        <v>57</v>
      </c>
      <c r="C1595" s="39" t="s">
        <v>58</v>
      </c>
      <c r="D1595" s="39" t="s">
        <v>1844</v>
      </c>
      <c r="E1595" s="41">
        <v>1129849493</v>
      </c>
      <c r="F1595" s="39" t="s">
        <v>205</v>
      </c>
    </row>
    <row r="1596" spans="1:6">
      <c r="A1596" s="39">
        <v>10349402</v>
      </c>
      <c r="B1596" s="39" t="s">
        <v>328</v>
      </c>
      <c r="C1596" s="39" t="s">
        <v>85</v>
      </c>
      <c r="D1596" s="39" t="s">
        <v>1845</v>
      </c>
      <c r="E1596" s="41">
        <v>1061473372</v>
      </c>
      <c r="F1596" s="39" t="s">
        <v>205</v>
      </c>
    </row>
    <row r="1597" spans="1:6">
      <c r="A1597" s="39">
        <v>10349491</v>
      </c>
      <c r="B1597" s="39" t="s">
        <v>62</v>
      </c>
      <c r="C1597" s="39" t="s">
        <v>23</v>
      </c>
      <c r="D1597" s="39" t="s">
        <v>1846</v>
      </c>
      <c r="E1597" s="41">
        <v>1203388919</v>
      </c>
      <c r="F1597" s="39" t="s">
        <v>205</v>
      </c>
    </row>
    <row r="1598" spans="1:6">
      <c r="A1598" s="39">
        <v>10349406</v>
      </c>
      <c r="B1598" s="39" t="s">
        <v>1840</v>
      </c>
      <c r="C1598" s="39" t="s">
        <v>13</v>
      </c>
      <c r="D1598" s="39" t="s">
        <v>1847</v>
      </c>
      <c r="E1598" s="41">
        <v>1158530543</v>
      </c>
      <c r="F1598" s="39" t="s">
        <v>205</v>
      </c>
    </row>
    <row r="1599" spans="1:6">
      <c r="A1599" s="39">
        <v>10349492</v>
      </c>
      <c r="B1599" s="39" t="s">
        <v>32</v>
      </c>
      <c r="C1599" s="39" t="s">
        <v>13</v>
      </c>
      <c r="D1599" s="39" t="s">
        <v>1848</v>
      </c>
      <c r="E1599" s="41" t="s">
        <v>1849</v>
      </c>
      <c r="F1599" s="39" t="s">
        <v>205</v>
      </c>
    </row>
    <row r="1600" spans="1:6">
      <c r="A1600" s="39">
        <v>10341186</v>
      </c>
      <c r="B1600" s="39" t="s">
        <v>1850</v>
      </c>
      <c r="C1600" s="39" t="s">
        <v>10</v>
      </c>
      <c r="D1600" s="39" t="s">
        <v>1851</v>
      </c>
      <c r="E1600" s="41">
        <v>1022914574</v>
      </c>
      <c r="F1600" s="39" t="s">
        <v>205</v>
      </c>
    </row>
    <row r="1601" spans="1:6">
      <c r="A1601" s="39">
        <v>10349353</v>
      </c>
      <c r="B1601" s="39" t="s">
        <v>1840</v>
      </c>
      <c r="C1601" s="39" t="s">
        <v>13</v>
      </c>
      <c r="D1601" s="39" t="s">
        <v>1852</v>
      </c>
      <c r="E1601" s="41">
        <v>1120332179</v>
      </c>
      <c r="F1601" s="39" t="s">
        <v>205</v>
      </c>
    </row>
    <row r="1602" spans="1:6">
      <c r="A1602" s="39">
        <v>10349407</v>
      </c>
      <c r="B1602" s="39" t="s">
        <v>126</v>
      </c>
      <c r="C1602" s="39" t="s">
        <v>16</v>
      </c>
      <c r="D1602" s="39" t="s">
        <v>1853</v>
      </c>
      <c r="E1602" s="41">
        <v>1555795564</v>
      </c>
      <c r="F1602" s="39" t="s">
        <v>205</v>
      </c>
    </row>
    <row r="1603" spans="1:6">
      <c r="A1603" s="39">
        <v>10349490</v>
      </c>
      <c r="B1603" s="39" t="s">
        <v>146</v>
      </c>
      <c r="C1603" s="39" t="s">
        <v>67</v>
      </c>
      <c r="D1603" s="39" t="s">
        <v>1854</v>
      </c>
      <c r="E1603" s="41">
        <v>1141799206</v>
      </c>
      <c r="F1603" s="39" t="s">
        <v>205</v>
      </c>
    </row>
    <row r="1604" spans="1:6">
      <c r="A1604" s="39">
        <v>10335502</v>
      </c>
      <c r="B1604" s="39" t="s">
        <v>123</v>
      </c>
      <c r="C1604" s="39" t="s">
        <v>67</v>
      </c>
      <c r="D1604" s="39" t="s">
        <v>1855</v>
      </c>
      <c r="E1604" s="41">
        <v>1044067902</v>
      </c>
      <c r="F1604" s="39" t="s">
        <v>1411</v>
      </c>
    </row>
    <row r="1605" spans="1:6">
      <c r="A1605" s="39">
        <v>10299519</v>
      </c>
      <c r="B1605" s="39" t="s">
        <v>1856</v>
      </c>
      <c r="C1605" s="39" t="s">
        <v>16</v>
      </c>
      <c r="D1605" s="39" t="s">
        <v>1857</v>
      </c>
      <c r="E1605" s="41">
        <v>1019142214</v>
      </c>
      <c r="F1605" s="39" t="s">
        <v>1411</v>
      </c>
    </row>
    <row r="1606" spans="1:6">
      <c r="A1606" s="39">
        <v>10342463</v>
      </c>
      <c r="B1606" s="39" t="s">
        <v>178</v>
      </c>
      <c r="C1606" s="39" t="s">
        <v>16</v>
      </c>
      <c r="D1606" s="39" t="s">
        <v>1858</v>
      </c>
      <c r="E1606" s="41">
        <v>1125491114</v>
      </c>
      <c r="F1606" s="39" t="s">
        <v>1411</v>
      </c>
    </row>
    <row r="1607" spans="1:6">
      <c r="A1607" s="39">
        <v>10348410</v>
      </c>
      <c r="B1607" s="39" t="s">
        <v>1856</v>
      </c>
      <c r="C1607" s="39" t="s">
        <v>16</v>
      </c>
      <c r="D1607" s="39" t="s">
        <v>1859</v>
      </c>
      <c r="E1607" s="41" t="s">
        <v>1860</v>
      </c>
      <c r="F1607" s="39" t="s">
        <v>1411</v>
      </c>
    </row>
    <row r="1608" spans="1:6">
      <c r="A1608" s="39">
        <v>10348733</v>
      </c>
      <c r="B1608" s="39" t="s">
        <v>328</v>
      </c>
      <c r="C1608" s="39" t="s">
        <v>85</v>
      </c>
      <c r="D1608" s="39" t="s">
        <v>1861</v>
      </c>
      <c r="E1608" s="41" t="s">
        <v>1862</v>
      </c>
      <c r="F1608" s="39" t="s">
        <v>1411</v>
      </c>
    </row>
    <row r="1609" spans="1:6">
      <c r="A1609" s="39">
        <v>10335898</v>
      </c>
      <c r="B1609" s="39" t="s">
        <v>137</v>
      </c>
      <c r="C1609" s="39" t="s">
        <v>95</v>
      </c>
      <c r="D1609" s="39" t="s">
        <v>1863</v>
      </c>
      <c r="E1609" s="41">
        <v>1102912624</v>
      </c>
      <c r="F1609" s="39" t="s">
        <v>1411</v>
      </c>
    </row>
    <row r="1610" spans="1:6">
      <c r="A1610" s="39">
        <v>10331009</v>
      </c>
      <c r="B1610" s="39" t="s">
        <v>1864</v>
      </c>
      <c r="C1610" s="39" t="s">
        <v>95</v>
      </c>
      <c r="D1610" s="39" t="s">
        <v>1865</v>
      </c>
      <c r="E1610" s="41">
        <v>1274393886</v>
      </c>
      <c r="F1610" s="39" t="s">
        <v>1411</v>
      </c>
    </row>
    <row r="1611" spans="1:6">
      <c r="A1611" s="39">
        <v>10331012</v>
      </c>
      <c r="B1611" s="39" t="s">
        <v>1840</v>
      </c>
      <c r="C1611" s="39" t="s">
        <v>13</v>
      </c>
      <c r="D1611" s="39" t="s">
        <v>1866</v>
      </c>
      <c r="E1611" s="41">
        <v>1556037177</v>
      </c>
      <c r="F1611" s="39" t="s">
        <v>1411</v>
      </c>
    </row>
    <row r="1612" spans="1:6">
      <c r="A1612" s="39">
        <v>10340382</v>
      </c>
      <c r="B1612" s="39" t="s">
        <v>1371</v>
      </c>
      <c r="C1612" s="39" t="s">
        <v>13</v>
      </c>
      <c r="D1612" s="39" t="s">
        <v>1867</v>
      </c>
      <c r="E1612" s="41">
        <v>1095866320</v>
      </c>
      <c r="F1612" s="39" t="s">
        <v>1411</v>
      </c>
    </row>
    <row r="1613" spans="1:6">
      <c r="A1613" s="39">
        <v>10348430</v>
      </c>
      <c r="B1613" s="39" t="s">
        <v>101</v>
      </c>
      <c r="C1613" s="39" t="s">
        <v>23</v>
      </c>
      <c r="D1613" s="39" t="s">
        <v>1868</v>
      </c>
      <c r="E1613" s="41">
        <v>1018345490</v>
      </c>
      <c r="F1613" s="39" t="s">
        <v>1411</v>
      </c>
    </row>
    <row r="1614" spans="1:6">
      <c r="A1614" s="39">
        <v>10344398</v>
      </c>
      <c r="B1614" s="39" t="s">
        <v>94</v>
      </c>
      <c r="C1614" s="39" t="s">
        <v>95</v>
      </c>
      <c r="D1614" s="39" t="s">
        <v>620</v>
      </c>
      <c r="E1614" s="41" t="s">
        <v>1869</v>
      </c>
      <c r="F1614" s="39" t="s">
        <v>1411</v>
      </c>
    </row>
    <row r="1615" spans="1:6">
      <c r="A1615" s="39">
        <v>10348787</v>
      </c>
      <c r="B1615" s="39" t="s">
        <v>176</v>
      </c>
      <c r="C1615" s="39" t="s">
        <v>49</v>
      </c>
      <c r="D1615" s="39" t="s">
        <v>1870</v>
      </c>
      <c r="E1615" s="41">
        <v>1556565375</v>
      </c>
      <c r="F1615" s="39" t="s">
        <v>1411</v>
      </c>
    </row>
    <row r="1616" spans="1:6">
      <c r="A1616" s="39">
        <v>10328563</v>
      </c>
      <c r="B1616" s="39" t="s">
        <v>195</v>
      </c>
      <c r="C1616" s="39" t="s">
        <v>37</v>
      </c>
      <c r="D1616" s="39" t="s">
        <v>1871</v>
      </c>
      <c r="E1616" s="41">
        <v>1110397373</v>
      </c>
      <c r="F1616" s="39" t="s">
        <v>1411</v>
      </c>
    </row>
    <row r="1617" spans="1:6">
      <c r="A1617" s="39">
        <v>10331761</v>
      </c>
      <c r="B1617" s="39" t="s">
        <v>1766</v>
      </c>
      <c r="C1617" s="39" t="s">
        <v>37</v>
      </c>
      <c r="D1617" s="39" t="s">
        <v>1872</v>
      </c>
      <c r="E1617" s="41">
        <v>1001035542</v>
      </c>
      <c r="F1617" s="39" t="s">
        <v>1411</v>
      </c>
    </row>
    <row r="1618" spans="1:6">
      <c r="A1618" s="39">
        <v>10333168</v>
      </c>
      <c r="B1618" s="39" t="s">
        <v>115</v>
      </c>
      <c r="C1618" s="39" t="s">
        <v>37</v>
      </c>
      <c r="D1618" s="39" t="s">
        <v>1873</v>
      </c>
      <c r="E1618" s="41" t="s">
        <v>1874</v>
      </c>
      <c r="F1618" s="39" t="s">
        <v>1411</v>
      </c>
    </row>
    <row r="1619" spans="1:6">
      <c r="A1619" s="39">
        <v>10340363</v>
      </c>
      <c r="B1619" s="39" t="s">
        <v>36</v>
      </c>
      <c r="C1619" s="39" t="s">
        <v>37</v>
      </c>
      <c r="D1619" s="39" t="s">
        <v>1875</v>
      </c>
      <c r="E1619" s="41">
        <v>1000993190</v>
      </c>
      <c r="F1619" s="39" t="s">
        <v>1411</v>
      </c>
    </row>
    <row r="1620" spans="1:6">
      <c r="A1620" s="39">
        <v>10341007</v>
      </c>
      <c r="B1620" s="39" t="s">
        <v>195</v>
      </c>
      <c r="C1620" s="39" t="s">
        <v>37</v>
      </c>
      <c r="D1620" s="39" t="s">
        <v>1876</v>
      </c>
      <c r="E1620" s="41">
        <v>1205409714</v>
      </c>
      <c r="F1620" s="39" t="s">
        <v>1411</v>
      </c>
    </row>
    <row r="1621" spans="1:6">
      <c r="A1621" s="39">
        <v>10348422</v>
      </c>
      <c r="B1621" s="39" t="s">
        <v>36</v>
      </c>
      <c r="C1621" s="39" t="s">
        <v>37</v>
      </c>
      <c r="D1621" s="39" t="s">
        <v>1877</v>
      </c>
      <c r="E1621" s="41">
        <v>1012767690</v>
      </c>
      <c r="F1621" s="39" t="s">
        <v>1411</v>
      </c>
    </row>
    <row r="1622" spans="1:6">
      <c r="A1622" s="39">
        <v>10348847</v>
      </c>
      <c r="B1622" s="39" t="s">
        <v>36</v>
      </c>
      <c r="C1622" s="39" t="s">
        <v>37</v>
      </c>
      <c r="D1622" s="39" t="s">
        <v>1878</v>
      </c>
      <c r="E1622" s="41">
        <v>1055343683</v>
      </c>
      <c r="F1622" s="39" t="s">
        <v>1411</v>
      </c>
    </row>
    <row r="1623" spans="1:6">
      <c r="A1623" s="39">
        <v>10283568</v>
      </c>
      <c r="B1623" s="39" t="s">
        <v>131</v>
      </c>
      <c r="C1623" s="39" t="s">
        <v>37</v>
      </c>
      <c r="D1623" s="39" t="s">
        <v>1879</v>
      </c>
      <c r="E1623" s="41">
        <v>1093346067</v>
      </c>
      <c r="F1623" s="39" t="s">
        <v>1411</v>
      </c>
    </row>
    <row r="1624" spans="1:6">
      <c r="A1624" s="39">
        <v>10348251</v>
      </c>
      <c r="B1624" s="39" t="s">
        <v>103</v>
      </c>
      <c r="C1624" s="39" t="s">
        <v>104</v>
      </c>
      <c r="D1624" s="39" t="s">
        <v>1880</v>
      </c>
      <c r="E1624" s="41">
        <v>1225132953</v>
      </c>
      <c r="F1624" s="39" t="s">
        <v>1411</v>
      </c>
    </row>
    <row r="1625" spans="1:6">
      <c r="A1625" s="39">
        <v>10342471</v>
      </c>
      <c r="B1625" s="39" t="s">
        <v>134</v>
      </c>
      <c r="C1625" s="39" t="s">
        <v>1834</v>
      </c>
      <c r="D1625" s="39" t="s">
        <v>1881</v>
      </c>
      <c r="E1625" s="41">
        <v>1117675614</v>
      </c>
      <c r="F1625" s="39" t="s">
        <v>1411</v>
      </c>
    </row>
    <row r="1626" spans="1:6">
      <c r="A1626" s="39">
        <v>10348850</v>
      </c>
      <c r="B1626" s="39" t="s">
        <v>1032</v>
      </c>
      <c r="C1626" s="39" t="s">
        <v>1834</v>
      </c>
      <c r="D1626" s="39" t="s">
        <v>822</v>
      </c>
      <c r="E1626" s="41">
        <v>1095191426</v>
      </c>
      <c r="F1626" s="39" t="s">
        <v>1411</v>
      </c>
    </row>
    <row r="1627" spans="1:6">
      <c r="A1627" s="39">
        <v>10348094</v>
      </c>
      <c r="B1627" s="39" t="s">
        <v>64</v>
      </c>
      <c r="C1627" s="39" t="s">
        <v>10</v>
      </c>
      <c r="D1627" s="39" t="s">
        <v>1882</v>
      </c>
      <c r="E1627" s="41">
        <v>1118317055</v>
      </c>
      <c r="F1627" s="39" t="s">
        <v>1156</v>
      </c>
    </row>
    <row r="1628" spans="1:6">
      <c r="A1628" s="39">
        <v>10348796</v>
      </c>
      <c r="B1628" s="39" t="s">
        <v>39</v>
      </c>
      <c r="C1628" s="39" t="s">
        <v>40</v>
      </c>
      <c r="D1628" s="39" t="s">
        <v>1883</v>
      </c>
      <c r="E1628" s="41" t="s">
        <v>1884</v>
      </c>
      <c r="F1628" s="39" t="s">
        <v>1411</v>
      </c>
    </row>
    <row r="1629" spans="1:6">
      <c r="A1629" s="39">
        <v>10348790</v>
      </c>
      <c r="B1629" s="39" t="s">
        <v>228</v>
      </c>
      <c r="C1629" s="39" t="s">
        <v>95</v>
      </c>
      <c r="D1629" s="39" t="s">
        <v>1885</v>
      </c>
      <c r="E1629" s="41">
        <v>1207159546</v>
      </c>
      <c r="F1629" s="39" t="s">
        <v>1411</v>
      </c>
    </row>
    <row r="1630" spans="1:6">
      <c r="A1630" s="39">
        <v>10348792</v>
      </c>
      <c r="B1630" s="39" t="s">
        <v>115</v>
      </c>
      <c r="C1630" s="39" t="s">
        <v>37</v>
      </c>
      <c r="D1630" s="39" t="s">
        <v>1886</v>
      </c>
      <c r="E1630" s="41">
        <v>1507001352</v>
      </c>
      <c r="F1630" s="39" t="s">
        <v>1411</v>
      </c>
    </row>
    <row r="1631" spans="1:6">
      <c r="A1631" s="39">
        <v>10348793</v>
      </c>
      <c r="B1631" s="39" t="s">
        <v>1856</v>
      </c>
      <c r="C1631" s="39" t="s">
        <v>16</v>
      </c>
      <c r="D1631" s="39" t="s">
        <v>1887</v>
      </c>
      <c r="E1631" s="41" t="s">
        <v>1888</v>
      </c>
      <c r="F1631" s="39" t="s">
        <v>1411</v>
      </c>
    </row>
    <row r="1632" spans="1:6">
      <c r="A1632" s="39">
        <v>10348746</v>
      </c>
      <c r="B1632" s="39" t="s">
        <v>91</v>
      </c>
      <c r="C1632" s="39" t="s">
        <v>37</v>
      </c>
      <c r="D1632" s="39" t="s">
        <v>1889</v>
      </c>
      <c r="E1632" s="41" t="s">
        <v>1890</v>
      </c>
      <c r="F1632" s="39" t="s">
        <v>1411</v>
      </c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75"/>
  <sheetViews>
    <sheetView tabSelected="1" zoomScale="68" zoomScaleNormal="68" workbookViewId="0">
      <pane ySplit="1" topLeftCell="A693" activePane="bottomLeft" state="frozen"/>
      <selection/>
      <selection pane="bottomLeft" activeCell="E699" sqref="E699:G699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1891</v>
      </c>
      <c r="B1" s="29" t="s">
        <v>1892</v>
      </c>
      <c r="C1" s="29" t="s">
        <v>1893</v>
      </c>
      <c r="D1" s="29" t="s">
        <v>1894</v>
      </c>
      <c r="E1" s="29" t="s">
        <v>4</v>
      </c>
      <c r="F1" s="29" t="s">
        <v>1895</v>
      </c>
      <c r="G1" s="29" t="s">
        <v>3</v>
      </c>
      <c r="H1" s="29" t="s">
        <v>1896</v>
      </c>
      <c r="I1" s="29" t="s">
        <v>1</v>
      </c>
    </row>
    <row r="2" spans="1:9">
      <c r="A2" s="31">
        <v>10214464</v>
      </c>
      <c r="B2" s="31"/>
      <c r="C2" s="32">
        <v>0.458333333333333</v>
      </c>
      <c r="D2" s="32">
        <v>0.791666666666667</v>
      </c>
      <c r="E2" s="29">
        <f>IFERROR(VLOOKUP(A2,New!A:E,5,0),"لا يوجد مواعيد")</f>
        <v>1002979193</v>
      </c>
      <c r="F2" s="29">
        <f>IFERROR(VLOOKUP(A2,New!A:E,1,0),"لا يوجد مواعيد")</f>
        <v>10214464</v>
      </c>
      <c r="G2" s="29" t="str">
        <f>IFERROR(VLOOKUP(A2,New!A:F,4,0),"لا يوجد مواعيد")</f>
        <v>ستيفاني كيلادا</v>
      </c>
      <c r="H2" s="29" t="str">
        <f>IFERROR(VLOOKUP(A2,New!A:G,3,0),"لا يوجد مواعيد")</f>
        <v>العباسية و الضاهر</v>
      </c>
      <c r="I2" s="29" t="str">
        <f>IFERROR(VLOOKUP(A2,New!A:H,2,0),"لا يوجد مواعيد")</f>
        <v>معرض علاء الدين</v>
      </c>
    </row>
    <row r="3" spans="1:9">
      <c r="A3" s="33">
        <v>10293660</v>
      </c>
      <c r="B3" s="33" t="s">
        <v>1897</v>
      </c>
      <c r="C3" s="32" t="s">
        <v>1898</v>
      </c>
      <c r="D3" s="32" t="s">
        <v>1898</v>
      </c>
      <c r="E3" s="29">
        <f>IFERROR(VLOOKUP(A3,New!A:E,5,0),"لا يوجد مواعيد")</f>
        <v>1100186943</v>
      </c>
      <c r="F3" s="29">
        <f>IFERROR(VLOOKUP(A3,New!A:E,1,0),"لا يوجد مواعيد")</f>
        <v>10293660</v>
      </c>
      <c r="G3" s="29" t="str">
        <f>IFERROR(VLOOKUP(A3,New!A:F,4,0),"لا يوجد مواعيد")</f>
        <v>دميانا فوزى</v>
      </c>
      <c r="H3" s="29" t="str">
        <f>IFERROR(VLOOKUP(A3,New!A:G,3,0),"لا يوجد مواعيد")</f>
        <v>حدائق القبة</v>
      </c>
      <c r="I3" s="29" t="str">
        <f>IFERROR(VLOOKUP(A3,New!A:H,2,0),"لا يوجد مواعيد")</f>
        <v>ولي العهد</v>
      </c>
    </row>
    <row r="4" spans="1:9">
      <c r="A4" s="33">
        <v>10203443</v>
      </c>
      <c r="B4" s="33" t="s">
        <v>1899</v>
      </c>
      <c r="C4" s="32">
        <v>0.5</v>
      </c>
      <c r="D4" s="32">
        <v>0.833333333333333</v>
      </c>
      <c r="E4" s="29">
        <f>IFERROR(VLOOKUP(A4,New!A:E,5,0),"لا يوجد مواعيد")</f>
        <v>1555585339</v>
      </c>
      <c r="F4" s="29">
        <f>IFERROR(VLOOKUP(A4,New!A:E,1,0),"لا يوجد مواعيد")</f>
        <v>10203443</v>
      </c>
      <c r="G4" s="29" t="str">
        <f>IFERROR(VLOOKUP(A4,New!A:F,4,0),"لا يوجد مواعيد")</f>
        <v>جوستينا جمال</v>
      </c>
      <c r="H4" s="29" t="str">
        <f>IFERROR(VLOOKUP(A4,New!A:G,3,0),"لا يوجد مواعيد")</f>
        <v>فيصل</v>
      </c>
      <c r="I4" s="29" t="str">
        <f>IFERROR(VLOOKUP(A4,New!A:H,2,0),"لا يوجد مواعيد")</f>
        <v>التعاون</v>
      </c>
    </row>
    <row r="5" spans="1:9">
      <c r="A5" s="33">
        <v>10323640</v>
      </c>
      <c r="B5" s="33" t="s">
        <v>1900</v>
      </c>
      <c r="C5" s="32">
        <v>0.375</v>
      </c>
      <c r="D5" s="32">
        <v>0.75</v>
      </c>
      <c r="E5" s="29">
        <f>IFERROR(VLOOKUP(A5,New!A:E,5,0),"لا يوجد مواعيد")</f>
        <v>1113186476</v>
      </c>
      <c r="F5" s="29">
        <f>IFERROR(VLOOKUP(A5,New!A:E,1,0),"لا يوجد مواعيد")</f>
        <v>10323640</v>
      </c>
      <c r="G5" s="29" t="str">
        <f>IFERROR(VLOOKUP(A5,New!A:F,4,0),"لا يوجد مواعيد")</f>
        <v>دنيا محمود ابراهيم مرسي</v>
      </c>
      <c r="H5" s="29" t="str">
        <f>IFERROR(VLOOKUP(A5,New!A:G,3,0),"لا يوجد مواعيد")</f>
        <v>المهندسين</v>
      </c>
      <c r="I5" s="29" t="str">
        <f>IFERROR(VLOOKUP(A5,New!A:H,2,0),"لا يوجد مواعيد")</f>
        <v>ميدان لبنان</v>
      </c>
    </row>
    <row r="6" spans="1:9">
      <c r="A6" s="33">
        <v>10323646</v>
      </c>
      <c r="B6" s="33" t="s">
        <v>1901</v>
      </c>
      <c r="C6" s="32">
        <v>0.375</v>
      </c>
      <c r="D6" s="32">
        <v>0.75</v>
      </c>
      <c r="E6" s="29">
        <f>IFERROR(VLOOKUP(A6,New!A:E,5,0),"لا يوجد مواعيد")</f>
        <v>1021623610</v>
      </c>
      <c r="F6" s="29">
        <f>IFERROR(VLOOKUP(A6,New!A:E,1,0),"لا يوجد مواعيد")</f>
        <v>10323646</v>
      </c>
      <c r="G6" s="29" t="str">
        <f>IFERROR(VLOOKUP(A6,New!A:F,4,0),"لا يوجد مواعيد")</f>
        <v>حمدي مصطفى محمد وائل أبو المعاطي</v>
      </c>
      <c r="H6" s="29" t="str">
        <f>IFERROR(VLOOKUP(A6,New!A:G,3,0),"لا يوجد مواعيد")</f>
        <v>م - الرحاب و التجمع</v>
      </c>
      <c r="I6" s="29" t="str">
        <f>IFERROR(VLOOKUP(A6,New!A:H,2,0),"لا يوجد مواعيد")</f>
        <v>الجزيرة</v>
      </c>
    </row>
    <row r="7" spans="1:9">
      <c r="A7" s="33">
        <v>10316835</v>
      </c>
      <c r="B7" s="33" t="s">
        <v>1902</v>
      </c>
      <c r="C7" s="32">
        <v>0.375</v>
      </c>
      <c r="D7" s="32">
        <v>0.875</v>
      </c>
      <c r="E7" s="29">
        <f>IFERROR(VLOOKUP(A7,New!A:E,5,0),"لا يوجد مواعيد")</f>
        <v>1200406865</v>
      </c>
      <c r="F7" s="29">
        <f>IFERROR(VLOOKUP(A7,New!A:E,1,0),"لا يوجد مواعيد")</f>
        <v>10316835</v>
      </c>
      <c r="G7" s="29" t="str">
        <f>IFERROR(VLOOKUP(A7,New!A:F,4,0),"لا يوجد مواعيد")</f>
        <v>هنا الشاذلي</v>
      </c>
      <c r="H7" s="29" t="str">
        <f>IFERROR(VLOOKUP(A7,New!A:G,3,0),"لا يوجد مواعيد")</f>
        <v>المهندسين</v>
      </c>
      <c r="I7" s="29" t="str">
        <f>IFERROR(VLOOKUP(A7,New!A:H,2,0),"لا يوجد مواعيد")</f>
        <v>ميدان لبنان</v>
      </c>
    </row>
    <row r="8" spans="1:9">
      <c r="A8" s="33">
        <v>10318871</v>
      </c>
      <c r="B8" s="33" t="s">
        <v>1903</v>
      </c>
      <c r="C8" s="32">
        <v>0.416666666666667</v>
      </c>
      <c r="D8" s="32">
        <v>0.791666666666667</v>
      </c>
      <c r="E8" s="29">
        <f>IFERROR(VLOOKUP(A8,New!A:E,5,0),"لا يوجد مواعيد")</f>
        <v>1120697182</v>
      </c>
      <c r="F8" s="29">
        <f>IFERROR(VLOOKUP(A8,New!A:E,1,0),"لا يوجد مواعيد")</f>
        <v>10318871</v>
      </c>
      <c r="G8" s="29" t="str">
        <f>IFERROR(VLOOKUP(A8,New!A:F,4,0),"لا يوجد مواعيد")</f>
        <v>هشام صابر رجب</v>
      </c>
      <c r="H8" s="29" t="str">
        <f>IFERROR(VLOOKUP(A8,New!A:G,3,0),"لا يوجد مواعيد")</f>
        <v>فيصل</v>
      </c>
      <c r="I8" s="29" t="str">
        <f>IFERROR(VLOOKUP(A8,New!A:H,2,0),"لا يوجد مواعيد")</f>
        <v>العروبة</v>
      </c>
    </row>
    <row r="9" spans="1:9">
      <c r="A9" s="34">
        <v>10318430</v>
      </c>
      <c r="B9" s="34" t="s">
        <v>1904</v>
      </c>
      <c r="C9" s="32">
        <v>0.375</v>
      </c>
      <c r="D9" s="32">
        <v>0.75</v>
      </c>
      <c r="E9" s="29">
        <f>IFERROR(VLOOKUP(A9,New!A:E,5,0),"لا يوجد مواعيد")</f>
        <v>1068635749</v>
      </c>
      <c r="F9" s="29">
        <f>IFERROR(VLOOKUP(A9,New!A:E,1,0),"لا يوجد مواعيد")</f>
        <v>10318430</v>
      </c>
      <c r="G9" s="29" t="str">
        <f>IFERROR(VLOOKUP(A9,New!A:F,4,0),"لا يوجد مواعيد")</f>
        <v>كريم علي</v>
      </c>
      <c r="H9" s="29" t="str">
        <f>IFERROR(VLOOKUP(A9,New!A:G,3,0),"لا يوجد مواعيد")</f>
        <v>الزيتون و مصر الجديدة</v>
      </c>
      <c r="I9" s="29" t="str">
        <f>IFERROR(VLOOKUP(A9,New!A:H,2,0),"لا يوجد مواعيد")</f>
        <v>الف مسكن</v>
      </c>
    </row>
    <row r="10" spans="1:9">
      <c r="A10" s="34">
        <v>10318429</v>
      </c>
      <c r="B10" s="34" t="s">
        <v>1905</v>
      </c>
      <c r="C10" s="32">
        <v>0.416666666666667</v>
      </c>
      <c r="D10" s="32">
        <v>0.791666666666667</v>
      </c>
      <c r="E10" s="29">
        <f>IFERROR(VLOOKUP(A10,New!A:E,5,0),"لا يوجد مواعيد")</f>
        <v>1116087247</v>
      </c>
      <c r="F10" s="29">
        <f>IFERROR(VLOOKUP(A10,New!A:E,1,0),"لا يوجد مواعيد")</f>
        <v>10318429</v>
      </c>
      <c r="G10" s="29" t="str">
        <f>IFERROR(VLOOKUP(A10,New!A:F,4,0),"لا يوجد مواعيد")</f>
        <v>محمود عيد</v>
      </c>
      <c r="H10" s="29" t="str">
        <f>IFERROR(VLOOKUP(A10,New!A:G,3,0),"لا يوجد مواعيد")</f>
        <v>المهندسين</v>
      </c>
      <c r="I10" s="29" t="str">
        <f>IFERROR(VLOOKUP(A10,New!A:H,2,0),"لا يوجد مواعيد")</f>
        <v>ميدان لبنان</v>
      </c>
    </row>
    <row r="11" spans="1:9">
      <c r="A11" s="34">
        <v>10318434</v>
      </c>
      <c r="B11" s="34" t="s">
        <v>1906</v>
      </c>
      <c r="C11" s="32">
        <v>0.375</v>
      </c>
      <c r="D11" s="32">
        <v>0.75</v>
      </c>
      <c r="E11" s="29">
        <f>IFERROR(VLOOKUP(A11,New!A:E,5,0),"لا يوجد مواعيد")</f>
        <v>1066387689</v>
      </c>
      <c r="F11" s="29">
        <f>IFERROR(VLOOKUP(A11,New!A:E,1,0),"لا يوجد مواعيد")</f>
        <v>10318434</v>
      </c>
      <c r="G11" s="29" t="str">
        <f>IFERROR(VLOOKUP(A11,New!A:F,4,0),"لا يوجد مواعيد")</f>
        <v>معاذ مصطفى</v>
      </c>
      <c r="H11" s="29" t="str">
        <f>IFERROR(VLOOKUP(A11,New!A:G,3,0),"لا يوجد مواعيد")</f>
        <v>مدينة نصر</v>
      </c>
      <c r="I11" s="29" t="str">
        <f>IFERROR(VLOOKUP(A11,New!A:H,2,0),"لا يوجد مواعيد")</f>
        <v>ميدان رابعة</v>
      </c>
    </row>
    <row r="12" spans="1:9">
      <c r="A12" s="34">
        <v>10323622</v>
      </c>
      <c r="B12" s="34" t="s">
        <v>1907</v>
      </c>
      <c r="C12" s="32">
        <v>0.416666666666667</v>
      </c>
      <c r="D12" s="32">
        <v>0.791666666666667</v>
      </c>
      <c r="E12" s="29">
        <f>IFERROR(VLOOKUP(A12,New!A:E,5,0),"لا يوجد مواعيد")</f>
        <v>1023333344</v>
      </c>
      <c r="F12" s="29">
        <f>IFERROR(VLOOKUP(A12,New!A:E,1,0),"لا يوجد مواعيد")</f>
        <v>10323622</v>
      </c>
      <c r="G12" s="29" t="str">
        <f>IFERROR(VLOOKUP(A12,New!A:F,4,0),"لا يوجد مواعيد")</f>
        <v>عبدالله محمد جابر</v>
      </c>
      <c r="H12" s="29" t="str">
        <f>IFERROR(VLOOKUP(A12,New!A:G,3,0),"لا يوجد مواعيد")</f>
        <v>فيصل</v>
      </c>
      <c r="I12" s="29" t="str">
        <f>IFERROR(VLOOKUP(A12,New!A:H,2,0),"لا يوجد مواعيد")</f>
        <v>العروبة</v>
      </c>
    </row>
    <row r="13" spans="1:9">
      <c r="A13" s="34">
        <v>10326133</v>
      </c>
      <c r="B13" s="34" t="s">
        <v>1908</v>
      </c>
      <c r="C13" s="32">
        <v>0.416666666666667</v>
      </c>
      <c r="D13" s="32">
        <v>0.791666666666667</v>
      </c>
      <c r="E13" s="29">
        <f>IFERROR(VLOOKUP(A13,New!A:E,5,0),"لا يوجد مواعيد")</f>
        <v>1007497277</v>
      </c>
      <c r="F13" s="29">
        <f>IFERROR(VLOOKUP(A13,New!A:E,1,0),"لا يوجد مواعيد")</f>
        <v>10326133</v>
      </c>
      <c r="G13" s="29" t="str">
        <f>IFERROR(VLOOKUP(A13,New!A:F,4,0),"لا يوجد مواعيد")</f>
        <v>بسمة محمود</v>
      </c>
      <c r="H13" s="29" t="str">
        <f>IFERROR(VLOOKUP(A13,New!A:G,3,0),"لا يوجد مواعيد")</f>
        <v>العبور</v>
      </c>
      <c r="I13" s="29" t="str">
        <f>IFERROR(VLOOKUP(A13,New!A:H,2,0),"لا يوجد مواعيد")</f>
        <v>كارفور العبور</v>
      </c>
    </row>
    <row r="14" spans="1:9">
      <c r="A14" s="34">
        <v>10323634</v>
      </c>
      <c r="B14" s="34" t="s">
        <v>1909</v>
      </c>
      <c r="C14" s="32">
        <v>0.416666666666667</v>
      </c>
      <c r="D14" s="32">
        <v>0.791666666666667</v>
      </c>
      <c r="E14" s="29">
        <f>IFERROR(VLOOKUP(A14,New!A:E,5,0),"لا يوجد مواعيد")</f>
        <v>1068673636</v>
      </c>
      <c r="F14" s="29">
        <f>IFERROR(VLOOKUP(A14,New!A:E,1,0),"لا يوجد مواعيد")</f>
        <v>10323634</v>
      </c>
      <c r="G14" s="29" t="str">
        <f>IFERROR(VLOOKUP(A14,New!A:F,4,0),"لا يوجد مواعيد")</f>
        <v>حنان السيد ابراهيم اسماعيل</v>
      </c>
      <c r="H14" s="29" t="str">
        <f>IFERROR(VLOOKUP(A14,New!A:G,3,0),"لا يوجد مواعيد")</f>
        <v>الزيتون و مصر الجديدة</v>
      </c>
      <c r="I14" s="29" t="str">
        <f>IFERROR(VLOOKUP(A14,New!A:H,2,0),"لا يوجد مواعيد")</f>
        <v>الف مسكن</v>
      </c>
    </row>
    <row r="15" spans="1:9">
      <c r="A15" s="34">
        <v>10318910</v>
      </c>
      <c r="B15" s="34" t="s">
        <v>1910</v>
      </c>
      <c r="C15" s="32">
        <v>0.625</v>
      </c>
      <c r="D15" s="32">
        <v>0</v>
      </c>
      <c r="E15" s="29">
        <f>IFERROR(VLOOKUP(A15,New!A:E,5,0),"لا يوجد مواعيد")</f>
        <v>1090527572</v>
      </c>
      <c r="F15" s="29">
        <f>IFERROR(VLOOKUP(A15,New!A:E,1,0),"لا يوجد مواعيد")</f>
        <v>10318910</v>
      </c>
      <c r="G15" s="29" t="str">
        <f>IFERROR(VLOOKUP(A15,New!A:F,4,0),"لا يوجد مواعيد")</f>
        <v>محمد منصور</v>
      </c>
      <c r="H15" s="29" t="str">
        <f>IFERROR(VLOOKUP(A15,New!A:G,3,0),"لا يوجد مواعيد")</f>
        <v>حلوان و زهراء المعادي</v>
      </c>
      <c r="I15" s="29" t="str">
        <f>IFERROR(VLOOKUP(A15,New!A:H,2,0),"لا يوجد مواعيد")</f>
        <v>سلم صقر قريش</v>
      </c>
    </row>
    <row r="16" spans="1:9">
      <c r="A16" s="34">
        <v>10329272</v>
      </c>
      <c r="B16" s="34" t="s">
        <v>1911</v>
      </c>
      <c r="C16" s="32">
        <v>0.416666666666667</v>
      </c>
      <c r="D16" s="32">
        <v>0.791666666666667</v>
      </c>
      <c r="E16" s="29">
        <f>IFERROR(VLOOKUP(A16,New!A:E,5,0),"لا يوجد مواعيد")</f>
        <v>1201639339</v>
      </c>
      <c r="F16" s="29">
        <f>IFERROR(VLOOKUP(A16,New!A:E,1,0),"لا يوجد مواعيد")</f>
        <v>10329272</v>
      </c>
      <c r="G16" s="29" t="str">
        <f>IFERROR(VLOOKUP(A16,New!A:F,4,0),"لا يوجد مواعيد")</f>
        <v>يوستينا عزيز</v>
      </c>
      <c r="H16" s="29" t="str">
        <f>IFERROR(VLOOKUP(A16,New!A:G,3,0),"لا يوجد مواعيد")</f>
        <v>المهندسين</v>
      </c>
      <c r="I16" s="29" t="str">
        <f>IFERROR(VLOOKUP(A16,New!A:H,2,0),"لا يوجد مواعيد")</f>
        <v>كوبري الدقي</v>
      </c>
    </row>
    <row r="17" spans="1:9">
      <c r="A17" s="34">
        <v>10318890</v>
      </c>
      <c r="B17" s="34" t="s">
        <v>1912</v>
      </c>
      <c r="C17" s="32">
        <v>0.375</v>
      </c>
      <c r="D17" s="32">
        <v>0.75</v>
      </c>
      <c r="E17" s="29">
        <f>IFERROR(VLOOKUP(A17,New!A:E,5,0),"لا يوجد مواعيد")</f>
        <v>1287545306</v>
      </c>
      <c r="F17" s="29">
        <f>IFERROR(VLOOKUP(A17,New!A:E,1,0),"لا يوجد مواعيد")</f>
        <v>10318890</v>
      </c>
      <c r="G17" s="29" t="str">
        <f>IFERROR(VLOOKUP(A17,New!A:F,4,0),"لا يوجد مواعيد")</f>
        <v>حبيبة يسري صبرة</v>
      </c>
      <c r="H17" s="29" t="str">
        <f>IFERROR(VLOOKUP(A17,New!A:G,3,0),"لا يوجد مواعيد")</f>
        <v>شبرا</v>
      </c>
      <c r="I17" s="29" t="str">
        <f>IFERROR(VLOOKUP(A17,New!A:H,2,0),"لا يوجد مواعيد")</f>
        <v>الخلفاوي</v>
      </c>
    </row>
    <row r="18" spans="1:9">
      <c r="A18" s="34">
        <v>10331624</v>
      </c>
      <c r="B18" s="34" t="s">
        <v>1913</v>
      </c>
      <c r="C18" s="32">
        <v>0.375</v>
      </c>
      <c r="D18" s="32">
        <v>0.75</v>
      </c>
      <c r="E18" s="29">
        <f>IFERROR(VLOOKUP(A18,New!A:E,5,0),"لا يوجد مواعيد")</f>
        <v>1142809029</v>
      </c>
      <c r="F18" s="29">
        <f>IFERROR(VLOOKUP(A18,New!A:E,1,0),"لا يوجد مواعيد")</f>
        <v>10331624</v>
      </c>
      <c r="G18" s="29" t="str">
        <f>IFERROR(VLOOKUP(A18,New!A:F,4,0),"لا يوجد مواعيد")</f>
        <v>احمد مرسى</v>
      </c>
      <c r="H18" s="29" t="str">
        <f>IFERROR(VLOOKUP(A18,New!A:G,3,0),"لا يوجد مواعيد")</f>
        <v>مدينة نصر</v>
      </c>
      <c r="I18" s="29" t="str">
        <f>IFERROR(VLOOKUP(A18,New!A:H,2,0),"لا يوجد مواعيد")</f>
        <v>كشري هند الحي العاشر</v>
      </c>
    </row>
    <row r="19" spans="1:9">
      <c r="A19" s="34">
        <v>10330125</v>
      </c>
      <c r="B19" s="34" t="s">
        <v>1914</v>
      </c>
      <c r="C19" s="32">
        <v>0.375</v>
      </c>
      <c r="D19" s="32">
        <v>0.75</v>
      </c>
      <c r="E19" s="29">
        <f>IFERROR(VLOOKUP(A19,New!A:E,5,0),"لا يوجد مواعيد")</f>
        <v>1554240173</v>
      </c>
      <c r="F19" s="29">
        <f>IFERROR(VLOOKUP(A19,New!A:E,1,0),"لا يوجد مواعيد")</f>
        <v>10330125</v>
      </c>
      <c r="G19" s="29" t="str">
        <f>IFERROR(VLOOKUP(A19,New!A:F,4,0),"لا يوجد مواعيد")</f>
        <v>شيماء حاتم</v>
      </c>
      <c r="H19" s="29" t="str">
        <f>IFERROR(VLOOKUP(A19,New!A:G,3,0),"لا يوجد مواعيد")</f>
        <v>الزيتون و مصر الجديدة</v>
      </c>
      <c r="I19" s="29" t="str">
        <f>IFERROR(VLOOKUP(A19,New!A:H,2,0),"لا يوجد مواعيد")</f>
        <v>الف مسكن</v>
      </c>
    </row>
    <row r="20" spans="1:9">
      <c r="A20" s="34">
        <v>10337461</v>
      </c>
      <c r="B20" s="34" t="s">
        <v>1915</v>
      </c>
      <c r="C20" s="32">
        <v>0.416666666666667</v>
      </c>
      <c r="D20" s="32">
        <v>0.791666666666667</v>
      </c>
      <c r="E20" s="29">
        <f>IFERROR(VLOOKUP(A20,New!A:E,5,0),"لا يوجد مواعيد")</f>
        <v>1275449276</v>
      </c>
      <c r="F20" s="29">
        <f>IFERROR(VLOOKUP(A20,New!A:E,1,0),"لا يوجد مواعيد")</f>
        <v>10337461</v>
      </c>
      <c r="G20" s="29" t="str">
        <f>IFERROR(VLOOKUP(A20,New!A:F,4,0),"لا يوجد مواعيد")</f>
        <v>علاء اشرف</v>
      </c>
      <c r="H20" s="29" t="str">
        <f>IFERROR(VLOOKUP(A20,New!A:G,3,0),"لا يوجد مواعيد")</f>
        <v>مدينة نصر</v>
      </c>
      <c r="I20" s="29" t="str">
        <f>IFERROR(VLOOKUP(A20,New!A:H,2,0),"لا يوجد مواعيد")</f>
        <v>كشري هند الحي العاشر</v>
      </c>
    </row>
    <row r="21" spans="1:9">
      <c r="A21" s="34">
        <v>10337722</v>
      </c>
      <c r="B21" s="34" t="s">
        <v>1916</v>
      </c>
      <c r="C21" s="32">
        <v>0.375</v>
      </c>
      <c r="D21" s="32">
        <v>0.791666666666667</v>
      </c>
      <c r="E21" s="29">
        <f>IFERROR(VLOOKUP(A21,New!A:E,5,0),"لا يوجد مواعيد")</f>
        <v>1016740036</v>
      </c>
      <c r="F21" s="29">
        <f>IFERROR(VLOOKUP(A21,New!A:E,1,0),"لا يوجد مواعيد")</f>
        <v>10337722</v>
      </c>
      <c r="G21" s="29" t="str">
        <f>IFERROR(VLOOKUP(A21,New!A:F,4,0),"لا يوجد مواعيد")</f>
        <v>اميره عمر</v>
      </c>
      <c r="H21" s="29" t="str">
        <f>IFERROR(VLOOKUP(A21,New!A:G,3,0),"لا يوجد مواعيد")</f>
        <v>فيصل</v>
      </c>
      <c r="I21" s="29" t="str">
        <f>IFERROR(VLOOKUP(A21,New!A:H,2,0),"لا يوجد مواعيد")</f>
        <v>العروبة</v>
      </c>
    </row>
    <row r="22" spans="1:9">
      <c r="A22" s="34">
        <v>10337727</v>
      </c>
      <c r="B22" s="34" t="s">
        <v>1917</v>
      </c>
      <c r="C22" s="32">
        <v>0.375</v>
      </c>
      <c r="D22" s="32">
        <v>0.791666666666667</v>
      </c>
      <c r="E22" s="29" t="str">
        <f>IFERROR(VLOOKUP(A22,New!A:E,5,0),"لا يوجد مواعيد")</f>
        <v>1067459838‬/1067459838</v>
      </c>
      <c r="F22" s="29">
        <f>IFERROR(VLOOKUP(A22,New!A:E,1,0),"لا يوجد مواعيد")</f>
        <v>10337727</v>
      </c>
      <c r="G22" s="29" t="str">
        <f>IFERROR(VLOOKUP(A22,New!A:F,4,0),"لا يوجد مواعيد")</f>
        <v>فرح سامح</v>
      </c>
      <c r="H22" s="29" t="str">
        <f>IFERROR(VLOOKUP(A22,New!A:G,3,0),"لا يوجد مواعيد")</f>
        <v>شبرا</v>
      </c>
      <c r="I22" s="29" t="str">
        <f>IFERROR(VLOOKUP(A22,New!A:H,2,0),"لا يوجد مواعيد")</f>
        <v>التوحيد و النور</v>
      </c>
    </row>
    <row r="23" spans="1:9">
      <c r="A23" s="34">
        <v>10323632</v>
      </c>
      <c r="B23" s="34" t="s">
        <v>1918</v>
      </c>
      <c r="C23" s="32">
        <v>0.375</v>
      </c>
      <c r="D23" s="32">
        <v>0.75</v>
      </c>
      <c r="E23" s="29">
        <f>IFERROR(VLOOKUP(A23,New!A:E,5,0),"لا يوجد مواعيد")</f>
        <v>1128444730</v>
      </c>
      <c r="F23" s="29">
        <f>IFERROR(VLOOKUP(A23,New!A:E,1,0),"لا يوجد مواعيد")</f>
        <v>10323632</v>
      </c>
      <c r="G23" s="29" t="str">
        <f>IFERROR(VLOOKUP(A23,New!A:F,4,0),"لا يوجد مواعيد")</f>
        <v>فاطمة أشرف عبد العظيم عبد العزيز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الف مسكن</v>
      </c>
    </row>
    <row r="24" spans="1:9">
      <c r="A24" s="34">
        <v>10337729</v>
      </c>
      <c r="B24" s="34" t="s">
        <v>1919</v>
      </c>
      <c r="C24" s="32">
        <v>0.375</v>
      </c>
      <c r="D24" s="32">
        <v>0.75</v>
      </c>
      <c r="E24" s="29">
        <f>IFERROR(VLOOKUP(A24,New!A:E,5,0),"لا يوجد مواعيد")</f>
        <v>1001481649</v>
      </c>
      <c r="F24" s="29">
        <f>IFERROR(VLOOKUP(A24,New!A:E,1,0),"لا يوجد مواعيد")</f>
        <v>10337729</v>
      </c>
      <c r="G24" s="29" t="str">
        <f>IFERROR(VLOOKUP(A24,New!A:F,4,0),"لا يوجد مواعيد")</f>
        <v>محمد شتلة</v>
      </c>
      <c r="H24" s="29" t="str">
        <f>IFERROR(VLOOKUP(A24,New!A:G,3,0),"لا يوجد مواعيد")</f>
        <v>حدائق اكتوبر</v>
      </c>
      <c r="I24" s="29" t="str">
        <f>IFERROR(VLOOKUP(A24,New!A:H,2,0),"لا يوجد مواعيد")</f>
        <v>هرم ستي</v>
      </c>
    </row>
    <row r="25" spans="1:9">
      <c r="A25" s="34">
        <v>10323639</v>
      </c>
      <c r="B25" s="34" t="s">
        <v>1920</v>
      </c>
      <c r="C25" s="32">
        <v>0.375</v>
      </c>
      <c r="D25" s="32">
        <v>0.791666666666667</v>
      </c>
      <c r="E25" s="29">
        <f>IFERROR(VLOOKUP(A25,New!A:E,5,0),"لا يوجد مواعيد")</f>
        <v>1288068289</v>
      </c>
      <c r="F25" s="29">
        <f>IFERROR(VLOOKUP(A25,New!A:E,1,0),"لا يوجد مواعيد")</f>
        <v>10323639</v>
      </c>
      <c r="G25" s="29" t="str">
        <f>IFERROR(VLOOKUP(A25,New!A:F,4,0),"لا يوجد مواعيد")</f>
        <v>نهلة وحيد محمد رزق</v>
      </c>
      <c r="H25" s="29" t="str">
        <f>IFERROR(VLOOKUP(A25,New!A:G,3,0),"لا يوجد مواعيد")</f>
        <v>فيصل</v>
      </c>
      <c r="I25" s="29" t="str">
        <f>IFERROR(VLOOKUP(A25,New!A:H,2,0),"لا يوجد مواعيد")</f>
        <v>طوابق</v>
      </c>
    </row>
    <row r="26" spans="1:9">
      <c r="A26" s="34">
        <v>10329239</v>
      </c>
      <c r="B26" s="34" t="s">
        <v>1921</v>
      </c>
      <c r="C26" s="32">
        <v>0.375</v>
      </c>
      <c r="D26" s="32">
        <v>0.75</v>
      </c>
      <c r="E26" s="29">
        <f>IFERROR(VLOOKUP(A26,New!A:E,5,0),"لا يوجد مواعيد")</f>
        <v>1028088503</v>
      </c>
      <c r="F26" s="29">
        <f>IFERROR(VLOOKUP(A26,New!A:E,1,0),"لا يوجد مواعيد")</f>
        <v>10329239</v>
      </c>
      <c r="G26" s="29" t="str">
        <f>IFERROR(VLOOKUP(A26,New!A:F,4,0),"لا يوجد مواعيد")</f>
        <v>سعد السيد</v>
      </c>
      <c r="H26" s="29" t="str">
        <f>IFERROR(VLOOKUP(A26,New!A:G,3,0),"لا يوجد مواعيد")</f>
        <v>ي - المعادي</v>
      </c>
      <c r="I26" s="29" t="str">
        <f>IFERROR(VLOOKUP(A26,New!A:H,2,0),"لا يوجد مواعيد")</f>
        <v>المحكمة الدستورية</v>
      </c>
    </row>
    <row r="27" spans="1:9">
      <c r="A27" s="34">
        <v>10337807</v>
      </c>
      <c r="B27" s="34" t="s">
        <v>1922</v>
      </c>
      <c r="C27" s="32">
        <v>0.375</v>
      </c>
      <c r="D27" s="32">
        <v>0.75</v>
      </c>
      <c r="E27" s="29">
        <f>IFERROR(VLOOKUP(A27,New!A:E,5,0),"لا يوجد مواعيد")</f>
        <v>0</v>
      </c>
      <c r="F27" s="29">
        <f>IFERROR(VLOOKUP(A27,New!A:E,1,0),"لا يوجد مواعيد")</f>
        <v>10337807</v>
      </c>
      <c r="G27" s="29" t="str">
        <f>IFERROR(VLOOKUP(A27,New!A:F,4,0),"لا يوجد مواعيد")</f>
        <v>ساندي محمد</v>
      </c>
      <c r="H27" s="29" t="str">
        <f>IFERROR(VLOOKUP(A27,New!A:G,3,0),"لا يوجد مواعيد")</f>
        <v>؟</v>
      </c>
      <c r="I27" s="29" t="str">
        <f>IFERROR(VLOOKUP(A27,New!A:H,2,0),"لا يوجد مواعيد")</f>
        <v>؟</v>
      </c>
    </row>
    <row r="28" spans="1:9">
      <c r="A28" s="34">
        <v>10318869</v>
      </c>
      <c r="B28" s="34" t="s">
        <v>1923</v>
      </c>
      <c r="C28" s="32" t="s">
        <v>1924</v>
      </c>
      <c r="D28" s="32" t="s">
        <v>1924</v>
      </c>
      <c r="E28" s="29">
        <f>IFERROR(VLOOKUP(A28,New!A:E,5,0),"لا يوجد مواعيد")</f>
        <v>1090955605</v>
      </c>
      <c r="F28" s="29">
        <f>IFERROR(VLOOKUP(A28,New!A:E,1,0),"لا يوجد مواعيد")</f>
        <v>10318869</v>
      </c>
      <c r="G28" s="29" t="str">
        <f>IFERROR(VLOOKUP(A28,New!A:F,4,0),"لا يوجد مواعيد")</f>
        <v>سوزان عصام</v>
      </c>
      <c r="H28" s="29" t="str">
        <f>IFERROR(VLOOKUP(A28,New!A:G,3,0),"لا يوجد مواعيد")</f>
        <v>اكتوبر و زايد</v>
      </c>
      <c r="I28" s="29" t="str">
        <f>IFERROR(VLOOKUP(A28,New!A:H,2,0),"لا يوجد مواعيد")</f>
        <v>فودافون</v>
      </c>
    </row>
    <row r="29" spans="1:9">
      <c r="A29" s="34">
        <v>10341131</v>
      </c>
      <c r="B29" s="34" t="s">
        <v>1925</v>
      </c>
      <c r="C29" s="32">
        <v>0.375</v>
      </c>
      <c r="D29" s="32">
        <v>0.791666666666667</v>
      </c>
      <c r="E29" s="29">
        <f>IFERROR(VLOOKUP(A29,New!A:E,5,0),"لا يوجد مواعيد")</f>
        <v>1003492249</v>
      </c>
      <c r="F29" s="29">
        <f>IFERROR(VLOOKUP(A29,New!A:E,1,0),"لا يوجد مواعيد")</f>
        <v>10341131</v>
      </c>
      <c r="G29" s="29" t="str">
        <f>IFERROR(VLOOKUP(A29,New!A:F,4,0),"لا يوجد مواعيد")</f>
        <v>زهراء هشام</v>
      </c>
      <c r="H29" s="29" t="str">
        <f>IFERROR(VLOOKUP(A29,New!A:G,3,0),"لا يوجد مواعيد")</f>
        <v>دائري</v>
      </c>
      <c r="I29" s="29" t="str">
        <f>IFERROR(VLOOKUP(A29,New!A:H,2,0),"لا يوجد مواعيد")</f>
        <v>بهتيم</v>
      </c>
    </row>
    <row r="30" spans="1:9">
      <c r="A30" s="34">
        <v>10318880</v>
      </c>
      <c r="B30" s="34" t="s">
        <v>1926</v>
      </c>
      <c r="C30" s="32">
        <v>0.375</v>
      </c>
      <c r="D30" s="32">
        <v>0.791666666666667</v>
      </c>
      <c r="E30" s="29">
        <f>IFERROR(VLOOKUP(A30,New!A:E,5,0),"لا يوجد مواعيد")</f>
        <v>1028837891</v>
      </c>
      <c r="F30" s="29">
        <f>IFERROR(VLOOKUP(A30,New!A:E,1,0),"لا يوجد مواعيد")</f>
        <v>10318880</v>
      </c>
      <c r="G30" s="29" t="str">
        <f>IFERROR(VLOOKUP(A30,New!A:F,4,0),"لا يوجد مواعيد")</f>
        <v>عبد الرحمن محمد علي</v>
      </c>
      <c r="H30" s="29" t="str">
        <f>IFERROR(VLOOKUP(A30,New!A:G,3,0),"لا يوجد مواعيد")</f>
        <v>حلوان و زهراء المعادي</v>
      </c>
      <c r="I30" s="29" t="str">
        <f>IFERROR(VLOOKUP(A30,New!A:H,2,0),"لا يوجد مواعيد")</f>
        <v>سلم صقر قريش</v>
      </c>
    </row>
    <row r="31" spans="1:9">
      <c r="A31" s="34">
        <v>10337726</v>
      </c>
      <c r="B31" s="34" t="s">
        <v>1927</v>
      </c>
      <c r="C31" s="32">
        <v>0.416666666666667</v>
      </c>
      <c r="D31" s="32">
        <v>0.791666666666667</v>
      </c>
      <c r="E31" s="29">
        <f>IFERROR(VLOOKUP(A31,New!A:E,5,0),"لا يوجد مواعيد")</f>
        <v>1021782963</v>
      </c>
      <c r="F31" s="29">
        <f>IFERROR(VLOOKUP(A31,New!A:E,1,0),"لا يوجد مواعيد")</f>
        <v>10337726</v>
      </c>
      <c r="G31" s="29" t="str">
        <f>IFERROR(VLOOKUP(A31,New!A:F,4,0),"لا يوجد مواعيد")</f>
        <v>عبدالله شفيق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طلعة قليوب</v>
      </c>
    </row>
    <row r="32" spans="1:9">
      <c r="A32" s="34">
        <v>10323638</v>
      </c>
      <c r="B32" s="34" t="s">
        <v>1928</v>
      </c>
      <c r="C32" s="32">
        <v>0.375</v>
      </c>
      <c r="D32" s="32">
        <v>0.75</v>
      </c>
      <c r="E32" s="29">
        <f>IFERROR(VLOOKUP(A32,New!A:E,5,0),"لا يوجد مواعيد")</f>
        <v>1017261898</v>
      </c>
      <c r="F32" s="29">
        <f>IFERROR(VLOOKUP(A32,New!A:E,1,0),"لا يوجد مواعيد")</f>
        <v>10323638</v>
      </c>
      <c r="G32" s="29" t="str">
        <f>IFERROR(VLOOKUP(A32,New!A:F,4,0),"لا يوجد مواعيد")</f>
        <v>الاء ممدوح غنيم</v>
      </c>
      <c r="H32" s="29" t="str">
        <f>IFERROR(VLOOKUP(A32,New!A:G,3,0),"لا يوجد مواعيد")</f>
        <v>دائري</v>
      </c>
      <c r="I32" s="29" t="str">
        <f>IFERROR(VLOOKUP(A32,New!A:H,2,0),"لا يوجد مواعيد")</f>
        <v>السلام</v>
      </c>
    </row>
    <row r="33" spans="1:9">
      <c r="A33" s="34">
        <v>10333590</v>
      </c>
      <c r="B33" s="34" t="s">
        <v>1929</v>
      </c>
      <c r="C33" s="32">
        <v>0.791666666666667</v>
      </c>
      <c r="D33" s="32">
        <v>0.166666666666667</v>
      </c>
      <c r="E33" s="29">
        <f>IFERROR(VLOOKUP(A33,New!A:E,5,0),"لا يوجد مواعيد")</f>
        <v>0</v>
      </c>
      <c r="F33" s="29">
        <f>IFERROR(VLOOKUP(A33,New!A:E,1,0),"لا يوجد مواعيد")</f>
        <v>10333590</v>
      </c>
      <c r="G33" s="29" t="str">
        <f>IFERROR(VLOOKUP(A33,New!A:F,4,0),"لا يوجد مواعيد")</f>
        <v>امين عبد الحي</v>
      </c>
      <c r="H33" s="29" t="str">
        <f>IFERROR(VLOOKUP(A33,New!A:G,3,0),"لا يوجد مواعيد")</f>
        <v>مدينة نصر</v>
      </c>
      <c r="I33" s="29" t="str">
        <f>IFERROR(VLOOKUP(A33,New!A:H,2,0),"لا يوجد مواعيد")</f>
        <v>ميدان رابعة</v>
      </c>
    </row>
    <row r="34" spans="1:9">
      <c r="A34" s="34">
        <v>10337969</v>
      </c>
      <c r="B34" s="34" t="s">
        <v>1930</v>
      </c>
      <c r="C34" s="32">
        <v>0.375</v>
      </c>
      <c r="D34" s="32">
        <v>0.75</v>
      </c>
      <c r="E34" s="29">
        <f>IFERROR(VLOOKUP(A34,New!A:E,5,0),"لا يوجد مواعيد")</f>
        <v>0</v>
      </c>
      <c r="F34" s="29">
        <f>IFERROR(VLOOKUP(A34,New!A:E,1,0),"لا يوجد مواعيد")</f>
        <v>10337969</v>
      </c>
      <c r="G34" s="29" t="str">
        <f>IFERROR(VLOOKUP(A34,New!A:F,4,0),"لا يوجد مواعيد")</f>
        <v>اسماء اشرف</v>
      </c>
      <c r="H34" s="29" t="str">
        <f>IFERROR(VLOOKUP(A34,New!A:G,3,0),"لا يوجد مواعيد")</f>
        <v>شبرا</v>
      </c>
      <c r="I34" s="29" t="str">
        <f>IFERROR(VLOOKUP(A34,New!A:H,2,0),"لا يوجد مواعيد")</f>
        <v>الخلفاوي</v>
      </c>
    </row>
    <row r="35" spans="1:9">
      <c r="A35" s="34">
        <v>10306614</v>
      </c>
      <c r="B35" s="34" t="s">
        <v>1931</v>
      </c>
      <c r="C35" s="32">
        <v>0</v>
      </c>
      <c r="D35" s="32">
        <v>0.375</v>
      </c>
      <c r="E35" s="29">
        <f>IFERROR(VLOOKUP(A35,New!A:E,5,0),"لا يوجد مواعيد")</f>
        <v>1151631796</v>
      </c>
      <c r="F35" s="29">
        <f>IFERROR(VLOOKUP(A35,New!A:E,1,0),"لا يوجد مواعيد")</f>
        <v>10306614</v>
      </c>
      <c r="G35" s="29" t="str">
        <f>IFERROR(VLOOKUP(A35,New!A:F,4,0),"لا يوجد مواعيد")</f>
        <v>ابراهيم حسن</v>
      </c>
      <c r="H35" s="29" t="str">
        <f>IFERROR(VLOOKUP(A35,New!A:G,3,0),"لا يوجد مواعيد")</f>
        <v>و - مدينتي</v>
      </c>
      <c r="I35" s="29" t="str">
        <f>IFERROR(VLOOKUP(A35,New!A:H,2,0),"لا يوجد مواعيد")</f>
        <v>بوابة 1</v>
      </c>
    </row>
    <row r="36" spans="1:9">
      <c r="A36" s="34">
        <v>10333447</v>
      </c>
      <c r="B36" s="34" t="s">
        <v>1932</v>
      </c>
      <c r="C36" s="32">
        <v>0.791666666666667</v>
      </c>
      <c r="D36" s="32">
        <v>0.166666666666667</v>
      </c>
      <c r="E36" s="29">
        <f>IFERROR(VLOOKUP(A36,New!A:E,5,0),"لا يوجد مواعيد")</f>
        <v>1008361694</v>
      </c>
      <c r="F36" s="29">
        <f>IFERROR(VLOOKUP(A36,New!A:E,1,0),"لا يوجد مواعيد")</f>
        <v>10333447</v>
      </c>
      <c r="G36" s="29" t="str">
        <f>IFERROR(VLOOKUP(A36,New!A:F,4,0),"لا يوجد مواعيد")</f>
        <v>محمود عبد العليم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ميدان رابعة</v>
      </c>
    </row>
    <row r="37" spans="1:9">
      <c r="A37" s="34">
        <v>10337449</v>
      </c>
      <c r="B37" s="34" t="s">
        <v>1933</v>
      </c>
      <c r="C37" s="32">
        <v>0.375</v>
      </c>
      <c r="D37" s="32">
        <v>0.791666666666667</v>
      </c>
      <c r="E37" s="29">
        <f>IFERROR(VLOOKUP(A37,New!A:E,5,0),"لا يوجد مواعيد")</f>
        <v>1112616693</v>
      </c>
      <c r="F37" s="29">
        <f>IFERROR(VLOOKUP(A37,New!A:E,1,0),"لا يوجد مواعيد")</f>
        <v>10337449</v>
      </c>
      <c r="G37" s="29" t="str">
        <f>IFERROR(VLOOKUP(A37,New!A:F,4,0),"لا يوجد مواعيد")</f>
        <v>منصور عبد التواب</v>
      </c>
      <c r="H37" s="29" t="str">
        <f>IFERROR(VLOOKUP(A37,New!A:G,3,0),"لا يوجد مواعيد")</f>
        <v>مدينة نصر</v>
      </c>
      <c r="I37" s="29" t="str">
        <f>IFERROR(VLOOKUP(A37,New!A:H,2,0),"لا يوجد مواعيد")</f>
        <v>كشري هند الحي العاشر</v>
      </c>
    </row>
    <row r="38" spans="1:9">
      <c r="A38" s="34">
        <v>10318866</v>
      </c>
      <c r="B38" s="34" t="s">
        <v>1934</v>
      </c>
      <c r="C38" s="32">
        <v>0.375</v>
      </c>
      <c r="D38" s="32">
        <v>0.75</v>
      </c>
      <c r="E38" s="29">
        <f>IFERROR(VLOOKUP(A38,New!A:E,5,0),"لا يوجد مواعيد")</f>
        <v>1151226848</v>
      </c>
      <c r="F38" s="29">
        <f>IFERROR(VLOOKUP(A38,New!A:E,1,0),"لا يوجد مواعيد")</f>
        <v>10318866</v>
      </c>
      <c r="G38" s="29" t="str">
        <f>IFERROR(VLOOKUP(A38,New!A:F,4,0),"لا يوجد مواعيد")</f>
        <v>ميرنا ابراهيم</v>
      </c>
      <c r="H38" s="29" t="str">
        <f>IFERROR(VLOOKUP(A38,New!A:G,3,0),"لا يوجد مواعيد")</f>
        <v>حدائق الاهرام</v>
      </c>
      <c r="I38" s="29" t="str">
        <f>IFERROR(VLOOKUP(A38,New!A:H,2,0),"لا يوجد مواعيد")</f>
        <v>بوابة 1</v>
      </c>
    </row>
    <row r="39" spans="1:9">
      <c r="A39" s="34">
        <v>10329238</v>
      </c>
      <c r="B39" s="34" t="s">
        <v>1935</v>
      </c>
      <c r="C39" s="32">
        <v>0.375</v>
      </c>
      <c r="D39" s="32">
        <v>0.75</v>
      </c>
      <c r="E39" s="29">
        <f>IFERROR(VLOOKUP(A39,New!A:E,5,0),"لا يوجد مواعيد")</f>
        <v>1151866144</v>
      </c>
      <c r="F39" s="29">
        <f>IFERROR(VLOOKUP(A39,New!A:E,1,0),"لا يوجد مواعيد")</f>
        <v>10329238</v>
      </c>
      <c r="G39" s="29" t="str">
        <f>IFERROR(VLOOKUP(A39,New!A:F,4,0),"لا يوجد مواعيد")</f>
        <v>ندى عبد الواحد</v>
      </c>
      <c r="H39" s="29" t="str">
        <f>IFERROR(VLOOKUP(A39,New!A:G,3,0),"لا يوجد مواعيد")</f>
        <v>حلوان و زهراء المعادي</v>
      </c>
      <c r="I39" s="29" t="str">
        <f>IFERROR(VLOOKUP(A39,New!A:H,2,0),"لا يوجد مواعيد")</f>
        <v>المعصرة الاتوستراد</v>
      </c>
    </row>
    <row r="40" spans="1:9">
      <c r="A40" s="34">
        <v>10333398</v>
      </c>
      <c r="B40" s="34" t="s">
        <v>1936</v>
      </c>
      <c r="C40" s="32" t="s">
        <v>1937</v>
      </c>
      <c r="D40" s="32" t="s">
        <v>1937</v>
      </c>
      <c r="E40" s="29">
        <f>IFERROR(VLOOKUP(A40,New!A:E,5,0),"لا يوجد مواعيد")</f>
        <v>1147318485</v>
      </c>
      <c r="F40" s="29">
        <f>IFERROR(VLOOKUP(A40,New!A:E,1,0),"لا يوجد مواعيد")</f>
        <v>10333398</v>
      </c>
      <c r="G40" s="29" t="str">
        <f>IFERROR(VLOOKUP(A40,New!A:F,4,0),"لا يوجد مواعيد")</f>
        <v>عمر اشرف</v>
      </c>
      <c r="H40" s="29" t="str">
        <f>IFERROR(VLOOKUP(A40,New!A:G,3,0),"لا يوجد مواعيد")</f>
        <v>المهندسين</v>
      </c>
      <c r="I40" s="29" t="str">
        <f>IFERROR(VLOOKUP(A40,New!A:H,2,0),"لا يوجد مواعيد")</f>
        <v>ميدان لبنان</v>
      </c>
    </row>
    <row r="41" spans="1:9">
      <c r="A41" s="34">
        <v>10330128</v>
      </c>
      <c r="B41" s="34" t="s">
        <v>1938</v>
      </c>
      <c r="C41" s="32">
        <v>0.625</v>
      </c>
      <c r="D41" s="32">
        <v>0</v>
      </c>
      <c r="E41" s="29">
        <f>IFERROR(VLOOKUP(A41,New!A:E,5,0),"لا يوجد مواعيد")</f>
        <v>1026770903</v>
      </c>
      <c r="F41" s="29">
        <f>IFERROR(VLOOKUP(A41,New!A:E,1,0),"لا يوجد مواعيد")</f>
        <v>10330128</v>
      </c>
      <c r="G41" s="29" t="str">
        <f>IFERROR(VLOOKUP(A41,New!A:F,4,0),"لا يوجد مواعيد")</f>
        <v>محمد امجد</v>
      </c>
      <c r="H41" s="29" t="str">
        <f>IFERROR(VLOOKUP(A41,New!A:G,3,0),"لا يوجد مواعيد")</f>
        <v>و - مدينتي</v>
      </c>
      <c r="I41" s="29" t="str">
        <f>IFERROR(VLOOKUP(A41,New!A:H,2,0),"لا يوجد مواعيد")</f>
        <v>بوابة 1</v>
      </c>
    </row>
    <row r="42" spans="1:9">
      <c r="A42" s="34">
        <v>10329910</v>
      </c>
      <c r="B42" s="34" t="s">
        <v>1939</v>
      </c>
      <c r="C42" s="32">
        <v>0.75</v>
      </c>
      <c r="D42" s="32">
        <v>0.125</v>
      </c>
      <c r="E42" s="29" t="str">
        <f>IFERROR(VLOOKUP(A42,New!A:E,5,0),"لا يوجد مواعيد")</f>
        <v>1154256785 / 1070212444</v>
      </c>
      <c r="F42" s="29">
        <f>IFERROR(VLOOKUP(A42,New!A:E,1,0),"لا يوجد مواعيد")</f>
        <v>10329910</v>
      </c>
      <c r="G42" s="29" t="str">
        <f>IFERROR(VLOOKUP(A42,New!A:F,4,0),"لا يوجد مواعيد")</f>
        <v>محمد ياسر</v>
      </c>
      <c r="H42" s="29" t="str">
        <f>IFERROR(VLOOKUP(A42,New!A:G,3,0),"لا يوجد مواعيد")</f>
        <v>العبور</v>
      </c>
      <c r="I42" s="29" t="str">
        <f>IFERROR(VLOOKUP(A42,New!A:H,2,0),"لا يوجد مواعيد")</f>
        <v>كارفور العبور</v>
      </c>
    </row>
    <row r="43" spans="1:9">
      <c r="A43" s="34">
        <v>10338042</v>
      </c>
      <c r="B43" s="34" t="s">
        <v>1940</v>
      </c>
      <c r="C43" s="32">
        <v>0.666666666666667</v>
      </c>
      <c r="D43" s="32">
        <v>0.0416666666666667</v>
      </c>
      <c r="E43" s="29">
        <f>IFERROR(VLOOKUP(A43,New!A:E,5,0),"لا يوجد مواعيد")</f>
        <v>1030294228</v>
      </c>
      <c r="F43" s="29">
        <f>IFERROR(VLOOKUP(A43,New!A:E,1,0),"لا يوجد مواعيد")</f>
        <v>10338042</v>
      </c>
      <c r="G43" s="29" t="str">
        <f>IFERROR(VLOOKUP(A43,New!A:F,4,0),"لا يوجد مواعيد")</f>
        <v>محمد ياسر النجولي</v>
      </c>
      <c r="H43" s="29" t="str">
        <f>IFERROR(VLOOKUP(A43,New!A:G,3,0),"لا يوجد مواعيد")</f>
        <v>م - الرحاب و التجمع</v>
      </c>
      <c r="I43" s="29" t="str">
        <f>IFERROR(VLOOKUP(A43,New!A:H,2,0),"لا يوجد مواعيد")</f>
        <v>وتر واي</v>
      </c>
    </row>
    <row r="44" spans="1:9">
      <c r="A44" s="34">
        <v>10330144</v>
      </c>
      <c r="B44" s="34" t="s">
        <v>1941</v>
      </c>
      <c r="C44" s="32">
        <v>0.625</v>
      </c>
      <c r="D44" s="32">
        <v>0</v>
      </c>
      <c r="E44" s="29">
        <f>IFERROR(VLOOKUP(A44,New!A:E,5,0),"لا يوجد مواعيد")</f>
        <v>1151536502</v>
      </c>
      <c r="F44" s="29">
        <f>IFERROR(VLOOKUP(A44,New!A:E,1,0),"لا يوجد مواعيد")</f>
        <v>10330144</v>
      </c>
      <c r="G44" s="29" t="str">
        <f>IFERROR(VLOOKUP(A44,New!A:F,4,0),"لا يوجد مواعيد")</f>
        <v>روان مدحت</v>
      </c>
      <c r="H44" s="29" t="str">
        <f>IFERROR(VLOOKUP(A44,New!A:G,3,0),"لا يوجد مواعيد")</f>
        <v>م - الرحاب و التجمع</v>
      </c>
      <c r="I44" s="29" t="str">
        <f>IFERROR(VLOOKUP(A44,New!A:H,2,0),"لا يوجد مواعيد")</f>
        <v>ارابيلا</v>
      </c>
    </row>
    <row r="45" spans="1:9">
      <c r="A45" s="34">
        <v>10347418</v>
      </c>
      <c r="B45" s="34" t="s">
        <v>1942</v>
      </c>
      <c r="C45" s="32">
        <v>0.75</v>
      </c>
      <c r="D45" s="32">
        <v>0.125</v>
      </c>
      <c r="E45" s="29">
        <f>IFERROR(VLOOKUP(A45,New!A:E,5,0),"لا يوجد مواعيد")</f>
        <v>1003336191</v>
      </c>
      <c r="F45" s="29">
        <f>IFERROR(VLOOKUP(A45,New!A:E,1,0),"لا يوجد مواعيد")</f>
        <v>10347418</v>
      </c>
      <c r="G45" s="29" t="str">
        <f>IFERROR(VLOOKUP(A45,New!A:F,4,0),"لا يوجد مواعيد")</f>
        <v>محمود أنيس</v>
      </c>
      <c r="H45" s="29" t="str">
        <f>IFERROR(VLOOKUP(A45,New!A:G,3,0),"لا يوجد مواعيد")</f>
        <v>المهندسين</v>
      </c>
      <c r="I45" s="29" t="str">
        <f>IFERROR(VLOOKUP(A45,New!A:H,2,0),"لا يوجد مواعيد")</f>
        <v>كوبري الدقي</v>
      </c>
    </row>
    <row r="46" spans="1:9">
      <c r="A46" s="34">
        <v>10347427</v>
      </c>
      <c r="B46" s="34" t="s">
        <v>1943</v>
      </c>
      <c r="C46" s="32">
        <v>0.625</v>
      </c>
      <c r="D46" s="32">
        <v>0</v>
      </c>
      <c r="E46" s="29">
        <f>IFERROR(VLOOKUP(A46,New!A:E,5,0),"لا يوجد مواعيد")</f>
        <v>1109165438</v>
      </c>
      <c r="F46" s="29">
        <f>IFERROR(VLOOKUP(A46,New!A:E,1,0),"لا يوجد مواعيد")</f>
        <v>10347427</v>
      </c>
      <c r="G46" s="29" t="str">
        <f>IFERROR(VLOOKUP(A46,New!A:F,4,0),"لا يوجد مواعيد")</f>
        <v>ريان علي نور</v>
      </c>
      <c r="H46" s="29" t="str">
        <f>IFERROR(VLOOKUP(A46,New!A:G,3,0),"لا يوجد مواعيد")</f>
        <v>مدينة نصر</v>
      </c>
      <c r="I46" s="29" t="str">
        <f>IFERROR(VLOOKUP(A46,New!A:H,2,0),"لا يوجد مواعيد")</f>
        <v>اول عباس</v>
      </c>
    </row>
    <row r="47" spans="1:9">
      <c r="A47" s="34">
        <v>10347428</v>
      </c>
      <c r="B47" s="34" t="s">
        <v>1944</v>
      </c>
      <c r="C47" s="32">
        <v>0.625</v>
      </c>
      <c r="D47" s="32">
        <v>0</v>
      </c>
      <c r="E47" s="29">
        <f>IFERROR(VLOOKUP(A47,New!A:E,5,0),"لا يوجد مواعيد")</f>
        <v>1044608425</v>
      </c>
      <c r="F47" s="29">
        <f>IFERROR(VLOOKUP(A47,New!A:E,1,0),"لا يوجد مواعيد")</f>
        <v>10347428</v>
      </c>
      <c r="G47" s="29" t="str">
        <f>IFERROR(VLOOKUP(A47,New!A:F,4,0),"لا يوجد مواعيد")</f>
        <v>سجا عبد السلام</v>
      </c>
      <c r="H47" s="29" t="str">
        <f>IFERROR(VLOOKUP(A47,New!A:G,3,0),"لا يوجد مواعيد")</f>
        <v>و - مدينتي</v>
      </c>
      <c r="I47" s="29" t="str">
        <f>IFERROR(VLOOKUP(A47,New!A:H,2,0),"لا يوجد مواعيد")</f>
        <v>بوابة 1</v>
      </c>
    </row>
    <row r="48" spans="1:9">
      <c r="A48" s="34">
        <v>10347429</v>
      </c>
      <c r="B48" s="34" t="s">
        <v>1945</v>
      </c>
      <c r="C48" s="32">
        <v>0.625</v>
      </c>
      <c r="D48" s="32">
        <v>0</v>
      </c>
      <c r="E48" s="29">
        <f>IFERROR(VLOOKUP(A48,New!A:E,5,0),"لا يوجد مواعيد")</f>
        <v>1017913776</v>
      </c>
      <c r="F48" s="29">
        <f>IFERROR(VLOOKUP(A48,New!A:E,1,0),"لا يوجد مواعيد")</f>
        <v>10347429</v>
      </c>
      <c r="G48" s="29" t="str">
        <f>IFERROR(VLOOKUP(A48,New!A:F,4,0),"لا يوجد مواعيد")</f>
        <v>تبيان أزهري</v>
      </c>
      <c r="H48" s="29" t="str">
        <f>IFERROR(VLOOKUP(A48,New!A:G,3,0),"لا يوجد مواعيد")</f>
        <v>مدينة نصر</v>
      </c>
      <c r="I48" s="29" t="str">
        <f>IFERROR(VLOOKUP(A48,New!A:H,2,0),"لا يوجد مواعيد")</f>
        <v>مسجد السلام</v>
      </c>
    </row>
    <row r="49" spans="1:9">
      <c r="A49" s="34">
        <v>10348095</v>
      </c>
      <c r="B49" s="34" t="s">
        <v>1946</v>
      </c>
      <c r="C49" s="32">
        <v>0.625</v>
      </c>
      <c r="D49" s="32">
        <v>0</v>
      </c>
      <c r="E49" s="29">
        <f>IFERROR(VLOOKUP(A49,New!A:E,5,0),"لا يوجد مواعيد")</f>
        <v>1026170107</v>
      </c>
      <c r="F49" s="29">
        <f>IFERROR(VLOOKUP(A49,New!A:E,1,0),"لا يوجد مواعيد")</f>
        <v>10348095</v>
      </c>
      <c r="G49" s="29" t="str">
        <f>IFERROR(VLOOKUP(A49,New!A:F,4,0),"لا يوجد مواعيد")</f>
        <v>عبد الله سليمان</v>
      </c>
      <c r="H49" s="29" t="str">
        <f>IFERROR(VLOOKUP(A49,New!A:G,3,0),"لا يوجد مواعيد")</f>
        <v>فيصل</v>
      </c>
      <c r="I49" s="29" t="str">
        <f>IFERROR(VLOOKUP(A49,New!A:H,2,0),"لا يوجد مواعيد")</f>
        <v>التعاون</v>
      </c>
    </row>
    <row r="50" spans="1:9">
      <c r="A50" s="34">
        <v>10347420</v>
      </c>
      <c r="B50" s="34" t="s">
        <v>1947</v>
      </c>
      <c r="C50" s="32">
        <v>0.75</v>
      </c>
      <c r="D50" s="32">
        <v>0.125</v>
      </c>
      <c r="E50" s="29" t="str">
        <f>IFERROR(VLOOKUP(A50,New!A:E,5,0),"لا يوجد مواعيد")</f>
        <v>1220116359 / 1023356963</v>
      </c>
      <c r="F50" s="29">
        <f>IFERROR(VLOOKUP(A50,New!A:E,1,0),"لا يوجد مواعيد")</f>
        <v>10347420</v>
      </c>
      <c r="G50" s="29" t="str">
        <f>IFERROR(VLOOKUP(A50,New!A:F,4,0),"لا يوجد مواعيد")</f>
        <v>راوية الصافي</v>
      </c>
      <c r="H50" s="29" t="str">
        <f>IFERROR(VLOOKUP(A50,New!A:G,3,0),"لا يوجد مواعيد")</f>
        <v>ي - المعادي</v>
      </c>
      <c r="I50" s="29" t="str">
        <f>IFERROR(VLOOKUP(A50,New!A:H,2,0),"لا يوجد مواعيد")</f>
        <v>اكاديمية السادات</v>
      </c>
    </row>
    <row r="51" spans="1:9">
      <c r="A51" s="34">
        <v>10324742</v>
      </c>
      <c r="B51" s="34" t="s">
        <v>1948</v>
      </c>
      <c r="C51" s="32">
        <v>0.625</v>
      </c>
      <c r="D51" s="32">
        <v>0</v>
      </c>
      <c r="E51" s="29">
        <f>IFERROR(VLOOKUP(A51,New!A:E,5,0),"لا يوجد مواعيد")</f>
        <v>1145600669</v>
      </c>
      <c r="F51" s="29">
        <f>IFERROR(VLOOKUP(A51,New!A:E,1,0),"لا يوجد مواعيد")</f>
        <v>10324742</v>
      </c>
      <c r="G51" s="29" t="str">
        <f>IFERROR(VLOOKUP(A51,New!A:F,4,0),"لا يوجد مواعيد")</f>
        <v>ياسمين أيمن محمد سيف</v>
      </c>
      <c r="H51" s="29" t="str">
        <f>IFERROR(VLOOKUP(A51,New!A:G,3,0),"لا يوجد مواعيد")</f>
        <v>حلوان و زهراء المعادي</v>
      </c>
      <c r="I51" s="29" t="str">
        <f>IFERROR(VLOOKUP(A51,New!A:H,2,0),"لا يوجد مواعيد")</f>
        <v>صالح صبحي</v>
      </c>
    </row>
    <row r="52" spans="1:9">
      <c r="A52" s="34">
        <v>10329243</v>
      </c>
      <c r="B52" s="34" t="s">
        <v>1949</v>
      </c>
      <c r="C52" s="32">
        <v>0.375</v>
      </c>
      <c r="D52" s="32">
        <v>0.75</v>
      </c>
      <c r="E52" s="29">
        <f>IFERROR(VLOOKUP(A52,New!A:E,5,0),"لا يوجد مواعيد")</f>
        <v>1029503393</v>
      </c>
      <c r="F52" s="29">
        <f>IFERROR(VLOOKUP(A52,New!A:E,1,0),"لا يوجد مواعيد")</f>
        <v>10329243</v>
      </c>
      <c r="G52" s="29" t="str">
        <f>IFERROR(VLOOKUP(A52,New!A:F,4,0),"لا يوجد مواعيد")</f>
        <v>احمد نوشي</v>
      </c>
      <c r="H52" s="29" t="str">
        <f>IFERROR(VLOOKUP(A52,New!A:G,3,0),"لا يوجد مواعيد")</f>
        <v>مدينة نصر</v>
      </c>
      <c r="I52" s="29" t="str">
        <f>IFERROR(VLOOKUP(A52,New!A:H,2,0),"لا يوجد مواعيد")</f>
        <v>كشري هند الحي العاشر</v>
      </c>
    </row>
    <row r="53" spans="1:9">
      <c r="A53" s="34">
        <v>10329211</v>
      </c>
      <c r="B53" s="34" t="s">
        <v>1950</v>
      </c>
      <c r="C53" s="32">
        <v>0.375</v>
      </c>
      <c r="D53" s="32">
        <v>0.791666666666667</v>
      </c>
      <c r="E53" s="29">
        <f>IFERROR(VLOOKUP(A53,New!A:E,5,0),"لا يوجد مواعيد")</f>
        <v>1025851539</v>
      </c>
      <c r="F53" s="29">
        <f>IFERROR(VLOOKUP(A53,New!A:E,1,0),"لا يوجد مواعيد")</f>
        <v>10329211</v>
      </c>
      <c r="G53" s="29" t="str">
        <f>IFERROR(VLOOKUP(A53,New!A:F,4,0),"لا يوجد مواعيد")</f>
        <v>احمد هندي</v>
      </c>
      <c r="H53" s="29" t="str">
        <f>IFERROR(VLOOKUP(A53,New!A:G,3,0),"لا يوجد مواعيد")</f>
        <v>حلوان و زهراء المعادي</v>
      </c>
      <c r="I53" s="29" t="str">
        <f>IFERROR(VLOOKUP(A53,New!A:H,2,0),"لا يوجد مواعيد")</f>
        <v>المعصرة الاتوستراد</v>
      </c>
    </row>
    <row r="54" spans="1:9">
      <c r="A54" s="34">
        <v>10337720</v>
      </c>
      <c r="B54" s="34" t="s">
        <v>1951</v>
      </c>
      <c r="C54" s="32" t="s">
        <v>1952</v>
      </c>
      <c r="D54" s="32" t="s">
        <v>1952</v>
      </c>
      <c r="E54" s="29">
        <f>IFERROR(VLOOKUP(A54,New!A:E,5,0),"لا يوجد مواعيد")</f>
        <v>1152645175</v>
      </c>
      <c r="F54" s="29">
        <f>IFERROR(VLOOKUP(A54,New!A:E,1,0),"لا يوجد مواعيد")</f>
        <v>10337720</v>
      </c>
      <c r="G54" s="29" t="str">
        <f>IFERROR(VLOOKUP(A54,New!A:F,4,0),"لا يوجد مواعيد")</f>
        <v>علاء محمد</v>
      </c>
      <c r="H54" s="29" t="str">
        <f>IFERROR(VLOOKUP(A54,New!A:G,3,0),"لا يوجد مواعيد")</f>
        <v>العبور</v>
      </c>
      <c r="I54" s="29" t="str">
        <f>IFERROR(VLOOKUP(A54,New!A:H,2,0),"لا يوجد مواعيد")</f>
        <v>كارفور العبور</v>
      </c>
    </row>
    <row r="55" spans="1:9">
      <c r="A55" s="34">
        <v>10337725</v>
      </c>
      <c r="B55" s="34" t="s">
        <v>1953</v>
      </c>
      <c r="C55" s="32">
        <v>0.375</v>
      </c>
      <c r="D55" s="32">
        <v>0.791666666666667</v>
      </c>
      <c r="E55" s="29">
        <f>IFERROR(VLOOKUP(A55,New!A:E,5,0),"لا يوجد مواعيد")</f>
        <v>1142640176</v>
      </c>
      <c r="F55" s="29">
        <f>IFERROR(VLOOKUP(A55,New!A:E,1,0),"لا يوجد مواعيد")</f>
        <v>10337725</v>
      </c>
      <c r="G55" s="29" t="str">
        <f>IFERROR(VLOOKUP(A55,New!A:F,4,0),"لا يوجد مواعيد")</f>
        <v>أيمن ضاحي</v>
      </c>
      <c r="H55" s="29" t="str">
        <f>IFERROR(VLOOKUP(A55,New!A:G,3,0),"لا يوجد مواعيد")</f>
        <v>ي - المعادي</v>
      </c>
      <c r="I55" s="29" t="str">
        <f>IFERROR(VLOOKUP(A55,New!A:H,2,0),"لا يوجد مواعيد")</f>
        <v>المحكمة الدستورية</v>
      </c>
    </row>
    <row r="56" spans="1:9">
      <c r="A56" s="34">
        <v>10323629</v>
      </c>
      <c r="B56" s="34" t="s">
        <v>1954</v>
      </c>
      <c r="C56" s="32">
        <v>0.375</v>
      </c>
      <c r="D56" s="32">
        <v>0.791666666666667</v>
      </c>
      <c r="E56" s="29">
        <f>IFERROR(VLOOKUP(A56,New!A:E,5,0),"لا يوجد مواعيد")</f>
        <v>1122959208</v>
      </c>
      <c r="F56" s="29">
        <f>IFERROR(VLOOKUP(A56,New!A:E,1,0),"لا يوجد مواعيد")</f>
        <v>10323629</v>
      </c>
      <c r="G56" s="29" t="str">
        <f>IFERROR(VLOOKUP(A56,New!A:F,4,0),"لا يوجد مواعيد")</f>
        <v>إسراء محمد زغلول</v>
      </c>
      <c r="H56" s="29" t="str">
        <f>IFERROR(VLOOKUP(A56,New!A:G,3,0),"لا يوجد مواعيد")</f>
        <v>ي - المعادي</v>
      </c>
      <c r="I56" s="29" t="str">
        <f>IFERROR(VLOOKUP(A56,New!A:H,2,0),"لا يوجد مواعيد")</f>
        <v>المحكمة الدستورية</v>
      </c>
    </row>
    <row r="57" spans="1:9">
      <c r="A57" s="34">
        <v>10341128</v>
      </c>
      <c r="B57" s="34" t="s">
        <v>1955</v>
      </c>
      <c r="C57" s="32">
        <v>0.375</v>
      </c>
      <c r="D57" s="32">
        <v>0.75</v>
      </c>
      <c r="E57" s="29">
        <f>IFERROR(VLOOKUP(A57,New!A:E,5,0),"لا يوجد مواعيد")</f>
        <v>1018950953</v>
      </c>
      <c r="F57" s="29">
        <f>IFERROR(VLOOKUP(A57,New!A:E,1,0),"لا يوجد مواعيد")</f>
        <v>10341128</v>
      </c>
      <c r="G57" s="29" t="str">
        <f>IFERROR(VLOOKUP(A57,New!A:F,4,0),"لا يوجد مواعيد")</f>
        <v>هاجر همام</v>
      </c>
      <c r="H57" s="29" t="str">
        <f>IFERROR(VLOOKUP(A57,New!A:G,3,0),"لا يوجد مواعيد")</f>
        <v>حدائق الاهرام</v>
      </c>
      <c r="I57" s="29" t="str">
        <f>IFERROR(VLOOKUP(A57,New!A:H,2,0),"لا يوجد مواعيد")</f>
        <v>بوابة 1</v>
      </c>
    </row>
    <row r="58" spans="1:9">
      <c r="A58" s="34">
        <v>10337746</v>
      </c>
      <c r="B58" s="34" t="s">
        <v>1956</v>
      </c>
      <c r="C58" s="32">
        <v>0.375</v>
      </c>
      <c r="D58" s="32">
        <v>0.791666666666667</v>
      </c>
      <c r="E58" s="29">
        <f>IFERROR(VLOOKUP(A58,New!A:E,5,0),"لا يوجد مواعيد")</f>
        <v>1024995760</v>
      </c>
      <c r="F58" s="29">
        <f>IFERROR(VLOOKUP(A58,New!A:E,1,0),"لا يوجد مواعيد")</f>
        <v>10337746</v>
      </c>
      <c r="G58" s="29" t="str">
        <f>IFERROR(VLOOKUP(A58,New!A:F,4,0),"لا يوجد مواعيد")</f>
        <v>خالد محمد رفعت</v>
      </c>
      <c r="H58" s="29" t="str">
        <f>IFERROR(VLOOKUP(A58,New!A:G,3,0),"لا يوجد مواعيد")</f>
        <v>حدائق القبة</v>
      </c>
      <c r="I58" s="29" t="str">
        <f>IFERROR(VLOOKUP(A58,New!A:H,2,0),"لا يوجد مواعيد")</f>
        <v>ميدان الحدائق</v>
      </c>
    </row>
    <row r="59" spans="1:9">
      <c r="A59" s="34">
        <v>10337492</v>
      </c>
      <c r="B59" s="34" t="s">
        <v>1957</v>
      </c>
      <c r="C59" s="32">
        <v>0.375</v>
      </c>
      <c r="D59" s="32">
        <v>0.75</v>
      </c>
      <c r="E59" s="29">
        <f>IFERROR(VLOOKUP(A59,New!A:E,5,0),"لا يوجد مواعيد")</f>
        <v>1146898396</v>
      </c>
      <c r="F59" s="29">
        <f>IFERROR(VLOOKUP(A59,New!A:E,1,0),"لا يوجد مواعيد")</f>
        <v>10337492</v>
      </c>
      <c r="G59" s="29" t="str">
        <f>IFERROR(VLOOKUP(A59,New!A:F,4,0),"لا يوجد مواعيد")</f>
        <v>ليلى اشرف</v>
      </c>
      <c r="H59" s="29" t="str">
        <f>IFERROR(VLOOKUP(A59,New!A:G,3,0),"لا يوجد مواعيد")</f>
        <v>م - الرحاب و التجمع</v>
      </c>
      <c r="I59" s="29" t="str">
        <f>IFERROR(VLOOKUP(A59,New!A:H,2,0),"لا يوجد مواعيد")</f>
        <v>ارابيلا</v>
      </c>
    </row>
    <row r="60" spans="1:9">
      <c r="A60" s="34">
        <v>10329226</v>
      </c>
      <c r="B60" s="34" t="s">
        <v>1958</v>
      </c>
      <c r="C60" s="32">
        <v>0.375</v>
      </c>
      <c r="D60" s="32">
        <v>0.75</v>
      </c>
      <c r="E60" s="29">
        <f>IFERROR(VLOOKUP(A60,New!A:E,5,0),"لا يوجد مواعيد")</f>
        <v>1151935963</v>
      </c>
      <c r="F60" s="29">
        <f>IFERROR(VLOOKUP(A60,New!A:E,1,0),"لا يوجد مواعيد")</f>
        <v>10329226</v>
      </c>
      <c r="G60" s="29" t="str">
        <f>IFERROR(VLOOKUP(A60,New!A:F,4,0),"لا يوجد مواعيد")</f>
        <v>منار ابراهيم</v>
      </c>
      <c r="H60" s="29" t="str">
        <f>IFERROR(VLOOKUP(A60,New!A:G,3,0),"لا يوجد مواعيد")</f>
        <v>فيصل</v>
      </c>
      <c r="I60" s="29" t="str">
        <f>IFERROR(VLOOKUP(A60,New!A:H,2,0),"لا يوجد مواعيد")</f>
        <v>العشرين</v>
      </c>
    </row>
    <row r="61" spans="1:9">
      <c r="A61" s="34">
        <v>10329571</v>
      </c>
      <c r="B61" s="34" t="s">
        <v>1959</v>
      </c>
      <c r="C61" s="32">
        <v>0.375</v>
      </c>
      <c r="D61" s="32">
        <v>0.75</v>
      </c>
      <c r="E61" s="29">
        <f>IFERROR(VLOOKUP(A61,New!A:E,5,0),"لا يوجد مواعيد")</f>
        <v>1102330947</v>
      </c>
      <c r="F61" s="29">
        <f>IFERROR(VLOOKUP(A61,New!A:E,1,0),"لا يوجد مواعيد")</f>
        <v>10329571</v>
      </c>
      <c r="G61" s="29" t="str">
        <f>IFERROR(VLOOKUP(A61,New!A:F,4,0),"لا يوجد مواعيد")</f>
        <v>ماردي مبارك</v>
      </c>
      <c r="H61" s="29" t="str">
        <f>IFERROR(VLOOKUP(A61,New!A:G,3,0),"لا يوجد مواعيد")</f>
        <v>المهندسين</v>
      </c>
      <c r="I61" s="29" t="str">
        <f>IFERROR(VLOOKUP(A61,New!A:H,2,0),"لا يوجد مواعيد")</f>
        <v>ميدان لبنان</v>
      </c>
    </row>
    <row r="62" spans="1:9">
      <c r="A62" s="34">
        <v>10329227</v>
      </c>
      <c r="B62" s="34" t="s">
        <v>1960</v>
      </c>
      <c r="C62" s="32">
        <v>0.416666666666667</v>
      </c>
      <c r="D62" s="32">
        <v>0.791666666666667</v>
      </c>
      <c r="E62" s="29">
        <f>IFERROR(VLOOKUP(A62,New!A:E,5,0),"لا يوجد مواعيد")</f>
        <v>1224746815</v>
      </c>
      <c r="F62" s="29">
        <f>IFERROR(VLOOKUP(A62,New!A:E,1,0),"لا يوجد مواعيد")</f>
        <v>10329227</v>
      </c>
      <c r="G62" s="29" t="str">
        <f>IFERROR(VLOOKUP(A62,New!A:F,4,0),"لا يوجد مواعيد")</f>
        <v>ماريا فؤاد</v>
      </c>
      <c r="H62" s="29" t="str">
        <f>IFERROR(VLOOKUP(A62,New!A:G,3,0),"لا يوجد مواعيد")</f>
        <v>ي - المعادي</v>
      </c>
      <c r="I62" s="29" t="str">
        <f>IFERROR(VLOOKUP(A62,New!A:H,2,0),"لا يوجد مواعيد")</f>
        <v>المحكمة الدستورية</v>
      </c>
    </row>
    <row r="63" spans="1:9">
      <c r="A63" s="34">
        <v>10337473</v>
      </c>
      <c r="B63" s="34" t="s">
        <v>1961</v>
      </c>
      <c r="C63" s="32">
        <v>0.416666666666667</v>
      </c>
      <c r="D63" s="32">
        <v>0.791666666666667</v>
      </c>
      <c r="E63" s="29">
        <f>IFERROR(VLOOKUP(A63,New!A:E,5,0),"لا يوجد مواعيد")</f>
        <v>1007879704</v>
      </c>
      <c r="F63" s="29">
        <f>IFERROR(VLOOKUP(A63,New!A:E,1,0),"لا يوجد مواعيد")</f>
        <v>10337473</v>
      </c>
      <c r="G63" s="29" t="str">
        <f>IFERROR(VLOOKUP(A63,New!A:F,4,0),"لا يوجد مواعيد")</f>
        <v>ندى محمد عصام</v>
      </c>
      <c r="H63" s="29" t="str">
        <f>IFERROR(VLOOKUP(A63,New!A:G,3,0),"لا يوجد مواعيد")</f>
        <v>المهندسين</v>
      </c>
      <c r="I63" s="29" t="str">
        <f>IFERROR(VLOOKUP(A63,New!A:H,2,0),"لا يوجد مواعيد")</f>
        <v>عمر افندي</v>
      </c>
    </row>
    <row r="64" spans="1:9">
      <c r="A64" s="34">
        <v>10329246</v>
      </c>
      <c r="B64" s="34" t="s">
        <v>1962</v>
      </c>
      <c r="C64" s="32">
        <v>0.416666666666667</v>
      </c>
      <c r="D64" s="32">
        <v>0.791666666666667</v>
      </c>
      <c r="E64" s="29">
        <f>IFERROR(VLOOKUP(A64,New!A:E,5,0),"لا يوجد مواعيد")</f>
        <v>1022061360</v>
      </c>
      <c r="F64" s="29">
        <f>IFERROR(VLOOKUP(A64,New!A:E,1,0),"لا يوجد مواعيد")</f>
        <v>10329246</v>
      </c>
      <c r="G64" s="29" t="str">
        <f>IFERROR(VLOOKUP(A64,New!A:F,4,0),"لا يوجد مواعيد")</f>
        <v>سيف الدين عبد اللطيف</v>
      </c>
      <c r="H64" s="29" t="str">
        <f>IFERROR(VLOOKUP(A64,New!A:G,3,0),"لا يوجد مواعيد")</f>
        <v>الزيتون و مصر الجديدة</v>
      </c>
      <c r="I64" s="29" t="str">
        <f>IFERROR(VLOOKUP(A64,New!A:H,2,0),"لا يوجد مواعيد")</f>
        <v>الف مسكن</v>
      </c>
    </row>
    <row r="65" spans="1:9">
      <c r="A65" s="34">
        <v>10341134</v>
      </c>
      <c r="B65" s="34" t="s">
        <v>1963</v>
      </c>
      <c r="C65" s="32">
        <v>0.375</v>
      </c>
      <c r="D65" s="32">
        <v>0.75</v>
      </c>
      <c r="E65" s="29" t="str">
        <f>IFERROR(VLOOKUP(A65,New!A:E,5,0),"لا يوجد مواعيد")</f>
        <v>1126959514/1044627441</v>
      </c>
      <c r="F65" s="29">
        <f>IFERROR(VLOOKUP(A65,New!A:E,1,0),"لا يوجد مواعيد")</f>
        <v>10341134</v>
      </c>
      <c r="G65" s="29" t="str">
        <f>IFERROR(VLOOKUP(A65,New!A:F,4,0),"لا يوجد مواعيد")</f>
        <v>شروق محمد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الجراج</v>
      </c>
    </row>
    <row r="66" spans="1:9">
      <c r="A66" s="34">
        <v>10331617</v>
      </c>
      <c r="B66" s="34" t="s">
        <v>1964</v>
      </c>
      <c r="C66" s="32">
        <v>0.375</v>
      </c>
      <c r="D66" s="32">
        <v>0.75</v>
      </c>
      <c r="E66" s="29">
        <f>IFERROR(VLOOKUP(A66,New!A:E,5,0),"لا يوجد مواعيد")</f>
        <v>1123530681</v>
      </c>
      <c r="F66" s="29">
        <f>IFERROR(VLOOKUP(A66,New!A:E,1,0),"لا يوجد مواعيد")</f>
        <v>10331617</v>
      </c>
      <c r="G66" s="29" t="str">
        <f>IFERROR(VLOOKUP(A66,New!A:F,4,0),"لا يوجد مواعيد")</f>
        <v>احمد علي</v>
      </c>
      <c r="H66" s="29" t="str">
        <f>IFERROR(VLOOKUP(A66,New!A:G,3,0),"لا يوجد مواعيد")</f>
        <v>فيصل</v>
      </c>
      <c r="I66" s="29" t="str">
        <f>IFERROR(VLOOKUP(A66,New!A:H,2,0),"لا يوجد مواعيد")</f>
        <v>العروبة</v>
      </c>
    </row>
    <row r="67" spans="1:9">
      <c r="A67" s="34">
        <v>10331610</v>
      </c>
      <c r="B67" s="34" t="s">
        <v>1965</v>
      </c>
      <c r="C67" s="32">
        <v>0.375</v>
      </c>
      <c r="D67" s="32">
        <v>0.791666666666667</v>
      </c>
      <c r="E67" s="29">
        <f>IFERROR(VLOOKUP(A67,New!A:E,5,0),"لا يوجد مواعيد")</f>
        <v>1129491119</v>
      </c>
      <c r="F67" s="29">
        <f>IFERROR(VLOOKUP(A67,New!A:E,1,0),"لا يوجد مواعيد")</f>
        <v>10331610</v>
      </c>
      <c r="G67" s="29" t="str">
        <f>IFERROR(VLOOKUP(A67,New!A:F,4,0),"لا يوجد مواعيد")</f>
        <v>عمرو محمد</v>
      </c>
      <c r="H67" s="29" t="str">
        <f>IFERROR(VLOOKUP(A67,New!A:G,3,0),"لا يوجد مواعيد")</f>
        <v>شبرا</v>
      </c>
      <c r="I67" s="29" t="str">
        <f>IFERROR(VLOOKUP(A67,New!A:H,2,0),"لا يوجد مواعيد")</f>
        <v>الخلفاوي</v>
      </c>
    </row>
    <row r="68" spans="1:9">
      <c r="A68" s="34">
        <v>10326135</v>
      </c>
      <c r="B68" s="34" t="s">
        <v>1966</v>
      </c>
      <c r="C68" s="32" t="s">
        <v>1952</v>
      </c>
      <c r="D68" s="32" t="s">
        <v>1952</v>
      </c>
      <c r="E68" s="29">
        <f>IFERROR(VLOOKUP(A68,New!A:E,5,0),"لا يوجد مواعيد")</f>
        <v>1123878834</v>
      </c>
      <c r="F68" s="29">
        <f>IFERROR(VLOOKUP(A68,New!A:E,1,0),"لا يوجد مواعيد")</f>
        <v>10326135</v>
      </c>
      <c r="G68" s="29" t="str">
        <f>IFERROR(VLOOKUP(A68,New!A:F,4,0),"لا يوجد مواعيد")</f>
        <v>آية عبد اللطيف</v>
      </c>
      <c r="H68" s="29" t="str">
        <f>IFERROR(VLOOKUP(A68,New!A:G,3,0),"لا يوجد مواعيد")</f>
        <v>الزيتون و مصر الجديدة</v>
      </c>
      <c r="I68" s="29" t="str">
        <f>IFERROR(VLOOKUP(A68,New!A:H,2,0),"لا يوجد مواعيد")</f>
        <v>روكسي العبودي</v>
      </c>
    </row>
    <row r="69" spans="1:9">
      <c r="A69" s="34">
        <v>10331653</v>
      </c>
      <c r="B69" s="34" t="s">
        <v>1967</v>
      </c>
      <c r="C69" s="32">
        <v>0.375</v>
      </c>
      <c r="D69" s="32">
        <v>0.75</v>
      </c>
      <c r="E69" s="29">
        <f>IFERROR(VLOOKUP(A69,New!A:E,5,0),"لا يوجد مواعيد")</f>
        <v>1066477377</v>
      </c>
      <c r="F69" s="29">
        <f>IFERROR(VLOOKUP(A69,New!A:E,1,0),"لا يوجد مواعيد")</f>
        <v>10331653</v>
      </c>
      <c r="G69" s="29" t="str">
        <f>IFERROR(VLOOKUP(A69,New!A:F,4,0),"لا يوجد مواعيد")</f>
        <v>فرج محمد</v>
      </c>
      <c r="H69" s="29" t="str">
        <f>IFERROR(VLOOKUP(A69,New!A:G,3,0),"لا يوجد مواعيد")</f>
        <v>الزيتون و مصر الجديدة</v>
      </c>
      <c r="I69" s="29" t="str">
        <f>IFERROR(VLOOKUP(A69,New!A:H,2,0),"لا يوجد مواعيد")</f>
        <v>الجراج</v>
      </c>
    </row>
    <row r="70" spans="1:9">
      <c r="A70" s="34">
        <v>10326136</v>
      </c>
      <c r="B70" s="34" t="s">
        <v>1968</v>
      </c>
      <c r="C70" s="32">
        <v>0.375</v>
      </c>
      <c r="D70" s="32">
        <v>0.75</v>
      </c>
      <c r="E70" s="29">
        <f>IFERROR(VLOOKUP(A70,New!A:E,5,0),"لا يوجد مواعيد")</f>
        <v>1208531938</v>
      </c>
      <c r="F70" s="29">
        <f>IFERROR(VLOOKUP(A70,New!A:E,1,0),"لا يوجد مواعيد")</f>
        <v>10326136</v>
      </c>
      <c r="G70" s="29" t="str">
        <f>IFERROR(VLOOKUP(A70,New!A:F,4,0),"لا يوجد مواعيد")</f>
        <v>جورج بنيامين</v>
      </c>
      <c r="H70" s="29" t="str">
        <f>IFERROR(VLOOKUP(A70,New!A:G,3,0),"لا يوجد مواعيد")</f>
        <v>حدائق القبة</v>
      </c>
      <c r="I70" s="29" t="str">
        <f>IFERROR(VLOOKUP(A70,New!A:H,2,0),"لا يوجد مواعيد")</f>
        <v>الروماني</v>
      </c>
    </row>
    <row r="71" spans="1:9">
      <c r="A71" s="34">
        <v>10326124</v>
      </c>
      <c r="B71" s="34" t="s">
        <v>1969</v>
      </c>
      <c r="C71" s="32">
        <v>0.375</v>
      </c>
      <c r="D71" s="32">
        <v>0.75</v>
      </c>
      <c r="E71" s="29">
        <f>IFERROR(VLOOKUP(A71,New!A:E,5,0),"لا يوجد مواعيد")</f>
        <v>1113730869</v>
      </c>
      <c r="F71" s="29">
        <f>IFERROR(VLOOKUP(A71,New!A:E,1,0),"لا يوجد مواعيد")</f>
        <v>10326124</v>
      </c>
      <c r="G71" s="29" t="str">
        <f>IFERROR(VLOOKUP(A71,New!A:F,4,0),"لا يوجد مواعيد")</f>
        <v>هدى فايز</v>
      </c>
      <c r="H71" s="29" t="str">
        <f>IFERROR(VLOOKUP(A71,New!A:G,3,0),"لا يوجد مواعيد")</f>
        <v>الزيتون و مصر الجديدة</v>
      </c>
      <c r="I71" s="29" t="str">
        <f>IFERROR(VLOOKUP(A71,New!A:H,2,0),"لا يوجد مواعيد")</f>
        <v>الجراج</v>
      </c>
    </row>
    <row r="72" spans="1:9">
      <c r="A72" s="34">
        <v>10341132</v>
      </c>
      <c r="B72" s="34" t="s">
        <v>1970</v>
      </c>
      <c r="C72" s="32">
        <v>0.375</v>
      </c>
      <c r="D72" s="32">
        <v>0.791666666666667</v>
      </c>
      <c r="E72" s="29">
        <f>IFERROR(VLOOKUP(A72,New!A:E,5,0),"لا يوجد مواعيد")</f>
        <v>1064855780</v>
      </c>
      <c r="F72" s="29">
        <f>IFERROR(VLOOKUP(A72,New!A:E,1,0),"لا يوجد مواعيد")</f>
        <v>10341132</v>
      </c>
      <c r="G72" s="29" t="str">
        <f>IFERROR(VLOOKUP(A72,New!A:F,4,0),"لا يوجد مواعيد")</f>
        <v>ابراهيم ياسر</v>
      </c>
      <c r="H72" s="29" t="str">
        <f>IFERROR(VLOOKUP(A72,New!A:G,3,0),"لا يوجد مواعيد")</f>
        <v>المهندسين</v>
      </c>
      <c r="I72" s="29" t="str">
        <f>IFERROR(VLOOKUP(A72,New!A:H,2,0),"لا يوجد مواعيد")</f>
        <v>كوبري الدقي</v>
      </c>
    </row>
    <row r="73" spans="1:9">
      <c r="A73" s="34">
        <v>10330118</v>
      </c>
      <c r="B73" s="34" t="s">
        <v>1971</v>
      </c>
      <c r="C73" s="32">
        <v>0.375</v>
      </c>
      <c r="D73" s="32">
        <v>0.75</v>
      </c>
      <c r="E73" s="29">
        <f>IFERROR(VLOOKUP(A73,New!A:E,5,0),"لا يوجد مواعيد")</f>
        <v>1154496491</v>
      </c>
      <c r="F73" s="29">
        <f>IFERROR(VLOOKUP(A73,New!A:E,1,0),"لا يوجد مواعيد")</f>
        <v>10330118</v>
      </c>
      <c r="G73" s="29" t="str">
        <f>IFERROR(VLOOKUP(A73,New!A:F,4,0),"لا يوجد مواعيد")</f>
        <v>نوران محاسب</v>
      </c>
      <c r="H73" s="29" t="str">
        <f>IFERROR(VLOOKUP(A73,New!A:G,3,0),"لا يوجد مواعيد")</f>
        <v>مدينة نصر</v>
      </c>
      <c r="I73" s="29" t="str">
        <f>IFERROR(VLOOKUP(A73,New!A:H,2,0),"لا يوجد مواعيد")</f>
        <v>كشري هند الحي العاشر</v>
      </c>
    </row>
    <row r="74" spans="1:9">
      <c r="A74" s="34">
        <v>10326121</v>
      </c>
      <c r="B74" s="34" t="s">
        <v>1972</v>
      </c>
      <c r="C74" s="32">
        <v>0.416666666666667</v>
      </c>
      <c r="D74" s="32">
        <v>0.791666666666667</v>
      </c>
      <c r="E74" s="29">
        <f>IFERROR(VLOOKUP(A74,New!A:E,5,0),"لا يوجد مواعيد")</f>
        <v>1553299454</v>
      </c>
      <c r="F74" s="29">
        <f>IFERROR(VLOOKUP(A74,New!A:E,1,0),"لا يوجد مواعيد")</f>
        <v>10326121</v>
      </c>
      <c r="G74" s="29" t="str">
        <f>IFERROR(VLOOKUP(A74,New!A:F,4,0),"لا يوجد مواعيد")</f>
        <v>عمر عزام</v>
      </c>
      <c r="H74" s="29" t="str">
        <f>IFERROR(VLOOKUP(A74,New!A:G,3,0),"لا يوجد مواعيد")</f>
        <v>مدينة نصر</v>
      </c>
      <c r="I74" s="29" t="str">
        <f>IFERROR(VLOOKUP(A74,New!A:H,2,0),"لا يوجد مواعيد")</f>
        <v>كشري هند الحي العاشر</v>
      </c>
    </row>
    <row r="75" spans="1:9">
      <c r="A75" s="34">
        <v>10331630</v>
      </c>
      <c r="B75" s="34" t="s">
        <v>1973</v>
      </c>
      <c r="C75" s="32">
        <v>0.416666666666667</v>
      </c>
      <c r="D75" s="32">
        <v>0.791666666666667</v>
      </c>
      <c r="E75" s="29">
        <f>IFERROR(VLOOKUP(A75,New!A:E,5,0),"لا يوجد مواعيد")</f>
        <v>1223548165</v>
      </c>
      <c r="F75" s="29">
        <f>IFERROR(VLOOKUP(A75,New!A:E,1,0),"لا يوجد مواعيد")</f>
        <v>10331630</v>
      </c>
      <c r="G75" s="29" t="str">
        <f>IFERROR(VLOOKUP(A75,New!A:F,4,0),"لا يوجد مواعيد")</f>
        <v>أسامة كريم</v>
      </c>
      <c r="H75" s="29" t="str">
        <f>IFERROR(VLOOKUP(A75,New!A:G,3,0),"لا يوجد مواعيد")</f>
        <v>حلوان و زهراء المعادي</v>
      </c>
      <c r="I75" s="29" t="str">
        <f>IFERROR(VLOOKUP(A75,New!A:H,2,0),"لا يوجد مواعيد")</f>
        <v>سلم صقر قريش</v>
      </c>
    </row>
    <row r="76" spans="1:9">
      <c r="A76" s="34">
        <v>10329224</v>
      </c>
      <c r="B76" s="34" t="s">
        <v>1974</v>
      </c>
      <c r="C76" s="32">
        <v>0.375</v>
      </c>
      <c r="D76" s="32">
        <v>0.75</v>
      </c>
      <c r="E76" s="29">
        <f>IFERROR(VLOOKUP(A76,New!A:E,5,0),"لا يوجد مواعيد")</f>
        <v>1102513025</v>
      </c>
      <c r="F76" s="29">
        <f>IFERROR(VLOOKUP(A76,New!A:E,1,0),"لا يوجد مواعيد")</f>
        <v>10329224</v>
      </c>
      <c r="G76" s="29" t="str">
        <f>IFERROR(VLOOKUP(A76,New!A:F,4,0),"لا يوجد مواعيد")</f>
        <v>عبدالله توفيق</v>
      </c>
      <c r="H76" s="29" t="str">
        <f>IFERROR(VLOOKUP(A76,New!A:G,3,0),"لا يوجد مواعيد")</f>
        <v>فيصل</v>
      </c>
      <c r="I76" s="29" t="str">
        <f>IFERROR(VLOOKUP(A76,New!A:H,2,0),"لا يوجد مواعيد")</f>
        <v>مريوطية</v>
      </c>
    </row>
    <row r="77" spans="1:9">
      <c r="A77" s="34">
        <v>10331623</v>
      </c>
      <c r="B77" s="34" t="s">
        <v>1975</v>
      </c>
      <c r="C77" s="32">
        <v>0.375</v>
      </c>
      <c r="D77" s="32">
        <v>0.75</v>
      </c>
      <c r="E77" s="29">
        <f>IFERROR(VLOOKUP(A77,New!A:E,5,0),"لا يوجد مواعيد")</f>
        <v>1148690354</v>
      </c>
      <c r="F77" s="29">
        <f>IFERROR(VLOOKUP(A77,New!A:E,1,0),"لا يوجد مواعيد")</f>
        <v>10331623</v>
      </c>
      <c r="G77" s="29" t="str">
        <f>IFERROR(VLOOKUP(A77,New!A:F,4,0),"لا يوجد مواعيد")</f>
        <v>علي صبري</v>
      </c>
      <c r="H77" s="29" t="str">
        <f>IFERROR(VLOOKUP(A77,New!A:G,3,0),"لا يوجد مواعيد")</f>
        <v>الزيتون و مصر الجديدة</v>
      </c>
      <c r="I77" s="29" t="str">
        <f>IFERROR(VLOOKUP(A77,New!A:H,2,0),"لا يوجد مواعيد")</f>
        <v>الف مسكن</v>
      </c>
    </row>
    <row r="78" spans="1:9">
      <c r="A78" s="34">
        <v>10341138</v>
      </c>
      <c r="B78" s="34" t="s">
        <v>1976</v>
      </c>
      <c r="C78" s="32">
        <v>0.375</v>
      </c>
      <c r="D78" s="32">
        <v>0.75</v>
      </c>
      <c r="E78" s="29">
        <f>IFERROR(VLOOKUP(A78,New!A:E,5,0),"لا يوجد مواعيد")</f>
        <v>1010368141</v>
      </c>
      <c r="F78" s="29">
        <f>IFERROR(VLOOKUP(A78,New!A:E,1,0),"لا يوجد مواعيد")</f>
        <v>10341138</v>
      </c>
      <c r="G78" s="29" t="str">
        <f>IFERROR(VLOOKUP(A78,New!A:F,4,0),"لا يوجد مواعيد")</f>
        <v>حسام هشام</v>
      </c>
      <c r="H78" s="29" t="str">
        <f>IFERROR(VLOOKUP(A78,New!A:G,3,0),"لا يوجد مواعيد")</f>
        <v>التحرير</v>
      </c>
      <c r="I78" s="29" t="str">
        <f>IFERROR(VLOOKUP(A78,New!A:H,2,0),"لا يوجد مواعيد")</f>
        <v>مستشفى احمد ماهر</v>
      </c>
    </row>
    <row r="79" spans="1:9">
      <c r="A79" s="34">
        <v>10329290</v>
      </c>
      <c r="B79" s="34" t="s">
        <v>1977</v>
      </c>
      <c r="C79" s="32">
        <v>0.416666666666667</v>
      </c>
      <c r="D79" s="32">
        <v>0.791666666666667</v>
      </c>
      <c r="E79" s="29">
        <f>IFERROR(VLOOKUP(A79,New!A:E,5,0),"لا يوجد مواعيد")</f>
        <v>1142047308</v>
      </c>
      <c r="F79" s="29">
        <f>IFERROR(VLOOKUP(A79,New!A:E,1,0),"لا يوجد مواعيد")</f>
        <v>10329290</v>
      </c>
      <c r="G79" s="29" t="str">
        <f>IFERROR(VLOOKUP(A79,New!A:F,4,0),"لا يوجد مواعيد")</f>
        <v>هدى حسن</v>
      </c>
      <c r="H79" s="29" t="str">
        <f>IFERROR(VLOOKUP(A79,New!A:G,3,0),"لا يوجد مواعيد")</f>
        <v>العبور</v>
      </c>
      <c r="I79" s="29" t="str">
        <f>IFERROR(VLOOKUP(A79,New!A:H,2,0),"لا يوجد مواعيد")</f>
        <v>كارفور العبور</v>
      </c>
    </row>
    <row r="80" ht="18.65" customHeight="1" spans="1:9">
      <c r="A80" s="34">
        <v>10341133</v>
      </c>
      <c r="B80" s="34" t="s">
        <v>1978</v>
      </c>
      <c r="C80" s="32">
        <v>0.375</v>
      </c>
      <c r="D80" s="32">
        <v>0.791666666666667</v>
      </c>
      <c r="E80" s="29">
        <f>IFERROR(VLOOKUP(A80,New!A:E,5,0),"لا يوجد مواعيد")</f>
        <v>1030878125</v>
      </c>
      <c r="F80" s="29">
        <f>IFERROR(VLOOKUP(A80,New!A:E,1,0),"لا يوجد مواعيد")</f>
        <v>10341133</v>
      </c>
      <c r="G80" s="29" t="str">
        <f>IFERROR(VLOOKUP(A80,New!A:F,4,0),"لا يوجد مواعيد")</f>
        <v>قاسم محمد</v>
      </c>
      <c r="H80" s="29" t="str">
        <f>IFERROR(VLOOKUP(A80,New!A:G,3,0),"لا يوجد مواعيد")</f>
        <v>مدينة نصر</v>
      </c>
      <c r="I80" s="29" t="str">
        <f>IFERROR(VLOOKUP(A80,New!A:H,2,0),"لا يوجد مواعيد")</f>
        <v>كشري هند الحي العاشر</v>
      </c>
    </row>
    <row r="81" spans="1:9">
      <c r="A81" s="34">
        <v>10329234</v>
      </c>
      <c r="B81" s="34" t="s">
        <v>1979</v>
      </c>
      <c r="C81" s="32">
        <v>0.375</v>
      </c>
      <c r="D81" s="32">
        <v>0.75</v>
      </c>
      <c r="E81" s="29" t="str">
        <f>IFERROR(VLOOKUP(A81,New!A:E,5,0),"لا يوجد مواعيد")</f>
        <v>01066738954, 01127438838</v>
      </c>
      <c r="F81" s="29">
        <f>IFERROR(VLOOKUP(A81,New!A:E,1,0),"لا يوجد مواعيد")</f>
        <v>10329234</v>
      </c>
      <c r="G81" s="29" t="str">
        <f>IFERROR(VLOOKUP(A81,New!A:F,4,0),"لا يوجد مواعيد")</f>
        <v>محمد ابوالخير</v>
      </c>
      <c r="H81" s="29" t="str">
        <f>IFERROR(VLOOKUP(A81,New!A:G,3,0),"لا يوجد مواعيد")</f>
        <v>ي - المعادي</v>
      </c>
      <c r="I81" s="29" t="str">
        <f>IFERROR(VLOOKUP(A81,New!A:H,2,0),"لا يوجد مواعيد")</f>
        <v>المحكمة الدستورية</v>
      </c>
    </row>
    <row r="82" spans="1:9">
      <c r="A82" s="34">
        <v>10337710</v>
      </c>
      <c r="B82" s="34" t="s">
        <v>1980</v>
      </c>
      <c r="C82" s="32">
        <v>0.375</v>
      </c>
      <c r="D82" s="32">
        <v>0.791666666666667</v>
      </c>
      <c r="E82" s="29">
        <f>IFERROR(VLOOKUP(A82,New!A:E,5,0),"لا يوجد مواعيد")</f>
        <v>1011275160</v>
      </c>
      <c r="F82" s="29">
        <f>IFERROR(VLOOKUP(A82,New!A:E,1,0),"لا يوجد مواعيد")</f>
        <v>10337710</v>
      </c>
      <c r="G82" s="29" t="str">
        <f>IFERROR(VLOOKUP(A82,New!A:F,4,0),"لا يوجد مواعيد")</f>
        <v>محمد علي فاروق</v>
      </c>
      <c r="H82" s="29" t="str">
        <f>IFERROR(VLOOKUP(A82,New!A:G,3,0),"لا يوجد مواعيد")</f>
        <v>مدينة نصر</v>
      </c>
      <c r="I82" s="29" t="str">
        <f>IFERROR(VLOOKUP(A82,New!A:H,2,0),"لا يوجد مواعيد")</f>
        <v>ميدان رابعة</v>
      </c>
    </row>
    <row r="83" spans="1:9">
      <c r="A83" s="34">
        <v>10331587</v>
      </c>
      <c r="B83" s="34" t="s">
        <v>1981</v>
      </c>
      <c r="C83" s="32">
        <v>0.375</v>
      </c>
      <c r="D83" s="32">
        <v>0.75</v>
      </c>
      <c r="E83" s="29">
        <f>IFERROR(VLOOKUP(A83,New!A:E,5,0),"لا يوجد مواعيد")</f>
        <v>1093228623</v>
      </c>
      <c r="F83" s="29">
        <f>IFERROR(VLOOKUP(A83,New!A:E,1,0),"لا يوجد مواعيد")</f>
        <v>10331587</v>
      </c>
      <c r="G83" s="29" t="str">
        <f>IFERROR(VLOOKUP(A83,New!A:F,4,0),"لا يوجد مواعيد")</f>
        <v>محمد أسامة</v>
      </c>
      <c r="H83" s="29" t="str">
        <f>IFERROR(VLOOKUP(A83,New!A:G,3,0),"لا يوجد مواعيد")</f>
        <v>المهندسين</v>
      </c>
      <c r="I83" s="29" t="str">
        <f>IFERROR(VLOOKUP(A83,New!A:H,2,0),"لا يوجد مواعيد")</f>
        <v>عمر افندي</v>
      </c>
    </row>
    <row r="84" spans="1:9">
      <c r="A84" s="34">
        <v>10331605</v>
      </c>
      <c r="B84" s="34" t="s">
        <v>1982</v>
      </c>
      <c r="C84" s="32">
        <v>0.375</v>
      </c>
      <c r="D84" s="32">
        <v>0.791666666666667</v>
      </c>
      <c r="E84" s="29">
        <f>IFERROR(VLOOKUP(A84,New!A:E,5,0),"لا يوجد مواعيد")</f>
        <v>1067109725</v>
      </c>
      <c r="F84" s="29">
        <f>IFERROR(VLOOKUP(A84,New!A:E,1,0),"لا يوجد مواعيد")</f>
        <v>10331605</v>
      </c>
      <c r="G84" s="29" t="str">
        <f>IFERROR(VLOOKUP(A84,New!A:F,4,0),"لا يوجد مواعيد")</f>
        <v>مصطفى محسن</v>
      </c>
      <c r="H84" s="29" t="str">
        <f>IFERROR(VLOOKUP(A84,New!A:G,3,0),"لا يوجد مواعيد")</f>
        <v>المهندسين</v>
      </c>
      <c r="I84" s="29" t="str">
        <f>IFERROR(VLOOKUP(A84,New!A:H,2,0),"لا يوجد مواعيد")</f>
        <v>عمر افندي</v>
      </c>
    </row>
    <row r="85" spans="1:9">
      <c r="A85" s="34">
        <v>10329241</v>
      </c>
      <c r="B85" s="34" t="s">
        <v>1983</v>
      </c>
      <c r="C85" s="32">
        <v>0.375</v>
      </c>
      <c r="D85" s="32">
        <v>0.75</v>
      </c>
      <c r="E85" s="29">
        <f>IFERROR(VLOOKUP(A85,New!A:E,5,0),"لا يوجد مواعيد")</f>
        <v>1558721794</v>
      </c>
      <c r="F85" s="29">
        <f>IFERROR(VLOOKUP(A85,New!A:E,1,0),"لا يوجد مواعيد")</f>
        <v>10329241</v>
      </c>
      <c r="G85" s="29" t="str">
        <f>IFERROR(VLOOKUP(A85,New!A:F,4,0),"لا يوجد مواعيد")</f>
        <v>عمر مندور</v>
      </c>
      <c r="H85" s="29" t="str">
        <f>IFERROR(VLOOKUP(A85,New!A:G,3,0),"لا يوجد مواعيد")</f>
        <v>ي - بدر</v>
      </c>
      <c r="I85" s="29" t="str">
        <f>IFERROR(VLOOKUP(A85,New!A:H,2,0),"لا يوجد مواعيد")</f>
        <v>مدخل بدر</v>
      </c>
    </row>
    <row r="86" spans="1:9">
      <c r="A86" s="34">
        <v>10329480</v>
      </c>
      <c r="B86" s="34" t="s">
        <v>1984</v>
      </c>
      <c r="C86" s="32">
        <v>0.375</v>
      </c>
      <c r="D86" s="32">
        <v>0.75</v>
      </c>
      <c r="E86" s="29">
        <f>IFERROR(VLOOKUP(A86,New!A:E,5,0),"لا يوجد مواعيد")</f>
        <v>1063159916</v>
      </c>
      <c r="F86" s="29">
        <f>IFERROR(VLOOKUP(A86,New!A:E,1,0),"لا يوجد مواعيد")</f>
        <v>10329480</v>
      </c>
      <c r="G86" s="29" t="str">
        <f>IFERROR(VLOOKUP(A86,New!A:F,4,0),"لا يوجد مواعيد")</f>
        <v>رقية مجدي</v>
      </c>
      <c r="H86" s="29" t="str">
        <f>IFERROR(VLOOKUP(A86,New!A:G,3,0),"لا يوجد مواعيد")</f>
        <v>دائري</v>
      </c>
      <c r="I86" s="29" t="str">
        <f>IFERROR(VLOOKUP(A86,New!A:H,2,0),"لا يوجد مواعيد")</f>
        <v>بهتيم</v>
      </c>
    </row>
    <row r="87" spans="1:9">
      <c r="A87" s="34">
        <v>10329214</v>
      </c>
      <c r="B87" s="34" t="s">
        <v>1985</v>
      </c>
      <c r="C87" s="32">
        <v>0.375</v>
      </c>
      <c r="D87" s="32">
        <v>0.75</v>
      </c>
      <c r="E87" s="29">
        <f>IFERROR(VLOOKUP(A87,New!A:E,5,0),"لا يوجد مواعيد")</f>
        <v>1111698008</v>
      </c>
      <c r="F87" s="29">
        <f>IFERROR(VLOOKUP(A87,New!A:E,1,0),"لا يوجد مواعيد")</f>
        <v>10329214</v>
      </c>
      <c r="G87" s="29" t="str">
        <f>IFERROR(VLOOKUP(A87,New!A:F,4,0),"لا يوجد مواعيد")</f>
        <v>سارة سيد</v>
      </c>
      <c r="H87" s="29" t="str">
        <f>IFERROR(VLOOKUP(A87,New!A:G,3,0),"لا يوجد مواعيد")</f>
        <v>فيصل</v>
      </c>
      <c r="I87" s="29" t="str">
        <f>IFERROR(VLOOKUP(A87,New!A:H,2,0),"لا يوجد مواعيد")</f>
        <v>الابيض</v>
      </c>
    </row>
    <row r="88" spans="1:9">
      <c r="A88" s="34">
        <v>10329245</v>
      </c>
      <c r="B88" s="34" t="s">
        <v>1986</v>
      </c>
      <c r="C88" s="32">
        <v>0.375</v>
      </c>
      <c r="D88" s="32">
        <v>0.75</v>
      </c>
      <c r="E88" s="29">
        <f>IFERROR(VLOOKUP(A88,New!A:E,5,0),"لا يوجد مواعيد")</f>
        <v>1113294520</v>
      </c>
      <c r="F88" s="29">
        <f>IFERROR(VLOOKUP(A88,New!A:E,1,0),"لا يوجد مواعيد")</f>
        <v>10329245</v>
      </c>
      <c r="G88" s="29" t="str">
        <f>IFERROR(VLOOKUP(A88,New!A:F,4,0),"لا يوجد مواعيد")</f>
        <v>شيماء خطاب</v>
      </c>
      <c r="H88" s="29" t="str">
        <f>IFERROR(VLOOKUP(A88,New!A:G,3,0),"لا يوجد مواعيد")</f>
        <v>العباسية و الضاهر</v>
      </c>
      <c r="I88" s="29" t="str">
        <f>IFERROR(VLOOKUP(A88,New!A:H,2,0),"لا يوجد مواعيد")</f>
        <v>معرض علاء الدين</v>
      </c>
    </row>
    <row r="89" spans="1:9">
      <c r="A89" s="34">
        <v>10319940</v>
      </c>
      <c r="B89" s="34" t="s">
        <v>1987</v>
      </c>
      <c r="C89" s="32">
        <v>0.375</v>
      </c>
      <c r="D89" s="32">
        <v>0.75</v>
      </c>
      <c r="E89" s="29">
        <f>IFERROR(VLOOKUP(A89,New!A:E,5,0),"لا يوجد مواعيد")</f>
        <v>1116915333</v>
      </c>
      <c r="F89" s="29">
        <f>IFERROR(VLOOKUP(A89,New!A:E,1,0),"لا يوجد مواعيد")</f>
        <v>10319940</v>
      </c>
      <c r="G89" s="29" t="str">
        <f>IFERROR(VLOOKUP(A89,New!A:F,4,0),"لا يوجد مواعيد")</f>
        <v>عبد الرحمن جمال</v>
      </c>
      <c r="H89" s="29" t="str">
        <f>IFERROR(VLOOKUP(A89,New!A:G,3,0),"لا يوجد مواعيد")</f>
        <v>حلوان و زهراء المعادي</v>
      </c>
      <c r="I89" s="29" t="str">
        <f>IFERROR(VLOOKUP(A89,New!A:H,2,0),"لا يوجد مواعيد")</f>
        <v>مدخل حلوان الاتوستراد</v>
      </c>
    </row>
    <row r="90" spans="1:9">
      <c r="A90" s="34">
        <v>10337806</v>
      </c>
      <c r="B90" s="34" t="s">
        <v>1988</v>
      </c>
      <c r="C90" s="32">
        <v>0.375</v>
      </c>
      <c r="D90" s="32">
        <v>0.75</v>
      </c>
      <c r="E90" s="29">
        <f>IFERROR(VLOOKUP(A90,New!A:E,5,0),"لا يوجد مواعيد")</f>
        <v>0</v>
      </c>
      <c r="F90" s="29">
        <f>IFERROR(VLOOKUP(A90,New!A:E,1,0),"لا يوجد مواعيد")</f>
        <v>10337806</v>
      </c>
      <c r="G90" s="29" t="str">
        <f>IFERROR(VLOOKUP(A90,New!A:F,4,0),"لا يوجد مواعيد")</f>
        <v>عبد الرحمن محمود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سلم صقر قريش</v>
      </c>
    </row>
    <row r="91" spans="1:9">
      <c r="A91" s="34">
        <v>10337711</v>
      </c>
      <c r="B91" s="34" t="s">
        <v>1989</v>
      </c>
      <c r="C91" s="32">
        <v>0.375</v>
      </c>
      <c r="D91" s="32">
        <v>0.75</v>
      </c>
      <c r="E91" s="29">
        <f>IFERROR(VLOOKUP(A91,New!A:E,5,0),"لا يوجد مواعيد")</f>
        <v>1096113503</v>
      </c>
      <c r="F91" s="29">
        <f>IFERROR(VLOOKUP(A91,New!A:E,1,0),"لا يوجد مواعيد")</f>
        <v>10337711</v>
      </c>
      <c r="G91" s="29" t="str">
        <f>IFERROR(VLOOKUP(A91,New!A:F,4,0),"لا يوجد مواعيد")</f>
        <v>دعاء ابراهيم</v>
      </c>
      <c r="H91" s="29" t="str">
        <f>IFERROR(VLOOKUP(A91,New!A:G,3,0),"لا يوجد مواعيد")</f>
        <v>ي - المعادي</v>
      </c>
      <c r="I91" s="29" t="str">
        <f>IFERROR(VLOOKUP(A91,New!A:H,2,0),"لا يوجد مواعيد")</f>
        <v>اكاديمية السادات</v>
      </c>
    </row>
    <row r="92" spans="1:9">
      <c r="A92" s="34">
        <v>10341127</v>
      </c>
      <c r="B92" s="34" t="s">
        <v>1990</v>
      </c>
      <c r="C92" s="32">
        <v>0.375</v>
      </c>
      <c r="D92" s="32">
        <v>0.75</v>
      </c>
      <c r="E92" s="29">
        <f>IFERROR(VLOOKUP(A92,New!A:E,5,0),"لا يوجد مواعيد")</f>
        <v>1112750439</v>
      </c>
      <c r="F92" s="29">
        <f>IFERROR(VLOOKUP(A92,New!A:E,1,0),"لا يوجد مواعيد")</f>
        <v>10341127</v>
      </c>
      <c r="G92" s="29" t="str">
        <f>IFERROR(VLOOKUP(A92,New!A:F,4,0),"لا يوجد مواعيد")</f>
        <v>حسناء عبدالله</v>
      </c>
      <c r="H92" s="29" t="str">
        <f>IFERROR(VLOOKUP(A92,New!A:G,3,0),"لا يوجد مواعيد")</f>
        <v>مدينة نصر</v>
      </c>
      <c r="I92" s="29" t="str">
        <f>IFERROR(VLOOKUP(A92,New!A:H,2,0),"لا يوجد مواعيد")</f>
        <v>كشري هند الحي العاشر</v>
      </c>
    </row>
    <row r="93" spans="1:9">
      <c r="A93" s="34">
        <v>10337735</v>
      </c>
      <c r="B93" s="34" t="s">
        <v>1991</v>
      </c>
      <c r="C93" s="32">
        <v>0.375</v>
      </c>
      <c r="D93" s="32">
        <v>0.75</v>
      </c>
      <c r="E93" s="29">
        <f>IFERROR(VLOOKUP(A93,New!A:E,5,0),"لا يوجد مواعيد")</f>
        <v>1092866275</v>
      </c>
      <c r="F93" s="29">
        <f>IFERROR(VLOOKUP(A93,New!A:E,1,0),"لا يوجد مواعيد")</f>
        <v>10337735</v>
      </c>
      <c r="G93" s="29" t="str">
        <f>IFERROR(VLOOKUP(A93,New!A:F,4,0),"لا يوجد مواعيد")</f>
        <v>هبة عبده</v>
      </c>
      <c r="H93" s="29" t="str">
        <f>IFERROR(VLOOKUP(A93,New!A:G,3,0),"لا يوجد مواعيد")</f>
        <v>و - الشروق</v>
      </c>
      <c r="I93" s="29" t="str">
        <f>IFERROR(VLOOKUP(A93,New!A:H,2,0),"لا يوجد مواعيد")</f>
        <v>كشك اللحمة</v>
      </c>
    </row>
    <row r="94" spans="1:9">
      <c r="A94" s="34">
        <v>10337481</v>
      </c>
      <c r="B94" s="34" t="s">
        <v>1992</v>
      </c>
      <c r="C94" s="32">
        <v>0.375</v>
      </c>
      <c r="D94" s="32">
        <v>0.791666666666667</v>
      </c>
      <c r="E94" s="29">
        <f>IFERROR(VLOOKUP(A94,New!A:E,5,0),"لا يوجد مواعيد")</f>
        <v>1101289093</v>
      </c>
      <c r="F94" s="29">
        <f>IFERROR(VLOOKUP(A94,New!A:E,1,0),"لا يوجد مواعيد")</f>
        <v>10337481</v>
      </c>
      <c r="G94" s="29" t="str">
        <f>IFERROR(VLOOKUP(A94,New!A:F,4,0),"لا يوجد مواعيد")</f>
        <v>حسام محمد</v>
      </c>
      <c r="H94" s="29" t="str">
        <f>IFERROR(VLOOKUP(A94,New!A:G,3,0),"لا يوجد مواعيد")</f>
        <v>مدينة نصر</v>
      </c>
      <c r="I94" s="29" t="str">
        <f>IFERROR(VLOOKUP(A94,New!A:H,2,0),"لا يوجد مواعيد")</f>
        <v>اول عباس</v>
      </c>
    </row>
    <row r="95" spans="1:9">
      <c r="A95" s="34">
        <v>10337707</v>
      </c>
      <c r="B95" s="34" t="s">
        <v>1993</v>
      </c>
      <c r="C95" s="32">
        <v>0.416666666666667</v>
      </c>
      <c r="D95" s="32">
        <v>0.791666666666667</v>
      </c>
      <c r="E95" s="29" t="str">
        <f>IFERROR(VLOOKUP(A95,New!A:E,5,0),"لا يوجد مواعيد")</f>
        <v>1559699967/1126960246</v>
      </c>
      <c r="F95" s="29">
        <f>IFERROR(VLOOKUP(A95,New!A:E,1,0),"لا يوجد مواعيد")</f>
        <v>10337707</v>
      </c>
      <c r="G95" s="29" t="str">
        <f>IFERROR(VLOOKUP(A95,New!A:F,4,0),"لا يوجد مواعيد")</f>
        <v>محمود صلاح</v>
      </c>
      <c r="H95" s="29" t="str">
        <f>IFERROR(VLOOKUP(A95,New!A:G,3,0),"لا يوجد مواعيد")</f>
        <v>الزيتون و مصر الجديدة</v>
      </c>
      <c r="I95" s="29" t="str">
        <f>IFERROR(VLOOKUP(A95,New!A:H,2,0),"لا يوجد مواعيد")</f>
        <v>ابن الحكم</v>
      </c>
    </row>
    <row r="96" spans="1:9">
      <c r="A96" s="34">
        <v>10341126</v>
      </c>
      <c r="B96" s="34" t="s">
        <v>1994</v>
      </c>
      <c r="C96" s="32">
        <v>0.416666666666667</v>
      </c>
      <c r="D96" s="32">
        <v>0.791666666666667</v>
      </c>
      <c r="E96" s="29">
        <f>IFERROR(VLOOKUP(A96,New!A:E,5,0),"لا يوجد مواعيد")</f>
        <v>1123518604</v>
      </c>
      <c r="F96" s="29">
        <f>IFERROR(VLOOKUP(A96,New!A:E,1,0),"لا يوجد مواعيد")</f>
        <v>10341126</v>
      </c>
      <c r="G96" s="29" t="str">
        <f>IFERROR(VLOOKUP(A96,New!A:F,4,0),"لا يوجد مواعيد")</f>
        <v>منة الله أحمد</v>
      </c>
      <c r="H96" s="29" t="str">
        <f>IFERROR(VLOOKUP(A96,New!A:G,3,0),"لا يوجد مواعيد")</f>
        <v>العبور</v>
      </c>
      <c r="I96" s="29" t="str">
        <f>IFERROR(VLOOKUP(A96,New!A:H,2,0),"لا يوجد مواعيد")</f>
        <v>كارفور العبور</v>
      </c>
    </row>
    <row r="97" spans="1:9">
      <c r="A97" s="34">
        <v>10337486</v>
      </c>
      <c r="B97" s="34" t="s">
        <v>1995</v>
      </c>
      <c r="C97" s="32">
        <v>0.416666666666667</v>
      </c>
      <c r="D97" s="32">
        <v>0.791666666666667</v>
      </c>
      <c r="E97" s="29">
        <f>IFERROR(VLOOKUP(A97,New!A:E,5,0),"لا يوجد مواعيد")</f>
        <v>1022617981</v>
      </c>
      <c r="F97" s="29">
        <f>IFERROR(VLOOKUP(A97,New!A:E,1,0),"لا يوجد مواعيد")</f>
        <v>10337486</v>
      </c>
      <c r="G97" s="29" t="str">
        <f>IFERROR(VLOOKUP(A97,New!A:F,4,0),"لا يوجد مواعيد")</f>
        <v>معاذ سعيد</v>
      </c>
      <c r="H97" s="29" t="str">
        <f>IFERROR(VLOOKUP(A97,New!A:G,3,0),"لا يوجد مواعيد")</f>
        <v>مدينة نصر</v>
      </c>
      <c r="I97" s="29" t="str">
        <f>IFERROR(VLOOKUP(A97,New!A:H,2,0),"لا يوجد مواعيد")</f>
        <v>كشري هند الحي العاشر</v>
      </c>
    </row>
    <row r="98" spans="1:9">
      <c r="A98" s="34">
        <v>10337495</v>
      </c>
      <c r="B98" s="34" t="s">
        <v>1996</v>
      </c>
      <c r="C98" s="32">
        <v>0.375</v>
      </c>
      <c r="D98" s="32">
        <v>0.75</v>
      </c>
      <c r="E98" s="29">
        <f>IFERROR(VLOOKUP(A98,New!A:E,5,0),"لا يوجد مواعيد")</f>
        <v>1123222315</v>
      </c>
      <c r="F98" s="29">
        <f>IFERROR(VLOOKUP(A98,New!A:E,1,0),"لا يوجد مواعيد")</f>
        <v>10337495</v>
      </c>
      <c r="G98" s="29" t="str">
        <f>IFERROR(VLOOKUP(A98,New!A:F,4,0),"لا يوجد مواعيد")</f>
        <v>محمد سيد</v>
      </c>
      <c r="H98" s="29" t="str">
        <f>IFERROR(VLOOKUP(A98,New!A:G,3,0),"لا يوجد مواعيد")</f>
        <v>شبرا</v>
      </c>
      <c r="I98" s="29" t="str">
        <f>IFERROR(VLOOKUP(A98,New!A:H,2,0),"لا يوجد مواعيد")</f>
        <v>قسم الزاوية</v>
      </c>
    </row>
    <row r="99" spans="1:9">
      <c r="A99" s="34">
        <v>10337714</v>
      </c>
      <c r="B99" s="34" t="s">
        <v>1997</v>
      </c>
      <c r="C99" s="32">
        <v>0.416666666666667</v>
      </c>
      <c r="D99" s="32">
        <v>0.791666666666667</v>
      </c>
      <c r="E99" s="29">
        <f>IFERROR(VLOOKUP(A99,New!A:E,5,0),"لا يوجد مواعيد")</f>
        <v>1141036897</v>
      </c>
      <c r="F99" s="29">
        <f>IFERROR(VLOOKUP(A99,New!A:E,1,0),"لا يوجد مواعيد")</f>
        <v>10337714</v>
      </c>
      <c r="G99" s="29" t="str">
        <f>IFERROR(VLOOKUP(A99,New!A:F,4,0),"لا يوجد مواعيد")</f>
        <v>مصطفى ناصر</v>
      </c>
      <c r="H99" s="29" t="str">
        <f>IFERROR(VLOOKUP(A99,New!A:G,3,0),"لا يوجد مواعيد")</f>
        <v>فيصل</v>
      </c>
      <c r="I99" s="29" t="str">
        <f>IFERROR(VLOOKUP(A99,New!A:H,2,0),"لا يوجد مواعيد")</f>
        <v>العروبة</v>
      </c>
    </row>
    <row r="100" spans="1:9">
      <c r="A100" s="34">
        <v>10337465</v>
      </c>
      <c r="B100" s="34" t="s">
        <v>1998</v>
      </c>
      <c r="C100" s="32">
        <v>0.375</v>
      </c>
      <c r="D100" s="32">
        <v>0.791666666666667</v>
      </c>
      <c r="E100" s="29">
        <f>IFERROR(VLOOKUP(A100,New!A:E,5,0),"لا يوجد مواعيد")</f>
        <v>1144282773</v>
      </c>
      <c r="F100" s="29">
        <f>IFERROR(VLOOKUP(A100,New!A:E,1,0),"لا يوجد مواعيد")</f>
        <v>10337465</v>
      </c>
      <c r="G100" s="29" t="str">
        <f>IFERROR(VLOOKUP(A100,New!A:F,4,0),"لا يوجد مواعيد")</f>
        <v>وليد حلمي</v>
      </c>
      <c r="H100" s="29" t="str">
        <f>IFERROR(VLOOKUP(A100,New!A:G,3,0),"لا يوجد مواعيد")</f>
        <v>دائري</v>
      </c>
      <c r="I100" s="29" t="str">
        <f>IFERROR(VLOOKUP(A100,New!A:H,2,0),"لا يوجد مواعيد")</f>
        <v>بهتيم</v>
      </c>
    </row>
    <row r="101" spans="1:9">
      <c r="A101" s="34">
        <v>10347384</v>
      </c>
      <c r="B101" s="34" t="s">
        <v>1999</v>
      </c>
      <c r="C101" s="32">
        <v>0.375</v>
      </c>
      <c r="D101" s="32">
        <v>0.791666666666667</v>
      </c>
      <c r="E101" s="29">
        <f>IFERROR(VLOOKUP(A101,New!A:E,5,0),"لا يوجد مواعيد")</f>
        <v>1008169172</v>
      </c>
      <c r="F101" s="29">
        <f>IFERROR(VLOOKUP(A101,New!A:E,1,0),"لا يوجد مواعيد")</f>
        <v>10347384</v>
      </c>
      <c r="G101" s="29" t="str">
        <f>IFERROR(VLOOKUP(A101,New!A:F,4,0),"لا يوجد مواعيد")</f>
        <v>اسلام نعيم</v>
      </c>
      <c r="H101" s="29" t="str">
        <f>IFERROR(VLOOKUP(A101,New!A:G,3,0),"لا يوجد مواعيد")</f>
        <v>مدينة نصر</v>
      </c>
      <c r="I101" s="29" t="str">
        <f>IFERROR(VLOOKUP(A101,New!A:H,2,0),"لا يوجد مواعيد")</f>
        <v>كشري هند الحي العاشر</v>
      </c>
    </row>
    <row r="102" spans="1:9">
      <c r="A102" s="34">
        <v>10292084</v>
      </c>
      <c r="B102" s="34" t="s">
        <v>2000</v>
      </c>
      <c r="C102" s="32">
        <v>0.416666666666667</v>
      </c>
      <c r="D102" s="32">
        <v>0.791666666666667</v>
      </c>
      <c r="E102" s="29">
        <f>IFERROR(VLOOKUP(A102,New!A:E,5,0),"لا يوجد مواعيد")</f>
        <v>1001393434</v>
      </c>
      <c r="F102" s="29">
        <f>IFERROR(VLOOKUP(A102,New!A:E,1,0),"لا يوجد مواعيد")</f>
        <v>10292084</v>
      </c>
      <c r="G102" s="29" t="str">
        <f>IFERROR(VLOOKUP(A102,New!A:F,4,0),"لا يوجد مواعيد")</f>
        <v>اسلام عبد السلام</v>
      </c>
      <c r="H102" s="29" t="str">
        <f>IFERROR(VLOOKUP(A102,New!A:G,3,0),"لا يوجد مواعيد")</f>
        <v>اكتوبر و زايد</v>
      </c>
      <c r="I102" s="29" t="str">
        <f>IFERROR(VLOOKUP(A102,New!A:H,2,0),"لا يوجد مواعيد")</f>
        <v>الحصري</v>
      </c>
    </row>
    <row r="103" spans="1:9">
      <c r="A103" s="34">
        <v>10347383</v>
      </c>
      <c r="B103" s="34" t="s">
        <v>2001</v>
      </c>
      <c r="C103" s="32">
        <v>0.416666666666667</v>
      </c>
      <c r="D103" s="32">
        <v>0.791666666666667</v>
      </c>
      <c r="E103" s="29">
        <f>IFERROR(VLOOKUP(A103,New!A:E,5,0),"لا يوجد مواعيد")</f>
        <v>1207281495</v>
      </c>
      <c r="F103" s="29">
        <f>IFERROR(VLOOKUP(A103,New!A:E,1,0),"لا يوجد مواعيد")</f>
        <v>10347383</v>
      </c>
      <c r="G103" s="29" t="str">
        <f>IFERROR(VLOOKUP(A103,New!A:F,4,0),"لا يوجد مواعيد")</f>
        <v>روان طارق</v>
      </c>
      <c r="H103" s="29" t="str">
        <f>IFERROR(VLOOKUP(A103,New!A:G,3,0),"لا يوجد مواعيد")</f>
        <v>مدينة نصر</v>
      </c>
      <c r="I103" s="29" t="str">
        <f>IFERROR(VLOOKUP(A103,New!A:H,2,0),"لا يوجد مواعيد")</f>
        <v>كشري هند الحي العاشر</v>
      </c>
    </row>
    <row r="104" spans="1:9">
      <c r="A104" s="34">
        <v>10348085</v>
      </c>
      <c r="B104" s="34" t="s">
        <v>2002</v>
      </c>
      <c r="C104" s="32">
        <v>0.416666666666667</v>
      </c>
      <c r="D104" s="32">
        <v>0.791666666666667</v>
      </c>
      <c r="E104" s="29">
        <f>IFERROR(VLOOKUP(A104,New!A:E,5,0),"لا يوجد مواعيد")</f>
        <v>1158607339</v>
      </c>
      <c r="F104" s="29">
        <f>IFERROR(VLOOKUP(A104,New!A:E,1,0),"لا يوجد مواعيد")</f>
        <v>10348085</v>
      </c>
      <c r="G104" s="29" t="str">
        <f>IFERROR(VLOOKUP(A104,New!A:F,4,0),"لا يوجد مواعيد")</f>
        <v>دعاء عبد الناصر</v>
      </c>
      <c r="H104" s="29" t="str">
        <f>IFERROR(VLOOKUP(A104,New!A:G,3,0),"لا يوجد مواعيد")</f>
        <v>حلوان و زهراء المعادي</v>
      </c>
      <c r="I104" s="29" t="str">
        <f>IFERROR(VLOOKUP(A104,New!A:H,2,0),"لا يوجد مواعيد")</f>
        <v>مدخل المعصره</v>
      </c>
    </row>
    <row r="105" spans="1:9">
      <c r="A105" s="34">
        <v>10348094</v>
      </c>
      <c r="B105" s="34" t="s">
        <v>2003</v>
      </c>
      <c r="C105" s="32">
        <v>0.416666666666667</v>
      </c>
      <c r="D105" s="32">
        <v>0.791666666666667</v>
      </c>
      <c r="E105" s="29">
        <f>IFERROR(VLOOKUP(A105,New!A:E,5,0),"لا يوجد مواعيد")</f>
        <v>1118317055</v>
      </c>
      <c r="F105" s="29">
        <f>IFERROR(VLOOKUP(A105,New!A:E,1,0),"لا يوجد مواعيد")</f>
        <v>10348094</v>
      </c>
      <c r="G105" s="29" t="str">
        <f>IFERROR(VLOOKUP(A105,New!A:F,4,0),"لا يوجد مواعيد")</f>
        <v>عزت كردوسي</v>
      </c>
      <c r="H105" s="29" t="str">
        <f>IFERROR(VLOOKUP(A105,New!A:G,3,0),"لا يوجد مواعيد")</f>
        <v>دائري</v>
      </c>
      <c r="I105" s="29" t="str">
        <f>IFERROR(VLOOKUP(A105,New!A:H,2,0),"لا يوجد مواعيد")</f>
        <v>دائري المرج</v>
      </c>
    </row>
    <row r="106" spans="1:9">
      <c r="A106" s="34">
        <v>10348091</v>
      </c>
      <c r="B106" s="34" t="s">
        <v>2004</v>
      </c>
      <c r="C106" s="32">
        <v>0.416666666666667</v>
      </c>
      <c r="D106" s="32">
        <v>0.791666666666667</v>
      </c>
      <c r="E106" s="29">
        <f>IFERROR(VLOOKUP(A106,New!A:E,5,0),"لا يوجد مواعيد")</f>
        <v>1146739976</v>
      </c>
      <c r="F106" s="29">
        <f>IFERROR(VLOOKUP(A106,New!A:E,1,0),"لا يوجد مواعيد")</f>
        <v>10348091</v>
      </c>
      <c r="G106" s="29" t="str">
        <f>IFERROR(VLOOKUP(A106,New!A:F,4,0),"لا يوجد مواعيد")</f>
        <v>هشام الباز</v>
      </c>
      <c r="H106" s="29" t="str">
        <f>IFERROR(VLOOKUP(A106,New!A:G,3,0),"لا يوجد مواعيد")</f>
        <v>المهندسين</v>
      </c>
      <c r="I106" s="29" t="str">
        <f>IFERROR(VLOOKUP(A106,New!A:H,2,0),"لا يوجد مواعيد")</f>
        <v>ميدان لبنان</v>
      </c>
    </row>
    <row r="107" spans="1:9">
      <c r="A107" s="34">
        <v>10338143</v>
      </c>
      <c r="B107" s="34" t="s">
        <v>2005</v>
      </c>
      <c r="C107" s="32">
        <v>0.375</v>
      </c>
      <c r="D107" s="32">
        <v>0.75</v>
      </c>
      <c r="E107" s="29">
        <f>IFERROR(VLOOKUP(A107,New!A:E,5,0),"لا يوجد مواعيد")</f>
        <v>0</v>
      </c>
      <c r="F107" s="29">
        <f>IFERROR(VLOOKUP(A107,New!A:E,1,0),"لا يوجد مواعيد")</f>
        <v>10338143</v>
      </c>
      <c r="G107" s="29" t="str">
        <f>IFERROR(VLOOKUP(A107,New!A:F,4,0),"لا يوجد مواعيد")</f>
        <v>ميار محمد</v>
      </c>
      <c r="H107" s="29" t="str">
        <f>IFERROR(VLOOKUP(A107,New!A:G,3,0),"لا يوجد مواعيد")</f>
        <v>العبور</v>
      </c>
      <c r="I107" s="29" t="str">
        <f>IFERROR(VLOOKUP(A107,New!A:H,2,0),"لا يوجد مواعيد")</f>
        <v>كارفور العبور</v>
      </c>
    </row>
    <row r="108" spans="1:9">
      <c r="A108" s="34">
        <v>10337002</v>
      </c>
      <c r="B108" s="34" t="s">
        <v>2006</v>
      </c>
      <c r="C108" s="32">
        <v>0.375</v>
      </c>
      <c r="D108" s="32">
        <v>0.75</v>
      </c>
      <c r="E108" s="29">
        <f>IFERROR(VLOOKUP(A108,New!A:E,5,0),"لا يوجد مواعيد")</f>
        <v>0</v>
      </c>
      <c r="F108" s="29">
        <f>IFERROR(VLOOKUP(A108,New!A:E,1,0),"لا يوجد مواعيد")</f>
        <v>10337002</v>
      </c>
      <c r="G108" s="29" t="str">
        <f>IFERROR(VLOOKUP(A108,New!A:F,4,0),"لا يوجد مواعيد")</f>
        <v>سهى شرف</v>
      </c>
      <c r="H108" s="29" t="str">
        <f>IFERROR(VLOOKUP(A108,New!A:G,3,0),"لا يوجد مواعيد")</f>
        <v>دائري</v>
      </c>
      <c r="I108" s="29" t="str">
        <f>IFERROR(VLOOKUP(A108,New!A:H,2,0),"لا يوجد مواعيد")</f>
        <v>طلعة قليوب</v>
      </c>
    </row>
    <row r="109" spans="1:9">
      <c r="A109" s="34">
        <v>10330123</v>
      </c>
      <c r="B109" s="34" t="s">
        <v>2007</v>
      </c>
      <c r="C109" s="32">
        <v>0.375</v>
      </c>
      <c r="D109" s="32">
        <v>0.75</v>
      </c>
      <c r="E109" s="29">
        <f>IFERROR(VLOOKUP(A109,New!A:E,5,0),"لا يوجد مواعيد")</f>
        <v>0</v>
      </c>
      <c r="F109" s="29">
        <f>IFERROR(VLOOKUP(A109,New!A:E,1,0),"لا يوجد مواعيد")</f>
        <v>10330123</v>
      </c>
      <c r="G109" s="29" t="str">
        <f>IFERROR(VLOOKUP(A109,New!A:F,4,0),"لا يوجد مواعيد")</f>
        <v>وعد يحيى</v>
      </c>
      <c r="H109" s="29" t="str">
        <f>IFERROR(VLOOKUP(A109,New!A:G,3,0),"لا يوجد مواعيد")</f>
        <v>ي - المعادي</v>
      </c>
      <c r="I109" s="29" t="str">
        <f>IFERROR(VLOOKUP(A109,New!A:H,2,0),"لا يوجد مواعيد")</f>
        <v>اكاديمية السادات</v>
      </c>
    </row>
    <row r="110" spans="1:9">
      <c r="A110" s="34">
        <v>30105102</v>
      </c>
      <c r="B110" s="34" t="s">
        <v>2008</v>
      </c>
      <c r="C110" s="32">
        <v>0.5</v>
      </c>
      <c r="D110" s="32">
        <v>0.875</v>
      </c>
      <c r="E110" s="29">
        <f>IFERROR(VLOOKUP(A110,New!A:E,5,0),"لا يوجد مواعيد")</f>
        <v>1155998440</v>
      </c>
      <c r="F110" s="29">
        <f>IFERROR(VLOOKUP(A110,New!A:E,1,0),"لا يوجد مواعيد")</f>
        <v>30105102</v>
      </c>
      <c r="G110" s="29" t="str">
        <f>IFERROR(VLOOKUP(A110,New!A:F,4,0),"لا يوجد مواعيد")</f>
        <v>امنية جمال عبد السلام</v>
      </c>
      <c r="H110" s="29" t="str">
        <f>IFERROR(VLOOKUP(A110,New!A:G,3,0),"لا يوجد مواعيد")</f>
        <v>فيصل</v>
      </c>
      <c r="I110" s="29" t="str">
        <f>IFERROR(VLOOKUP(A110,New!A:H,2,0),"لا يوجد مواعيد")</f>
        <v>مريوطية</v>
      </c>
    </row>
    <row r="111" spans="1:9">
      <c r="A111" s="34">
        <v>29901310</v>
      </c>
      <c r="B111" s="34" t="s">
        <v>2009</v>
      </c>
      <c r="C111" s="32">
        <v>0.5</v>
      </c>
      <c r="D111" s="32">
        <v>0.875</v>
      </c>
      <c r="E111" s="29">
        <f>IFERROR(VLOOKUP(A111,New!A:E,5,0),"لا يوجد مواعيد")</f>
        <v>1094405645</v>
      </c>
      <c r="F111" s="29">
        <f>IFERROR(VLOOKUP(A111,New!A:E,1,0),"لا يوجد مواعيد")</f>
        <v>29901310</v>
      </c>
      <c r="G111" s="29" t="str">
        <f>IFERROR(VLOOKUP(A111,New!A:F,4,0),"لا يوجد مواعيد")</f>
        <v>مريم طارق</v>
      </c>
      <c r="H111" s="29" t="str">
        <f>IFERROR(VLOOKUP(A111,New!A:G,3,0),"لا يوجد مواعيد")</f>
        <v>حلوان و زهراء المعادي</v>
      </c>
      <c r="I111" s="29" t="str">
        <f>IFERROR(VLOOKUP(A111,New!A:H,2,0),"لا يوجد مواعيد")</f>
        <v>سلم البارون</v>
      </c>
    </row>
    <row r="112" spans="1:9">
      <c r="A112" s="34">
        <v>28711298</v>
      </c>
      <c r="B112" s="34" t="s">
        <v>2010</v>
      </c>
      <c r="C112" s="32">
        <v>0.5</v>
      </c>
      <c r="D112" s="32">
        <v>0.875</v>
      </c>
      <c r="E112" s="29">
        <f>IFERROR(VLOOKUP(A112,New!A:E,5,0),"لا يوجد مواعيد")</f>
        <v>1280438382</v>
      </c>
      <c r="F112" s="29">
        <f>IFERROR(VLOOKUP(A112,New!A:E,1,0),"لا يوجد مواعيد")</f>
        <v>28711298</v>
      </c>
      <c r="G112" s="29" t="str">
        <f>IFERROR(VLOOKUP(A112,New!A:F,4,0),"لا يوجد مواعيد")</f>
        <v>رنا بدر الدين</v>
      </c>
      <c r="H112" s="29" t="str">
        <f>IFERROR(VLOOKUP(A112,New!A:G,3,0),"لا يوجد مواعيد")</f>
        <v>حدائق الاهرام</v>
      </c>
      <c r="I112" s="29" t="str">
        <f>IFERROR(VLOOKUP(A112,New!A:H,2,0),"لا يوجد مواعيد")</f>
        <v>بوابة 2 جديدة</v>
      </c>
    </row>
    <row r="113" spans="1:9">
      <c r="A113" s="34">
        <v>29408200</v>
      </c>
      <c r="B113" s="34" t="s">
        <v>2011</v>
      </c>
      <c r="C113" s="32">
        <v>0.5</v>
      </c>
      <c r="D113" s="32">
        <v>0.875</v>
      </c>
      <c r="E113" s="29">
        <f>IFERROR(VLOOKUP(A113,New!A:E,5,0),"لا يوجد مواعيد")</f>
        <v>1095680472</v>
      </c>
      <c r="F113" s="29">
        <f>IFERROR(VLOOKUP(A113,New!A:E,1,0),"لا يوجد مواعيد")</f>
        <v>29408200</v>
      </c>
      <c r="G113" s="29" t="str">
        <f>IFERROR(VLOOKUP(A113,New!A:F,4,0),"لا يوجد مواعيد")</f>
        <v>منة ريحان</v>
      </c>
      <c r="H113" s="29" t="str">
        <f>IFERROR(VLOOKUP(A113,New!A:G,3,0),"لا يوجد مواعيد")</f>
        <v>حلوان و زهراء المعادي</v>
      </c>
      <c r="I113" s="29" t="str">
        <f>IFERROR(VLOOKUP(A113,New!A:H,2,0),"لا يوجد مواعيد")</f>
        <v>سلم البارون</v>
      </c>
    </row>
    <row r="114" spans="1:9">
      <c r="A114" s="34">
        <v>10334497</v>
      </c>
      <c r="B114" s="34" t="s">
        <v>2012</v>
      </c>
      <c r="C114" s="32">
        <v>0.375</v>
      </c>
      <c r="D114" s="32">
        <v>0.75</v>
      </c>
      <c r="E114" s="29">
        <f>IFERROR(VLOOKUP(A114,New!A:E,5,0),"لا يوجد مواعيد")</f>
        <v>1123940404</v>
      </c>
      <c r="F114" s="29">
        <f>IFERROR(VLOOKUP(A114,New!A:E,1,0),"لا يوجد مواعيد")</f>
        <v>10334497</v>
      </c>
      <c r="G114" s="29" t="str">
        <f>IFERROR(VLOOKUP(A114,New!A:F,4,0),"لا يوجد مواعيد")</f>
        <v>مؤمن مدحت</v>
      </c>
      <c r="H114" s="29" t="str">
        <f>IFERROR(VLOOKUP(A114,New!A:G,3,0),"لا يوجد مواعيد")</f>
        <v>حدائق القبة</v>
      </c>
      <c r="I114" s="29" t="str">
        <f>IFERROR(VLOOKUP(A114,New!A:H,2,0),"لا يوجد مواعيد")</f>
        <v>ميدان الحدائق</v>
      </c>
    </row>
    <row r="115" spans="1:9">
      <c r="A115" s="34">
        <v>10334495</v>
      </c>
      <c r="B115" s="34" t="s">
        <v>2013</v>
      </c>
      <c r="C115" s="32">
        <v>0.375</v>
      </c>
      <c r="D115" s="32">
        <v>0.75</v>
      </c>
      <c r="E115" s="29">
        <f>IFERROR(VLOOKUP(A115,New!A:E,5,0),"لا يوجد مواعيد")</f>
        <v>1140040830</v>
      </c>
      <c r="F115" s="29">
        <f>IFERROR(VLOOKUP(A115,New!A:E,1,0),"لا يوجد مواعيد")</f>
        <v>10334495</v>
      </c>
      <c r="G115" s="29" t="str">
        <f>IFERROR(VLOOKUP(A115,New!A:F,4,0),"لا يوجد مواعيد")</f>
        <v>احمد عبد العزيز</v>
      </c>
      <c r="H115" s="29" t="str">
        <f>IFERROR(VLOOKUP(A115,New!A:G,3,0),"لا يوجد مواعيد")</f>
        <v>دائري</v>
      </c>
      <c r="I115" s="29" t="str">
        <f>IFERROR(VLOOKUP(A115,New!A:H,2,0),"لا يوجد مواعيد")</f>
        <v>دائري المرج</v>
      </c>
    </row>
    <row r="116" spans="1:9">
      <c r="A116" s="34">
        <v>10335547</v>
      </c>
      <c r="B116" s="34" t="s">
        <v>2014</v>
      </c>
      <c r="C116" s="32">
        <v>0.375</v>
      </c>
      <c r="D116" s="32">
        <v>0.75</v>
      </c>
      <c r="E116" s="29">
        <f>IFERROR(VLOOKUP(A116,New!A:E,5,0),"لا يوجد مواعيد")</f>
        <v>1009067536</v>
      </c>
      <c r="F116" s="29">
        <f>IFERROR(VLOOKUP(A116,New!A:E,1,0),"لا يوجد مواعيد")</f>
        <v>10335547</v>
      </c>
      <c r="G116" s="29" t="str">
        <f>IFERROR(VLOOKUP(A116,New!A:F,4,0),"لا يوجد مواعيد")</f>
        <v>سيف الدين مجدي</v>
      </c>
      <c r="H116" s="29" t="str">
        <f>IFERROR(VLOOKUP(A116,New!A:G,3,0),"لا يوجد مواعيد")</f>
        <v>حدائق القبة</v>
      </c>
      <c r="I116" s="29" t="str">
        <f>IFERROR(VLOOKUP(A116,New!A:H,2,0),"لا يوجد مواعيد")</f>
        <v>الروماني</v>
      </c>
    </row>
    <row r="117" spans="1:9">
      <c r="A117" s="34">
        <v>10335550</v>
      </c>
      <c r="B117" s="34" t="s">
        <v>2015</v>
      </c>
      <c r="C117" s="32">
        <v>0.375</v>
      </c>
      <c r="D117" s="32">
        <v>0.75</v>
      </c>
      <c r="E117" s="29">
        <f>IFERROR(VLOOKUP(A117,New!A:E,5,0),"لا يوجد مواعيد")</f>
        <v>1023832699</v>
      </c>
      <c r="F117" s="29">
        <f>IFERROR(VLOOKUP(A117,New!A:E,1,0),"لا يوجد مواعيد")</f>
        <v>10335550</v>
      </c>
      <c r="G117" s="29" t="str">
        <f>IFERROR(VLOOKUP(A117,New!A:F,4,0),"لا يوجد مواعيد")</f>
        <v>كريم السيد غريب عمر</v>
      </c>
      <c r="H117" s="29" t="str">
        <f>IFERROR(VLOOKUP(A117,New!A:G,3,0),"لا يوجد مواعيد")</f>
        <v>دائري</v>
      </c>
      <c r="I117" s="29" t="str">
        <f>IFERROR(VLOOKUP(A117,New!A:H,2,0),"لا يوجد مواعيد")</f>
        <v>طلعة قليوب</v>
      </c>
    </row>
    <row r="118" spans="1:9">
      <c r="A118" s="34">
        <v>10335545</v>
      </c>
      <c r="B118" s="34" t="s">
        <v>2016</v>
      </c>
      <c r="C118" s="32">
        <v>0.375</v>
      </c>
      <c r="D118" s="32">
        <v>0.75</v>
      </c>
      <c r="E118" s="29">
        <f>IFERROR(VLOOKUP(A118,New!A:E,5,0),"لا يوجد مواعيد")</f>
        <v>1001240626</v>
      </c>
      <c r="F118" s="29">
        <f>IFERROR(VLOOKUP(A118,New!A:E,1,0),"لا يوجد مواعيد")</f>
        <v>10335545</v>
      </c>
      <c r="G118" s="29" t="str">
        <f>IFERROR(VLOOKUP(A118,New!A:F,4,0),"لا يوجد مواعيد")</f>
        <v>عبير احمد</v>
      </c>
      <c r="H118" s="29" t="str">
        <f>IFERROR(VLOOKUP(A118,New!A:G,3,0),"لا يوجد مواعيد")</f>
        <v>العبور</v>
      </c>
      <c r="I118" s="29" t="str">
        <f>IFERROR(VLOOKUP(A118,New!A:H,2,0),"لا يوجد مواعيد")</f>
        <v>كارفور العبور</v>
      </c>
    </row>
    <row r="119" spans="1:9">
      <c r="A119" s="34">
        <v>10335548</v>
      </c>
      <c r="B119" s="34" t="s">
        <v>2017</v>
      </c>
      <c r="C119" s="32">
        <v>0.375</v>
      </c>
      <c r="D119" s="32">
        <v>0.75</v>
      </c>
      <c r="E119" s="29">
        <f>IFERROR(VLOOKUP(A119,New!A:E,5,0),"لا يوجد مواعيد")</f>
        <v>1118007363</v>
      </c>
      <c r="F119" s="29">
        <f>IFERROR(VLOOKUP(A119,New!A:E,1,0),"لا يوجد مواعيد")</f>
        <v>10335548</v>
      </c>
      <c r="G119" s="29" t="str">
        <f>IFERROR(VLOOKUP(A119,New!A:F,4,0),"لا يوجد مواعيد")</f>
        <v>ادهم ناصر</v>
      </c>
      <c r="H119" s="29" t="str">
        <f>IFERROR(VLOOKUP(A119,New!A:G,3,0),"لا يوجد مواعيد")</f>
        <v>حدائق اكتوبر</v>
      </c>
      <c r="I119" s="29" t="str">
        <f>IFERROR(VLOOKUP(A119,New!A:H,2,0),"لا يوجد مواعيد")</f>
        <v>دجلة جاردنز</v>
      </c>
    </row>
    <row r="120" spans="1:9">
      <c r="A120" s="34">
        <v>10335696</v>
      </c>
      <c r="B120" s="34" t="s">
        <v>2018</v>
      </c>
      <c r="C120" s="32">
        <v>0.375</v>
      </c>
      <c r="D120" s="32">
        <v>0.75</v>
      </c>
      <c r="E120" s="29">
        <f>IFERROR(VLOOKUP(A120,New!A:E,5,0),"لا يوجد مواعيد")</f>
        <v>1066748788</v>
      </c>
      <c r="F120" s="29">
        <f>IFERROR(VLOOKUP(A120,New!A:E,1,0),"لا يوجد مواعيد")</f>
        <v>10335696</v>
      </c>
      <c r="G120" s="29" t="str">
        <f>IFERROR(VLOOKUP(A120,New!A:F,4,0),"لا يوجد مواعيد")</f>
        <v>هايدي مشالي</v>
      </c>
      <c r="H120" s="29" t="str">
        <f>IFERROR(VLOOKUP(A120,New!A:G,3,0),"لا يوجد مواعيد")</f>
        <v>حدائق القبة</v>
      </c>
      <c r="I120" s="29" t="str">
        <f>IFERROR(VLOOKUP(A120,New!A:H,2,0),"لا يوجد مواعيد")</f>
        <v>ولي العهد</v>
      </c>
    </row>
    <row r="121" spans="1:9">
      <c r="A121" s="34">
        <v>10334689</v>
      </c>
      <c r="B121" s="34" t="s">
        <v>2019</v>
      </c>
      <c r="C121" s="32">
        <v>0.5</v>
      </c>
      <c r="D121" s="32">
        <v>0.833333333333333</v>
      </c>
      <c r="E121" s="29">
        <f>IFERROR(VLOOKUP(A121,New!A:E,5,0),"لا يوجد مواعيد")</f>
        <v>1001272857</v>
      </c>
      <c r="F121" s="29">
        <f>IFERROR(VLOOKUP(A121,New!A:E,1,0),"لا يوجد مواعيد")</f>
        <v>10334689</v>
      </c>
      <c r="G121" s="29" t="str">
        <f>IFERROR(VLOOKUP(A121,New!A:F,4,0),"لا يوجد مواعيد")</f>
        <v>نوران نور الدين محمد</v>
      </c>
      <c r="H121" s="29" t="str">
        <f>IFERROR(VLOOKUP(A121,New!A:G,3,0),"لا يوجد مواعيد")</f>
        <v>مدينة نصر</v>
      </c>
      <c r="I121" s="29" t="str">
        <f>IFERROR(VLOOKUP(A121,New!A:H,2,0),"لا يوجد مواعيد")</f>
        <v>كشري هند الحي العاشر</v>
      </c>
    </row>
    <row r="122" spans="1:9">
      <c r="A122" s="34">
        <v>10334713</v>
      </c>
      <c r="B122" s="34" t="s">
        <v>2020</v>
      </c>
      <c r="C122" s="32">
        <v>0.5</v>
      </c>
      <c r="D122" s="32">
        <v>0.875</v>
      </c>
      <c r="E122" s="29">
        <f>IFERROR(VLOOKUP(A122,New!A:E,5,0),"لا يوجد مواعيد")</f>
        <v>1221459041</v>
      </c>
      <c r="F122" s="29">
        <f>IFERROR(VLOOKUP(A122,New!A:E,1,0),"لا يوجد مواعيد")</f>
        <v>10334713</v>
      </c>
      <c r="G122" s="29" t="str">
        <f>IFERROR(VLOOKUP(A122,New!A:F,4,0),"لا يوجد مواعيد")</f>
        <v>بافلي أسامة</v>
      </c>
      <c r="H122" s="29" t="str">
        <f>IFERROR(VLOOKUP(A122,New!A:G,3,0),"لا يوجد مواعيد")</f>
        <v>الزيتون و مصر الجديدة</v>
      </c>
      <c r="I122" s="29" t="str">
        <f>IFERROR(VLOOKUP(A122,New!A:H,2,0),"لا يوجد مواعيد")</f>
        <v>الف مسكن</v>
      </c>
    </row>
    <row r="123" spans="1:9">
      <c r="A123" s="34">
        <v>10334712</v>
      </c>
      <c r="B123" s="34" t="s">
        <v>2021</v>
      </c>
      <c r="C123" s="32">
        <v>0.5</v>
      </c>
      <c r="D123" s="32">
        <v>0.875</v>
      </c>
      <c r="E123" s="29">
        <f>IFERROR(VLOOKUP(A123,New!A:E,5,0),"لا يوجد مواعيد")</f>
        <v>1158665484</v>
      </c>
      <c r="F123" s="29">
        <f>IFERROR(VLOOKUP(A123,New!A:E,1,0),"لا يوجد مواعيد")</f>
        <v>10334712</v>
      </c>
      <c r="G123" s="29" t="str">
        <f>IFERROR(VLOOKUP(A123,New!A:F,4,0),"لا يوجد مواعيد")</f>
        <v>عمر محمود</v>
      </c>
      <c r="H123" s="29" t="str">
        <f>IFERROR(VLOOKUP(A123,New!A:G,3,0),"لا يوجد مواعيد")</f>
        <v>حلوان و زهراء المعادي</v>
      </c>
      <c r="I123" s="29" t="str">
        <f>IFERROR(VLOOKUP(A123,New!A:H,2,0),"لا يوجد مواعيد")</f>
        <v>سلم صقر قريش</v>
      </c>
    </row>
    <row r="124" spans="1:9">
      <c r="A124" s="34">
        <v>10333976</v>
      </c>
      <c r="B124" s="34" t="s">
        <v>2022</v>
      </c>
      <c r="C124" s="32">
        <v>0.5</v>
      </c>
      <c r="D124" s="32">
        <v>0.875</v>
      </c>
      <c r="E124" s="29">
        <f>IFERROR(VLOOKUP(A124,New!A:E,5,0),"لا يوجد مواعيد")</f>
        <v>1021824170</v>
      </c>
      <c r="F124" s="29">
        <f>IFERROR(VLOOKUP(A124,New!A:E,1,0),"لا يوجد مواعيد")</f>
        <v>10333976</v>
      </c>
      <c r="G124" s="29" t="str">
        <f>IFERROR(VLOOKUP(A124,New!A:F,4,0),"لا يوجد مواعيد")</f>
        <v>محمد شريف</v>
      </c>
      <c r="H124" s="29" t="str">
        <f>IFERROR(VLOOKUP(A124,New!A:G,3,0),"لا يوجد مواعيد")</f>
        <v>الزيتون و مصر الجديدة</v>
      </c>
      <c r="I124" s="29" t="str">
        <f>IFERROR(VLOOKUP(A124,New!A:H,2,0),"لا يوجد مواعيد")</f>
        <v>ابن الحكم</v>
      </c>
    </row>
    <row r="125" spans="1:9">
      <c r="A125" s="34">
        <v>10334701</v>
      </c>
      <c r="B125" s="34" t="s">
        <v>2023</v>
      </c>
      <c r="C125" s="32">
        <v>0.5</v>
      </c>
      <c r="D125" s="32">
        <v>0.875</v>
      </c>
      <c r="E125" s="29">
        <f>IFERROR(VLOOKUP(A125,New!A:E,5,0),"لا يوجد مواعيد")</f>
        <v>1158931963</v>
      </c>
      <c r="F125" s="29">
        <f>IFERROR(VLOOKUP(A125,New!A:E,1,0),"لا يوجد مواعيد")</f>
        <v>10334701</v>
      </c>
      <c r="G125" s="29" t="str">
        <f>IFERROR(VLOOKUP(A125,New!A:F,4,0),"لا يوجد مواعيد")</f>
        <v>هاجر عادل</v>
      </c>
      <c r="H125" s="29" t="str">
        <f>IFERROR(VLOOKUP(A125,New!A:G,3,0),"لا يوجد مواعيد")</f>
        <v>فيصل</v>
      </c>
      <c r="I125" s="29" t="str">
        <f>IFERROR(VLOOKUP(A125,New!A:H,2,0),"لا يوجد مواعيد")</f>
        <v>الابيض</v>
      </c>
    </row>
    <row r="126" spans="1:9">
      <c r="A126" s="34">
        <v>10273655</v>
      </c>
      <c r="B126" s="34" t="s">
        <v>2024</v>
      </c>
      <c r="C126" s="32">
        <v>0.458333333333333</v>
      </c>
      <c r="D126" s="32">
        <v>0.833333333333333</v>
      </c>
      <c r="E126" s="29">
        <f>IFERROR(VLOOKUP(A126,New!A:E,5,0),"لا يوجد مواعيد")</f>
        <v>1220100184</v>
      </c>
      <c r="F126" s="29">
        <f>IFERROR(VLOOKUP(A126,New!A:E,1,0),"لا يوجد مواعيد")</f>
        <v>10273655</v>
      </c>
      <c r="G126" s="29" t="str">
        <f>IFERROR(VLOOKUP(A126,New!A:F,4,0),"لا يوجد مواعيد")</f>
        <v>يوسف فؤاد</v>
      </c>
      <c r="H126" s="29" t="str">
        <f>IFERROR(VLOOKUP(A126,New!A:G,3,0),"لا يوجد مواعيد")</f>
        <v>حدائق الاهرام</v>
      </c>
      <c r="I126" s="29" t="str">
        <f>IFERROR(VLOOKUP(A126,New!A:H,2,0),"لا يوجد مواعيد")</f>
        <v>بوابة 1</v>
      </c>
    </row>
    <row r="127" spans="1:9">
      <c r="A127" s="34">
        <v>10287526</v>
      </c>
      <c r="B127" s="34" t="s">
        <v>2025</v>
      </c>
      <c r="C127" s="32">
        <v>0.458333333333333</v>
      </c>
      <c r="D127" s="32">
        <v>0.833333333333333</v>
      </c>
      <c r="E127" s="29" t="str">
        <f>IFERROR(VLOOKUP(A127,New!A:E,5,0),"لا يوجد مواعيد")</f>
        <v>1146697451-1070819036</v>
      </c>
      <c r="F127" s="29">
        <f>IFERROR(VLOOKUP(A127,New!A:E,1,0),"لا يوجد مواعيد")</f>
        <v>10287526</v>
      </c>
      <c r="G127" s="29" t="str">
        <f>IFERROR(VLOOKUP(A127,New!A:F,4,0),"لا يوجد مواعيد")</f>
        <v>نورالدين ابراهيم</v>
      </c>
      <c r="H127" s="29" t="str">
        <f>IFERROR(VLOOKUP(A127,New!A:G,3,0),"لا يوجد مواعيد")</f>
        <v>العباسية و الضاهر</v>
      </c>
      <c r="I127" s="29" t="str">
        <f>IFERROR(VLOOKUP(A127,New!A:H,2,0),"لا يوجد مواعيد")</f>
        <v>معرض علاء الدين</v>
      </c>
    </row>
    <row r="128" spans="1:9">
      <c r="A128" s="34">
        <v>10334426</v>
      </c>
      <c r="B128" s="34" t="s">
        <v>2026</v>
      </c>
      <c r="C128" s="32">
        <v>0.458333333333333</v>
      </c>
      <c r="D128" s="32">
        <v>0.833333333333333</v>
      </c>
      <c r="E128" s="29">
        <f>IFERROR(VLOOKUP(A128,New!A:E,5,0),"لا يوجد مواعيد")</f>
        <v>0</v>
      </c>
      <c r="F128" s="29">
        <f>IFERROR(VLOOKUP(A128,New!A:E,1,0),"لا يوجد مواعيد")</f>
        <v>10334426</v>
      </c>
      <c r="G128" s="29" t="str">
        <f>IFERROR(VLOOKUP(A128,New!A:F,4,0),"لا يوجد مواعيد")</f>
        <v>محمد احمد عبد الله السيد</v>
      </c>
      <c r="H128" s="29" t="str">
        <f>IFERROR(VLOOKUP(A128,New!A:G,3,0),"لا يوجد مواعيد")</f>
        <v>حلوان و زهراء المعادي</v>
      </c>
      <c r="I128" s="29" t="str">
        <f>IFERROR(VLOOKUP(A128,New!A:H,2,0),"لا يوجد مواعيد")</f>
        <v>سلم صقر قريش</v>
      </c>
    </row>
    <row r="129" spans="1:9">
      <c r="A129" s="34">
        <v>10335613</v>
      </c>
      <c r="B129" s="34" t="s">
        <v>2027</v>
      </c>
      <c r="C129" s="32">
        <v>0.458333333333333</v>
      </c>
      <c r="D129" s="32">
        <v>0.833333333333333</v>
      </c>
      <c r="E129" s="29">
        <f>IFERROR(VLOOKUP(A129,New!A:E,5,0),"لا يوجد مواعيد")</f>
        <v>1006296446</v>
      </c>
      <c r="F129" s="29">
        <f>IFERROR(VLOOKUP(A129,New!A:E,1,0),"لا يوجد مواعيد")</f>
        <v>10335613</v>
      </c>
      <c r="G129" s="29" t="str">
        <f>IFERROR(VLOOKUP(A129,New!A:F,4,0),"لا يوجد مواعيد")</f>
        <v>محمد الحبشي</v>
      </c>
      <c r="H129" s="29" t="str">
        <f>IFERROR(VLOOKUP(A129,New!A:G,3,0),"لا يوجد مواعيد")</f>
        <v>الزيتون و مصر الجديدة</v>
      </c>
      <c r="I129" s="29" t="str">
        <f>IFERROR(VLOOKUP(A129,New!A:H,2,0),"لا يوجد مواعيد")</f>
        <v>ابن الحكم</v>
      </c>
    </row>
    <row r="130" spans="1:9">
      <c r="A130" s="34">
        <v>10335593</v>
      </c>
      <c r="B130" s="34" t="s">
        <v>2028</v>
      </c>
      <c r="C130" s="32">
        <v>0.458333333333333</v>
      </c>
      <c r="D130" s="32">
        <v>0.833333333333333</v>
      </c>
      <c r="E130" s="29">
        <f>IFERROR(VLOOKUP(A130,New!A:E,5,0),"لا يوجد مواعيد")</f>
        <v>1023627600</v>
      </c>
      <c r="F130" s="29">
        <f>IFERROR(VLOOKUP(A130,New!A:E,1,0),"لا يوجد مواعيد")</f>
        <v>10335593</v>
      </c>
      <c r="G130" s="29" t="str">
        <f>IFERROR(VLOOKUP(A130,New!A:F,4,0),"لا يوجد مواعيد")</f>
        <v>احمد طه</v>
      </c>
      <c r="H130" s="29" t="str">
        <f>IFERROR(VLOOKUP(A130,New!A:G,3,0),"لا يوجد مواعيد")</f>
        <v>حدائق الاهرام</v>
      </c>
      <c r="I130" s="29" t="str">
        <f>IFERROR(VLOOKUP(A130,New!A:H,2,0),"لا يوجد مواعيد")</f>
        <v>بوابة 4</v>
      </c>
    </row>
    <row r="131" spans="1:9">
      <c r="A131" s="34">
        <v>10216711</v>
      </c>
      <c r="B131" s="34" t="s">
        <v>2029</v>
      </c>
      <c r="C131" s="32">
        <v>0.416666666666667</v>
      </c>
      <c r="D131" s="32">
        <v>0.791666666666667</v>
      </c>
      <c r="E131" s="29" t="str">
        <f>IFERROR(VLOOKUP(A131,New!A:E,5,0),"لا يوجد مواعيد")</f>
        <v>0 112 882 5756</v>
      </c>
      <c r="F131" s="29">
        <f>IFERROR(VLOOKUP(A131,New!A:E,1,0),"لا يوجد مواعيد")</f>
        <v>10216711</v>
      </c>
      <c r="G131" s="29" t="str">
        <f>IFERROR(VLOOKUP(A131,New!A:F,4,0),"لا يوجد مواعيد")</f>
        <v>عبد الله هشام</v>
      </c>
      <c r="H131" s="29" t="str">
        <f>IFERROR(VLOOKUP(A131,New!A:G,3,0),"لا يوجد مواعيد")</f>
        <v>حدائق الاهرام</v>
      </c>
      <c r="I131" s="29" t="str">
        <f>IFERROR(VLOOKUP(A131,New!A:H,2,0),"لا يوجد مواعيد")</f>
        <v>بوابة 1</v>
      </c>
    </row>
    <row r="132" spans="1:9">
      <c r="A132" s="34" t="s">
        <v>1188</v>
      </c>
      <c r="B132" s="34" t="s">
        <v>2030</v>
      </c>
      <c r="C132" s="32">
        <v>0.5</v>
      </c>
      <c r="D132" s="32">
        <v>0.875</v>
      </c>
      <c r="E132" s="29">
        <f>IFERROR(VLOOKUP(A132,New!A:E,5,0),"لا يوجد مواعيد")</f>
        <v>1117063589</v>
      </c>
      <c r="F132" s="29" t="str">
        <f>IFERROR(VLOOKUP(A132,New!A:E,1,0),"لا يوجد مواعيد")</f>
        <v>TAX2</v>
      </c>
      <c r="G132" s="29" t="str">
        <f>IFERROR(VLOOKUP(A132,New!A:F,4,0),"لا يوجد مواعيد")</f>
        <v>دعاء عصام</v>
      </c>
      <c r="H132" s="29" t="str">
        <f>IFERROR(VLOOKUP(A132,New!A:G,3,0),"لا يوجد مواعيد")</f>
        <v>الزيتون و مصر الجديدة</v>
      </c>
      <c r="I132" s="29" t="str">
        <f>IFERROR(VLOOKUP(A132,New!A:H,2,0),"لا يوجد مواعيد")</f>
        <v>روكسي العبودي</v>
      </c>
    </row>
    <row r="133" spans="1:9">
      <c r="A133" s="34" t="s">
        <v>1148</v>
      </c>
      <c r="B133" s="34" t="s">
        <v>2031</v>
      </c>
      <c r="C133" s="32">
        <v>0.416666666666667</v>
      </c>
      <c r="D133" s="32">
        <v>0.75</v>
      </c>
      <c r="E133" s="29">
        <f>IFERROR(VLOOKUP(A133,New!A:E,5,0),"لا يوجد مواعيد")</f>
        <v>0</v>
      </c>
      <c r="F133" s="29" t="str">
        <f>IFERROR(VLOOKUP(A133,New!A:E,1,0),"لا يوجد مواعيد")</f>
        <v>TAX1</v>
      </c>
      <c r="G133" s="29" t="str">
        <f>IFERROR(VLOOKUP(A133,New!A:F,4,0),"لا يوجد مواعيد")</f>
        <v>نشوى مصطفى</v>
      </c>
      <c r="H133" s="29" t="str">
        <f>IFERROR(VLOOKUP(A133,New!A:G,3,0),"لا يوجد مواعيد")</f>
        <v>المهندسين</v>
      </c>
      <c r="I133" s="29" t="str">
        <f>IFERROR(VLOOKUP(A133,New!A:H,2,0),"لا يوجد مواعيد")</f>
        <v>كوبري الدقي</v>
      </c>
    </row>
    <row r="134" spans="1:9">
      <c r="A134" s="34" t="s">
        <v>1786</v>
      </c>
      <c r="B134" s="34" t="s">
        <v>2032</v>
      </c>
      <c r="C134" s="32">
        <v>0.583333333333333</v>
      </c>
      <c r="D134" s="32">
        <v>0.958333333333333</v>
      </c>
      <c r="E134" s="29">
        <f>IFERROR(VLOOKUP(A134,New!A:E,5,0),"لا يوجد مواعيد")</f>
        <v>1128086234</v>
      </c>
      <c r="F134" s="29" t="str">
        <f>IFERROR(VLOOKUP(A134,New!A:E,1,0),"لا يوجد مواعيد")</f>
        <v>TAX10</v>
      </c>
      <c r="G134" s="29" t="str">
        <f>IFERROR(VLOOKUP(A134,New!A:F,4,0),"لا يوجد مواعيد")</f>
        <v>محمد سمير</v>
      </c>
      <c r="H134" s="29" t="str">
        <f>IFERROR(VLOOKUP(A134,New!A:G,3,0),"لا يوجد مواعيد")</f>
        <v>شبرا</v>
      </c>
      <c r="I134" s="29" t="str">
        <f>IFERROR(VLOOKUP(A134,New!A:H,2,0),"لا يوجد مواعيد")</f>
        <v>التوحيد و النور</v>
      </c>
    </row>
    <row r="135" spans="1:9">
      <c r="A135" s="34">
        <v>10210885</v>
      </c>
      <c r="B135" s="34" t="s">
        <v>2033</v>
      </c>
      <c r="C135" s="32">
        <v>0.5</v>
      </c>
      <c r="D135" s="32">
        <v>0.875</v>
      </c>
      <c r="E135" s="29">
        <f>IFERROR(VLOOKUP(A135,New!A:E,5,0),"لا يوجد مواعيد")</f>
        <v>1099042665</v>
      </c>
      <c r="F135" s="29">
        <f>IFERROR(VLOOKUP(A135,New!A:E,1,0),"لا يوجد مواعيد")</f>
        <v>10210885</v>
      </c>
      <c r="G135" s="29" t="str">
        <f>IFERROR(VLOOKUP(A135,New!A:F,4,0),"لا يوجد مواعيد")</f>
        <v>احمد حفيظ</v>
      </c>
      <c r="H135" s="29" t="str">
        <f>IFERROR(VLOOKUP(A135,New!A:G,3,0),"لا يوجد مواعيد")</f>
        <v>حدائق اكتوبر</v>
      </c>
      <c r="I135" s="29" t="str">
        <f>IFERROR(VLOOKUP(A135,New!A:H,2,0),"لا يوجد مواعيد")</f>
        <v>دجلة جاردنز</v>
      </c>
    </row>
    <row r="136" spans="1:9">
      <c r="A136" s="34">
        <v>10278362</v>
      </c>
      <c r="B136" s="34" t="s">
        <v>2034</v>
      </c>
      <c r="C136" s="32" t="s">
        <v>1898</v>
      </c>
      <c r="D136" s="32" t="s">
        <v>1898</v>
      </c>
      <c r="E136" s="29">
        <f>IFERROR(VLOOKUP(A136,New!A:E,5,0),"لا يوجد مواعيد")</f>
        <v>1115517660</v>
      </c>
      <c r="F136" s="29">
        <f>IFERROR(VLOOKUP(A136,New!A:E,1,0),"لا يوجد مواعيد")</f>
        <v>10278362</v>
      </c>
      <c r="G136" s="29" t="str">
        <f>IFERROR(VLOOKUP(A136,New!A:F,4,0),"لا يوجد مواعيد")</f>
        <v>ملك صلاح</v>
      </c>
      <c r="H136" s="29" t="str">
        <f>IFERROR(VLOOKUP(A136,New!A:G,3,0),"لا يوجد مواعيد")</f>
        <v>المهندسين</v>
      </c>
      <c r="I136" s="29" t="str">
        <f>IFERROR(VLOOKUP(A136,New!A:H,2,0),"لا يوجد مواعيد")</f>
        <v>ميدان لبنان</v>
      </c>
    </row>
    <row r="137" spans="1:9">
      <c r="A137" s="34">
        <v>10212362</v>
      </c>
      <c r="B137" s="34" t="s">
        <v>2035</v>
      </c>
      <c r="C137" s="32">
        <v>0.708333333333333</v>
      </c>
      <c r="D137" s="32">
        <v>0.0833333333333333</v>
      </c>
      <c r="E137" s="29">
        <f>IFERROR(VLOOKUP(A137,New!A:E,5,0),"لا يوجد مواعيد")</f>
        <v>1061357183</v>
      </c>
      <c r="F137" s="29">
        <f>IFERROR(VLOOKUP(A137,New!A:E,1,0),"لا يوجد مواعيد")</f>
        <v>10212362</v>
      </c>
      <c r="G137" s="29" t="str">
        <f>IFERROR(VLOOKUP(A137,New!A:F,4,0),"لا يوجد مواعيد")</f>
        <v>هبة الله نوفل</v>
      </c>
      <c r="H137" s="29" t="str">
        <f>IFERROR(VLOOKUP(A137,New!A:G,3,0),"لا يوجد مواعيد")</f>
        <v>مدينة نصر</v>
      </c>
      <c r="I137" s="29" t="str">
        <f>IFERROR(VLOOKUP(A137,New!A:H,2,0),"لا يوجد مواعيد")</f>
        <v>كشري هند الحي العاشر</v>
      </c>
    </row>
    <row r="138" spans="1:9">
      <c r="A138" s="34">
        <v>10287534</v>
      </c>
      <c r="B138" s="34" t="s">
        <v>2036</v>
      </c>
      <c r="C138" s="32">
        <v>0.708333333333333</v>
      </c>
      <c r="D138" s="32">
        <v>0.0833333333333333</v>
      </c>
      <c r="E138" s="29">
        <f>IFERROR(VLOOKUP(A138,New!A:E,5,0),"لا يوجد مواعيد")</f>
        <v>1026652608</v>
      </c>
      <c r="F138" s="29">
        <f>IFERROR(VLOOKUP(A138,New!A:E,1,0),"لا يوجد مواعيد")</f>
        <v>10287534</v>
      </c>
      <c r="G138" s="29" t="str">
        <f>IFERROR(VLOOKUP(A138,New!A:F,4,0),"لا يوجد مواعيد")</f>
        <v>يسرا أحمد محمد المصطفى</v>
      </c>
      <c r="H138" s="29" t="str">
        <f>IFERROR(VLOOKUP(A138,New!A:G,3,0),"لا يوجد مواعيد")</f>
        <v>و - مدينتي</v>
      </c>
      <c r="I138" s="29" t="str">
        <f>IFERROR(VLOOKUP(A138,New!A:H,2,0),"لا يوجد مواعيد")</f>
        <v>بوابة 1</v>
      </c>
    </row>
    <row r="139" spans="1:9">
      <c r="A139" s="34">
        <v>10282873</v>
      </c>
      <c r="B139" s="34" t="s">
        <v>2037</v>
      </c>
      <c r="C139" s="32">
        <v>0.708333333333333</v>
      </c>
      <c r="D139" s="32">
        <v>0.0833333333333333</v>
      </c>
      <c r="E139" s="29">
        <f>IFERROR(VLOOKUP(A139,New!A:E,5,0),"لا يوجد مواعيد")</f>
        <v>1557759476</v>
      </c>
      <c r="F139" s="29">
        <f>IFERROR(VLOOKUP(A139,New!A:E,1,0),"لا يوجد مواعيد")</f>
        <v>10282873</v>
      </c>
      <c r="G139" s="29" t="str">
        <f>IFERROR(VLOOKUP(A139,New!A:F,4,0),"لا يوجد مواعيد")</f>
        <v>تبيان سماوال عوض</v>
      </c>
      <c r="H139" s="29" t="str">
        <f>IFERROR(VLOOKUP(A139,New!A:G,3,0),"لا يوجد مواعيد")</f>
        <v>حدائق الاهرام</v>
      </c>
      <c r="I139" s="29" t="str">
        <f>IFERROR(VLOOKUP(A139,New!A:H,2,0),"لا يوجد مواعيد")</f>
        <v>بوابة 2 جديدة</v>
      </c>
    </row>
    <row r="140" spans="1:9">
      <c r="A140" s="34">
        <v>10284140</v>
      </c>
      <c r="B140" s="34" t="s">
        <v>2038</v>
      </c>
      <c r="C140" s="32">
        <v>0.708333333333333</v>
      </c>
      <c r="D140" s="32">
        <v>0.0833333333333333</v>
      </c>
      <c r="E140" s="29">
        <f>IFERROR(VLOOKUP(A140,New!A:E,5,0),"لا يوجد مواعيد")</f>
        <v>1097830817</v>
      </c>
      <c r="F140" s="29">
        <f>IFERROR(VLOOKUP(A140,New!A:E,1,0),"لا يوجد مواعيد")</f>
        <v>10284140</v>
      </c>
      <c r="G140" s="29" t="str">
        <f>IFERROR(VLOOKUP(A140,New!A:F,4,0),"لا يوجد مواعيد")</f>
        <v>عمار ياسر</v>
      </c>
      <c r="H140" s="29" t="str">
        <f>IFERROR(VLOOKUP(A140,New!A:G,3,0),"لا يوجد مواعيد")</f>
        <v>م - الرحاب و التجمع</v>
      </c>
      <c r="I140" s="29" t="str">
        <f>IFERROR(VLOOKUP(A140,New!A:H,2,0),"لا يوجد مواعيد")</f>
        <v>بوابة 6</v>
      </c>
    </row>
    <row r="141" spans="1:9">
      <c r="A141" s="34">
        <v>10323948</v>
      </c>
      <c r="B141" s="34" t="s">
        <v>2039</v>
      </c>
      <c r="C141" s="32">
        <v>0.708333333333333</v>
      </c>
      <c r="D141" s="32">
        <v>0.0833333333333333</v>
      </c>
      <c r="E141" s="29">
        <f>IFERROR(VLOOKUP(A141,New!A:E,5,0),"لا يوجد مواعيد")</f>
        <v>1274904061</v>
      </c>
      <c r="F141" s="29">
        <f>IFERROR(VLOOKUP(A141,New!A:E,1,0),"لا يوجد مواعيد")</f>
        <v>10323948</v>
      </c>
      <c r="G141" s="29" t="str">
        <f>IFERROR(VLOOKUP(A141,New!A:F,4,0),"لا يوجد مواعيد")</f>
        <v>ايليا عادل</v>
      </c>
      <c r="H141" s="29" t="str">
        <f>IFERROR(VLOOKUP(A141,New!A:G,3,0),"لا يوجد مواعيد")</f>
        <v>شبرا</v>
      </c>
      <c r="I141" s="29" t="str">
        <f>IFERROR(VLOOKUP(A141,New!A:H,2,0),"لا يوجد مواعيد")</f>
        <v>التوحيد و النور</v>
      </c>
    </row>
    <row r="142" spans="1:9">
      <c r="A142" s="34">
        <v>10279718</v>
      </c>
      <c r="B142" s="34" t="s">
        <v>2040</v>
      </c>
      <c r="C142" s="32">
        <v>0.708333333333333</v>
      </c>
      <c r="D142" s="32">
        <v>0.0833333333333333</v>
      </c>
      <c r="E142" s="29">
        <f>IFERROR(VLOOKUP(A142,New!A:E,5,0),"لا يوجد مواعيد")</f>
        <v>1276895693</v>
      </c>
      <c r="F142" s="29">
        <f>IFERROR(VLOOKUP(A142,New!A:E,1,0),"لا يوجد مواعيد")</f>
        <v>10279718</v>
      </c>
      <c r="G142" s="29" t="str">
        <f>IFERROR(VLOOKUP(A142,New!A:F,4,0),"لا يوجد مواعيد")</f>
        <v>مينا ميشيريغي</v>
      </c>
      <c r="H142" s="29" t="str">
        <f>IFERROR(VLOOKUP(A142,New!A:G,3,0),"لا يوجد مواعيد")</f>
        <v>الزيتون و مصر الجديدة</v>
      </c>
      <c r="I142" s="29" t="str">
        <f>IFERROR(VLOOKUP(A142,New!A:H,2,0),"لا يوجد مواعيد")</f>
        <v>ابن الحكم</v>
      </c>
    </row>
    <row r="143" spans="1:9">
      <c r="A143" s="34">
        <v>10303671</v>
      </c>
      <c r="B143" s="34" t="s">
        <v>2041</v>
      </c>
      <c r="C143" s="32">
        <v>0.708333333333333</v>
      </c>
      <c r="D143" s="32">
        <v>0.0833333333333333</v>
      </c>
      <c r="E143" s="29">
        <f>IFERROR(VLOOKUP(A143,New!A:E,5,0),"لا يوجد مواعيد")</f>
        <v>1021857484</v>
      </c>
      <c r="F143" s="29">
        <f>IFERROR(VLOOKUP(A143,New!A:E,1,0),"لا يوجد مواعيد")</f>
        <v>10303671</v>
      </c>
      <c r="G143" s="29" t="str">
        <f>IFERROR(VLOOKUP(A143,New!A:F,4,0),"لا يوجد مواعيد")</f>
        <v>منة الله المنتصر بالله عوض الله عطا</v>
      </c>
      <c r="H143" s="29" t="str">
        <f>IFERROR(VLOOKUP(A143,New!A:G,3,0),"لا يوجد مواعيد")</f>
        <v>فيصل</v>
      </c>
      <c r="I143" s="29" t="str">
        <f>IFERROR(VLOOKUP(A143,New!A:H,2,0),"لا يوجد مواعيد")</f>
        <v>الطوابق</v>
      </c>
    </row>
    <row r="144" spans="1:9">
      <c r="A144" s="34">
        <v>10268661</v>
      </c>
      <c r="B144" s="34" t="s">
        <v>2042</v>
      </c>
      <c r="C144" s="32">
        <v>0.416666666666667</v>
      </c>
      <c r="D144" s="32">
        <v>0.791666666666667</v>
      </c>
      <c r="E144" s="29">
        <f>IFERROR(VLOOKUP(A144,New!A:E,5,0),"لا يوجد مواعيد")</f>
        <v>1018413338</v>
      </c>
      <c r="F144" s="29">
        <f>IFERROR(VLOOKUP(A144,New!A:E,1,0),"لا يوجد مواعيد")</f>
        <v>10268661</v>
      </c>
      <c r="G144" s="29" t="str">
        <f>IFERROR(VLOOKUP(A144,New!A:F,4,0),"لا يوجد مواعيد")</f>
        <v>شهد مجدي</v>
      </c>
      <c r="H144" s="29" t="str">
        <f>IFERROR(VLOOKUP(A144,New!A:G,3,0),"لا يوجد مواعيد")</f>
        <v>حدائق الاهرام</v>
      </c>
      <c r="I144" s="29" t="str">
        <f>IFERROR(VLOOKUP(A144,New!A:H,2,0),"لا يوجد مواعيد")</f>
        <v>بوابة 2 جديدة</v>
      </c>
    </row>
    <row r="145" spans="1:9">
      <c r="A145" s="34">
        <v>10293907</v>
      </c>
      <c r="B145" s="34" t="s">
        <v>2043</v>
      </c>
      <c r="C145" s="32">
        <v>0.416666666666667</v>
      </c>
      <c r="D145" s="32">
        <v>0.791666666666667</v>
      </c>
      <c r="E145" s="29">
        <f>IFERROR(VLOOKUP(A145,New!A:E,5,0),"لا يوجد مواعيد")</f>
        <v>1125914954</v>
      </c>
      <c r="F145" s="29">
        <f>IFERROR(VLOOKUP(A145,New!A:E,1,0),"لا يوجد مواعيد")</f>
        <v>10293907</v>
      </c>
      <c r="G145" s="29" t="str">
        <f>IFERROR(VLOOKUP(A145,New!A:F,4,0),"لا يوجد مواعيد")</f>
        <v>تقى بدر</v>
      </c>
      <c r="H145" s="29" t="str">
        <f>IFERROR(VLOOKUP(A145,New!A:G,3,0),"لا يوجد مواعيد")</f>
        <v>العبور</v>
      </c>
      <c r="I145" s="29" t="str">
        <f>IFERROR(VLOOKUP(A145,New!A:H,2,0),"لا يوجد مواعيد")</f>
        <v>كارفور العبور</v>
      </c>
    </row>
    <row r="146" spans="1:9">
      <c r="A146" s="34">
        <v>10304876</v>
      </c>
      <c r="B146" s="34" t="s">
        <v>2044</v>
      </c>
      <c r="C146" s="32">
        <v>0.416666666666667</v>
      </c>
      <c r="D146" s="32">
        <v>0.791666666666667</v>
      </c>
      <c r="E146" s="29">
        <f>IFERROR(VLOOKUP(A146,New!A:E,5,0),"لا يوجد مواعيد")</f>
        <v>1094007876</v>
      </c>
      <c r="F146" s="29">
        <f>IFERROR(VLOOKUP(A146,New!A:E,1,0),"لا يوجد مواعيد")</f>
        <v>10304876</v>
      </c>
      <c r="G146" s="29" t="str">
        <f>IFERROR(VLOOKUP(A146,New!A:F,4,0),"لا يوجد مواعيد")</f>
        <v>سارة الزهيري</v>
      </c>
      <c r="H146" s="29" t="str">
        <f>IFERROR(VLOOKUP(A146,New!A:G,3,0),"لا يوجد مواعيد")</f>
        <v>الزيتون و مصر الجديدة</v>
      </c>
      <c r="I146" s="29" t="str">
        <f>IFERROR(VLOOKUP(A146,New!A:H,2,0),"لا يوجد مواعيد")</f>
        <v>الجراج</v>
      </c>
    </row>
    <row r="147" spans="1:9">
      <c r="A147" s="34">
        <v>10310365</v>
      </c>
      <c r="B147" s="34" t="s">
        <v>2045</v>
      </c>
      <c r="C147" s="32">
        <v>0.416666666666667</v>
      </c>
      <c r="D147" s="32">
        <v>0.791666666666667</v>
      </c>
      <c r="E147" s="29">
        <f>IFERROR(VLOOKUP(A147,New!A:E,5,0),"لا يوجد مواعيد")</f>
        <v>1065776416</v>
      </c>
      <c r="F147" s="29">
        <f>IFERROR(VLOOKUP(A147,New!A:E,1,0),"لا يوجد مواعيد")</f>
        <v>10310365</v>
      </c>
      <c r="G147" s="29" t="str">
        <f>IFERROR(VLOOKUP(A147,New!A:F,4,0),"لا يوجد مواعيد")</f>
        <v>فاطمة حمدي</v>
      </c>
      <c r="H147" s="29" t="str">
        <f>IFERROR(VLOOKUP(A147,New!A:G,3,0),"لا يوجد مواعيد")</f>
        <v>دائري</v>
      </c>
      <c r="I147" s="29" t="str">
        <f>IFERROR(VLOOKUP(A147,New!A:H,2,0),"لا يوجد مواعيد")</f>
        <v>طلعة قليوب</v>
      </c>
    </row>
    <row r="148" spans="1:9">
      <c r="A148" s="34">
        <v>10305637</v>
      </c>
      <c r="B148" s="34" t="s">
        <v>2046</v>
      </c>
      <c r="C148" s="32">
        <v>0.416666666666667</v>
      </c>
      <c r="D148" s="32">
        <v>0.791666666666667</v>
      </c>
      <c r="E148" s="29">
        <f>IFERROR(VLOOKUP(A148,New!A:E,5,0),"لا يوجد مواعيد")</f>
        <v>1150906706</v>
      </c>
      <c r="F148" s="29">
        <f>IFERROR(VLOOKUP(A148,New!A:E,1,0),"لا يوجد مواعيد")</f>
        <v>10305637</v>
      </c>
      <c r="G148" s="29" t="str">
        <f>IFERROR(VLOOKUP(A148,New!A:F,4,0),"لا يوجد مواعيد")</f>
        <v>فرح لطفي</v>
      </c>
      <c r="H148" s="29" t="str">
        <f>IFERROR(VLOOKUP(A148,New!A:G,3,0),"لا يوجد مواعيد")</f>
        <v>ي - المعادي</v>
      </c>
      <c r="I148" s="29" t="str">
        <f>IFERROR(VLOOKUP(A148,New!A:H,2,0),"لا يوجد مواعيد")</f>
        <v>اكاديمية السادات</v>
      </c>
    </row>
    <row r="149" spans="1:9">
      <c r="A149" s="34">
        <v>10324569</v>
      </c>
      <c r="B149" s="34" t="s">
        <v>2047</v>
      </c>
      <c r="C149" s="32">
        <v>0.416666666666667</v>
      </c>
      <c r="D149" s="32">
        <v>0.875</v>
      </c>
      <c r="E149" s="29">
        <f>IFERROR(VLOOKUP(A149,New!A:E,5,0),"لا يوجد مواعيد")</f>
        <v>1013140756</v>
      </c>
      <c r="F149" s="29">
        <f>IFERROR(VLOOKUP(A149,New!A:E,1,0),"لا يوجد مواعيد")</f>
        <v>10324569</v>
      </c>
      <c r="G149" s="29" t="str">
        <f>IFERROR(VLOOKUP(A149,New!A:F,4,0),"لا يوجد مواعيد")</f>
        <v>عمار عصام الدين حسن</v>
      </c>
      <c r="H149" s="29" t="str">
        <f>IFERROR(VLOOKUP(A149,New!A:G,3,0),"لا يوجد مواعيد")</f>
        <v>و - مدينتي</v>
      </c>
      <c r="I149" s="29" t="str">
        <f>IFERROR(VLOOKUP(A149,New!A:H,2,0),"لا يوجد مواعيد")</f>
        <v>بوابة 1</v>
      </c>
    </row>
    <row r="150" spans="1:9">
      <c r="A150" s="34">
        <v>10336162</v>
      </c>
      <c r="B150" s="34" t="s">
        <v>2048</v>
      </c>
      <c r="C150" s="32">
        <v>0.458333333333333</v>
      </c>
      <c r="D150" s="32">
        <v>0.833333333333333</v>
      </c>
      <c r="E150" s="29">
        <f>IFERROR(VLOOKUP(A150,New!A:E,5,0),"لا يوجد مواعيد")</f>
        <v>0</v>
      </c>
      <c r="F150" s="29">
        <f>IFERROR(VLOOKUP(A150,New!A:E,1,0),"لا يوجد مواعيد")</f>
        <v>10336162</v>
      </c>
      <c r="G150" s="29" t="str">
        <f>IFERROR(VLOOKUP(A150,New!A:F,4,0),"لا يوجد مواعيد")</f>
        <v>هنا اشرف</v>
      </c>
      <c r="H150" s="29" t="str">
        <f>IFERROR(VLOOKUP(A150,New!A:G,3,0),"لا يوجد مواعيد")</f>
        <v>الزيتون و مصر الجديدة</v>
      </c>
      <c r="I150" s="29" t="str">
        <f>IFERROR(VLOOKUP(A150,New!A:H,2,0),"لا يوجد مواعيد")</f>
        <v>روكسي العبودي</v>
      </c>
    </row>
    <row r="151" spans="1:9">
      <c r="A151" s="34">
        <v>10338641</v>
      </c>
      <c r="B151" s="34" t="s">
        <v>2049</v>
      </c>
      <c r="C151" s="32">
        <v>0.458333333333333</v>
      </c>
      <c r="D151" s="32">
        <v>0.833333333333333</v>
      </c>
      <c r="E151" s="29">
        <f>IFERROR(VLOOKUP(A151,New!A:E,5,0),"لا يوجد مواعيد")</f>
        <v>0</v>
      </c>
      <c r="F151" s="29">
        <f>IFERROR(VLOOKUP(A151,New!A:E,1,0),"لا يوجد مواعيد")</f>
        <v>10338641</v>
      </c>
      <c r="G151" s="29" t="str">
        <f>IFERROR(VLOOKUP(A151,New!A:F,4,0),"لا يوجد مواعيد")</f>
        <v>حسن عبد الرحيم</v>
      </c>
      <c r="H151" s="29" t="str">
        <f>IFERROR(VLOOKUP(A151,New!A:G,3,0),"لا يوجد مواعيد")</f>
        <v>ي - المعادي</v>
      </c>
      <c r="I151" s="29" t="str">
        <f>IFERROR(VLOOKUP(A151,New!A:H,2,0),"لا يوجد مواعيد")</f>
        <v>المحكمة الدستورية</v>
      </c>
    </row>
    <row r="152" spans="1:9">
      <c r="A152" s="34">
        <v>10338959</v>
      </c>
      <c r="B152" s="34" t="s">
        <v>2050</v>
      </c>
      <c r="C152" s="32">
        <v>0.458333333333333</v>
      </c>
      <c r="D152" s="32">
        <v>0.833333333333333</v>
      </c>
      <c r="E152" s="29">
        <f>IFERROR(VLOOKUP(A152,New!A:E,5,0),"لا يوجد مواعيد")</f>
        <v>1094057169</v>
      </c>
      <c r="F152" s="29">
        <f>IFERROR(VLOOKUP(A152,New!A:E,1,0),"لا يوجد مواعيد")</f>
        <v>10338959</v>
      </c>
      <c r="G152" s="29" t="str">
        <f>IFERROR(VLOOKUP(A152,New!A:F,4,0),"لا يوجد مواعيد")</f>
        <v>محمد جمال</v>
      </c>
      <c r="H152" s="29" t="str">
        <f>IFERROR(VLOOKUP(A152,New!A:G,3,0),"لا يوجد مواعيد")</f>
        <v>حلوان و زهراء المعادي</v>
      </c>
      <c r="I152" s="29" t="str">
        <f>IFERROR(VLOOKUP(A152,New!A:H,2,0),"لا يوجد مواعيد")</f>
        <v>صالح صبحي</v>
      </c>
    </row>
    <row r="153" spans="1:9">
      <c r="A153" s="34">
        <v>10339433</v>
      </c>
      <c r="B153" s="34" t="s">
        <v>2051</v>
      </c>
      <c r="C153" s="32">
        <v>0.458333333333333</v>
      </c>
      <c r="D153" s="32">
        <v>0.833333333333333</v>
      </c>
      <c r="E153" s="29">
        <f>IFERROR(VLOOKUP(A153,New!A:E,5,0),"لا يوجد مواعيد")</f>
        <v>1065039320</v>
      </c>
      <c r="F153" s="29">
        <f>IFERROR(VLOOKUP(A153,New!A:E,1,0),"لا يوجد مواعيد")</f>
        <v>10339433</v>
      </c>
      <c r="G153" s="29" t="str">
        <f>IFERROR(VLOOKUP(A153,New!A:F,4,0),"لا يوجد مواعيد")</f>
        <v>إسراء صلاح</v>
      </c>
      <c r="H153" s="29" t="str">
        <f>IFERROR(VLOOKUP(A153,New!A:G,3,0),"لا يوجد مواعيد")</f>
        <v>الزيتون و مصر الجديدة</v>
      </c>
      <c r="I153" s="29" t="str">
        <f>IFERROR(VLOOKUP(A153,New!A:H,2,0),"لا يوجد مواعيد")</f>
        <v>المحكمة</v>
      </c>
    </row>
    <row r="154" spans="1:9">
      <c r="A154" s="34">
        <v>10339767</v>
      </c>
      <c r="B154" s="34" t="s">
        <v>2052</v>
      </c>
      <c r="C154" s="32">
        <v>0.458333333333333</v>
      </c>
      <c r="D154" s="32">
        <v>0.833333333333333</v>
      </c>
      <c r="E154" s="29">
        <f>IFERROR(VLOOKUP(A154,New!A:E,5,0),"لا يوجد مواعيد")</f>
        <v>1063902934</v>
      </c>
      <c r="F154" s="29">
        <f>IFERROR(VLOOKUP(A154,New!A:E,1,0),"لا يوجد مواعيد")</f>
        <v>10339767</v>
      </c>
      <c r="G154" s="29" t="str">
        <f>IFERROR(VLOOKUP(A154,New!A:F,4,0),"لا يوجد مواعيد")</f>
        <v>مروان حنفي</v>
      </c>
      <c r="H154" s="29" t="str">
        <f>IFERROR(VLOOKUP(A154,New!A:G,3,0),"لا يوجد مواعيد")</f>
        <v>حلوان و زهراء المعادي</v>
      </c>
      <c r="I154" s="29" t="str">
        <f>IFERROR(VLOOKUP(A154,New!A:H,2,0),"لا يوجد مواعيد")</f>
        <v>التوحيد و النور</v>
      </c>
    </row>
    <row r="155" spans="1:9">
      <c r="A155" s="34">
        <v>10334697</v>
      </c>
      <c r="B155" s="34" t="s">
        <v>2053</v>
      </c>
      <c r="C155" s="32">
        <v>0.458333333333333</v>
      </c>
      <c r="D155" s="32">
        <v>0.833333333333333</v>
      </c>
      <c r="E155" s="29">
        <f>IFERROR(VLOOKUP(A155,New!A:E,5,0),"لا يوجد مواعيد")</f>
        <v>1093119853</v>
      </c>
      <c r="F155" s="29">
        <f>IFERROR(VLOOKUP(A155,New!A:E,1,0),"لا يوجد مواعيد")</f>
        <v>10334697</v>
      </c>
      <c r="G155" s="29" t="str">
        <f>IFERROR(VLOOKUP(A155,New!A:F,4,0),"لا يوجد مواعيد")</f>
        <v>كريم محمد فوزي محمد</v>
      </c>
      <c r="H155" s="29" t="str">
        <f>IFERROR(VLOOKUP(A155,New!A:G,3,0),"لا يوجد مواعيد")</f>
        <v>م - الرحاب و التجمع</v>
      </c>
      <c r="I155" s="29" t="str">
        <f>IFERROR(VLOOKUP(A155,New!A:H,2,0),"لا يوجد مواعيد")</f>
        <v>ارابيلا</v>
      </c>
    </row>
    <row r="156" spans="1:9">
      <c r="A156" s="29">
        <v>10322837</v>
      </c>
      <c r="B156" s="29" t="s">
        <v>2054</v>
      </c>
      <c r="C156" s="32">
        <v>0.625</v>
      </c>
      <c r="D156" s="32">
        <v>0</v>
      </c>
      <c r="E156" s="29">
        <f>IFERROR(VLOOKUP(A156,New!A:E,5,0),"لا يوجد مواعيد")</f>
        <v>0</v>
      </c>
      <c r="F156" s="29">
        <f>IFERROR(VLOOKUP(A156,New!A:E,1,0),"لا يوجد مواعيد")</f>
        <v>10322837</v>
      </c>
      <c r="G156" s="29" t="str">
        <f>IFERROR(VLOOKUP(A156,New!A:F,4,0),"لا يوجد مواعيد")</f>
        <v>احمد صبحي</v>
      </c>
      <c r="H156" s="29" t="str">
        <f>IFERROR(VLOOKUP(A156,New!A:G,3,0),"لا يوجد مواعيد")</f>
        <v>حدائق القبة</v>
      </c>
      <c r="I156" s="29" t="str">
        <f>IFERROR(VLOOKUP(A156,New!A:H,2,0),"لا يوجد مواعيد")</f>
        <v>ولي العهد</v>
      </c>
    </row>
    <row r="157" spans="1:9">
      <c r="A157" s="29">
        <v>10298155</v>
      </c>
      <c r="B157" s="29" t="s">
        <v>2055</v>
      </c>
      <c r="C157" s="32">
        <v>0.458333333333333</v>
      </c>
      <c r="D157" s="32">
        <v>0.833333333333333</v>
      </c>
      <c r="E157" s="29">
        <f>IFERROR(VLOOKUP(A157,New!A:E,5,0),"لا يوجد مواعيد")</f>
        <v>1124118982</v>
      </c>
      <c r="F157" s="29">
        <f>IFERROR(VLOOKUP(A157,New!A:E,1,0),"لا يوجد مواعيد")</f>
        <v>10298155</v>
      </c>
      <c r="G157" s="29" t="str">
        <f>IFERROR(VLOOKUP(A157,New!A:F,4,0),"لا يوجد مواعيد")</f>
        <v>وليد محمد</v>
      </c>
      <c r="H157" s="29" t="str">
        <f>IFERROR(VLOOKUP(A157,New!A:G,3,0),"لا يوجد مواعيد")</f>
        <v>المهندسين</v>
      </c>
      <c r="I157" s="29" t="str">
        <f>IFERROR(VLOOKUP(A157,New!A:H,2,0),"لا يوجد مواعيد")</f>
        <v>ميدان لبنان</v>
      </c>
    </row>
    <row r="158" spans="1:9">
      <c r="A158" s="29">
        <v>10277655</v>
      </c>
      <c r="B158" s="29" t="s">
        <v>2056</v>
      </c>
      <c r="C158" s="32" t="s">
        <v>1937</v>
      </c>
      <c r="D158" s="32" t="s">
        <v>1937</v>
      </c>
      <c r="E158" s="29">
        <f>IFERROR(VLOOKUP(A158,New!A:E,5,0),"لا يوجد مواعيد")</f>
        <v>1016236987</v>
      </c>
      <c r="F158" s="29">
        <f>IFERROR(VLOOKUP(A158,New!A:E,1,0),"لا يوجد مواعيد")</f>
        <v>10277655</v>
      </c>
      <c r="G158" s="29" t="str">
        <f>IFERROR(VLOOKUP(A158,New!A:F,4,0),"لا يوجد مواعيد")</f>
        <v>محمود سعد راغب</v>
      </c>
      <c r="H158" s="29" t="str">
        <f>IFERROR(VLOOKUP(A158,New!A:G,3,0),"لا يوجد مواعيد")</f>
        <v>المهندسين</v>
      </c>
      <c r="I158" s="29" t="str">
        <f>IFERROR(VLOOKUP(A158,New!A:H,2,0),"لا يوجد مواعيد")</f>
        <v>عمر افندي</v>
      </c>
    </row>
    <row r="159" spans="1:9">
      <c r="A159" s="29">
        <v>10317390</v>
      </c>
      <c r="B159" s="29" t="s">
        <v>2057</v>
      </c>
      <c r="C159" s="32">
        <v>0.458333333333333</v>
      </c>
      <c r="D159" s="32">
        <v>0.833333333333333</v>
      </c>
      <c r="E159" s="29">
        <f>IFERROR(VLOOKUP(A159,New!A:E,5,0),"لا يوجد مواعيد")</f>
        <v>1116015770</v>
      </c>
      <c r="F159" s="29">
        <f>IFERROR(VLOOKUP(A159,New!A:E,1,0),"لا يوجد مواعيد")</f>
        <v>10317390</v>
      </c>
      <c r="G159" s="29" t="str">
        <f>IFERROR(VLOOKUP(A159,New!A:F,4,0),"لا يوجد مواعيد")</f>
        <v>احمد السيد</v>
      </c>
      <c r="H159" s="29" t="str">
        <f>IFERROR(VLOOKUP(A159,New!A:G,3,0),"لا يوجد مواعيد")</f>
        <v>الزيتون و مصر الجديدة</v>
      </c>
      <c r="I159" s="29" t="str">
        <f>IFERROR(VLOOKUP(A159,New!A:H,2,0),"لا يوجد مواعيد")</f>
        <v>الف مسكن</v>
      </c>
    </row>
    <row r="160" spans="1:9">
      <c r="A160" s="29">
        <v>10273571</v>
      </c>
      <c r="B160" s="29" t="s">
        <v>2058</v>
      </c>
      <c r="C160" s="32">
        <v>0.5</v>
      </c>
      <c r="D160" s="32">
        <v>0.875</v>
      </c>
      <c r="E160" s="29">
        <f>IFERROR(VLOOKUP(A160,New!A:E,5,0),"لا يوجد مواعيد")</f>
        <v>1154947311</v>
      </c>
      <c r="F160" s="29">
        <f>IFERROR(VLOOKUP(A160,New!A:E,1,0),"لا يوجد مواعيد")</f>
        <v>10273571</v>
      </c>
      <c r="G160" s="29" t="str">
        <f>IFERROR(VLOOKUP(A160,New!A:F,4,0),"لا يوجد مواعيد")</f>
        <v>بلال جمال</v>
      </c>
      <c r="H160" s="29" t="str">
        <f>IFERROR(VLOOKUP(A160,New!A:G,3,0),"لا يوجد مواعيد")</f>
        <v>فيصل</v>
      </c>
      <c r="I160" s="29" t="str">
        <f>IFERROR(VLOOKUP(A160,New!A:H,2,0),"لا يوجد مواعيد")</f>
        <v>العروبة</v>
      </c>
    </row>
    <row r="161" spans="1:9">
      <c r="A161" s="29">
        <v>10339919</v>
      </c>
      <c r="B161" s="29" t="s">
        <v>2059</v>
      </c>
      <c r="C161" s="32">
        <v>0.5</v>
      </c>
      <c r="D161" s="32">
        <v>0.875</v>
      </c>
      <c r="E161" s="29">
        <f>IFERROR(VLOOKUP(A161,New!A:E,5,0),"لا يوجد مواعيد")</f>
        <v>1201035557</v>
      </c>
      <c r="F161" s="29">
        <f>IFERROR(VLOOKUP(A161,New!A:E,1,0),"لا يوجد مواعيد")</f>
        <v>10339919</v>
      </c>
      <c r="G161" s="29" t="str">
        <f>IFERROR(VLOOKUP(A161,New!A:F,4,0),"لا يوجد مواعيد")</f>
        <v>مريان سليمان</v>
      </c>
      <c r="H161" s="29" t="str">
        <f>IFERROR(VLOOKUP(A161,New!A:G,3,0),"لا يوجد مواعيد")</f>
        <v>العباسية و الضاهر</v>
      </c>
      <c r="I161" s="29" t="str">
        <f>IFERROR(VLOOKUP(A161,New!A:H,2,0),"لا يوجد مواعيد")</f>
        <v>معرض علاء الدين</v>
      </c>
    </row>
    <row r="162" spans="1:9">
      <c r="A162" s="29">
        <v>10322691</v>
      </c>
      <c r="B162" s="29" t="s">
        <v>2060</v>
      </c>
      <c r="C162" s="32" t="s">
        <v>1937</v>
      </c>
      <c r="D162" s="32" t="s">
        <v>1937</v>
      </c>
      <c r="E162" s="29">
        <f>IFERROR(VLOOKUP(A162,New!A:E,5,0),"لا يوجد مواعيد")</f>
        <v>1094846872</v>
      </c>
      <c r="F162" s="29">
        <f>IFERROR(VLOOKUP(A162,New!A:E,1,0),"لا يوجد مواعيد")</f>
        <v>10322691</v>
      </c>
      <c r="G162" s="29" t="str">
        <f>IFERROR(VLOOKUP(A162,New!A:F,4,0),"لا يوجد مواعيد")</f>
        <v>مارفيل ميلاد</v>
      </c>
      <c r="H162" s="29" t="str">
        <f>IFERROR(VLOOKUP(A162,New!A:G,3,0),"لا يوجد مواعيد")</f>
        <v>الزيتون و مصر الجديدة</v>
      </c>
      <c r="I162" s="29" t="str">
        <f>IFERROR(VLOOKUP(A162,New!A:H,2,0),"لا يوجد مواعيد")</f>
        <v>الجراج</v>
      </c>
    </row>
    <row r="163" spans="1:9">
      <c r="A163" s="29">
        <v>10338960</v>
      </c>
      <c r="B163" s="29" t="s">
        <v>2061</v>
      </c>
      <c r="C163" s="32">
        <v>0.5</v>
      </c>
      <c r="D163" s="32">
        <v>0.875</v>
      </c>
      <c r="E163" s="29">
        <f>IFERROR(VLOOKUP(A163,New!A:E,5,0),"لا يوجد مواعيد")</f>
        <v>1063373593</v>
      </c>
      <c r="F163" s="29">
        <f>IFERROR(VLOOKUP(A163,New!A:E,1,0),"لا يوجد مواعيد")</f>
        <v>10338960</v>
      </c>
      <c r="G163" s="29" t="str">
        <f>IFERROR(VLOOKUP(A163,New!A:F,4,0),"لا يوجد مواعيد")</f>
        <v>منى صلاح</v>
      </c>
      <c r="H163" s="29" t="str">
        <f>IFERROR(VLOOKUP(A163,New!A:G,3,0),"لا يوجد مواعيد")</f>
        <v>فيصل</v>
      </c>
      <c r="I163" s="29" t="str">
        <f>IFERROR(VLOOKUP(A163,New!A:H,2,0),"لا يوجد مواعيد")</f>
        <v>مريوطية</v>
      </c>
    </row>
    <row r="164" spans="1:9">
      <c r="A164" s="29">
        <v>10334668</v>
      </c>
      <c r="B164" s="29" t="s">
        <v>2062</v>
      </c>
      <c r="C164" s="32">
        <v>0.5</v>
      </c>
      <c r="D164" s="32">
        <v>0.875</v>
      </c>
      <c r="E164" s="29">
        <f>IFERROR(VLOOKUP(A164,New!A:E,5,0),"لا يوجد مواعيد")</f>
        <v>1067876527</v>
      </c>
      <c r="F164" s="29">
        <f>IFERROR(VLOOKUP(A164,New!A:E,1,0),"لا يوجد مواعيد")</f>
        <v>10334668</v>
      </c>
      <c r="G164" s="29" t="str">
        <f>IFERROR(VLOOKUP(A164,New!A:F,4,0),"لا يوجد مواعيد")</f>
        <v>مؤمن جمال</v>
      </c>
      <c r="H164" s="29" t="str">
        <f>IFERROR(VLOOKUP(A164,New!A:G,3,0),"لا يوجد مواعيد")</f>
        <v>حلوان و زهراء المعادي</v>
      </c>
      <c r="I164" s="29" t="str">
        <f>IFERROR(VLOOKUP(A164,New!A:H,2,0),"لا يوجد مواعيد")</f>
        <v>المعصرة الاتوستراد</v>
      </c>
    </row>
    <row r="165" spans="1:9">
      <c r="A165" s="29">
        <v>10337898</v>
      </c>
      <c r="B165" s="29" t="s">
        <v>2063</v>
      </c>
      <c r="C165" s="32">
        <v>0.5</v>
      </c>
      <c r="D165" s="32">
        <v>0.875</v>
      </c>
      <c r="E165" s="29">
        <f>IFERROR(VLOOKUP(A165,New!A:E,5,0),"لا يوجد مواعيد")</f>
        <v>1005356050</v>
      </c>
      <c r="F165" s="29">
        <f>IFERROR(VLOOKUP(A165,New!A:E,1,0),"لا يوجد مواعيد")</f>
        <v>10337898</v>
      </c>
      <c r="G165" s="29" t="str">
        <f>IFERROR(VLOOKUP(A165,New!A:F,4,0),"لا يوجد مواعيد")</f>
        <v>شادي احمد</v>
      </c>
      <c r="H165" s="29" t="str">
        <f>IFERROR(VLOOKUP(A165,New!A:G,3,0),"لا يوجد مواعيد")</f>
        <v>م - المقطم</v>
      </c>
      <c r="I165" s="29" t="str">
        <f>IFERROR(VLOOKUP(A165,New!A:H,2,0),"لا يوجد مواعيد")</f>
        <v>كريم بنونة</v>
      </c>
    </row>
    <row r="166" spans="1:9">
      <c r="A166" s="29">
        <v>10337895</v>
      </c>
      <c r="B166" s="29" t="s">
        <v>2064</v>
      </c>
      <c r="C166" s="32">
        <v>0.625</v>
      </c>
      <c r="D166" s="32">
        <v>0</v>
      </c>
      <c r="E166" s="29">
        <f>IFERROR(VLOOKUP(A166,New!A:E,5,0),"لا يوجد مواعيد")</f>
        <v>0</v>
      </c>
      <c r="F166" s="29">
        <f>IFERROR(VLOOKUP(A166,New!A:E,1,0),"لا يوجد مواعيد")</f>
        <v>10337895</v>
      </c>
      <c r="G166" s="29" t="str">
        <f>IFERROR(VLOOKUP(A166,New!A:F,4,0),"لا يوجد مواعيد")</f>
        <v>حسن عرفة</v>
      </c>
      <c r="H166" s="29" t="str">
        <f>IFERROR(VLOOKUP(A166,New!A:G,3,0),"لا يوجد مواعيد")</f>
        <v>دائري</v>
      </c>
      <c r="I166" s="29" t="str">
        <f>IFERROR(VLOOKUP(A166,New!A:H,2,0),"لا يوجد مواعيد")</f>
        <v>السلام</v>
      </c>
    </row>
    <row r="167" spans="1:9">
      <c r="A167" s="29">
        <v>10339003</v>
      </c>
      <c r="B167" s="29" t="s">
        <v>2065</v>
      </c>
      <c r="C167" s="32" t="s">
        <v>1937</v>
      </c>
      <c r="D167" s="32" t="s">
        <v>1937</v>
      </c>
      <c r="E167" s="29">
        <f>IFERROR(VLOOKUP(A167,New!A:E,5,0),"لا يوجد مواعيد")</f>
        <v>1200098880</v>
      </c>
      <c r="F167" s="29">
        <f>IFERROR(VLOOKUP(A167,New!A:E,1,0),"لا يوجد مواعيد")</f>
        <v>10339003</v>
      </c>
      <c r="G167" s="29" t="str">
        <f>IFERROR(VLOOKUP(A167,New!A:F,4,0),"لا يوجد مواعيد")</f>
        <v>رفيق منصور</v>
      </c>
      <c r="H167" s="29" t="str">
        <f>IFERROR(VLOOKUP(A167,New!A:G,3,0),"لا يوجد مواعيد")</f>
        <v>مدينة نصر</v>
      </c>
      <c r="I167" s="29" t="str">
        <f>IFERROR(VLOOKUP(A167,New!A:H,2,0),"لا يوجد مواعيد")</f>
        <v>مسجد السلام</v>
      </c>
    </row>
    <row r="168" spans="1:9">
      <c r="A168" s="29">
        <v>10292112</v>
      </c>
      <c r="B168" s="29" t="s">
        <v>2066</v>
      </c>
      <c r="C168" s="32">
        <v>0.5</v>
      </c>
      <c r="D168" s="32">
        <v>0.875</v>
      </c>
      <c r="E168" s="29">
        <f>IFERROR(VLOOKUP(A168,New!A:E,5,0),"لا يوجد مواعيد")</f>
        <v>1159449690</v>
      </c>
      <c r="F168" s="29">
        <f>IFERROR(VLOOKUP(A168,New!A:E,1,0),"لا يوجد مواعيد")</f>
        <v>10292112</v>
      </c>
      <c r="G168" s="29" t="str">
        <f>IFERROR(VLOOKUP(A168,New!A:F,4,0),"لا يوجد مواعيد")</f>
        <v>منة الله رمضان</v>
      </c>
      <c r="H168" s="29" t="str">
        <f>IFERROR(VLOOKUP(A168,New!A:G,3,0),"لا يوجد مواعيد")</f>
        <v>حدائق الاهرام</v>
      </c>
      <c r="I168" s="29" t="str">
        <f>IFERROR(VLOOKUP(A168,New!A:H,2,0),"لا يوجد مواعيد")</f>
        <v>بوابة 4</v>
      </c>
    </row>
    <row r="169" spans="1:9">
      <c r="A169" s="29">
        <v>10238685</v>
      </c>
      <c r="B169" s="29" t="s">
        <v>2067</v>
      </c>
      <c r="C169" s="32">
        <v>0.625</v>
      </c>
      <c r="D169" s="32">
        <v>0</v>
      </c>
      <c r="E169" s="29">
        <f>IFERROR(VLOOKUP(A169,New!A:E,5,0),"لا يوجد مواعيد")</f>
        <v>1111897624</v>
      </c>
      <c r="F169" s="29">
        <f>IFERROR(VLOOKUP(A169,New!A:E,1,0),"لا يوجد مواعيد")</f>
        <v>10238685</v>
      </c>
      <c r="G169" s="29" t="str">
        <f>IFERROR(VLOOKUP(A169,New!A:F,4,0),"لا يوجد مواعيد")</f>
        <v>تيم ليدر - محمد هانى</v>
      </c>
      <c r="H169" s="29" t="str">
        <f>IFERROR(VLOOKUP(A169,New!A:G,3,0),"لا يوجد مواعيد")</f>
        <v>م - المقطم</v>
      </c>
      <c r="I169" s="29" t="str">
        <f>IFERROR(VLOOKUP(A169,New!A:H,2,0),"لا يوجد مواعيد")</f>
        <v>كريم بنونة</v>
      </c>
    </row>
    <row r="170" spans="1:9">
      <c r="A170" s="29">
        <v>10269201</v>
      </c>
      <c r="B170" s="29" t="s">
        <v>2068</v>
      </c>
      <c r="C170" s="32">
        <v>0.625</v>
      </c>
      <c r="D170" s="32">
        <v>0</v>
      </c>
      <c r="E170" s="29">
        <f>IFERROR(VLOOKUP(A170,New!A:E,5,0),"لا يوجد مواعيد")</f>
        <v>0</v>
      </c>
      <c r="F170" s="29">
        <f>IFERROR(VLOOKUP(A170,New!A:E,1,0),"لا يوجد مواعيد")</f>
        <v>10269201</v>
      </c>
      <c r="G170" s="29" t="str">
        <f>IFERROR(VLOOKUP(A170,New!A:F,4,0),"لا يوجد مواعيد")</f>
        <v>عمر سيف</v>
      </c>
      <c r="H170" s="29" t="str">
        <f>IFERROR(VLOOKUP(A170,New!A:G,3,0),"لا يوجد مواعيد")</f>
        <v>اكتوبر و زايد</v>
      </c>
      <c r="I170" s="29" t="str">
        <f>IFERROR(VLOOKUP(A170,New!A:H,2,0),"لا يوجد مواعيد")</f>
        <v>هايبر 1</v>
      </c>
    </row>
    <row r="171" spans="1:9">
      <c r="A171" s="29">
        <v>10342535</v>
      </c>
      <c r="B171" s="29" t="s">
        <v>2069</v>
      </c>
      <c r="C171" s="32">
        <v>0.625</v>
      </c>
      <c r="D171" s="32">
        <v>0</v>
      </c>
      <c r="E171" s="29">
        <f>IFERROR(VLOOKUP(A171,New!A:E,5,0),"لا يوجد مواعيد")</f>
        <v>1004594906</v>
      </c>
      <c r="F171" s="29">
        <f>IFERROR(VLOOKUP(A171,New!A:E,1,0),"لا يوجد مواعيد")</f>
        <v>10342535</v>
      </c>
      <c r="G171" s="29" t="str">
        <f>IFERROR(VLOOKUP(A171,New!A:F,4,0),"لا يوجد مواعيد")</f>
        <v>ندى نجد</v>
      </c>
      <c r="H171" s="29" t="str">
        <f>IFERROR(VLOOKUP(A171,New!A:G,3,0),"لا يوجد مواعيد")</f>
        <v>م - الرحاب و التجمع</v>
      </c>
      <c r="I171" s="29" t="str">
        <f>IFERROR(VLOOKUP(A171,New!A:H,2,0),"لا يوجد مواعيد")</f>
        <v>الجزيرة</v>
      </c>
    </row>
    <row r="172" spans="1:9">
      <c r="A172" s="29">
        <v>10342600</v>
      </c>
      <c r="B172" s="29" t="s">
        <v>2070</v>
      </c>
      <c r="C172" s="32">
        <v>0.625</v>
      </c>
      <c r="D172" s="32">
        <v>0</v>
      </c>
      <c r="E172" s="29">
        <f>IFERROR(VLOOKUP(A172,New!A:E,5,0),"لا يوجد مواعيد")</f>
        <v>1050882233</v>
      </c>
      <c r="F172" s="29">
        <f>IFERROR(VLOOKUP(A172,New!A:E,1,0),"لا يوجد مواعيد")</f>
        <v>10342600</v>
      </c>
      <c r="G172" s="29" t="str">
        <f>IFERROR(VLOOKUP(A172,New!A:F,4,0),"لا يوجد مواعيد")</f>
        <v>محمود مصطفى</v>
      </c>
      <c r="H172" s="29" t="str">
        <f>IFERROR(VLOOKUP(A172,New!A:G,3,0),"لا يوجد مواعيد")</f>
        <v>مدينة نصر</v>
      </c>
      <c r="I172" s="29" t="str">
        <f>IFERROR(VLOOKUP(A172,New!A:H,2,0),"لا يوجد مواعيد")</f>
        <v>مسجد السلام</v>
      </c>
    </row>
    <row r="173" spans="1:9">
      <c r="A173" s="29">
        <v>10342605</v>
      </c>
      <c r="B173" s="29" t="s">
        <v>2071</v>
      </c>
      <c r="C173" s="32" t="s">
        <v>1937</v>
      </c>
      <c r="D173" s="32" t="s">
        <v>1937</v>
      </c>
      <c r="E173" s="29">
        <f>IFERROR(VLOOKUP(A173,New!A:E,5,0),"لا يوجد مواعيد")</f>
        <v>1557058135</v>
      </c>
      <c r="F173" s="29">
        <f>IFERROR(VLOOKUP(A173,New!A:E,1,0),"لا يوجد مواعيد")</f>
        <v>10342605</v>
      </c>
      <c r="G173" s="29" t="str">
        <f>IFERROR(VLOOKUP(A173,New!A:F,4,0),"لا يوجد مواعيد")</f>
        <v>عبدالله محمد</v>
      </c>
      <c r="H173" s="29" t="str">
        <f>IFERROR(VLOOKUP(A173,New!A:G,3,0),"لا يوجد مواعيد")</f>
        <v>اكتوبر و زايد</v>
      </c>
      <c r="I173" s="29" t="str">
        <f>IFERROR(VLOOKUP(A173,New!A:H,2,0),"لا يوجد مواعيد")</f>
        <v>فودافون</v>
      </c>
    </row>
    <row r="174" spans="1:9">
      <c r="A174" s="29">
        <v>10342702</v>
      </c>
      <c r="B174" s="29" t="s">
        <v>2072</v>
      </c>
      <c r="C174" s="32" t="s">
        <v>1937</v>
      </c>
      <c r="D174" s="32" t="s">
        <v>1937</v>
      </c>
      <c r="E174" s="29">
        <f>IFERROR(VLOOKUP(A174,New!A:E,5,0),"لا يوجد مواعيد")</f>
        <v>1060838031</v>
      </c>
      <c r="F174" s="29">
        <f>IFERROR(VLOOKUP(A174,New!A:E,1,0),"لا يوجد مواعيد")</f>
        <v>10342702</v>
      </c>
      <c r="G174" s="29" t="str">
        <f>IFERROR(VLOOKUP(A174,New!A:F,4,0),"لا يوجد مواعيد")</f>
        <v>احمد عصام</v>
      </c>
      <c r="H174" s="29" t="str">
        <f>IFERROR(VLOOKUP(A174,New!A:G,3,0),"لا يوجد مواعيد")</f>
        <v>دائري</v>
      </c>
      <c r="I174" s="29" t="str">
        <f>IFERROR(VLOOKUP(A174,New!A:H,2,0),"لا يوجد مواعيد")</f>
        <v>السلام</v>
      </c>
    </row>
    <row r="175" spans="1:9">
      <c r="A175" s="29">
        <v>10335553</v>
      </c>
      <c r="B175" s="29" t="s">
        <v>2073</v>
      </c>
      <c r="C175" s="32" t="s">
        <v>1937</v>
      </c>
      <c r="D175" s="32" t="s">
        <v>1937</v>
      </c>
      <c r="E175" s="29">
        <f>IFERROR(VLOOKUP(A175,New!A:E,5,0),"لا يوجد مواعيد")</f>
        <v>1024295852</v>
      </c>
      <c r="F175" s="29">
        <f>IFERROR(VLOOKUP(A175,New!A:E,1,0),"لا يوجد مواعيد")</f>
        <v>10335553</v>
      </c>
      <c r="G175" s="29" t="str">
        <f>IFERROR(VLOOKUP(A175,New!A:F,4,0),"لا يوجد مواعيد")</f>
        <v>حبيبة عمرو</v>
      </c>
      <c r="H175" s="29" t="str">
        <f>IFERROR(VLOOKUP(A175,New!A:G,3,0),"لا يوجد مواعيد")</f>
        <v>الزيتون و مصر الجديدة</v>
      </c>
      <c r="I175" s="29" t="str">
        <f>IFERROR(VLOOKUP(A175,New!A:H,2,0),"لا يوجد مواعيد")</f>
        <v>الف مسكن</v>
      </c>
    </row>
    <row r="176" spans="1:9">
      <c r="A176" s="29">
        <v>10335592</v>
      </c>
      <c r="B176" s="29" t="s">
        <v>2074</v>
      </c>
      <c r="C176" s="32">
        <v>0.5</v>
      </c>
      <c r="D176" s="32">
        <v>0.875</v>
      </c>
      <c r="E176" s="29">
        <f>IFERROR(VLOOKUP(A176,New!A:E,5,0),"لا يوجد مواعيد")</f>
        <v>1201433368</v>
      </c>
      <c r="F176" s="29">
        <f>IFERROR(VLOOKUP(A176,New!A:E,1,0),"لا يوجد مواعيد")</f>
        <v>10335592</v>
      </c>
      <c r="G176" s="29" t="str">
        <f>IFERROR(VLOOKUP(A176,New!A:F,4,0),"لا يوجد مواعيد")</f>
        <v>حسن أسامة</v>
      </c>
      <c r="H176" s="29" t="str">
        <f>IFERROR(VLOOKUP(A176,New!A:G,3,0),"لا يوجد مواعيد")</f>
        <v>العباسية و الضاهر</v>
      </c>
      <c r="I176" s="29" t="str">
        <f>IFERROR(VLOOKUP(A176,New!A:H,2,0),"لا يوجد مواعيد")</f>
        <v>معرض علاء الدين</v>
      </c>
    </row>
    <row r="177" spans="1:9">
      <c r="A177" s="29">
        <v>10335700</v>
      </c>
      <c r="B177" s="29" t="s">
        <v>2075</v>
      </c>
      <c r="C177" s="32">
        <v>0.625</v>
      </c>
      <c r="D177" s="32">
        <v>0</v>
      </c>
      <c r="E177" s="29">
        <f>IFERROR(VLOOKUP(A177,New!A:E,5,0),"لا يوجد مواعيد")</f>
        <v>1032446401</v>
      </c>
      <c r="F177" s="29">
        <f>IFERROR(VLOOKUP(A177,New!A:E,1,0),"لا يوجد مواعيد")</f>
        <v>10335700</v>
      </c>
      <c r="G177" s="29" t="str">
        <f>IFERROR(VLOOKUP(A177,New!A:F,4,0),"لا يوجد مواعيد")</f>
        <v>سلمى احمد طعيمة</v>
      </c>
      <c r="H177" s="29" t="str">
        <f>IFERROR(VLOOKUP(A177,New!A:G,3,0),"لا يوجد مواعيد")</f>
        <v>الزيتون و مصر الجديدة</v>
      </c>
      <c r="I177" s="29" t="str">
        <f>IFERROR(VLOOKUP(A177,New!A:H,2,0),"لا يوجد مواعيد")</f>
        <v>روكسي العبودي</v>
      </c>
    </row>
    <row r="178" spans="1:9">
      <c r="A178" s="29">
        <v>10334740</v>
      </c>
      <c r="B178" s="29" t="s">
        <v>2076</v>
      </c>
      <c r="C178" s="32" t="s">
        <v>1937</v>
      </c>
      <c r="D178" s="32" t="s">
        <v>1937</v>
      </c>
      <c r="E178" s="29">
        <f>IFERROR(VLOOKUP(A178,New!A:E,5,0),"لا يوجد مواعيد")</f>
        <v>1107584541</v>
      </c>
      <c r="F178" s="29">
        <f>IFERROR(VLOOKUP(A178,New!A:E,1,0),"لا يوجد مواعيد")</f>
        <v>10334740</v>
      </c>
      <c r="G178" s="29" t="str">
        <f>IFERROR(VLOOKUP(A178,New!A:F,4,0),"لا يوجد مواعيد")</f>
        <v>نبى فيصل</v>
      </c>
      <c r="H178" s="29" t="str">
        <f>IFERROR(VLOOKUP(A178,New!A:G,3,0),"لا يوجد مواعيد")</f>
        <v>فيصل</v>
      </c>
      <c r="I178" s="29" t="str">
        <f>IFERROR(VLOOKUP(A178,New!A:H,2,0),"لا يوجد مواعيد")</f>
        <v>مريوطية</v>
      </c>
    </row>
    <row r="179" spans="1:9">
      <c r="A179" s="29">
        <v>10337709</v>
      </c>
      <c r="B179" s="29" t="s">
        <v>2077</v>
      </c>
      <c r="C179" s="32">
        <v>0.625</v>
      </c>
      <c r="D179" s="32">
        <v>0</v>
      </c>
      <c r="E179" s="29">
        <f>IFERROR(VLOOKUP(A179,New!A:E,5,0),"لا يوجد مواعيد")</f>
        <v>1126055226</v>
      </c>
      <c r="F179" s="29">
        <f>IFERROR(VLOOKUP(A179,New!A:E,1,0),"لا يوجد مواعيد")</f>
        <v>10337709</v>
      </c>
      <c r="G179" s="29" t="str">
        <f>IFERROR(VLOOKUP(A179,New!A:F,4,0),"لا يوجد مواعيد")</f>
        <v>شروق حمدي</v>
      </c>
      <c r="H179" s="29" t="str">
        <f>IFERROR(VLOOKUP(A179,New!A:G,3,0),"لا يوجد مواعيد")</f>
        <v>الزيتون و مصر الجديدة</v>
      </c>
      <c r="I179" s="29" t="str">
        <f>IFERROR(VLOOKUP(A179,New!A:H,2,0),"لا يوجد مواعيد")</f>
        <v>روكسي العبودي</v>
      </c>
    </row>
    <row r="180" spans="1:9">
      <c r="A180" s="29">
        <v>10337712</v>
      </c>
      <c r="B180" s="29" t="s">
        <v>2078</v>
      </c>
      <c r="C180" s="32">
        <v>0.625</v>
      </c>
      <c r="D180" s="32">
        <v>0</v>
      </c>
      <c r="E180" s="29">
        <f>IFERROR(VLOOKUP(A180,New!A:E,5,0),"لا يوجد مواعيد")</f>
        <v>1091057261</v>
      </c>
      <c r="F180" s="29">
        <f>IFERROR(VLOOKUP(A180,New!A:E,1,0),"لا يوجد مواعيد")</f>
        <v>10337712</v>
      </c>
      <c r="G180" s="29" t="str">
        <f>IFERROR(VLOOKUP(A180,New!A:F,4,0),"لا يوجد مواعيد")</f>
        <v>يوسف طارق زين</v>
      </c>
      <c r="H180" s="29" t="str">
        <f>IFERROR(VLOOKUP(A180,New!A:G,3,0),"لا يوجد مواعيد")</f>
        <v>حلوان و زهراء المعادي</v>
      </c>
      <c r="I180" s="29" t="str">
        <f>IFERROR(VLOOKUP(A180,New!A:H,2,0),"لا يوجد مواعيد")</f>
        <v>صالح صبحي</v>
      </c>
    </row>
    <row r="181" spans="1:9">
      <c r="A181" s="29">
        <v>10337715</v>
      </c>
      <c r="B181" s="29" t="s">
        <v>2079</v>
      </c>
      <c r="C181" s="32">
        <v>0.625</v>
      </c>
      <c r="D181" s="32">
        <v>0</v>
      </c>
      <c r="E181" s="29">
        <f>IFERROR(VLOOKUP(A181,New!A:E,5,0),"لا يوجد مواعيد")</f>
        <v>1125925881</v>
      </c>
      <c r="F181" s="29">
        <f>IFERROR(VLOOKUP(A181,New!A:E,1,0),"لا يوجد مواعيد")</f>
        <v>10337715</v>
      </c>
      <c r="G181" s="29" t="str">
        <f>IFERROR(VLOOKUP(A181,New!A:F,4,0),"لا يوجد مواعيد")</f>
        <v>معتصم احمد</v>
      </c>
      <c r="H181" s="29" t="str">
        <f>IFERROR(VLOOKUP(A181,New!A:G,3,0),"لا يوجد مواعيد")</f>
        <v>الزيتون و مصر الجديدة</v>
      </c>
      <c r="I181" s="29" t="str">
        <f>IFERROR(VLOOKUP(A181,New!A:H,2,0),"لا يوجد مواعيد")</f>
        <v>هليوبليس</v>
      </c>
    </row>
    <row r="182" spans="1:9">
      <c r="A182" s="29">
        <v>10341802</v>
      </c>
      <c r="B182" s="29" t="s">
        <v>2080</v>
      </c>
      <c r="C182" s="32" t="s">
        <v>1937</v>
      </c>
      <c r="D182" s="32" t="s">
        <v>1937</v>
      </c>
      <c r="E182" s="29">
        <f>IFERROR(VLOOKUP(A182,New!A:E,5,0),"لا يوجد مواعيد")</f>
        <v>1116092120</v>
      </c>
      <c r="F182" s="29">
        <f>IFERROR(VLOOKUP(A182,New!A:E,1,0),"لا يوجد مواعيد")</f>
        <v>10341802</v>
      </c>
      <c r="G182" s="29" t="str">
        <f>IFERROR(VLOOKUP(A182,New!A:F,4,0),"لا يوجد مواعيد")</f>
        <v>منة الله أحمد</v>
      </c>
      <c r="H182" s="29" t="str">
        <f>IFERROR(VLOOKUP(A182,New!A:G,3,0),"لا يوجد مواعيد")</f>
        <v>مدينة نصر</v>
      </c>
      <c r="I182" s="29" t="str">
        <f>IFERROR(VLOOKUP(A182,New!A:H,2,0),"لا يوجد مواعيد")</f>
        <v>ميدان رابعة</v>
      </c>
    </row>
    <row r="183" spans="1:9">
      <c r="A183" s="29">
        <v>10341792</v>
      </c>
      <c r="B183" s="29" t="s">
        <v>2081</v>
      </c>
      <c r="C183" s="32" t="s">
        <v>1937</v>
      </c>
      <c r="D183" s="32" t="s">
        <v>1937</v>
      </c>
      <c r="E183" s="29">
        <f>IFERROR(VLOOKUP(A183,New!A:E,5,0),"لا يوجد مواعيد")</f>
        <v>1104749534</v>
      </c>
      <c r="F183" s="29">
        <f>IFERROR(VLOOKUP(A183,New!A:E,1,0),"لا يوجد مواعيد")</f>
        <v>10341792</v>
      </c>
      <c r="G183" s="29" t="str">
        <f>IFERROR(VLOOKUP(A183,New!A:F,4,0),"لا يوجد مواعيد")</f>
        <v>محمد عمر احمد</v>
      </c>
      <c r="H183" s="29" t="str">
        <f>IFERROR(VLOOKUP(A183,New!A:G,3,0),"لا يوجد مواعيد")</f>
        <v>الزيتون و مصر الجديدة</v>
      </c>
      <c r="I183" s="29" t="str">
        <f>IFERROR(VLOOKUP(A183,New!A:H,2,0),"لا يوجد مواعيد")</f>
        <v>الجراج</v>
      </c>
    </row>
    <row r="184" spans="1:9">
      <c r="A184" s="29">
        <v>10342593</v>
      </c>
      <c r="B184" s="29" t="s">
        <v>2082</v>
      </c>
      <c r="C184" s="32" t="s">
        <v>1937</v>
      </c>
      <c r="D184" s="32" t="s">
        <v>1937</v>
      </c>
      <c r="E184" s="29">
        <f>IFERROR(VLOOKUP(A184,New!A:E,5,0),"لا يوجد مواعيد")</f>
        <v>1127251029</v>
      </c>
      <c r="F184" s="29">
        <f>IFERROR(VLOOKUP(A184,New!A:E,1,0),"لا يوجد مواعيد")</f>
        <v>10342593</v>
      </c>
      <c r="G184" s="29" t="str">
        <f>IFERROR(VLOOKUP(A184,New!A:F,4,0),"لا يوجد مواعيد")</f>
        <v>رزان محمد</v>
      </c>
      <c r="H184" s="29" t="str">
        <f>IFERROR(VLOOKUP(A184,New!A:G,3,0),"لا يوجد مواعيد")</f>
        <v>فيصل</v>
      </c>
      <c r="I184" s="29" t="str">
        <f>IFERROR(VLOOKUP(A184,New!A:H,2,0),"لا يوجد مواعيد")</f>
        <v>الطوابق</v>
      </c>
    </row>
    <row r="185" spans="1:9">
      <c r="A185" s="29">
        <v>10342602</v>
      </c>
      <c r="B185" s="29" t="s">
        <v>2083</v>
      </c>
      <c r="C185" s="32">
        <v>0.625</v>
      </c>
      <c r="D185" s="32">
        <v>0</v>
      </c>
      <c r="E185" s="29">
        <f>IFERROR(VLOOKUP(A185,New!A:E,5,0),"لا يوجد مواعيد")</f>
        <v>1069323958</v>
      </c>
      <c r="F185" s="29">
        <f>IFERROR(VLOOKUP(A185,New!A:E,1,0),"لا يوجد مواعيد")</f>
        <v>10342602</v>
      </c>
      <c r="G185" s="29" t="str">
        <f>IFERROR(VLOOKUP(A185,New!A:F,4,0),"لا يوجد مواعيد")</f>
        <v>اشرقت نشأت</v>
      </c>
      <c r="H185" s="29" t="str">
        <f>IFERROR(VLOOKUP(A185,New!A:G,3,0),"لا يوجد مواعيد")</f>
        <v>العباسية و الضاهر</v>
      </c>
      <c r="I185" s="29" t="str">
        <f>IFERROR(VLOOKUP(A185,New!A:H,2,0),"لا يوجد مواعيد")</f>
        <v>ميدان العباسة</v>
      </c>
    </row>
    <row r="186" spans="1:9">
      <c r="A186" s="29">
        <v>10342599</v>
      </c>
      <c r="B186" s="29" t="s">
        <v>1981</v>
      </c>
      <c r="C186" s="32">
        <v>0.625</v>
      </c>
      <c r="D186" s="32">
        <v>0</v>
      </c>
      <c r="E186" s="29">
        <f>IFERROR(VLOOKUP(A186,New!A:E,5,0),"لا يوجد مواعيد")</f>
        <v>1063707011</v>
      </c>
      <c r="F186" s="29">
        <f>IFERROR(VLOOKUP(A186,New!A:E,1,0),"لا يوجد مواعيد")</f>
        <v>10342599</v>
      </c>
      <c r="G186" s="29" t="str">
        <f>IFERROR(VLOOKUP(A186,New!A:F,4,0),"لا يوجد مواعيد")</f>
        <v>محمد اسامة</v>
      </c>
      <c r="H186" s="29" t="str">
        <f>IFERROR(VLOOKUP(A186,New!A:G,3,0),"لا يوجد مواعيد")</f>
        <v>حلوان و زهراء المعادي</v>
      </c>
      <c r="I186" s="29" t="str">
        <f>IFERROR(VLOOKUP(A186,New!A:H,2,0),"لا يوجد مواعيد")</f>
        <v>سلم البارون</v>
      </c>
    </row>
    <row r="187" spans="1:9">
      <c r="A187" s="29">
        <v>10342713</v>
      </c>
      <c r="B187" s="29" t="s">
        <v>2084</v>
      </c>
      <c r="C187" s="32">
        <v>0.625</v>
      </c>
      <c r="D187" s="32">
        <v>0</v>
      </c>
      <c r="E187" s="29">
        <f>IFERROR(VLOOKUP(A187,New!A:E,5,0),"لا يوجد مواعيد")</f>
        <v>1155948092</v>
      </c>
      <c r="F187" s="29">
        <f>IFERROR(VLOOKUP(A187,New!A:E,1,0),"لا يوجد مواعيد")</f>
        <v>10342713</v>
      </c>
      <c r="G187" s="29" t="str">
        <f>IFERROR(VLOOKUP(A187,New!A:F,4,0),"لا يوجد مواعيد")</f>
        <v>يوسف ناصر</v>
      </c>
      <c r="H187" s="29" t="str">
        <f>IFERROR(VLOOKUP(A187,New!A:G,3,0),"لا يوجد مواعيد")</f>
        <v>فيصل</v>
      </c>
      <c r="I187" s="29" t="str">
        <f>IFERROR(VLOOKUP(A187,New!A:H,2,0),"لا يوجد مواعيد")</f>
        <v>طالبية</v>
      </c>
    </row>
    <row r="188" spans="1:9">
      <c r="A188" s="29">
        <v>10331412</v>
      </c>
      <c r="B188" s="29" t="s">
        <v>2085</v>
      </c>
      <c r="C188" s="32">
        <v>0.625</v>
      </c>
      <c r="D188" s="32">
        <v>0</v>
      </c>
      <c r="E188" s="29">
        <f>IFERROR(VLOOKUP(A188,New!A:E,5,0),"لا يوجد مواعيد")</f>
        <v>1281804393</v>
      </c>
      <c r="F188" s="29">
        <f>IFERROR(VLOOKUP(A188,New!A:E,1,0),"لا يوجد مواعيد")</f>
        <v>10331412</v>
      </c>
      <c r="G188" s="29" t="str">
        <f>IFERROR(VLOOKUP(A188,New!A:F,4,0),"لا يوجد مواعيد")</f>
        <v>جون مدحت</v>
      </c>
      <c r="H188" s="29" t="str">
        <f>IFERROR(VLOOKUP(A188,New!A:G,3,0),"لا يوجد مواعيد")</f>
        <v>شبرا</v>
      </c>
      <c r="I188" s="29" t="str">
        <f>IFERROR(VLOOKUP(A188,New!A:H,2,0),"لا يوجد مواعيد")</f>
        <v>الخلفاوي</v>
      </c>
    </row>
    <row r="189" spans="1:9">
      <c r="A189" s="29">
        <v>10337716</v>
      </c>
      <c r="B189" s="29" t="s">
        <v>2086</v>
      </c>
      <c r="C189" s="32" t="s">
        <v>2087</v>
      </c>
      <c r="D189" s="32" t="s">
        <v>2087</v>
      </c>
      <c r="E189" s="29">
        <f>IFERROR(VLOOKUP(A189,New!A:E,5,0),"لا يوجد مواعيد")</f>
        <v>1012097623</v>
      </c>
      <c r="F189" s="29">
        <f>IFERROR(VLOOKUP(A189,New!A:E,1,0),"لا يوجد مواعيد")</f>
        <v>10337716</v>
      </c>
      <c r="G189" s="29" t="str">
        <f>IFERROR(VLOOKUP(A189,New!A:F,4,0),"لا يوجد مواعيد")</f>
        <v>محمود احمد</v>
      </c>
      <c r="H189" s="29" t="str">
        <f>IFERROR(VLOOKUP(A189,New!A:G,3,0),"لا يوجد مواعيد")</f>
        <v>العبور</v>
      </c>
      <c r="I189" s="29" t="str">
        <f>IFERROR(VLOOKUP(A189,New!A:H,2,0),"لا يوجد مواعيد")</f>
        <v>كارفور العبور</v>
      </c>
    </row>
    <row r="190" spans="1:9">
      <c r="A190" s="29">
        <v>10337780</v>
      </c>
      <c r="B190" s="29" t="s">
        <v>2088</v>
      </c>
      <c r="C190" s="32">
        <v>0.625</v>
      </c>
      <c r="D190" s="32">
        <v>0</v>
      </c>
      <c r="E190" s="29" t="str">
        <f>IFERROR(VLOOKUP(A190,New!A:E,5,0),"لا يوجد مواعيد")</f>
        <v>1286978689 / 249961368405 / 1065721642</v>
      </c>
      <c r="F190" s="29">
        <f>IFERROR(VLOOKUP(A190,New!A:E,1,0),"لا يوجد مواعيد")</f>
        <v>10337780</v>
      </c>
      <c r="G190" s="29" t="str">
        <f>IFERROR(VLOOKUP(A190,New!A:F,4,0),"لا يوجد مواعيد")</f>
        <v>صالح عمير</v>
      </c>
      <c r="H190" s="29" t="str">
        <f>IFERROR(VLOOKUP(A190,New!A:G,3,0),"لا يوجد مواعيد")</f>
        <v>فيصل</v>
      </c>
      <c r="I190" s="29" t="str">
        <f>IFERROR(VLOOKUP(A190,New!A:H,2,0),"لا يوجد مواعيد")</f>
        <v>العروبة</v>
      </c>
    </row>
    <row r="191" spans="1:9">
      <c r="A191" s="29">
        <v>10337764</v>
      </c>
      <c r="B191" s="29" t="s">
        <v>2089</v>
      </c>
      <c r="C191" s="32" t="s">
        <v>1937</v>
      </c>
      <c r="D191" s="32" t="s">
        <v>1937</v>
      </c>
      <c r="E191" s="29">
        <f>IFERROR(VLOOKUP(A191,New!A:E,5,0),"لا يوجد مواعيد")</f>
        <v>1006463109</v>
      </c>
      <c r="F191" s="29">
        <f>IFERROR(VLOOKUP(A191,New!A:E,1,0),"لا يوجد مواعيد")</f>
        <v>10337764</v>
      </c>
      <c r="G191" s="29" t="str">
        <f>IFERROR(VLOOKUP(A191,New!A:F,4,0),"لا يوجد مواعيد")</f>
        <v>مجذوب عوض</v>
      </c>
      <c r="H191" s="29" t="str">
        <f>IFERROR(VLOOKUP(A191,New!A:G,3,0),"لا يوجد مواعيد")</f>
        <v>فيصل</v>
      </c>
      <c r="I191" s="29" t="str">
        <f>IFERROR(VLOOKUP(A191,New!A:H,2,0),"لا يوجد مواعيد")</f>
        <v>الابيض</v>
      </c>
    </row>
    <row r="192" spans="1:9">
      <c r="A192" s="29">
        <v>10339037</v>
      </c>
      <c r="B192" s="29" t="s">
        <v>2090</v>
      </c>
      <c r="C192" s="32">
        <v>0.625</v>
      </c>
      <c r="D192" s="32">
        <v>0</v>
      </c>
      <c r="E192" s="29">
        <f>IFERROR(VLOOKUP(A192,New!A:E,5,0),"لا يوجد مواعيد")</f>
        <v>1207058893</v>
      </c>
      <c r="F192" s="29">
        <f>IFERROR(VLOOKUP(A192,New!A:E,1,0),"لا يوجد مواعيد")</f>
        <v>10339037</v>
      </c>
      <c r="G192" s="29" t="str">
        <f>IFERROR(VLOOKUP(A192,New!A:F,4,0),"لا يوجد مواعيد")</f>
        <v>ساندرا ممدوح</v>
      </c>
      <c r="H192" s="29" t="str">
        <f>IFERROR(VLOOKUP(A192,New!A:G,3,0),"لا يوجد مواعيد")</f>
        <v>العبور</v>
      </c>
      <c r="I192" s="29" t="str">
        <f>IFERROR(VLOOKUP(A192,New!A:H,2,0),"لا يوجد مواعيد")</f>
        <v>كارفور العبور</v>
      </c>
    </row>
    <row r="193" spans="1:9">
      <c r="A193" s="29">
        <v>10341787</v>
      </c>
      <c r="B193" s="29" t="s">
        <v>2091</v>
      </c>
      <c r="C193" s="32">
        <v>0.5</v>
      </c>
      <c r="D193" s="32">
        <v>0.875</v>
      </c>
      <c r="E193" s="29">
        <f>IFERROR(VLOOKUP(A193,New!A:E,5,0),"لا يوجد مواعيد")</f>
        <v>1029176161</v>
      </c>
      <c r="F193" s="29">
        <f>IFERROR(VLOOKUP(A193,New!A:E,1,0),"لا يوجد مواعيد")</f>
        <v>10341787</v>
      </c>
      <c r="G193" s="29" t="str">
        <f>IFERROR(VLOOKUP(A193,New!A:F,4,0),"لا يوجد مواعيد")</f>
        <v>إسراء عادل</v>
      </c>
      <c r="H193" s="29" t="str">
        <f>IFERROR(VLOOKUP(A193,New!A:G,3,0),"لا يوجد مواعيد")</f>
        <v>شبرا</v>
      </c>
      <c r="I193" s="29" t="str">
        <f>IFERROR(VLOOKUP(A193,New!A:H,2,0),"لا يوجد مواعيد")</f>
        <v>الخلفاوي</v>
      </c>
    </row>
    <row r="194" spans="1:9">
      <c r="A194" s="29">
        <v>10341782</v>
      </c>
      <c r="B194" s="29" t="s">
        <v>2092</v>
      </c>
      <c r="C194" s="32" t="s">
        <v>1937</v>
      </c>
      <c r="D194" s="32" t="s">
        <v>1937</v>
      </c>
      <c r="E194" s="29">
        <f>IFERROR(VLOOKUP(A194,New!A:E,5,0),"لا يوجد مواعيد")</f>
        <v>1505369674</v>
      </c>
      <c r="F194" s="29">
        <f>IFERROR(VLOOKUP(A194,New!A:E,1,0),"لا يوجد مواعيد")</f>
        <v>10341782</v>
      </c>
      <c r="G194" s="29" t="str">
        <f>IFERROR(VLOOKUP(A194,New!A:F,4,0),"لا يوجد مواعيد")</f>
        <v>سعد عبدالنبي</v>
      </c>
      <c r="H194" s="29" t="str">
        <f>IFERROR(VLOOKUP(A194,New!A:G,3,0),"لا يوجد مواعيد")</f>
        <v>المهندسين</v>
      </c>
      <c r="I194" s="29" t="str">
        <f>IFERROR(VLOOKUP(A194,New!A:H,2,0),"لا يوجد مواعيد")</f>
        <v>عمر افندي</v>
      </c>
    </row>
    <row r="195" spans="1:9">
      <c r="A195" s="29">
        <v>10341883</v>
      </c>
      <c r="B195" s="29" t="s">
        <v>2093</v>
      </c>
      <c r="C195" s="32">
        <v>0.5</v>
      </c>
      <c r="D195" s="32">
        <v>0.875</v>
      </c>
      <c r="E195" s="29" t="str">
        <f>IFERROR(VLOOKUP(A195,New!A:E,5,0),"لا يوجد مواعيد")</f>
        <v>1505323984 / 249125010078</v>
      </c>
      <c r="F195" s="29">
        <f>IFERROR(VLOOKUP(A195,New!A:E,1,0),"لا يوجد مواعيد")</f>
        <v>10341883</v>
      </c>
      <c r="G195" s="29" t="str">
        <f>IFERROR(VLOOKUP(A195,New!A:F,4,0),"لا يوجد مواعيد")</f>
        <v>ريان طارق</v>
      </c>
      <c r="H195" s="29" t="str">
        <f>IFERROR(VLOOKUP(A195,New!A:G,3,0),"لا يوجد مواعيد")</f>
        <v>حدائق الاهرام</v>
      </c>
      <c r="I195" s="29" t="str">
        <f>IFERROR(VLOOKUP(A195,New!A:H,2,0),"لا يوجد مواعيد")</f>
        <v>بوابة 1</v>
      </c>
    </row>
    <row r="196" spans="1:9">
      <c r="A196" s="29">
        <v>10341002</v>
      </c>
      <c r="B196" s="29" t="s">
        <v>2094</v>
      </c>
      <c r="C196" s="32">
        <v>0.5</v>
      </c>
      <c r="D196" s="32">
        <v>0.875</v>
      </c>
      <c r="E196" s="29">
        <f>IFERROR(VLOOKUP(A196,New!A:E,5,0),"لا يوجد مواعيد")</f>
        <v>1117299576</v>
      </c>
      <c r="F196" s="29">
        <f>IFERROR(VLOOKUP(A196,New!A:E,1,0),"لا يوجد مواعيد")</f>
        <v>10341002</v>
      </c>
      <c r="G196" s="29" t="str">
        <f>IFERROR(VLOOKUP(A196,New!A:F,4,0),"لا يوجد مواعيد")</f>
        <v>يحيى محمد</v>
      </c>
      <c r="H196" s="29" t="str">
        <f>IFERROR(VLOOKUP(A196,New!A:G,3,0),"لا يوجد مواعيد")</f>
        <v>فيصل</v>
      </c>
      <c r="I196" s="29" t="str">
        <f>IFERROR(VLOOKUP(A196,New!A:H,2,0),"لا يوجد مواعيد")</f>
        <v>الابيض</v>
      </c>
    </row>
    <row r="197" spans="1:9">
      <c r="A197" s="29">
        <v>10342536</v>
      </c>
      <c r="B197" s="29" t="s">
        <v>2095</v>
      </c>
      <c r="C197" s="32">
        <v>0.5</v>
      </c>
      <c r="D197" s="32">
        <v>0.875</v>
      </c>
      <c r="E197" s="29">
        <f>IFERROR(VLOOKUP(A197,New!A:E,5,0),"لا يوجد مواعيد")</f>
        <v>1146683422</v>
      </c>
      <c r="F197" s="29">
        <f>IFERROR(VLOOKUP(A197,New!A:E,1,0),"لا يوجد مواعيد")</f>
        <v>10342536</v>
      </c>
      <c r="G197" s="29" t="str">
        <f>IFERROR(VLOOKUP(A197,New!A:F,4,0),"لا يوجد مواعيد")</f>
        <v>وفاء عصام</v>
      </c>
      <c r="H197" s="29" t="str">
        <f>IFERROR(VLOOKUP(A197,New!A:G,3,0),"لا يوجد مواعيد")</f>
        <v>فيصل</v>
      </c>
      <c r="I197" s="29" t="str">
        <f>IFERROR(VLOOKUP(A197,New!A:H,2,0),"لا يوجد مواعيد")</f>
        <v>طوابق</v>
      </c>
    </row>
    <row r="198" spans="1:9">
      <c r="A198" s="29">
        <v>10342712</v>
      </c>
      <c r="B198" s="29" t="s">
        <v>2096</v>
      </c>
      <c r="C198" s="32">
        <v>0.625</v>
      </c>
      <c r="D198" s="32">
        <v>0</v>
      </c>
      <c r="E198" s="29">
        <f>IFERROR(VLOOKUP(A198,New!A:E,5,0),"لا يوجد مواعيد")</f>
        <v>1143159790</v>
      </c>
      <c r="F198" s="29">
        <f>IFERROR(VLOOKUP(A198,New!A:E,1,0),"لا يوجد مواعيد")</f>
        <v>10342712</v>
      </c>
      <c r="G198" s="29" t="str">
        <f>IFERROR(VLOOKUP(A198,New!A:F,4,0),"لا يوجد مواعيد")</f>
        <v>طارق احمد السيسي</v>
      </c>
      <c r="H198" s="29" t="str">
        <f>IFERROR(VLOOKUP(A198,New!A:G,3,0),"لا يوجد مواعيد")</f>
        <v>فيصل</v>
      </c>
      <c r="I198" s="29" t="str">
        <f>IFERROR(VLOOKUP(A198,New!A:H,2,0),"لا يوجد مواعيد")</f>
        <v>طوابق</v>
      </c>
    </row>
    <row r="199" spans="1:9">
      <c r="A199" s="29">
        <v>10337665</v>
      </c>
      <c r="B199" s="29" t="s">
        <v>2097</v>
      </c>
      <c r="C199" s="32">
        <v>0.625</v>
      </c>
      <c r="D199" s="32">
        <v>0</v>
      </c>
      <c r="E199" s="29">
        <f>IFERROR(VLOOKUP(A199,New!A:E,5,0),"لا يوجد مواعيد")</f>
        <v>1008871412</v>
      </c>
      <c r="F199" s="29">
        <f>IFERROR(VLOOKUP(A199,New!A:E,1,0),"لا يوجد مواعيد")</f>
        <v>10337665</v>
      </c>
      <c r="G199" s="29" t="str">
        <f>IFERROR(VLOOKUP(A199,New!A:F,4,0),"لا يوجد مواعيد")</f>
        <v>علي عبد النبي</v>
      </c>
      <c r="H199" s="29" t="str">
        <f>IFERROR(VLOOKUP(A199,New!A:G,3,0),"لا يوجد مواعيد")</f>
        <v>حلوان و زهراء المعادي</v>
      </c>
      <c r="I199" s="29" t="str">
        <f>IFERROR(VLOOKUP(A199,New!A:H,2,0),"لا يوجد مواعيد")</f>
        <v>سلم صقر قريش</v>
      </c>
    </row>
    <row r="200" spans="1:9">
      <c r="A200" s="29">
        <v>10337753</v>
      </c>
      <c r="B200" s="29" t="s">
        <v>2098</v>
      </c>
      <c r="C200" s="32">
        <v>0.5</v>
      </c>
      <c r="D200" s="32">
        <v>0.875</v>
      </c>
      <c r="E200" s="29">
        <f>IFERROR(VLOOKUP(A200,New!A:E,5,0),"لا يوجد مواعيد")</f>
        <v>1092042039</v>
      </c>
      <c r="F200" s="29">
        <f>IFERROR(VLOOKUP(A200,New!A:E,1,0),"لا يوجد مواعيد")</f>
        <v>10337753</v>
      </c>
      <c r="G200" s="29" t="str">
        <f>IFERROR(VLOOKUP(A200,New!A:F,4,0),"لا يوجد مواعيد")</f>
        <v>علي الجندي</v>
      </c>
      <c r="H200" s="29" t="str">
        <f>IFERROR(VLOOKUP(A200,New!A:G,3,0),"لا يوجد مواعيد")</f>
        <v>م - الرحاب و التجمع</v>
      </c>
      <c r="I200" s="29" t="str">
        <f>IFERROR(VLOOKUP(A200,New!A:H,2,0),"لا يوجد مواعيد")</f>
        <v>الجزيرة</v>
      </c>
    </row>
    <row r="201" spans="1:9">
      <c r="A201" s="29">
        <v>10338986</v>
      </c>
      <c r="B201" s="29" t="s">
        <v>2099</v>
      </c>
      <c r="C201" s="32">
        <v>0.625</v>
      </c>
      <c r="D201" s="32">
        <v>0</v>
      </c>
      <c r="E201" s="29">
        <f>IFERROR(VLOOKUP(A201,New!A:E,5,0),"لا يوجد مواعيد")</f>
        <v>1153387787</v>
      </c>
      <c r="F201" s="29">
        <f>IFERROR(VLOOKUP(A201,New!A:E,1,0),"لا يوجد مواعيد")</f>
        <v>10338986</v>
      </c>
      <c r="G201" s="29" t="str">
        <f>IFERROR(VLOOKUP(A201,New!A:F,4,0),"لا يوجد مواعيد")</f>
        <v>صالح عيسى صالح</v>
      </c>
      <c r="H201" s="29" t="str">
        <f>IFERROR(VLOOKUP(A201,New!A:G,3,0),"لا يوجد مواعيد")</f>
        <v>الزيتون و مصر الجديدة</v>
      </c>
      <c r="I201" s="29" t="str">
        <f>IFERROR(VLOOKUP(A201,New!A:H,2,0),"لا يوجد مواعيد")</f>
        <v>روكسي العبودي</v>
      </c>
    </row>
    <row r="202" spans="1:9">
      <c r="A202" s="29">
        <v>10339002</v>
      </c>
      <c r="B202" s="29" t="s">
        <v>2100</v>
      </c>
      <c r="C202" s="32">
        <v>0.5</v>
      </c>
      <c r="D202" s="32">
        <v>0.875</v>
      </c>
      <c r="E202" s="29">
        <f>IFERROR(VLOOKUP(A202,New!A:E,5,0),"لا يوجد مواعيد")</f>
        <v>1147521823</v>
      </c>
      <c r="F202" s="29">
        <f>IFERROR(VLOOKUP(A202,New!A:E,1,0),"لا يوجد مواعيد")</f>
        <v>10339002</v>
      </c>
      <c r="G202" s="29" t="str">
        <f>IFERROR(VLOOKUP(A202,New!A:F,4,0),"لا يوجد مواعيد")</f>
        <v>احمد موسى</v>
      </c>
      <c r="H202" s="29" t="str">
        <f>IFERROR(VLOOKUP(A202,New!A:G,3,0),"لا يوجد مواعيد")</f>
        <v>المهندسين</v>
      </c>
      <c r="I202" s="29" t="str">
        <f>IFERROR(VLOOKUP(A202,New!A:H,2,0),"لا يوجد مواعيد")</f>
        <v>ميدان لبنان</v>
      </c>
    </row>
    <row r="203" spans="1:9">
      <c r="A203" s="29">
        <v>10339010</v>
      </c>
      <c r="B203" s="29" t="s">
        <v>2101</v>
      </c>
      <c r="C203" s="32" t="s">
        <v>1937</v>
      </c>
      <c r="D203" s="32" t="s">
        <v>1937</v>
      </c>
      <c r="E203" s="29" t="str">
        <f>IFERROR(VLOOKUP(A203,New!A:E,5,0),"لا يوجد مواعيد")</f>
        <v>1155576946 / 1157830831</v>
      </c>
      <c r="F203" s="29">
        <f>IFERROR(VLOOKUP(A203,New!A:E,1,0),"لا يوجد مواعيد")</f>
        <v>10339010</v>
      </c>
      <c r="G203" s="29" t="str">
        <f>IFERROR(VLOOKUP(A203,New!A:F,4,0),"لا يوجد مواعيد")</f>
        <v>مروان محمد</v>
      </c>
      <c r="H203" s="29" t="str">
        <f>IFERROR(VLOOKUP(A203,New!A:G,3,0),"لا يوجد مواعيد")</f>
        <v>فيصل</v>
      </c>
      <c r="I203" s="29" t="str">
        <f>IFERROR(VLOOKUP(A203,New!A:H,2,0),"لا يوجد مواعيد")</f>
        <v>العشرين</v>
      </c>
    </row>
    <row r="204" spans="1:9">
      <c r="A204" s="29">
        <v>10338975</v>
      </c>
      <c r="B204" s="29" t="s">
        <v>2102</v>
      </c>
      <c r="C204" s="32" t="s">
        <v>1937</v>
      </c>
      <c r="D204" s="32" t="s">
        <v>1937</v>
      </c>
      <c r="E204" s="29">
        <f>IFERROR(VLOOKUP(A204,New!A:E,5,0),"لا يوجد مواعيد")</f>
        <v>1147658749</v>
      </c>
      <c r="F204" s="29">
        <f>IFERROR(VLOOKUP(A204,New!A:E,1,0),"لا يوجد مواعيد")</f>
        <v>10338975</v>
      </c>
      <c r="G204" s="29" t="str">
        <f>IFERROR(VLOOKUP(A204,New!A:F,4,0),"لا يوجد مواعيد")</f>
        <v>ألفريد ألبينو مايكل</v>
      </c>
      <c r="H204" s="29" t="str">
        <f>IFERROR(VLOOKUP(A204,New!A:G,3,0),"لا يوجد مواعيد")</f>
        <v>الزيتون و مصر الجديدة</v>
      </c>
      <c r="I204" s="29" t="str">
        <f>IFERROR(VLOOKUP(A204,New!A:H,2,0),"لا يوجد مواعيد")</f>
        <v>الجراج</v>
      </c>
    </row>
    <row r="205" spans="1:9">
      <c r="A205" s="29">
        <v>10338973</v>
      </c>
      <c r="B205" s="29" t="s">
        <v>2103</v>
      </c>
      <c r="C205" s="32">
        <v>0.625</v>
      </c>
      <c r="D205" s="32">
        <v>0</v>
      </c>
      <c r="E205" s="29">
        <f>IFERROR(VLOOKUP(A205,New!A:E,5,0),"لا يوجد مواعيد")</f>
        <v>1061453502</v>
      </c>
      <c r="F205" s="29">
        <f>IFERROR(VLOOKUP(A205,New!A:E,1,0),"لا يوجد مواعيد")</f>
        <v>10338973</v>
      </c>
      <c r="G205" s="29" t="str">
        <f>IFERROR(VLOOKUP(A205,New!A:F,4,0),"لا يوجد مواعيد")</f>
        <v>شهد جلال</v>
      </c>
      <c r="H205" s="29" t="str">
        <f>IFERROR(VLOOKUP(A205,New!A:G,3,0),"لا يوجد مواعيد")</f>
        <v>مدينة نصر</v>
      </c>
      <c r="I205" s="29" t="str">
        <f>IFERROR(VLOOKUP(A205,New!A:H,2,0),"لا يوجد مواعيد")</f>
        <v>كشري هند الحي العاشر</v>
      </c>
    </row>
    <row r="206" spans="1:9">
      <c r="A206" s="29">
        <v>10339243</v>
      </c>
      <c r="B206" s="29" t="s">
        <v>2104</v>
      </c>
      <c r="C206" s="32">
        <v>0.625</v>
      </c>
      <c r="D206" s="32">
        <v>0</v>
      </c>
      <c r="E206" s="29" t="str">
        <f>IFERROR(VLOOKUP(A206,New!A:E,5,0),"لا يوجد مواعيد")</f>
        <v>1551778327 / 249117715774</v>
      </c>
      <c r="F206" s="29">
        <f>IFERROR(VLOOKUP(A206,New!A:E,1,0),"لا يوجد مواعيد")</f>
        <v>10339243</v>
      </c>
      <c r="G206" s="29" t="str">
        <f>IFERROR(VLOOKUP(A206,New!A:F,4,0),"لا يوجد مواعيد")</f>
        <v>عبد الرحمن ابوعبيدة المهدي</v>
      </c>
      <c r="H206" s="29" t="str">
        <f>IFERROR(VLOOKUP(A206,New!A:G,3,0),"لا يوجد مواعيد")</f>
        <v>فيصل</v>
      </c>
      <c r="I206" s="29" t="str">
        <f>IFERROR(VLOOKUP(A206,New!A:H,2,0),"لا يوجد مواعيد")</f>
        <v>العروبة</v>
      </c>
    </row>
    <row r="207" spans="1:9">
      <c r="A207" s="29">
        <v>10341798</v>
      </c>
      <c r="B207" s="29" t="s">
        <v>2105</v>
      </c>
      <c r="C207" s="32">
        <v>0.5</v>
      </c>
      <c r="D207" s="32">
        <v>0.875</v>
      </c>
      <c r="E207" s="29">
        <f>IFERROR(VLOOKUP(A207,New!A:E,5,0),"لا يوجد مواعيد")</f>
        <v>1152255932</v>
      </c>
      <c r="F207" s="29">
        <f>IFERROR(VLOOKUP(A207,New!A:E,1,0),"لا يوجد مواعيد")</f>
        <v>10341798</v>
      </c>
      <c r="G207" s="29" t="str">
        <f>IFERROR(VLOOKUP(A207,New!A:F,4,0),"لا يوجد مواعيد")</f>
        <v>دانا البرقوني</v>
      </c>
      <c r="H207" s="29" t="str">
        <f>IFERROR(VLOOKUP(A207,New!A:G,3,0),"لا يوجد مواعيد")</f>
        <v>م - الرحاب و التجمع</v>
      </c>
      <c r="I207" s="29" t="str">
        <f>IFERROR(VLOOKUP(A207,New!A:H,2,0),"لا يوجد مواعيد")</f>
        <v>ارابيلا</v>
      </c>
    </row>
    <row r="208" spans="1:9">
      <c r="A208" s="29">
        <v>10341880</v>
      </c>
      <c r="B208" s="29" t="s">
        <v>2106</v>
      </c>
      <c r="C208" s="32">
        <v>0.5</v>
      </c>
      <c r="D208" s="32">
        <v>0.875</v>
      </c>
      <c r="E208" s="29">
        <f>IFERROR(VLOOKUP(A208,New!A:E,5,0),"لا يوجد مواعيد")</f>
        <v>1152061157</v>
      </c>
      <c r="F208" s="29">
        <f>IFERROR(VLOOKUP(A208,New!A:E,1,0),"لا يوجد مواعيد")</f>
        <v>10341880</v>
      </c>
      <c r="G208" s="29" t="str">
        <f>IFERROR(VLOOKUP(A208,New!A:F,4,0),"لا يوجد مواعيد")</f>
        <v>علاء محمد الامين</v>
      </c>
      <c r="H208" s="29" t="str">
        <f>IFERROR(VLOOKUP(A208,New!A:G,3,0),"لا يوجد مواعيد")</f>
        <v>حدائق الاهرام</v>
      </c>
      <c r="I208" s="29" t="str">
        <f>IFERROR(VLOOKUP(A208,New!A:H,2,0),"لا يوجد مواعيد")</f>
        <v>بوابة 3</v>
      </c>
    </row>
    <row r="209" spans="1:9">
      <c r="A209" s="29">
        <v>10337730</v>
      </c>
      <c r="B209" s="29" t="s">
        <v>2107</v>
      </c>
      <c r="C209" s="32">
        <v>0.625</v>
      </c>
      <c r="D209" s="32">
        <v>0</v>
      </c>
      <c r="E209" s="29">
        <f>IFERROR(VLOOKUP(A209,New!A:E,5,0),"لا يوجد مواعيد")</f>
        <v>1060778921</v>
      </c>
      <c r="F209" s="29">
        <f>IFERROR(VLOOKUP(A209,New!A:E,1,0),"لا يوجد مواعيد")</f>
        <v>10337730</v>
      </c>
      <c r="G209" s="29" t="str">
        <f>IFERROR(VLOOKUP(A209,New!A:F,4,0),"لا يوجد مواعيد")</f>
        <v>عز الدين اشرف</v>
      </c>
      <c r="H209" s="29" t="str">
        <f>IFERROR(VLOOKUP(A209,New!A:G,3,0),"لا يوجد مواعيد")</f>
        <v>مدينة نصر</v>
      </c>
      <c r="I209" s="29" t="str">
        <f>IFERROR(VLOOKUP(A209,New!A:H,2,0),"لا يوجد مواعيد")</f>
        <v>كشري هند الحي العاشر</v>
      </c>
    </row>
    <row r="210" spans="1:9">
      <c r="A210" s="29">
        <v>10337776</v>
      </c>
      <c r="B210" s="29" t="s">
        <v>2108</v>
      </c>
      <c r="C210" s="32" t="s">
        <v>2087</v>
      </c>
      <c r="D210" s="32" t="s">
        <v>2087</v>
      </c>
      <c r="E210" s="29">
        <f>IFERROR(VLOOKUP(A210,New!A:E,5,0),"لا يوجد مواعيد")</f>
        <v>1277329318</v>
      </c>
      <c r="F210" s="29">
        <f>IFERROR(VLOOKUP(A210,New!A:E,1,0),"لا يوجد مواعيد")</f>
        <v>10337776</v>
      </c>
      <c r="G210" s="29" t="str">
        <f>IFERROR(VLOOKUP(A210,New!A:F,4,0),"لا يوجد مواعيد")</f>
        <v>شروق تيسير</v>
      </c>
      <c r="H210" s="29" t="str">
        <f>IFERROR(VLOOKUP(A210,New!A:G,3,0),"لا يوجد مواعيد")</f>
        <v>فيصل</v>
      </c>
      <c r="I210" s="29" t="str">
        <f>IFERROR(VLOOKUP(A210,New!A:H,2,0),"لا يوجد مواعيد")</f>
        <v>الابيض</v>
      </c>
    </row>
    <row r="211" spans="1:9">
      <c r="A211" s="29">
        <v>10337733</v>
      </c>
      <c r="B211" s="29" t="s">
        <v>2109</v>
      </c>
      <c r="C211" s="32">
        <v>0.5</v>
      </c>
      <c r="D211" s="32">
        <v>0.875</v>
      </c>
      <c r="E211" s="29">
        <f>IFERROR(VLOOKUP(A211,New!A:E,5,0),"لا يوجد مواعيد")</f>
        <v>1102314764</v>
      </c>
      <c r="F211" s="29">
        <f>IFERROR(VLOOKUP(A211,New!A:E,1,0),"لا يوجد مواعيد")</f>
        <v>10337733</v>
      </c>
      <c r="G211" s="29" t="str">
        <f>IFERROR(VLOOKUP(A211,New!A:F,4,0),"لا يوجد مواعيد")</f>
        <v>مهاد عبدالرحمن</v>
      </c>
      <c r="H211" s="29" t="str">
        <f>IFERROR(VLOOKUP(A211,New!A:G,3,0),"لا يوجد مواعيد")</f>
        <v>ي - المعادي</v>
      </c>
      <c r="I211" s="29" t="str">
        <f>IFERROR(VLOOKUP(A211,New!A:H,2,0),"لا يوجد مواعيد")</f>
        <v>اكاديمية السادات</v>
      </c>
    </row>
    <row r="212" spans="1:9">
      <c r="A212" s="29">
        <v>10337663</v>
      </c>
      <c r="B212" s="29" t="s">
        <v>2110</v>
      </c>
      <c r="C212" s="32">
        <v>0.5</v>
      </c>
      <c r="D212" s="32">
        <v>0.875</v>
      </c>
      <c r="E212" s="29">
        <f>IFERROR(VLOOKUP(A212,New!A:E,5,0),"لا يوجد مواعيد")</f>
        <v>1117170993</v>
      </c>
      <c r="F212" s="29">
        <f>IFERROR(VLOOKUP(A212,New!A:E,1,0),"لا يوجد مواعيد")</f>
        <v>10337663</v>
      </c>
      <c r="G212" s="29" t="str">
        <f>IFERROR(VLOOKUP(A212,New!A:F,4,0),"لا يوجد مواعيد")</f>
        <v>فرح محمد</v>
      </c>
      <c r="H212" s="29" t="str">
        <f>IFERROR(VLOOKUP(A212,New!A:G,3,0),"لا يوجد مواعيد")</f>
        <v>شبرا</v>
      </c>
      <c r="I212" s="29" t="str">
        <f>IFERROR(VLOOKUP(A212,New!A:H,2,0),"لا يوجد مواعيد")</f>
        <v>التوحيد و النور</v>
      </c>
    </row>
    <row r="213" spans="1:9">
      <c r="A213" s="29">
        <v>10292203</v>
      </c>
      <c r="B213" s="29" t="s">
        <v>2111</v>
      </c>
      <c r="C213" s="32">
        <v>0.5</v>
      </c>
      <c r="D213" s="32">
        <v>0.875</v>
      </c>
      <c r="E213" s="29">
        <f>IFERROR(VLOOKUP(A213,New!A:E,5,0),"لا يوجد مواعيد")</f>
        <v>1098417947</v>
      </c>
      <c r="F213" s="29">
        <f>IFERROR(VLOOKUP(A213,New!A:E,1,0),"لا يوجد مواعيد")</f>
        <v>10292203</v>
      </c>
      <c r="G213" s="29" t="str">
        <f>IFERROR(VLOOKUP(A213,New!A:F,4,0),"لا يوجد مواعيد")</f>
        <v>شهد صابر</v>
      </c>
      <c r="H213" s="29" t="str">
        <f>IFERROR(VLOOKUP(A213,New!A:G,3,0),"لا يوجد مواعيد")</f>
        <v>فيصل</v>
      </c>
      <c r="I213" s="29" t="str">
        <f>IFERROR(VLOOKUP(A213,New!A:H,2,0),"لا يوجد مواعيد")</f>
        <v>مريوطية</v>
      </c>
    </row>
    <row r="214" spans="1:9">
      <c r="A214" s="29">
        <v>10337777</v>
      </c>
      <c r="B214" s="29" t="s">
        <v>2112</v>
      </c>
      <c r="C214" s="32">
        <v>0.5</v>
      </c>
      <c r="D214" s="32">
        <v>0.875</v>
      </c>
      <c r="E214" s="29">
        <f>IFERROR(VLOOKUP(A214,New!A:E,5,0),"لا يوجد مواعيد")</f>
        <v>1128690675</v>
      </c>
      <c r="F214" s="29">
        <f>IFERROR(VLOOKUP(A214,New!A:E,1,0),"لا يوجد مواعيد")</f>
        <v>10337777</v>
      </c>
      <c r="G214" s="29" t="str">
        <f>IFERROR(VLOOKUP(A214,New!A:F,4,0),"لا يوجد مواعيد")</f>
        <v>رأفة صلاح</v>
      </c>
      <c r="H214" s="29" t="str">
        <f>IFERROR(VLOOKUP(A214,New!A:G,3,0),"لا يوجد مواعيد")</f>
        <v>ي - بدر</v>
      </c>
      <c r="I214" s="29" t="str">
        <f>IFERROR(VLOOKUP(A214,New!A:H,2,0),"لا يوجد مواعيد")</f>
        <v>مدخل بدر</v>
      </c>
    </row>
    <row r="215" spans="1:9">
      <c r="A215" s="29">
        <v>10342538</v>
      </c>
      <c r="B215" s="29" t="s">
        <v>2113</v>
      </c>
      <c r="C215" s="32" t="s">
        <v>1937</v>
      </c>
      <c r="D215" s="32" t="s">
        <v>1937</v>
      </c>
      <c r="E215" s="29">
        <f>IFERROR(VLOOKUP(A215,New!A:E,5,0),"لا يوجد مواعيد")</f>
        <v>1155036605</v>
      </c>
      <c r="F215" s="29">
        <f>IFERROR(VLOOKUP(A215,New!A:E,1,0),"لا يوجد مواعيد")</f>
        <v>10342538</v>
      </c>
      <c r="G215" s="29" t="str">
        <f>IFERROR(VLOOKUP(A215,New!A:F,4,0),"لا يوجد مواعيد")</f>
        <v>مصطفى جمال</v>
      </c>
      <c r="H215" s="29" t="str">
        <f>IFERROR(VLOOKUP(A215,New!A:G,3,0),"لا يوجد مواعيد")</f>
        <v>ي - المعادي</v>
      </c>
      <c r="I215" s="29" t="str">
        <f>IFERROR(VLOOKUP(A215,New!A:H,2,0),"لا يوجد مواعيد")</f>
        <v>المحكمة الدستورية</v>
      </c>
    </row>
    <row r="216" spans="1:9">
      <c r="A216" s="29">
        <v>10335027</v>
      </c>
      <c r="B216" s="29" t="s">
        <v>2114</v>
      </c>
      <c r="C216" s="32" t="s">
        <v>2087</v>
      </c>
      <c r="D216" s="32" t="s">
        <v>2087</v>
      </c>
      <c r="E216" s="29">
        <f>IFERROR(VLOOKUP(A216,New!A:E,5,0),"لا يوجد مواعيد")</f>
        <v>1285888728</v>
      </c>
      <c r="F216" s="29">
        <f>IFERROR(VLOOKUP(A216,New!A:E,1,0),"لا يوجد مواعيد")</f>
        <v>10335027</v>
      </c>
      <c r="G216" s="29" t="str">
        <f>IFERROR(VLOOKUP(A216,New!A:F,4,0),"لا يوجد مواعيد")</f>
        <v>هاجر الحسين</v>
      </c>
      <c r="H216" s="29" t="str">
        <f>IFERROR(VLOOKUP(A216,New!A:G,3,0),"لا يوجد مواعيد")</f>
        <v>الزيتون و مصر الجديدة</v>
      </c>
      <c r="I216" s="29" t="str">
        <f>IFERROR(VLOOKUP(A216,New!A:H,2,0),"لا يوجد مواعيد")</f>
        <v>الف مسكن</v>
      </c>
    </row>
    <row r="217" spans="1:9">
      <c r="A217" s="29">
        <v>10337751</v>
      </c>
      <c r="B217" s="29" t="s">
        <v>2115</v>
      </c>
      <c r="C217" s="32" t="s">
        <v>1937</v>
      </c>
      <c r="D217" s="32" t="s">
        <v>1937</v>
      </c>
      <c r="E217" s="29">
        <f>IFERROR(VLOOKUP(A217,New!A:E,5,0),"لا يوجد مواعيد")</f>
        <v>1205004224</v>
      </c>
      <c r="F217" s="29">
        <f>IFERROR(VLOOKUP(A217,New!A:E,1,0),"لا يوجد مواعيد")</f>
        <v>10337751</v>
      </c>
      <c r="G217" s="29" t="str">
        <f>IFERROR(VLOOKUP(A217,New!A:F,4,0),"لا يوجد مواعيد")</f>
        <v>افرام رشدي واصف بهمن دوس</v>
      </c>
      <c r="H217" s="29" t="str">
        <f>IFERROR(VLOOKUP(A217,New!A:G,3,0),"لا يوجد مواعيد")</f>
        <v>شبرا</v>
      </c>
      <c r="I217" s="29" t="str">
        <f>IFERROR(VLOOKUP(A217,New!A:H,2,0),"لا يوجد مواعيد")</f>
        <v>الخلفاوي</v>
      </c>
    </row>
    <row r="218" spans="1:9">
      <c r="A218" s="29">
        <v>10337778</v>
      </c>
      <c r="B218" s="29" t="s">
        <v>1992</v>
      </c>
      <c r="C218" s="32" t="s">
        <v>1937</v>
      </c>
      <c r="D218" s="32" t="s">
        <v>1937</v>
      </c>
      <c r="E218" s="29">
        <f>IFERROR(VLOOKUP(A218,New!A:E,5,0),"لا يوجد مواعيد")</f>
        <v>1127002549</v>
      </c>
      <c r="F218" s="29">
        <f>IFERROR(VLOOKUP(A218,New!A:E,1,0),"لا يوجد مواعيد")</f>
        <v>10337778</v>
      </c>
      <c r="G218" s="29" t="str">
        <f>IFERROR(VLOOKUP(A218,New!A:F,4,0),"لا يوجد مواعيد")</f>
        <v>حسام محمد</v>
      </c>
      <c r="H218" s="29" t="str">
        <f>IFERROR(VLOOKUP(A218,New!A:G,3,0),"لا يوجد مواعيد")</f>
        <v>ي - المعادي</v>
      </c>
      <c r="I218" s="29" t="str">
        <f>IFERROR(VLOOKUP(A218,New!A:H,2,0),"لا يوجد مواعيد")</f>
        <v>اكاديمية السادات</v>
      </c>
    </row>
    <row r="219" spans="1:9">
      <c r="A219" s="29">
        <v>10341807</v>
      </c>
      <c r="B219" s="29" t="s">
        <v>2116</v>
      </c>
      <c r="C219" s="32">
        <v>0.5</v>
      </c>
      <c r="D219" s="32">
        <v>0.875</v>
      </c>
      <c r="E219" s="29">
        <f>IFERROR(VLOOKUP(A219,New!A:E,5,0),"لا يوجد مواعيد")</f>
        <v>1020090701</v>
      </c>
      <c r="F219" s="29">
        <f>IFERROR(VLOOKUP(A219,New!A:E,1,0),"لا يوجد مواعيد")</f>
        <v>10341807</v>
      </c>
      <c r="G219" s="29" t="str">
        <f>IFERROR(VLOOKUP(A219,New!A:F,4,0),"لا يوجد مواعيد")</f>
        <v>عبد الرحمن حسني</v>
      </c>
      <c r="H219" s="29" t="str">
        <f>IFERROR(VLOOKUP(A219,New!A:G,3,0),"لا يوجد مواعيد")</f>
        <v>مدينة نصر</v>
      </c>
      <c r="I219" s="29" t="str">
        <f>IFERROR(VLOOKUP(A219,New!A:H,2,0),"لا يوجد مواعيد")</f>
        <v>اول مكرم</v>
      </c>
    </row>
    <row r="220" spans="1:9">
      <c r="A220" s="29">
        <v>10341837</v>
      </c>
      <c r="B220" s="29" t="s">
        <v>2117</v>
      </c>
      <c r="C220" s="32">
        <v>0.625</v>
      </c>
      <c r="D220" s="32">
        <v>0</v>
      </c>
      <c r="E220" s="29">
        <f>IFERROR(VLOOKUP(A220,New!A:E,5,0),"لا يوجد مواعيد")</f>
        <v>1271920902</v>
      </c>
      <c r="F220" s="29">
        <f>IFERROR(VLOOKUP(A220,New!A:E,1,0),"لا يوجد مواعيد")</f>
        <v>10341837</v>
      </c>
      <c r="G220" s="29" t="str">
        <f>IFERROR(VLOOKUP(A220,New!A:F,4,0),"لا يوجد مواعيد")</f>
        <v>مصطفى طارق</v>
      </c>
      <c r="H220" s="29" t="str">
        <f>IFERROR(VLOOKUP(A220,New!A:G,3,0),"لا يوجد مواعيد")</f>
        <v>حدائق الاهرام</v>
      </c>
      <c r="I220" s="29" t="str">
        <f>IFERROR(VLOOKUP(A220,New!A:H,2,0),"لا يوجد مواعيد")</f>
        <v>بوابة 2 جديدة</v>
      </c>
    </row>
    <row r="221" spans="1:9">
      <c r="A221" s="29">
        <v>10341839</v>
      </c>
      <c r="B221" s="29" t="s">
        <v>2118</v>
      </c>
      <c r="C221" s="32">
        <v>0.5</v>
      </c>
      <c r="D221" s="32">
        <v>0.875</v>
      </c>
      <c r="E221" s="29" t="str">
        <f>IFERROR(VLOOKUP(A221,New!A:E,5,0),"لا يوجد مواعيد")</f>
        <v>1554232307 / 249913279077</v>
      </c>
      <c r="F221" s="29">
        <f>IFERROR(VLOOKUP(A221,New!A:E,1,0),"لا يوجد مواعيد")</f>
        <v>10341839</v>
      </c>
      <c r="G221" s="29" t="str">
        <f>IFERROR(VLOOKUP(A221,New!A:F,4,0),"لا يوجد مواعيد")</f>
        <v>سماح محجوب صالح</v>
      </c>
      <c r="H221" s="29" t="str">
        <f>IFERROR(VLOOKUP(A221,New!A:G,3,0),"لا يوجد مواعيد")</f>
        <v>فيصل</v>
      </c>
      <c r="I221" s="29" t="str">
        <f>IFERROR(VLOOKUP(A221,New!A:H,2,0),"لا يوجد مواعيد")</f>
        <v>التعاون</v>
      </c>
    </row>
    <row r="222" spans="1:9">
      <c r="A222" s="29">
        <v>10343996</v>
      </c>
      <c r="B222" s="29" t="s">
        <v>2119</v>
      </c>
      <c r="C222" s="32">
        <v>0.5</v>
      </c>
      <c r="D222" s="32">
        <v>0.875</v>
      </c>
      <c r="E222" s="29">
        <f>IFERROR(VLOOKUP(A222,New!A:E,5,0),"لا يوجد مواعيد")</f>
        <v>1094442317</v>
      </c>
      <c r="F222" s="29">
        <f>IFERROR(VLOOKUP(A222,New!A:E,1,0),"لا يوجد مواعيد")</f>
        <v>10343996</v>
      </c>
      <c r="G222" s="29" t="str">
        <f>IFERROR(VLOOKUP(A222,New!A:F,4,0),"لا يوجد مواعيد")</f>
        <v>بسنت بهاء</v>
      </c>
      <c r="H222" s="29" t="str">
        <f>IFERROR(VLOOKUP(A222,New!A:G,3,0),"لا يوجد مواعيد")</f>
        <v>الزيتون و مصر الجديدة</v>
      </c>
      <c r="I222" s="29" t="str">
        <f>IFERROR(VLOOKUP(A222,New!A:H,2,0),"لا يوجد مواعيد")</f>
        <v>الجراج</v>
      </c>
    </row>
    <row r="223" spans="1:9">
      <c r="A223" s="29">
        <v>10343862</v>
      </c>
      <c r="B223" s="29" t="s">
        <v>2120</v>
      </c>
      <c r="C223" s="32">
        <v>0.625</v>
      </c>
      <c r="D223" s="32">
        <v>0</v>
      </c>
      <c r="E223" s="29">
        <f>IFERROR(VLOOKUP(A223,New!A:E,5,0),"لا يوجد مواعيد")</f>
        <v>1004708495</v>
      </c>
      <c r="F223" s="29">
        <f>IFERROR(VLOOKUP(A223,New!A:E,1,0),"لا يوجد مواعيد")</f>
        <v>10343862</v>
      </c>
      <c r="G223" s="29" t="str">
        <f>IFERROR(VLOOKUP(A223,New!A:F,4,0),"لا يوجد مواعيد")</f>
        <v>عبد الرحمن الشريف</v>
      </c>
      <c r="H223" s="29" t="str">
        <f>IFERROR(VLOOKUP(A223,New!A:G,3,0),"لا يوجد مواعيد")</f>
        <v>مدينة نصر</v>
      </c>
      <c r="I223" s="29" t="str">
        <f>IFERROR(VLOOKUP(A223,New!A:H,2,0),"لا يوجد مواعيد")</f>
        <v>كشري هند الحي العاشر</v>
      </c>
    </row>
    <row r="224" spans="1:9">
      <c r="A224" s="29">
        <v>10343863</v>
      </c>
      <c r="B224" s="29" t="s">
        <v>2121</v>
      </c>
      <c r="C224" s="32">
        <v>0.625</v>
      </c>
      <c r="D224" s="32">
        <v>0</v>
      </c>
      <c r="E224" s="29">
        <f>IFERROR(VLOOKUP(A224,New!A:E,5,0),"لا يوجد مواعيد")</f>
        <v>1091530766</v>
      </c>
      <c r="F224" s="29">
        <f>IFERROR(VLOOKUP(A224,New!A:E,1,0),"لا يوجد مواعيد")</f>
        <v>10343863</v>
      </c>
      <c r="G224" s="29" t="str">
        <f>IFERROR(VLOOKUP(A224,New!A:F,4,0),"لا يوجد مواعيد")</f>
        <v>معاذ يوسف</v>
      </c>
      <c r="H224" s="29" t="str">
        <f>IFERROR(VLOOKUP(A224,New!A:G,3,0),"لا يوجد مواعيد")</f>
        <v>حدائق القبة</v>
      </c>
      <c r="I224" s="29" t="str">
        <f>IFERROR(VLOOKUP(A224,New!A:H,2,0),"لا يوجد مواعيد")</f>
        <v>ولي العهد</v>
      </c>
    </row>
    <row r="225" spans="1:9">
      <c r="A225" s="29">
        <v>10343869</v>
      </c>
      <c r="B225" s="29" t="s">
        <v>2122</v>
      </c>
      <c r="C225" s="32">
        <v>0.5</v>
      </c>
      <c r="D225" s="32">
        <v>0.875</v>
      </c>
      <c r="E225" s="29">
        <f>IFERROR(VLOOKUP(A225,New!A:E,5,0),"لا يوجد مواعيد")</f>
        <v>1020842747</v>
      </c>
      <c r="F225" s="29">
        <f>IFERROR(VLOOKUP(A225,New!A:E,1,0),"لا يوجد مواعيد")</f>
        <v>10343869</v>
      </c>
      <c r="G225" s="29" t="str">
        <f>IFERROR(VLOOKUP(A225,New!A:F,4,0),"لا يوجد مواعيد")</f>
        <v>جانا مصلح</v>
      </c>
      <c r="H225" s="29" t="str">
        <f>IFERROR(VLOOKUP(A225,New!A:G,3,0),"لا يوجد مواعيد")</f>
        <v>العباسية و الضاهر</v>
      </c>
      <c r="I225" s="29" t="str">
        <f>IFERROR(VLOOKUP(A225,New!A:H,2,0),"لا يوجد مواعيد")</f>
        <v>قسم الوايلي</v>
      </c>
    </row>
    <row r="226" spans="1:9">
      <c r="A226" s="29">
        <v>10343860</v>
      </c>
      <c r="B226" s="29" t="s">
        <v>2123</v>
      </c>
      <c r="C226" s="32">
        <v>0.625</v>
      </c>
      <c r="D226" s="32">
        <v>0</v>
      </c>
      <c r="E226" s="29">
        <f>IFERROR(VLOOKUP(A226,New!A:E,5,0),"لا يوجد مواعيد")</f>
        <v>1129964189</v>
      </c>
      <c r="F226" s="29">
        <f>IFERROR(VLOOKUP(A226,New!A:E,1,0),"لا يوجد مواعيد")</f>
        <v>10343860</v>
      </c>
      <c r="G226" s="29" t="str">
        <f>IFERROR(VLOOKUP(A226,New!A:F,4,0),"لا يوجد مواعيد")</f>
        <v>أسامة أيمن</v>
      </c>
      <c r="H226" s="29" t="str">
        <f>IFERROR(VLOOKUP(A226,New!A:G,3,0),"لا يوجد مواعيد")</f>
        <v>حلوان و زهراء المعادي</v>
      </c>
      <c r="I226" s="29" t="str">
        <f>IFERROR(VLOOKUP(A226,New!A:H,2,0),"لا يوجد مواعيد")</f>
        <v>صالح صبحي</v>
      </c>
    </row>
    <row r="227" spans="1:9">
      <c r="A227" s="29">
        <v>10343948</v>
      </c>
      <c r="B227" s="29" t="s">
        <v>2124</v>
      </c>
      <c r="C227" s="32">
        <v>0.5</v>
      </c>
      <c r="D227" s="32">
        <v>0.875</v>
      </c>
      <c r="E227" s="29">
        <f>IFERROR(VLOOKUP(A227,New!A:E,5,0),"لا يوجد مواعيد")</f>
        <v>1158021888</v>
      </c>
      <c r="F227" s="29">
        <f>IFERROR(VLOOKUP(A227,New!A:E,1,0),"لا يوجد مواعيد")</f>
        <v>10343948</v>
      </c>
      <c r="G227" s="29" t="str">
        <f>IFERROR(VLOOKUP(A227,New!A:F,4,0),"لا يوجد مواعيد")</f>
        <v>احمد عمرو</v>
      </c>
      <c r="H227" s="29" t="str">
        <f>IFERROR(VLOOKUP(A227,New!A:G,3,0),"لا يوجد مواعيد")</f>
        <v>حلوان و زهراء المعادي</v>
      </c>
      <c r="I227" s="29" t="str">
        <f>IFERROR(VLOOKUP(A227,New!A:H,2,0),"لا يوجد مواعيد")</f>
        <v>سلم البارون</v>
      </c>
    </row>
    <row r="228" spans="1:9">
      <c r="A228" s="29">
        <v>10344627</v>
      </c>
      <c r="B228" s="29" t="s">
        <v>2125</v>
      </c>
      <c r="C228" s="32">
        <v>0.625</v>
      </c>
      <c r="D228" s="32">
        <v>0</v>
      </c>
      <c r="E228" s="29">
        <f>IFERROR(VLOOKUP(A228,New!A:E,5,0),"لا يوجد مواعيد")</f>
        <v>1128181299</v>
      </c>
      <c r="F228" s="29">
        <f>IFERROR(VLOOKUP(A228,New!A:E,1,0),"لا يوجد مواعيد")</f>
        <v>10344627</v>
      </c>
      <c r="G228" s="29" t="str">
        <f>IFERROR(VLOOKUP(A228,New!A:F,4,0),"لا يوجد مواعيد")</f>
        <v>عبد الرحمن عشري</v>
      </c>
      <c r="H228" s="29" t="str">
        <f>IFERROR(VLOOKUP(A228,New!A:G,3,0),"لا يوجد مواعيد")</f>
        <v>فيصل</v>
      </c>
      <c r="I228" s="29" t="str">
        <f>IFERROR(VLOOKUP(A228,New!A:H,2,0),"لا يوجد مواعيد")</f>
        <v>العروبة</v>
      </c>
    </row>
    <row r="229" spans="1:9">
      <c r="A229" s="29">
        <v>10344704</v>
      </c>
      <c r="B229" s="29" t="s">
        <v>2126</v>
      </c>
      <c r="C229" s="32" t="s">
        <v>1937</v>
      </c>
      <c r="D229" s="32" t="s">
        <v>1937</v>
      </c>
      <c r="E229" s="29">
        <f>IFERROR(VLOOKUP(A229,New!A:E,5,0),"لا يوجد مواعيد")</f>
        <v>1557048892</v>
      </c>
      <c r="F229" s="29">
        <f>IFERROR(VLOOKUP(A229,New!A:E,1,0),"لا يوجد مواعيد")</f>
        <v>10344704</v>
      </c>
      <c r="G229" s="29" t="str">
        <f>IFERROR(VLOOKUP(A229,New!A:F,4,0),"لا يوجد مواعيد")</f>
        <v>نورهان رفيق</v>
      </c>
      <c r="H229" s="29" t="str">
        <f>IFERROR(VLOOKUP(A229,New!A:G,3,0),"لا يوجد مواعيد")</f>
        <v>العبور</v>
      </c>
      <c r="I229" s="29" t="str">
        <f>IFERROR(VLOOKUP(A229,New!A:H,2,0),"لا يوجد مواعيد")</f>
        <v>كارفور العبور</v>
      </c>
    </row>
    <row r="230" spans="1:9">
      <c r="A230" s="29">
        <v>10339930</v>
      </c>
      <c r="B230" s="29" t="s">
        <v>2127</v>
      </c>
      <c r="C230" s="32">
        <v>0.625</v>
      </c>
      <c r="D230" s="32">
        <v>0</v>
      </c>
      <c r="E230" s="29" t="str">
        <f>IFERROR(VLOOKUP(A230,New!A:E,5,0),"لا يوجد مواعيد")</f>
        <v>1024451185 / 1044477795</v>
      </c>
      <c r="F230" s="29">
        <f>IFERROR(VLOOKUP(A230,New!A:E,1,0),"لا يوجد مواعيد")</f>
        <v>10339930</v>
      </c>
      <c r="G230" s="29" t="str">
        <f>IFERROR(VLOOKUP(A230,New!A:F,4,0),"لا يوجد مواعيد")</f>
        <v>ابراهيم الباشا</v>
      </c>
      <c r="H230" s="29" t="str">
        <f>IFERROR(VLOOKUP(A230,New!A:G,3,0),"لا يوجد مواعيد")</f>
        <v>الزيتون و مصر الجديدة</v>
      </c>
      <c r="I230" s="29" t="str">
        <f>IFERROR(VLOOKUP(A230,New!A:H,2,0),"لا يوجد مواعيد")</f>
        <v>الف مسكن</v>
      </c>
    </row>
    <row r="231" spans="1:9">
      <c r="A231" s="29">
        <v>10340032</v>
      </c>
      <c r="B231" s="29" t="s">
        <v>2128</v>
      </c>
      <c r="C231" s="32">
        <v>0.625</v>
      </c>
      <c r="D231" s="32">
        <v>0</v>
      </c>
      <c r="E231" s="29">
        <f>IFERROR(VLOOKUP(A231,New!A:E,5,0),"لا يوجد مواعيد")</f>
        <v>1276419181</v>
      </c>
      <c r="F231" s="29">
        <f>IFERROR(VLOOKUP(A231,New!A:E,1,0),"لا يوجد مواعيد")</f>
        <v>10340032</v>
      </c>
      <c r="G231" s="29" t="str">
        <f>IFERROR(VLOOKUP(A231,New!A:F,4,0),"لا يوجد مواعيد")</f>
        <v>فاطمة فوزي</v>
      </c>
      <c r="H231" s="29" t="str">
        <f>IFERROR(VLOOKUP(A231,New!A:G,3,0),"لا يوجد مواعيد")</f>
        <v>دائري</v>
      </c>
      <c r="I231" s="29" t="str">
        <f>IFERROR(VLOOKUP(A231,New!A:H,2,0),"لا يوجد مواعيد")</f>
        <v>السلام</v>
      </c>
    </row>
    <row r="232" spans="1:9">
      <c r="A232" s="29">
        <v>10339927</v>
      </c>
      <c r="B232" s="29" t="s">
        <v>2129</v>
      </c>
      <c r="C232" s="32">
        <v>0.5</v>
      </c>
      <c r="D232" s="32">
        <v>0.875</v>
      </c>
      <c r="E232" s="29">
        <f>IFERROR(VLOOKUP(A232,New!A:E,5,0),"لا يوجد مواعيد")</f>
        <v>1000511380</v>
      </c>
      <c r="F232" s="29">
        <f>IFERROR(VLOOKUP(A232,New!A:E,1,0),"لا يوجد مواعيد")</f>
        <v>10339927</v>
      </c>
      <c r="G232" s="29" t="str">
        <f>IFERROR(VLOOKUP(A232,New!A:F,4,0),"لا يوجد مواعيد")</f>
        <v>مصطفى عمرو</v>
      </c>
      <c r="H232" s="29" t="str">
        <f>IFERROR(VLOOKUP(A232,New!A:G,3,0),"لا يوجد مواعيد")</f>
        <v>المهندسين</v>
      </c>
      <c r="I232" s="29" t="str">
        <f>IFERROR(VLOOKUP(A232,New!A:H,2,0),"لا يوجد مواعيد")</f>
        <v>كوبري الدقي</v>
      </c>
    </row>
    <row r="233" spans="1:9">
      <c r="A233" s="29">
        <v>10341301</v>
      </c>
      <c r="B233" s="29" t="s">
        <v>2130</v>
      </c>
      <c r="C233" s="32">
        <v>0.625</v>
      </c>
      <c r="D233" s="32">
        <v>0</v>
      </c>
      <c r="E233" s="29">
        <f>IFERROR(VLOOKUP(A233,New!A:E,5,0),"لا يوجد مواعيد")</f>
        <v>1152662567</v>
      </c>
      <c r="F233" s="29">
        <f>IFERROR(VLOOKUP(A233,New!A:E,1,0),"لا يوجد مواعيد")</f>
        <v>10341301</v>
      </c>
      <c r="G233" s="29" t="str">
        <f>IFERROR(VLOOKUP(A233,New!A:F,4,0),"لا يوجد مواعيد")</f>
        <v>فيفيان فيكتور فايز جاد الله</v>
      </c>
      <c r="H233" s="29" t="str">
        <f>IFERROR(VLOOKUP(A233,New!A:G,3,0),"لا يوجد مواعيد")</f>
        <v>مدينة نصر</v>
      </c>
      <c r="I233" s="29" t="str">
        <f>IFERROR(VLOOKUP(A233,New!A:H,2,0),"لا يوجد مواعيد")</f>
        <v>كشري هند الحي العاشر</v>
      </c>
    </row>
    <row r="234" spans="1:9">
      <c r="A234" s="29">
        <v>10341208</v>
      </c>
      <c r="B234" s="29" t="s">
        <v>2131</v>
      </c>
      <c r="C234" s="32">
        <v>0.625</v>
      </c>
      <c r="D234" s="32">
        <v>0</v>
      </c>
      <c r="E234" s="29">
        <f>IFERROR(VLOOKUP(A234,New!A:E,5,0),"لا يوجد مواعيد")</f>
        <v>1098923529</v>
      </c>
      <c r="F234" s="29">
        <f>IFERROR(VLOOKUP(A234,New!A:E,1,0),"لا يوجد مواعيد")</f>
        <v>10341208</v>
      </c>
      <c r="G234" s="29" t="str">
        <f>IFERROR(VLOOKUP(A234,New!A:F,4,0),"لا يوجد مواعيد")</f>
        <v>زياد ابوزيد</v>
      </c>
      <c r="H234" s="29" t="str">
        <f>IFERROR(VLOOKUP(A234,New!A:G,3,0),"لا يوجد مواعيد")</f>
        <v>فيصل</v>
      </c>
      <c r="I234" s="29" t="str">
        <f>IFERROR(VLOOKUP(A234,New!A:H,2,0),"لا يوجد مواعيد")</f>
        <v>مريوطية</v>
      </c>
    </row>
    <row r="235" spans="1:9">
      <c r="A235" s="29">
        <v>10341212</v>
      </c>
      <c r="B235" s="29" t="s">
        <v>2132</v>
      </c>
      <c r="C235" s="32">
        <v>0.625</v>
      </c>
      <c r="D235" s="32">
        <v>0</v>
      </c>
      <c r="E235" s="29">
        <f>IFERROR(VLOOKUP(A235,New!A:E,5,0),"لا يوجد مواعيد")</f>
        <v>1149238079</v>
      </c>
      <c r="F235" s="29">
        <f>IFERROR(VLOOKUP(A235,New!A:E,1,0),"لا يوجد مواعيد")</f>
        <v>10341212</v>
      </c>
      <c r="G235" s="29" t="str">
        <f>IFERROR(VLOOKUP(A235,New!A:F,4,0),"لا يوجد مواعيد")</f>
        <v>شريف عرفة أنور</v>
      </c>
      <c r="H235" s="29" t="str">
        <f>IFERROR(VLOOKUP(A235,New!A:G,3,0),"لا يوجد مواعيد")</f>
        <v>مدينة نصر</v>
      </c>
      <c r="I235" s="29" t="str">
        <f>IFERROR(VLOOKUP(A235,New!A:H,2,0),"لا يوجد مواعيد")</f>
        <v>كشري هند الحي العاشر</v>
      </c>
    </row>
    <row r="236" spans="1:9">
      <c r="A236" s="29">
        <v>10341221</v>
      </c>
      <c r="B236" s="29" t="s">
        <v>2133</v>
      </c>
      <c r="C236" s="32">
        <v>0.5</v>
      </c>
      <c r="D236" s="32">
        <v>0.875</v>
      </c>
      <c r="E236" s="29">
        <f>IFERROR(VLOOKUP(A236,New!A:E,5,0),"لا يوجد مواعيد")</f>
        <v>1515658710</v>
      </c>
      <c r="F236" s="29">
        <f>IFERROR(VLOOKUP(A236,New!A:E,1,0),"لا يوجد مواعيد")</f>
        <v>10341221</v>
      </c>
      <c r="G236" s="29" t="str">
        <f>IFERROR(VLOOKUP(A236,New!A:F,4,0),"لا يوجد مواعيد")</f>
        <v>تبيان ياسر</v>
      </c>
      <c r="H236" s="29" t="str">
        <f>IFERROR(VLOOKUP(A236,New!A:G,3,0),"لا يوجد مواعيد")</f>
        <v>و - الشروق</v>
      </c>
      <c r="I236" s="29" t="str">
        <f>IFERROR(VLOOKUP(A236,New!A:H,2,0),"لا يوجد مواعيد")</f>
        <v>كشك اللحمة</v>
      </c>
    </row>
    <row r="237" spans="1:9">
      <c r="A237" s="29">
        <v>10341300</v>
      </c>
      <c r="B237" s="29" t="s">
        <v>2134</v>
      </c>
      <c r="C237" s="32">
        <v>0.5</v>
      </c>
      <c r="D237" s="32">
        <v>0.875</v>
      </c>
      <c r="E237" s="29">
        <f>IFERROR(VLOOKUP(A237,New!A:E,5,0),"لا يوجد مواعيد")</f>
        <v>1062921908</v>
      </c>
      <c r="F237" s="29">
        <f>IFERROR(VLOOKUP(A237,New!A:E,1,0),"لا يوجد مواعيد")</f>
        <v>10341300</v>
      </c>
      <c r="G237" s="29" t="str">
        <f>IFERROR(VLOOKUP(A237,New!A:F,4,0),"لا يوجد مواعيد")</f>
        <v>سجود حبيب</v>
      </c>
      <c r="H237" s="29" t="str">
        <f>IFERROR(VLOOKUP(A237,New!A:G,3,0),"لا يوجد مواعيد")</f>
        <v>مدينة نصر</v>
      </c>
      <c r="I237" s="29" t="str">
        <f>IFERROR(VLOOKUP(A237,New!A:H,2,0),"لا يوجد مواعيد")</f>
        <v>كشري هند الحي العاشر</v>
      </c>
    </row>
    <row r="238" spans="1:9">
      <c r="A238" s="29">
        <v>10341215</v>
      </c>
      <c r="B238" s="29" t="s">
        <v>2135</v>
      </c>
      <c r="C238" s="32">
        <v>0.5</v>
      </c>
      <c r="D238" s="32">
        <v>0.875</v>
      </c>
      <c r="E238" s="29">
        <f>IFERROR(VLOOKUP(A238,New!A:E,5,0),"لا يوجد مواعيد")</f>
        <v>1149048868</v>
      </c>
      <c r="F238" s="29">
        <f>IFERROR(VLOOKUP(A238,New!A:E,1,0),"لا يوجد مواعيد")</f>
        <v>10341215</v>
      </c>
      <c r="G238" s="29" t="str">
        <f>IFERROR(VLOOKUP(A238,New!A:F,4,0),"لا يوجد مواعيد")</f>
        <v>هدى سيد</v>
      </c>
      <c r="H238" s="29" t="str">
        <f>IFERROR(VLOOKUP(A238,New!A:G,3,0),"لا يوجد مواعيد")</f>
        <v>م - الرحاب و التجمع</v>
      </c>
      <c r="I238" s="29" t="str">
        <f>IFERROR(VLOOKUP(A238,New!A:H,2,0),"لا يوجد مواعيد")</f>
        <v>ارابيلا</v>
      </c>
    </row>
    <row r="239" spans="1:9">
      <c r="A239" s="29">
        <v>10338551</v>
      </c>
      <c r="B239" s="29" t="s">
        <v>2136</v>
      </c>
      <c r="C239" s="32" t="s">
        <v>1937</v>
      </c>
      <c r="D239" s="32" t="s">
        <v>1937</v>
      </c>
      <c r="E239" s="29">
        <f>IFERROR(VLOOKUP(A239,New!A:E,5,0),"لا يوجد مواعيد")</f>
        <v>1065136845</v>
      </c>
      <c r="F239" s="29">
        <f>IFERROR(VLOOKUP(A239,New!A:E,1,0),"لا يوجد مواعيد")</f>
        <v>10338551</v>
      </c>
      <c r="G239" s="29" t="str">
        <f>IFERROR(VLOOKUP(A239,New!A:F,4,0),"لا يوجد مواعيد")</f>
        <v>مصطفى فقيه</v>
      </c>
      <c r="H239" s="29" t="str">
        <f>IFERROR(VLOOKUP(A239,New!A:G,3,0),"لا يوجد مواعيد")</f>
        <v>مدينة نصر</v>
      </c>
      <c r="I239" s="29" t="str">
        <f>IFERROR(VLOOKUP(A239,New!A:H,2,0),"لا يوجد مواعيد")</f>
        <v>ميدان رابعة</v>
      </c>
    </row>
    <row r="240" spans="1:9">
      <c r="A240" s="29">
        <v>10338564</v>
      </c>
      <c r="B240" s="29" t="s">
        <v>2137</v>
      </c>
      <c r="C240" s="32" t="s">
        <v>1937</v>
      </c>
      <c r="D240" s="32" t="s">
        <v>1937</v>
      </c>
      <c r="E240" s="29">
        <f>IFERROR(VLOOKUP(A240,New!A:E,5,0),"لا يوجد مواعيد")</f>
        <v>1550908996</v>
      </c>
      <c r="F240" s="29">
        <f>IFERROR(VLOOKUP(A240,New!A:E,1,0),"لا يوجد مواعيد")</f>
        <v>10338564</v>
      </c>
      <c r="G240" s="29" t="str">
        <f>IFERROR(VLOOKUP(A240,New!A:F,4,0),"لا يوجد مواعيد")</f>
        <v>حمزة وليد</v>
      </c>
      <c r="H240" s="29" t="str">
        <f>IFERROR(VLOOKUP(A240,New!A:G,3,0),"لا يوجد مواعيد")</f>
        <v>اكتوبر و زايد</v>
      </c>
      <c r="I240" s="29" t="str">
        <f>IFERROR(VLOOKUP(A240,New!A:H,2,0),"لا يوجد مواعيد")</f>
        <v>هايبر 1</v>
      </c>
    </row>
    <row r="241" spans="1:9">
      <c r="A241" s="29">
        <v>10339933</v>
      </c>
      <c r="B241" s="29" t="s">
        <v>2138</v>
      </c>
      <c r="C241" s="32" t="s">
        <v>1937</v>
      </c>
      <c r="D241" s="32" t="s">
        <v>1937</v>
      </c>
      <c r="E241" s="29">
        <f>IFERROR(VLOOKUP(A241,New!A:E,5,0),"لا يوجد مواعيد")</f>
        <v>1154188662</v>
      </c>
      <c r="F241" s="29">
        <f>IFERROR(VLOOKUP(A241,New!A:E,1,0),"لا يوجد مواعيد")</f>
        <v>10339933</v>
      </c>
      <c r="G241" s="29" t="str">
        <f>IFERROR(VLOOKUP(A241,New!A:F,4,0),"لا يوجد مواعيد")</f>
        <v>سمير علي محمد سمير</v>
      </c>
      <c r="H241" s="29" t="str">
        <f>IFERROR(VLOOKUP(A241,New!A:G,3,0),"لا يوجد مواعيد")</f>
        <v>فيصل</v>
      </c>
      <c r="I241" s="29" t="str">
        <f>IFERROR(VLOOKUP(A241,New!A:H,2,0),"لا يوجد مواعيد")</f>
        <v>العروبة</v>
      </c>
    </row>
    <row r="242" spans="1:9">
      <c r="A242" s="29">
        <v>10340040</v>
      </c>
      <c r="B242" s="29" t="s">
        <v>2139</v>
      </c>
      <c r="C242" s="32">
        <v>0.625</v>
      </c>
      <c r="D242" s="32">
        <v>0</v>
      </c>
      <c r="E242" s="29">
        <f>IFERROR(VLOOKUP(A242,New!A:E,5,0),"لا يوجد مواعيد")</f>
        <v>1129608136</v>
      </c>
      <c r="F242" s="29">
        <f>IFERROR(VLOOKUP(A242,New!A:E,1,0),"لا يوجد مواعيد")</f>
        <v>10340040</v>
      </c>
      <c r="G242" s="29" t="str">
        <f>IFERROR(VLOOKUP(A242,New!A:F,4,0),"لا يوجد مواعيد")</f>
        <v>عمر مدبولي</v>
      </c>
      <c r="H242" s="29" t="str">
        <f>IFERROR(VLOOKUP(A242,New!A:G,3,0),"لا يوجد مواعيد")</f>
        <v>فيصل</v>
      </c>
      <c r="I242" s="29" t="str">
        <f>IFERROR(VLOOKUP(A242,New!A:H,2,0),"لا يوجد مواعيد")</f>
        <v>العروبة</v>
      </c>
    </row>
    <row r="243" spans="1:9">
      <c r="A243" s="29">
        <v>10340564</v>
      </c>
      <c r="B243" s="29" t="s">
        <v>2140</v>
      </c>
      <c r="C243" s="32" t="s">
        <v>1937</v>
      </c>
      <c r="D243" s="32" t="s">
        <v>1937</v>
      </c>
      <c r="E243" s="29" t="str">
        <f>IFERROR(VLOOKUP(A243,New!A:E,5,0),"لا يوجد مواعيد")</f>
        <v>1125736852 / 249903138792</v>
      </c>
      <c r="F243" s="29">
        <f>IFERROR(VLOOKUP(A243,New!A:E,1,0),"لا يوجد مواعيد")</f>
        <v>10340564</v>
      </c>
      <c r="G243" s="29" t="str">
        <f>IFERROR(VLOOKUP(A243,New!A:F,4,0),"لا يوجد مواعيد")</f>
        <v>محمد الهادي</v>
      </c>
      <c r="H243" s="29" t="str">
        <f>IFERROR(VLOOKUP(A243,New!A:G,3,0),"لا يوجد مواعيد")</f>
        <v>المهندسين</v>
      </c>
      <c r="I243" s="29" t="str">
        <f>IFERROR(VLOOKUP(A243,New!A:H,2,0),"لا يوجد مواعيد")</f>
        <v>عمر افندي</v>
      </c>
    </row>
    <row r="244" spans="1:9">
      <c r="A244" s="29">
        <v>10340571</v>
      </c>
      <c r="B244" s="29" t="s">
        <v>2141</v>
      </c>
      <c r="C244" s="32" t="s">
        <v>1937</v>
      </c>
      <c r="D244" s="32" t="s">
        <v>1937</v>
      </c>
      <c r="E244" s="29" t="str">
        <f>IFERROR(VLOOKUP(A244,New!A:E,5,0),"لا يوجد مواعيد")</f>
        <v>1208357712 / +249121641385</v>
      </c>
      <c r="F244" s="29">
        <f>IFERROR(VLOOKUP(A244,New!A:E,1,0),"لا يوجد مواعيد")</f>
        <v>10340571</v>
      </c>
      <c r="G244" s="29" t="str">
        <f>IFERROR(VLOOKUP(A244,New!A:F,4,0),"لا يوجد مواعيد")</f>
        <v>سارة الفاروق</v>
      </c>
      <c r="H244" s="29" t="str">
        <f>IFERROR(VLOOKUP(A244,New!A:G,3,0),"لا يوجد مواعيد")</f>
        <v>حلوان و زهراء المعادي</v>
      </c>
      <c r="I244" s="29" t="str">
        <f>IFERROR(VLOOKUP(A244,New!A:H,2,0),"لا يوجد مواعيد")</f>
        <v>سلم البارون</v>
      </c>
    </row>
    <row r="245" spans="1:9">
      <c r="A245" s="29">
        <v>10339952</v>
      </c>
      <c r="B245" s="29" t="s">
        <v>2142</v>
      </c>
      <c r="C245" s="32">
        <v>0.5</v>
      </c>
      <c r="D245" s="32">
        <v>0.875</v>
      </c>
      <c r="E245" s="29">
        <f>IFERROR(VLOOKUP(A245,New!A:E,5,0),"لا يوجد مواعيد")</f>
        <v>1153248409</v>
      </c>
      <c r="F245" s="29">
        <f>IFERROR(VLOOKUP(A245,New!A:E,1,0),"لا يوجد مواعيد")</f>
        <v>10339952</v>
      </c>
      <c r="G245" s="29" t="str">
        <f>IFERROR(VLOOKUP(A245,New!A:F,4,0),"لا يوجد مواعيد")</f>
        <v>منة علي محمد سمير</v>
      </c>
      <c r="H245" s="29" t="str">
        <f>IFERROR(VLOOKUP(A245,New!A:G,3,0),"لا يوجد مواعيد")</f>
        <v>فيصل</v>
      </c>
      <c r="I245" s="29" t="str">
        <f>IFERROR(VLOOKUP(A245,New!A:H,2,0),"لا يوجد مواعيد")</f>
        <v>العروبة</v>
      </c>
    </row>
    <row r="246" spans="1:9">
      <c r="A246" s="29">
        <v>10340038</v>
      </c>
      <c r="B246" s="29" t="s">
        <v>2143</v>
      </c>
      <c r="C246" s="32">
        <v>0.625</v>
      </c>
      <c r="D246" s="32">
        <v>0</v>
      </c>
      <c r="E246" s="29">
        <f>IFERROR(VLOOKUP(A246,New!A:E,5,0),"لا يوجد مواعيد")</f>
        <v>1093376062</v>
      </c>
      <c r="F246" s="29">
        <f>IFERROR(VLOOKUP(A246,New!A:E,1,0),"لا يوجد مواعيد")</f>
        <v>10340038</v>
      </c>
      <c r="G246" s="29" t="str">
        <f>IFERROR(VLOOKUP(A246,New!A:F,4,0),"لا يوجد مواعيد")</f>
        <v>عبدالرحمن ايهاب</v>
      </c>
      <c r="H246" s="29" t="str">
        <f>IFERROR(VLOOKUP(A246,New!A:G,3,0),"لا يوجد مواعيد")</f>
        <v>دائري</v>
      </c>
      <c r="I246" s="29" t="str">
        <f>IFERROR(VLOOKUP(A246,New!A:H,2,0),"لا يوجد مواعيد")</f>
        <v>طلعة قليوب</v>
      </c>
    </row>
    <row r="247" spans="1:9">
      <c r="A247" s="29">
        <v>10339931</v>
      </c>
      <c r="B247" s="29" t="s">
        <v>2144</v>
      </c>
      <c r="C247" s="32">
        <v>0.5</v>
      </c>
      <c r="D247" s="32">
        <v>0.875</v>
      </c>
      <c r="E247" s="29" t="str">
        <f>IFERROR(VLOOKUP(A247,New!A:E,5,0),"لا يوجد مواعيد")</f>
        <v>1004541764 / 1006021784</v>
      </c>
      <c r="F247" s="29">
        <f>IFERROR(VLOOKUP(A247,New!A:E,1,0),"لا يوجد مواعيد")</f>
        <v>10339931</v>
      </c>
      <c r="G247" s="29" t="str">
        <f>IFERROR(VLOOKUP(A247,New!A:F,4,0),"لا يوجد مواعيد")</f>
        <v>نور محمد محمود</v>
      </c>
      <c r="H247" s="29" t="str">
        <f>IFERROR(VLOOKUP(A247,New!A:G,3,0),"لا يوجد مواعيد")</f>
        <v>العباسية و الضاهر</v>
      </c>
      <c r="I247" s="29" t="str">
        <f>IFERROR(VLOOKUP(A247,New!A:H,2,0),"لا يوجد مواعيد")</f>
        <v>معرض علاء الدين</v>
      </c>
    </row>
    <row r="248" spans="1:9">
      <c r="A248" s="29">
        <v>10340036</v>
      </c>
      <c r="B248" s="29" t="s">
        <v>2145</v>
      </c>
      <c r="C248" s="32">
        <v>0.625</v>
      </c>
      <c r="D248" s="32">
        <v>0</v>
      </c>
      <c r="E248" s="29">
        <f>IFERROR(VLOOKUP(A248,New!A:E,5,0),"لا يوجد مواعيد")</f>
        <v>1148102330</v>
      </c>
      <c r="F248" s="29">
        <f>IFERROR(VLOOKUP(A248,New!A:E,1,0),"لا يوجد مواعيد")</f>
        <v>10340036</v>
      </c>
      <c r="G248" s="29" t="str">
        <f>IFERROR(VLOOKUP(A248,New!A:F,4,0),"لا يوجد مواعيد")</f>
        <v>بسنت سليم</v>
      </c>
      <c r="H248" s="29" t="str">
        <f>IFERROR(VLOOKUP(A248,New!A:G,3,0),"لا يوجد مواعيد")</f>
        <v>العبور</v>
      </c>
      <c r="I248" s="29" t="str">
        <f>IFERROR(VLOOKUP(A248,New!A:H,2,0),"لا يوجد مواعيد")</f>
        <v>كارفور العبور</v>
      </c>
    </row>
    <row r="249" spans="1:9">
      <c r="A249" s="29">
        <v>10340656</v>
      </c>
      <c r="B249" s="29" t="s">
        <v>2146</v>
      </c>
      <c r="C249" s="32">
        <v>0.5</v>
      </c>
      <c r="D249" s="32">
        <v>0.875</v>
      </c>
      <c r="E249" s="29" t="str">
        <f>IFERROR(VLOOKUP(A249,New!A:E,5,0),"لا يوجد مواعيد")</f>
        <v>1028713805 / 1118004193</v>
      </c>
      <c r="F249" s="29">
        <f>IFERROR(VLOOKUP(A249,New!A:E,1,0),"لا يوجد مواعيد")</f>
        <v>10340656</v>
      </c>
      <c r="G249" s="29" t="str">
        <f>IFERROR(VLOOKUP(A249,New!A:F,4,0),"لا يوجد مواعيد")</f>
        <v>هشام سيد</v>
      </c>
      <c r="H249" s="29" t="str">
        <f>IFERROR(VLOOKUP(A249,New!A:G,3,0),"لا يوجد مواعيد")</f>
        <v>الزيتون و مصر الجديدة</v>
      </c>
      <c r="I249" s="29" t="str">
        <f>IFERROR(VLOOKUP(A249,New!A:H,2,0),"لا يوجد مواعيد")</f>
        <v>الف مسكن</v>
      </c>
    </row>
    <row r="250" spans="1:9">
      <c r="A250" s="29">
        <v>10334738</v>
      </c>
      <c r="B250" s="29" t="s">
        <v>2147</v>
      </c>
      <c r="C250" s="32" t="s">
        <v>1937</v>
      </c>
      <c r="D250" s="32" t="s">
        <v>1937</v>
      </c>
      <c r="E250" s="29">
        <f>IFERROR(VLOOKUP(A250,New!A:E,5,0),"لا يوجد مواعيد")</f>
        <v>1150177584</v>
      </c>
      <c r="F250" s="29">
        <f>IFERROR(VLOOKUP(A250,New!A:E,1,0),"لا يوجد مواعيد")</f>
        <v>10334738</v>
      </c>
      <c r="G250" s="29" t="str">
        <f>IFERROR(VLOOKUP(A250,New!A:F,4,0),"لا يوجد مواعيد")</f>
        <v>رامز طارق رشاد</v>
      </c>
      <c r="H250" s="29" t="str">
        <f>IFERROR(VLOOKUP(A250,New!A:G,3,0),"لا يوجد مواعيد")</f>
        <v>مدينة نصر</v>
      </c>
      <c r="I250" s="29" t="str">
        <f>IFERROR(VLOOKUP(A250,New!A:H,2,0),"لا يوجد مواعيد")</f>
        <v>كشري هند الحي العاشر</v>
      </c>
    </row>
    <row r="251" spans="1:9">
      <c r="A251" s="29">
        <v>10338571</v>
      </c>
      <c r="B251" s="29" t="s">
        <v>2148</v>
      </c>
      <c r="C251" s="32" t="s">
        <v>1937</v>
      </c>
      <c r="D251" s="32" t="s">
        <v>1937</v>
      </c>
      <c r="E251" s="29">
        <f>IFERROR(VLOOKUP(A251,New!A:E,5,0),"لا يوجد مواعيد")</f>
        <v>1145031243</v>
      </c>
      <c r="F251" s="29">
        <f>IFERROR(VLOOKUP(A251,New!A:E,1,0),"لا يوجد مواعيد")</f>
        <v>10338571</v>
      </c>
      <c r="G251" s="29" t="str">
        <f>IFERROR(VLOOKUP(A251,New!A:F,4,0),"لا يوجد مواعيد")</f>
        <v>أحمد سيد أحمد</v>
      </c>
      <c r="H251" s="29" t="str">
        <f>IFERROR(VLOOKUP(A251,New!A:G,3,0),"لا يوجد مواعيد")</f>
        <v>العبور</v>
      </c>
      <c r="I251" s="29" t="str">
        <f>IFERROR(VLOOKUP(A251,New!A:H,2,0),"لا يوجد مواعيد")</f>
        <v>كارفور العبور</v>
      </c>
    </row>
    <row r="252" spans="1:9">
      <c r="A252" s="29">
        <v>10338679</v>
      </c>
      <c r="B252" s="29" t="s">
        <v>2149</v>
      </c>
      <c r="C252" s="32" t="s">
        <v>1937</v>
      </c>
      <c r="D252" s="32" t="s">
        <v>1937</v>
      </c>
      <c r="E252" s="29">
        <f>IFERROR(VLOOKUP(A252,New!A:E,5,0),"لا يوجد مواعيد")</f>
        <v>1113276308</v>
      </c>
      <c r="F252" s="29">
        <f>IFERROR(VLOOKUP(A252,New!A:E,1,0),"لا يوجد مواعيد")</f>
        <v>10338679</v>
      </c>
      <c r="G252" s="29" t="str">
        <f>IFERROR(VLOOKUP(A252,New!A:F,4,0),"لا يوجد مواعيد")</f>
        <v>محمد ماجد</v>
      </c>
      <c r="H252" s="29" t="str">
        <f>IFERROR(VLOOKUP(A252,New!A:G,3,0),"لا يوجد مواعيد")</f>
        <v>فيصل</v>
      </c>
      <c r="I252" s="29" t="str">
        <f>IFERROR(VLOOKUP(A252,New!A:H,2,0),"لا يوجد مواعيد")</f>
        <v>التعاون</v>
      </c>
    </row>
    <row r="253" spans="1:9">
      <c r="A253" s="29">
        <v>10340061</v>
      </c>
      <c r="B253" s="29" t="s">
        <v>2150</v>
      </c>
      <c r="C253" s="32">
        <v>0.5</v>
      </c>
      <c r="D253" s="32">
        <v>0.875</v>
      </c>
      <c r="E253" s="29">
        <f>IFERROR(VLOOKUP(A253,New!A:E,5,0),"لا يوجد مواعيد")</f>
        <v>1090653293</v>
      </c>
      <c r="F253" s="29">
        <f>IFERROR(VLOOKUP(A253,New!A:E,1,0),"لا يوجد مواعيد")</f>
        <v>10340061</v>
      </c>
      <c r="G253" s="29" t="str">
        <f>IFERROR(VLOOKUP(A253,New!A:F,4,0),"لا يوجد مواعيد")</f>
        <v>ندى موسى</v>
      </c>
      <c r="H253" s="29" t="str">
        <f>IFERROR(VLOOKUP(A253,New!A:G,3,0),"لا يوجد مواعيد")</f>
        <v>حدائق القبة</v>
      </c>
      <c r="I253" s="29" t="str">
        <f>IFERROR(VLOOKUP(A253,New!A:H,2,0),"لا يوجد مواعيد")</f>
        <v>ميدان الحدائق</v>
      </c>
    </row>
    <row r="254" spans="1:9">
      <c r="A254" s="29">
        <v>10339936</v>
      </c>
      <c r="B254" s="29" t="s">
        <v>2151</v>
      </c>
      <c r="C254" s="32">
        <v>0.625</v>
      </c>
      <c r="D254" s="32">
        <v>0</v>
      </c>
      <c r="E254" s="29">
        <f>IFERROR(VLOOKUP(A254,New!A:E,5,0),"لا يوجد مواعيد")</f>
        <v>1155027161</v>
      </c>
      <c r="F254" s="29">
        <f>IFERROR(VLOOKUP(A254,New!A:E,1,0),"لا يوجد مواعيد")</f>
        <v>10339936</v>
      </c>
      <c r="G254" s="29" t="str">
        <f>IFERROR(VLOOKUP(A254,New!A:F,4,0),"لا يوجد مواعيد")</f>
        <v>محمد احمد</v>
      </c>
      <c r="H254" s="29" t="str">
        <f>IFERROR(VLOOKUP(A254,New!A:G,3,0),"لا يوجد مواعيد")</f>
        <v>العباسية و الضاهر</v>
      </c>
      <c r="I254" s="29" t="str">
        <f>IFERROR(VLOOKUP(A254,New!A:H,2,0),"لا يوجد مواعيد")</f>
        <v>قسم الوايلي</v>
      </c>
    </row>
    <row r="255" spans="1:9">
      <c r="A255" s="29">
        <v>10340041</v>
      </c>
      <c r="B255" s="29" t="s">
        <v>2152</v>
      </c>
      <c r="C255" s="32">
        <v>0.5</v>
      </c>
      <c r="D255" s="32">
        <v>0.875</v>
      </c>
      <c r="E255" s="29">
        <f>IFERROR(VLOOKUP(A255,New!A:E,5,0),"لا يوجد مواعيد")</f>
        <v>1503620076</v>
      </c>
      <c r="F255" s="29">
        <f>IFERROR(VLOOKUP(A255,New!A:E,1,0),"لا يوجد مواعيد")</f>
        <v>10340041</v>
      </c>
      <c r="G255" s="29" t="str">
        <f>IFERROR(VLOOKUP(A255,New!A:F,4,0),"لا يوجد مواعيد")</f>
        <v>ندى عرب</v>
      </c>
      <c r="H255" s="29" t="str">
        <f>IFERROR(VLOOKUP(A255,New!A:G,3,0),"لا يوجد مواعيد")</f>
        <v>م - الرحاب و التجمع</v>
      </c>
      <c r="I255" s="29" t="str">
        <f>IFERROR(VLOOKUP(A255,New!A:H,2,0),"لا يوجد مواعيد")</f>
        <v>الغاز</v>
      </c>
    </row>
    <row r="256" spans="1:9">
      <c r="A256" s="29">
        <v>10337664</v>
      </c>
      <c r="B256" s="29" t="s">
        <v>2153</v>
      </c>
      <c r="C256" s="32">
        <v>0.625</v>
      </c>
      <c r="D256" s="32">
        <v>0</v>
      </c>
      <c r="E256" s="29">
        <f>IFERROR(VLOOKUP(A256,New!A:E,5,0),"لا يوجد مواعيد")</f>
        <v>1102622034</v>
      </c>
      <c r="F256" s="29">
        <f>IFERROR(VLOOKUP(A256,New!A:E,1,0),"لا يوجد مواعيد")</f>
        <v>10337664</v>
      </c>
      <c r="G256" s="29" t="str">
        <f>IFERROR(VLOOKUP(A256,New!A:F,4,0),"لا يوجد مواعيد")</f>
        <v>محمد عبد المعز</v>
      </c>
      <c r="H256" s="29" t="str">
        <f>IFERROR(VLOOKUP(A256,New!A:G,3,0),"لا يوجد مواعيد")</f>
        <v>شبرا</v>
      </c>
      <c r="I256" s="29" t="str">
        <f>IFERROR(VLOOKUP(A256,New!A:H,2,0),"لا يوجد مواعيد")</f>
        <v>التوحيد و النور</v>
      </c>
    </row>
    <row r="257" spans="1:9">
      <c r="A257" s="29">
        <v>10339012</v>
      </c>
      <c r="B257" s="29" t="s">
        <v>2154</v>
      </c>
      <c r="C257" s="32">
        <v>0.5</v>
      </c>
      <c r="D257" s="32">
        <v>0.875</v>
      </c>
      <c r="E257" s="29">
        <f>IFERROR(VLOOKUP(A257,New!A:E,5,0),"لا يوجد مواعيد")</f>
        <v>1112201156</v>
      </c>
      <c r="F257" s="29">
        <f>IFERROR(VLOOKUP(A257,New!A:E,1,0),"لا يوجد مواعيد")</f>
        <v>10339012</v>
      </c>
      <c r="G257" s="29" t="str">
        <f>IFERROR(VLOOKUP(A257,New!A:F,4,0),"لا يوجد مواعيد")</f>
        <v>سيف السعودي</v>
      </c>
      <c r="H257" s="29" t="str">
        <f>IFERROR(VLOOKUP(A257,New!A:G,3,0),"لا يوجد مواعيد")</f>
        <v>شبرا</v>
      </c>
      <c r="I257" s="29" t="str">
        <f>IFERROR(VLOOKUP(A257,New!A:H,2,0),"لا يوجد مواعيد")</f>
        <v>الخلفاوي</v>
      </c>
    </row>
    <row r="258" spans="1:9">
      <c r="A258" s="29">
        <v>10338961</v>
      </c>
      <c r="B258" s="29" t="s">
        <v>2155</v>
      </c>
      <c r="C258" s="32" t="s">
        <v>1937</v>
      </c>
      <c r="D258" s="32" t="s">
        <v>1937</v>
      </c>
      <c r="E258" s="29">
        <f>IFERROR(VLOOKUP(A258,New!A:E,5,0),"لا يوجد مواعيد")</f>
        <v>1061060042</v>
      </c>
      <c r="F258" s="29">
        <f>IFERROR(VLOOKUP(A258,New!A:E,1,0),"لا يوجد مواعيد")</f>
        <v>10338961</v>
      </c>
      <c r="G258" s="29" t="str">
        <f>IFERROR(VLOOKUP(A258,New!A:F,4,0),"لا يوجد مواعيد")</f>
        <v>يمنى محمد</v>
      </c>
      <c r="H258" s="29" t="str">
        <f>IFERROR(VLOOKUP(A258,New!A:G,3,0),"لا يوجد مواعيد")</f>
        <v>العبور</v>
      </c>
      <c r="I258" s="29" t="str">
        <f>IFERROR(VLOOKUP(A258,New!A:H,2,0),"لا يوجد مواعيد")</f>
        <v>كارفور العبور</v>
      </c>
    </row>
    <row r="259" spans="1:9">
      <c r="A259" s="29">
        <v>10331422</v>
      </c>
      <c r="B259" s="29" t="s">
        <v>2156</v>
      </c>
      <c r="C259" s="32">
        <v>0.625</v>
      </c>
      <c r="D259" s="32">
        <v>0</v>
      </c>
      <c r="E259" s="29">
        <f>IFERROR(VLOOKUP(A259,New!A:E,5,0),"لا يوجد مواعيد")</f>
        <v>1110071185</v>
      </c>
      <c r="F259" s="29">
        <f>IFERROR(VLOOKUP(A259,New!A:E,1,0),"لا يوجد مواعيد")</f>
        <v>10331422</v>
      </c>
      <c r="G259" s="29" t="str">
        <f>IFERROR(VLOOKUP(A259,New!A:F,4,0),"لا يوجد مواعيد")</f>
        <v>روان سامح</v>
      </c>
      <c r="H259" s="29" t="str">
        <f>IFERROR(VLOOKUP(A259,New!A:G,3,0),"لا يوجد مواعيد")</f>
        <v>الزيتون و مصر الجديدة</v>
      </c>
      <c r="I259" s="29" t="str">
        <f>IFERROR(VLOOKUP(A259,New!A:H,2,0),"لا يوجد مواعيد")</f>
        <v>الجراج</v>
      </c>
    </row>
    <row r="260" spans="1:9">
      <c r="A260" s="29">
        <v>10337737</v>
      </c>
      <c r="B260" s="29" t="s">
        <v>2157</v>
      </c>
      <c r="C260" s="32" t="s">
        <v>1937</v>
      </c>
      <c r="D260" s="32" t="s">
        <v>1937</v>
      </c>
      <c r="E260" s="29" t="str">
        <f>IFERROR(VLOOKUP(A260,New!A:E,5,0),"لا يوجد مواعيد")</f>
        <v>1116381472 / 249115567003</v>
      </c>
      <c r="F260" s="29">
        <f>IFERROR(VLOOKUP(A260,New!A:E,1,0),"لا يوجد مواعيد")</f>
        <v>10337737</v>
      </c>
      <c r="G260" s="29" t="str">
        <f>IFERROR(VLOOKUP(A260,New!A:F,4,0),"لا يوجد مواعيد")</f>
        <v>لجين عبد المنعم</v>
      </c>
      <c r="H260" s="29" t="str">
        <f>IFERROR(VLOOKUP(A260,New!A:G,3,0),"لا يوجد مواعيد")</f>
        <v>حلوان و زهراء المعادي</v>
      </c>
      <c r="I260" s="29" t="str">
        <f>IFERROR(VLOOKUP(A260,New!A:H,2,0),"لا يوجد مواعيد")</f>
        <v>المعصرة الاتوستراد</v>
      </c>
    </row>
    <row r="261" spans="1:9">
      <c r="A261" s="29">
        <v>10337744</v>
      </c>
      <c r="B261" s="29" t="s">
        <v>2158</v>
      </c>
      <c r="C261" s="32">
        <v>0.5</v>
      </c>
      <c r="D261" s="32">
        <v>0.875</v>
      </c>
      <c r="E261" s="29">
        <f>IFERROR(VLOOKUP(A261,New!A:E,5,0),"لا يوجد مواعيد")</f>
        <v>1148278594</v>
      </c>
      <c r="F261" s="29">
        <f>IFERROR(VLOOKUP(A261,New!A:E,1,0),"لا يوجد مواعيد")</f>
        <v>10337744</v>
      </c>
      <c r="G261" s="29" t="str">
        <f>IFERROR(VLOOKUP(A261,New!A:F,4,0),"لا يوجد مواعيد")</f>
        <v>رحمة مدثر</v>
      </c>
      <c r="H261" s="29" t="str">
        <f>IFERROR(VLOOKUP(A261,New!A:G,3,0),"لا يوجد مواعيد")</f>
        <v>فيصل</v>
      </c>
      <c r="I261" s="29" t="str">
        <f>IFERROR(VLOOKUP(A261,New!A:H,2,0),"لا يوجد مواعيد")</f>
        <v>طالبية</v>
      </c>
    </row>
    <row r="262" spans="1:9">
      <c r="A262" s="29">
        <v>10322712</v>
      </c>
      <c r="B262" s="29" t="s">
        <v>2159</v>
      </c>
      <c r="C262" s="32">
        <v>0.5</v>
      </c>
      <c r="D262" s="32">
        <v>0.875</v>
      </c>
      <c r="E262" s="29">
        <f>IFERROR(VLOOKUP(A262,New!A:E,5,0),"لا يوجد مواعيد")</f>
        <v>1152621423</v>
      </c>
      <c r="F262" s="29">
        <f>IFERROR(VLOOKUP(A262,New!A:E,1,0),"لا يوجد مواعيد")</f>
        <v>10322712</v>
      </c>
      <c r="G262" s="29" t="str">
        <f>IFERROR(VLOOKUP(A262,New!A:F,4,0),"لا يوجد مواعيد")</f>
        <v>مينا كارل</v>
      </c>
      <c r="H262" s="29" t="str">
        <f>IFERROR(VLOOKUP(A262,New!A:G,3,0),"لا يوجد مواعيد")</f>
        <v>فيصل</v>
      </c>
      <c r="I262" s="29" t="str">
        <f>IFERROR(VLOOKUP(A262,New!A:H,2,0),"لا يوجد مواعيد")</f>
        <v>مريوطية</v>
      </c>
    </row>
    <row r="263" spans="1:9">
      <c r="A263" s="29">
        <v>10334832</v>
      </c>
      <c r="B263" s="29" t="s">
        <v>2160</v>
      </c>
      <c r="C263" s="32">
        <v>0.5</v>
      </c>
      <c r="D263" s="32">
        <v>0.875</v>
      </c>
      <c r="E263" s="29">
        <f>IFERROR(VLOOKUP(A263,New!A:E,5,0),"لا يوجد مواعيد")</f>
        <v>1276595561</v>
      </c>
      <c r="F263" s="29">
        <f>IFERROR(VLOOKUP(A263,New!A:E,1,0),"لا يوجد مواعيد")</f>
        <v>10334832</v>
      </c>
      <c r="G263" s="29" t="str">
        <f>IFERROR(VLOOKUP(A263,New!A:F,4,0),"لا يوجد مواعيد")</f>
        <v>ماثيو عماد</v>
      </c>
      <c r="H263" s="29" t="str">
        <f>IFERROR(VLOOKUP(A263,New!A:G,3,0),"لا يوجد مواعيد")</f>
        <v>دائري</v>
      </c>
      <c r="I263" s="29" t="str">
        <f>IFERROR(VLOOKUP(A263,New!A:H,2,0),"لا يوجد مواعيد")</f>
        <v>بهتيم</v>
      </c>
    </row>
    <row r="264" spans="1:9">
      <c r="A264" s="29">
        <v>10334710</v>
      </c>
      <c r="B264" s="29" t="s">
        <v>2161</v>
      </c>
      <c r="C264" s="32">
        <v>0.625</v>
      </c>
      <c r="D264" s="32">
        <v>0</v>
      </c>
      <c r="E264" s="29">
        <f>IFERROR(VLOOKUP(A264,New!A:E,5,0),"لا يوجد مواعيد")</f>
        <v>1273649119</v>
      </c>
      <c r="F264" s="29">
        <f>IFERROR(VLOOKUP(A264,New!A:E,1,0),"لا يوجد مواعيد")</f>
        <v>10334710</v>
      </c>
      <c r="G264" s="29" t="str">
        <f>IFERROR(VLOOKUP(A264,New!A:F,4,0),"لا يوجد مواعيد")</f>
        <v>احمد محسن</v>
      </c>
      <c r="H264" s="29" t="str">
        <f>IFERROR(VLOOKUP(A264,New!A:G,3,0),"لا يوجد مواعيد")</f>
        <v>دائري</v>
      </c>
      <c r="I264" s="29" t="str">
        <f>IFERROR(VLOOKUP(A264,New!A:H,2,0),"لا يوجد مواعيد")</f>
        <v>طلعة قليوب</v>
      </c>
    </row>
    <row r="265" spans="1:9">
      <c r="A265" s="29">
        <v>10334023</v>
      </c>
      <c r="B265" s="29" t="s">
        <v>2162</v>
      </c>
      <c r="C265" s="32">
        <v>0.5</v>
      </c>
      <c r="D265" s="32">
        <v>0.875</v>
      </c>
      <c r="E265" s="29">
        <f>IFERROR(VLOOKUP(A265,New!A:E,5,0),"لا يوجد مواعيد")</f>
        <v>1278825213</v>
      </c>
      <c r="F265" s="29">
        <f>IFERROR(VLOOKUP(A265,New!A:E,1,0),"لا يوجد مواعيد")</f>
        <v>10334023</v>
      </c>
      <c r="G265" s="29" t="str">
        <f>IFERROR(VLOOKUP(A265,New!A:F,4,0),"لا يوجد مواعيد")</f>
        <v>مارينا عماد</v>
      </c>
      <c r="H265" s="29" t="str">
        <f>IFERROR(VLOOKUP(A265,New!A:G,3,0),"لا يوجد مواعيد")</f>
        <v>شبرا</v>
      </c>
      <c r="I265" s="29" t="str">
        <f>IFERROR(VLOOKUP(A265,New!A:H,2,0),"لا يوجد مواعيد")</f>
        <v>الخلفاوي</v>
      </c>
    </row>
    <row r="266" spans="1:9">
      <c r="A266" s="29">
        <v>10334018</v>
      </c>
      <c r="B266" s="29" t="s">
        <v>2163</v>
      </c>
      <c r="C266" s="32">
        <v>0.625</v>
      </c>
      <c r="D266" s="32">
        <v>0</v>
      </c>
      <c r="E266" s="29">
        <f>IFERROR(VLOOKUP(A266,New!A:E,5,0),"لا يوجد مواعيد")</f>
        <v>1004065451</v>
      </c>
      <c r="F266" s="29">
        <f>IFERROR(VLOOKUP(A266,New!A:E,1,0),"لا يوجد مواعيد")</f>
        <v>10334018</v>
      </c>
      <c r="G266" s="29" t="str">
        <f>IFERROR(VLOOKUP(A266,New!A:F,4,0),"لا يوجد مواعيد")</f>
        <v>ايمان عادل</v>
      </c>
      <c r="H266" s="29" t="str">
        <f>IFERROR(VLOOKUP(A266,New!A:G,3,0),"لا يوجد مواعيد")</f>
        <v>ي - المعادي</v>
      </c>
      <c r="I266" s="29" t="str">
        <f>IFERROR(VLOOKUP(A266,New!A:H,2,0),"لا يوجد مواعيد")</f>
        <v>المحكمة الدستورية</v>
      </c>
    </row>
    <row r="267" spans="1:9">
      <c r="A267" s="29">
        <v>10333947</v>
      </c>
      <c r="B267" s="29" t="s">
        <v>2164</v>
      </c>
      <c r="C267" s="32">
        <v>0.625</v>
      </c>
      <c r="D267" s="32">
        <v>0</v>
      </c>
      <c r="E267" s="29">
        <f>IFERROR(VLOOKUP(A267,New!A:E,5,0),"لا يوجد مواعيد")</f>
        <v>1117915599</v>
      </c>
      <c r="F267" s="29">
        <f>IFERROR(VLOOKUP(A267,New!A:E,1,0),"لا يوجد مواعيد")</f>
        <v>10333947</v>
      </c>
      <c r="G267" s="29" t="str">
        <f>IFERROR(VLOOKUP(A267,New!A:F,4,0),"لا يوجد مواعيد")</f>
        <v>يحيى أحمد محمد طلب</v>
      </c>
      <c r="H267" s="29" t="str">
        <f>IFERROR(VLOOKUP(A267,New!A:G,3,0),"لا يوجد مواعيد")</f>
        <v>فيصل</v>
      </c>
      <c r="I267" s="29" t="str">
        <f>IFERROR(VLOOKUP(A267,New!A:H,2,0),"لا يوجد مواعيد")</f>
        <v>طالبية</v>
      </c>
    </row>
    <row r="268" spans="1:9">
      <c r="A268" s="29">
        <v>10334699</v>
      </c>
      <c r="B268" s="29" t="s">
        <v>2165</v>
      </c>
      <c r="C268" s="32" t="s">
        <v>1937</v>
      </c>
      <c r="D268" s="32" t="s">
        <v>1937</v>
      </c>
      <c r="E268" s="29">
        <f>IFERROR(VLOOKUP(A268,New!A:E,5,0),"لا يوجد مواعيد")</f>
        <v>1093159095</v>
      </c>
      <c r="F268" s="29">
        <f>IFERROR(VLOOKUP(A268,New!A:E,1,0),"لا يوجد مواعيد")</f>
        <v>10334699</v>
      </c>
      <c r="G268" s="29" t="str">
        <f>IFERROR(VLOOKUP(A268,New!A:F,4,0),"لا يوجد مواعيد")</f>
        <v>أحمد عبد العظيم</v>
      </c>
      <c r="H268" s="29" t="str">
        <f>IFERROR(VLOOKUP(A268,New!A:G,3,0),"لا يوجد مواعيد")</f>
        <v>حلوان و زهراء المعادي</v>
      </c>
      <c r="I268" s="29" t="str">
        <f>IFERROR(VLOOKUP(A268,New!A:H,2,0),"لا يوجد مواعيد")</f>
        <v>مدخل حلوان الاتوستراد</v>
      </c>
    </row>
    <row r="269" spans="1:9">
      <c r="A269" s="29">
        <v>10334788</v>
      </c>
      <c r="B269" s="29" t="s">
        <v>2166</v>
      </c>
      <c r="C269" s="32">
        <v>0.5</v>
      </c>
      <c r="D269" s="32">
        <v>0.875</v>
      </c>
      <c r="E269" s="29">
        <f>IFERROR(VLOOKUP(A269,New!A:E,5,0),"لا يوجد مواعيد")</f>
        <v>1129654772</v>
      </c>
      <c r="F269" s="29">
        <f>IFERROR(VLOOKUP(A269,New!A:E,1,0),"لا يوجد مواعيد")</f>
        <v>10334788</v>
      </c>
      <c r="G269" s="29" t="str">
        <f>IFERROR(VLOOKUP(A269,New!A:F,4,0),"لا يوجد مواعيد")</f>
        <v>أحمد محمد عبد الرحمن محمد</v>
      </c>
      <c r="H269" s="29" t="str">
        <f>IFERROR(VLOOKUP(A269,New!A:G,3,0),"لا يوجد مواعيد")</f>
        <v>حدائق الاهرام</v>
      </c>
      <c r="I269" s="29" t="str">
        <f>IFERROR(VLOOKUP(A269,New!A:H,2,0),"لا يوجد مواعيد")</f>
        <v>الفردوس</v>
      </c>
    </row>
    <row r="270" spans="1:9">
      <c r="A270" s="29">
        <v>10334715</v>
      </c>
      <c r="B270" s="29" t="s">
        <v>2167</v>
      </c>
      <c r="C270" s="32">
        <v>0.5</v>
      </c>
      <c r="D270" s="32">
        <v>0.875</v>
      </c>
      <c r="E270" s="29">
        <f>IFERROR(VLOOKUP(A270,New!A:E,5,0),"لا يوجد مواعيد")</f>
        <v>1030947913</v>
      </c>
      <c r="F270" s="29">
        <f>IFERROR(VLOOKUP(A270,New!A:E,1,0),"لا يوجد مواعيد")</f>
        <v>10334715</v>
      </c>
      <c r="G270" s="29" t="str">
        <f>IFERROR(VLOOKUP(A270,New!A:F,4,0),"لا يوجد مواعيد")</f>
        <v>شادن ياسر محمود</v>
      </c>
      <c r="H270" s="29" t="str">
        <f>IFERROR(VLOOKUP(A270,New!A:G,3,0),"لا يوجد مواعيد")</f>
        <v>مدينة نصر</v>
      </c>
      <c r="I270" s="29" t="str">
        <f>IFERROR(VLOOKUP(A270,New!A:H,2,0),"لا يوجد مواعيد")</f>
        <v>ميدان رابعة</v>
      </c>
    </row>
    <row r="271" spans="1:9">
      <c r="A271" s="29">
        <v>10325649</v>
      </c>
      <c r="B271" s="29" t="s">
        <v>2168</v>
      </c>
      <c r="C271" s="32">
        <v>0.5</v>
      </c>
      <c r="D271" s="32">
        <v>0.875</v>
      </c>
      <c r="E271" s="29">
        <f>IFERROR(VLOOKUP(A271,New!A:E,5,0),"لا يوجد مواعيد")</f>
        <v>1145086624</v>
      </c>
      <c r="F271" s="29">
        <f>IFERROR(VLOOKUP(A271,New!A:E,1,0),"لا يوجد مواعيد")</f>
        <v>10325649</v>
      </c>
      <c r="G271" s="29" t="str">
        <f>IFERROR(VLOOKUP(A271,New!A:F,4,0),"لا يوجد مواعيد")</f>
        <v>ردينا وحيد احمد</v>
      </c>
      <c r="H271" s="29" t="str">
        <f>IFERROR(VLOOKUP(A271,New!A:G,3,0),"لا يوجد مواعيد")</f>
        <v>اكتوبر و زايد</v>
      </c>
      <c r="I271" s="29" t="str">
        <f>IFERROR(VLOOKUP(A271,New!A:H,2,0),"لا يوجد مواعيد")</f>
        <v>الحصري</v>
      </c>
    </row>
    <row r="272" spans="1:9">
      <c r="A272" s="29">
        <v>10285962</v>
      </c>
      <c r="B272" s="29" t="s">
        <v>2169</v>
      </c>
      <c r="C272" s="32">
        <v>0.583333333333333</v>
      </c>
      <c r="D272" s="32">
        <v>0.958333333333333</v>
      </c>
      <c r="E272" s="29">
        <f>IFERROR(VLOOKUP(A272,New!A:E,5,0),"لا يوجد مواعيد")</f>
        <v>1070847564</v>
      </c>
      <c r="F272" s="29">
        <f>IFERROR(VLOOKUP(A272,New!A:E,1,0),"لا يوجد مواعيد")</f>
        <v>10285962</v>
      </c>
      <c r="G272" s="29" t="str">
        <f>IFERROR(VLOOKUP(A272,New!A:F,4,0),"لا يوجد مواعيد")</f>
        <v>دينا ماجد محمد خوجلي</v>
      </c>
      <c r="H272" s="29" t="str">
        <f>IFERROR(VLOOKUP(A272,New!A:G,3,0),"لا يوجد مواعيد")</f>
        <v>مدينة نصر</v>
      </c>
      <c r="I272" s="29" t="str">
        <f>IFERROR(VLOOKUP(A272,New!A:H,2,0),"لا يوجد مواعيد")</f>
        <v>اول مكرم</v>
      </c>
    </row>
    <row r="273" spans="1:9">
      <c r="A273" s="29">
        <v>10299519</v>
      </c>
      <c r="B273" s="29" t="s">
        <v>2170</v>
      </c>
      <c r="C273" s="32">
        <v>0.583333333333333</v>
      </c>
      <c r="D273" s="32">
        <v>0.958333333333333</v>
      </c>
      <c r="E273" s="29">
        <f>IFERROR(VLOOKUP(A273,New!A:E,5,0),"لا يوجد مواعيد")</f>
        <v>1019142214</v>
      </c>
      <c r="F273" s="29">
        <f>IFERROR(VLOOKUP(A273,New!A:E,1,0),"لا يوجد مواعيد")</f>
        <v>10299519</v>
      </c>
      <c r="G273" s="29" t="str">
        <f>IFERROR(VLOOKUP(A273,New!A:F,4,0),"لا يوجد مواعيد")</f>
        <v>توقا</v>
      </c>
      <c r="H273" s="29" t="str">
        <f>IFERROR(VLOOKUP(A273,New!A:G,3,0),"لا يوجد مواعيد")</f>
        <v>الزيتون و مصر الجديدة</v>
      </c>
      <c r="I273" s="29" t="str">
        <f>IFERROR(VLOOKUP(A273,New!A:H,2,0),"لا يوجد مواعيد")</f>
        <v>روكسي - العبودي</v>
      </c>
    </row>
    <row r="274" spans="1:9">
      <c r="A274" s="29">
        <v>10307125</v>
      </c>
      <c r="B274" s="29" t="s">
        <v>2171</v>
      </c>
      <c r="C274" s="32">
        <v>0.583333333333333</v>
      </c>
      <c r="D274" s="32">
        <v>0.958333333333333</v>
      </c>
      <c r="E274" s="29" t="str">
        <f>IFERROR(VLOOKUP(A274,New!A:E,5,0),"لا يوجد مواعيد")</f>
        <v>1229990859/ WP: 1064377632</v>
      </c>
      <c r="F274" s="29">
        <f>IFERROR(VLOOKUP(A274,New!A:E,1,0),"لا يوجد مواعيد")</f>
        <v>10307125</v>
      </c>
      <c r="G274" s="29" t="str">
        <f>IFERROR(VLOOKUP(A274,New!A:F,4,0),"لا يوجد مواعيد")</f>
        <v>علي البشير</v>
      </c>
      <c r="H274" s="29" t="str">
        <f>IFERROR(VLOOKUP(A274,New!A:G,3,0),"لا يوجد مواعيد")</f>
        <v>و - مدينتي</v>
      </c>
      <c r="I274" s="29" t="str">
        <f>IFERROR(VLOOKUP(A274,New!A:H,2,0),"لا يوجد مواعيد")</f>
        <v>بوابه1</v>
      </c>
    </row>
    <row r="275" spans="1:9">
      <c r="A275" s="29">
        <v>10327949</v>
      </c>
      <c r="B275" s="29" t="s">
        <v>2172</v>
      </c>
      <c r="C275" s="32">
        <v>0.583333333333333</v>
      </c>
      <c r="D275" s="32">
        <v>0.958333333333333</v>
      </c>
      <c r="E275" s="29">
        <f>IFERROR(VLOOKUP(A275,New!A:E,5,0),"لا يوجد مواعيد")</f>
        <v>1156602488</v>
      </c>
      <c r="F275" s="29">
        <f>IFERROR(VLOOKUP(A275,New!A:E,1,0),"لا يوجد مواعيد")</f>
        <v>10327949</v>
      </c>
      <c r="G275" s="29" t="str">
        <f>IFERROR(VLOOKUP(A275,New!A:F,4,0),"لا يوجد مواعيد")</f>
        <v>بنيامين جوزيف ليمي نويل</v>
      </c>
      <c r="H275" s="29" t="str">
        <f>IFERROR(VLOOKUP(A275,New!A:G,3,0),"لا يوجد مواعيد")</f>
        <v>م - الرحاب و التجمع</v>
      </c>
      <c r="I275" s="29" t="str">
        <f>IFERROR(VLOOKUP(A275,New!A:H,2,0),"لا يوجد مواعيد")</f>
        <v>الغاز</v>
      </c>
    </row>
    <row r="276" spans="1:9">
      <c r="A276" s="29">
        <v>10328563</v>
      </c>
      <c r="B276" s="29" t="s">
        <v>2173</v>
      </c>
      <c r="C276" s="32" t="s">
        <v>1937</v>
      </c>
      <c r="D276" s="32" t="s">
        <v>1937</v>
      </c>
      <c r="E276" s="29">
        <f>IFERROR(VLOOKUP(A276,New!A:E,5,0),"لا يوجد مواعيد")</f>
        <v>1110397373</v>
      </c>
      <c r="F276" s="29">
        <f>IFERROR(VLOOKUP(A276,New!A:E,1,0),"لا يوجد مواعيد")</f>
        <v>10328563</v>
      </c>
      <c r="G276" s="29" t="str">
        <f>IFERROR(VLOOKUP(A276,New!A:F,4,0),"لا يوجد مواعيد")</f>
        <v>آمنة مأمون</v>
      </c>
      <c r="H276" s="29" t="str">
        <f>IFERROR(VLOOKUP(A276,New!A:G,3,0),"لا يوجد مواعيد")</f>
        <v>مدينة نصر</v>
      </c>
      <c r="I276" s="29" t="str">
        <f>IFERROR(VLOOKUP(A276,New!A:H,2,0),"لا يوجد مواعيد")</f>
        <v>اول مكرم</v>
      </c>
    </row>
    <row r="277" spans="1:9">
      <c r="A277" s="29">
        <v>10330282</v>
      </c>
      <c r="B277" s="29" t="s">
        <v>2174</v>
      </c>
      <c r="C277" s="32" t="s">
        <v>1937</v>
      </c>
      <c r="D277" s="32" t="s">
        <v>1937</v>
      </c>
      <c r="E277" s="29">
        <f>IFERROR(VLOOKUP(A277,New!A:E,5,0),"لا يوجد مواعيد")</f>
        <v>1129759974</v>
      </c>
      <c r="F277" s="29">
        <f>IFERROR(VLOOKUP(A277,New!A:E,1,0),"لا يوجد مواعيد")</f>
        <v>10330282</v>
      </c>
      <c r="G277" s="29" t="str">
        <f>IFERROR(VLOOKUP(A277,New!A:F,4,0),"لا يوجد مواعيد")</f>
        <v>شهد أبو الحسن أبوراس</v>
      </c>
      <c r="H277" s="29" t="str">
        <f>IFERROR(VLOOKUP(A277,New!A:G,3,0),"لا يوجد مواعيد")</f>
        <v>فيصل</v>
      </c>
      <c r="I277" s="29" t="str">
        <f>IFERROR(VLOOKUP(A277,New!A:H,2,0),"لا يوجد مواعيد")</f>
        <v>الطالبية</v>
      </c>
    </row>
    <row r="278" spans="1:9">
      <c r="A278" s="29">
        <v>10331012</v>
      </c>
      <c r="B278" s="29" t="s">
        <v>2175</v>
      </c>
      <c r="C278" s="32">
        <v>0.958333333333333</v>
      </c>
      <c r="D278" s="32">
        <v>0.333333333333333</v>
      </c>
      <c r="E278" s="29">
        <f>IFERROR(VLOOKUP(A278,New!A:E,5,0),"لا يوجد مواعيد")</f>
        <v>1556037177</v>
      </c>
      <c r="F278" s="29">
        <f>IFERROR(VLOOKUP(A278,New!A:E,1,0),"لا يوجد مواعيد")</f>
        <v>10331012</v>
      </c>
      <c r="G278" s="29" t="str">
        <f>IFERROR(VLOOKUP(A278,New!A:F,4,0),"لا يوجد مواعيد")</f>
        <v>عبدالعزيز ابراهيم</v>
      </c>
      <c r="H278" s="29" t="str">
        <f>IFERROR(VLOOKUP(A278,New!A:G,3,0),"لا يوجد مواعيد")</f>
        <v>فيصل</v>
      </c>
      <c r="I278" s="29" t="str">
        <f>IFERROR(VLOOKUP(A278,New!A:H,2,0),"لا يوجد مواعيد")</f>
        <v>الابيض اول فيصل</v>
      </c>
    </row>
    <row r="279" spans="1:9">
      <c r="A279" s="29">
        <v>10331220</v>
      </c>
      <c r="B279" s="29" t="s">
        <v>2176</v>
      </c>
      <c r="C279" s="32">
        <v>0.75</v>
      </c>
      <c r="D279" s="32">
        <v>1.125</v>
      </c>
      <c r="E279" s="29" t="str">
        <f>IFERROR(VLOOKUP(A279,New!A:E,5,0),"لا يوجد مواعيد")</f>
        <v>1126814125/1105829206</v>
      </c>
      <c r="F279" s="29">
        <f>IFERROR(VLOOKUP(A279,New!A:E,1,0),"لا يوجد مواعيد")</f>
        <v>10331220</v>
      </c>
      <c r="G279" s="29" t="str">
        <f>IFERROR(VLOOKUP(A279,New!A:F,4,0),"لا يوجد مواعيد")</f>
        <v>بوليس سانتينو بول</v>
      </c>
      <c r="H279" s="29" t="str">
        <f>IFERROR(VLOOKUP(A279,New!A:G,3,0),"لا يوجد مواعيد")</f>
        <v>ي - المعادى</v>
      </c>
      <c r="I279" s="29" t="str">
        <f>IFERROR(VLOOKUP(A279,New!A:H,2,0),"لا يوجد مواعيد")</f>
        <v>المحكمة الدستورية</v>
      </c>
    </row>
    <row r="280" spans="1:9">
      <c r="A280" s="29">
        <v>10331761</v>
      </c>
      <c r="B280" s="29" t="s">
        <v>2177</v>
      </c>
      <c r="C280" s="32" t="s">
        <v>1937</v>
      </c>
      <c r="D280" s="32" t="s">
        <v>1937</v>
      </c>
      <c r="E280" s="29">
        <f>IFERROR(VLOOKUP(A280,New!A:E,5,0),"لا يوجد مواعيد")</f>
        <v>1001035542</v>
      </c>
      <c r="F280" s="29">
        <f>IFERROR(VLOOKUP(A280,New!A:E,1,0),"لا يوجد مواعيد")</f>
        <v>10331761</v>
      </c>
      <c r="G280" s="29" t="str">
        <f>IFERROR(VLOOKUP(A280,New!A:F,4,0),"لا يوجد مواعيد")</f>
        <v>خالد عبد القادر</v>
      </c>
      <c r="H280" s="29" t="str">
        <f>IFERROR(VLOOKUP(A280,New!A:G,3,0),"لا يوجد مواعيد")</f>
        <v>مدينة نصر</v>
      </c>
      <c r="I280" s="29" t="str">
        <f>IFERROR(VLOOKUP(A280,New!A:H,2,0),"لا يوجد مواعيد")</f>
        <v>كشرى هند الحي العاشر</v>
      </c>
    </row>
    <row r="281" spans="1:9">
      <c r="A281" s="29">
        <v>10333168</v>
      </c>
      <c r="B281" s="29" t="s">
        <v>2178</v>
      </c>
      <c r="C281" s="32" t="s">
        <v>1937</v>
      </c>
      <c r="D281" s="32" t="s">
        <v>1937</v>
      </c>
      <c r="E281" s="29" t="str">
        <f>IFERROR(VLOOKUP(A281,New!A:E,5,0),"لا يوجد مواعيد")</f>
        <v>1559889751/249901586173</v>
      </c>
      <c r="F281" s="29">
        <f>IFERROR(VLOOKUP(A281,New!A:E,1,0),"لا يوجد مواعيد")</f>
        <v>10333168</v>
      </c>
      <c r="G281" s="29" t="str">
        <f>IFERROR(VLOOKUP(A281,New!A:F,4,0),"لا يوجد مواعيد")</f>
        <v>احمد البدري</v>
      </c>
      <c r="H281" s="29" t="str">
        <f>IFERROR(VLOOKUP(A281,New!A:G,3,0),"لا يوجد مواعيد")</f>
        <v>مدينة نصر</v>
      </c>
      <c r="I281" s="29" t="str">
        <f>IFERROR(VLOOKUP(A281,New!A:H,2,0),"لا يوجد مواعيد")</f>
        <v>اول عباس</v>
      </c>
    </row>
    <row r="282" spans="1:9">
      <c r="A282" s="29">
        <v>10335502</v>
      </c>
      <c r="B282" s="29" t="s">
        <v>2179</v>
      </c>
      <c r="C282" s="32">
        <v>0.916666666666667</v>
      </c>
      <c r="D282" s="32">
        <v>0.333333333333333</v>
      </c>
      <c r="E282" s="29">
        <f>IFERROR(VLOOKUP(A282,New!A:E,5,0),"لا يوجد مواعيد")</f>
        <v>1044067902</v>
      </c>
      <c r="F282" s="29">
        <f>IFERROR(VLOOKUP(A282,New!A:E,1,0),"لا يوجد مواعيد")</f>
        <v>10335502</v>
      </c>
      <c r="G282" s="29" t="str">
        <f>IFERROR(VLOOKUP(A282,New!A:F,4,0),"لا يوجد مواعيد")</f>
        <v>يارا عمر</v>
      </c>
      <c r="H282" s="29" t="str">
        <f>IFERROR(VLOOKUP(A282,New!A:G,3,0),"لا يوجد مواعيد")</f>
        <v>اكتوبر و زايد</v>
      </c>
      <c r="I282" s="29" t="str">
        <f>IFERROR(VLOOKUP(A282,New!A:H,2,0),"لا يوجد مواعيد")</f>
        <v>فودافون</v>
      </c>
    </row>
    <row r="283" spans="1:9">
      <c r="A283" s="29">
        <v>10335881</v>
      </c>
      <c r="B283" s="29" t="s">
        <v>2180</v>
      </c>
      <c r="C283" s="32" t="s">
        <v>1937</v>
      </c>
      <c r="D283" s="32" t="s">
        <v>1937</v>
      </c>
      <c r="E283" s="29">
        <f>IFERROR(VLOOKUP(A283,New!A:E,5,0),"لا يوجد مواعيد")</f>
        <v>1551687375</v>
      </c>
      <c r="F283" s="29">
        <f>IFERROR(VLOOKUP(A283,New!A:E,1,0),"لا يوجد مواعيد")</f>
        <v>10335881</v>
      </c>
      <c r="G283" s="29" t="str">
        <f>IFERROR(VLOOKUP(A283,New!A:F,4,0),"لا يوجد مواعيد")</f>
        <v>دعاء دسوقى</v>
      </c>
      <c r="H283" s="29" t="str">
        <f>IFERROR(VLOOKUP(A283,New!A:G,3,0),"لا يوجد مواعيد")</f>
        <v>مدينة نصر</v>
      </c>
      <c r="I283" s="29" t="str">
        <f>IFERROR(VLOOKUP(A283,New!A:H,2,0),"لا يوجد مواعيد")</f>
        <v>اول مكرم</v>
      </c>
    </row>
    <row r="284" spans="1:9">
      <c r="A284" s="29">
        <v>10337957</v>
      </c>
      <c r="B284" s="29" t="s">
        <v>2181</v>
      </c>
      <c r="C284" s="32">
        <v>0.583333333333333</v>
      </c>
      <c r="D284" s="32">
        <v>0.958333333333333</v>
      </c>
      <c r="E284" s="29">
        <f>IFERROR(VLOOKUP(A284,New!A:E,5,0),"لا يوجد مواعيد")</f>
        <v>1142763373</v>
      </c>
      <c r="F284" s="29">
        <f>IFERROR(VLOOKUP(A284,New!A:E,1,0),"لا يوجد مواعيد")</f>
        <v>10337957</v>
      </c>
      <c r="G284" s="29" t="str">
        <f>IFERROR(VLOOKUP(A284,New!A:F,4,0),"لا يوجد مواعيد")</f>
        <v>هشام فريد فارس</v>
      </c>
      <c r="H284" s="29" t="str">
        <f>IFERROR(VLOOKUP(A284,New!A:G,3,0),"لا يوجد مواعيد")</f>
        <v>م - المقطم</v>
      </c>
      <c r="I284" s="29" t="str">
        <f>IFERROR(VLOOKUP(A284,New!A:H,2,0),"لا يوجد مواعيد")</f>
        <v>النافورة</v>
      </c>
    </row>
    <row r="285" spans="1:9">
      <c r="A285" s="29">
        <v>10340363</v>
      </c>
      <c r="B285" s="29" t="s">
        <v>2182</v>
      </c>
      <c r="C285" s="32">
        <v>0.666666666666667</v>
      </c>
      <c r="D285" s="32">
        <v>1.04166666666667</v>
      </c>
      <c r="E285" s="29">
        <f>IFERROR(VLOOKUP(A285,New!A:E,5,0),"لا يوجد مواعيد")</f>
        <v>1000993190</v>
      </c>
      <c r="F285" s="29">
        <f>IFERROR(VLOOKUP(A285,New!A:E,1,0),"لا يوجد مواعيد")</f>
        <v>10340363</v>
      </c>
      <c r="G285" s="29" t="str">
        <f>IFERROR(VLOOKUP(A285,New!A:F,4,0),"لا يوجد مواعيد")</f>
        <v>مصطفى محمد عبد المنعم السيد</v>
      </c>
      <c r="H285" s="29" t="str">
        <f>IFERROR(VLOOKUP(A285,New!A:G,3,0),"لا يوجد مواعيد")</f>
        <v>مدينة نصر</v>
      </c>
      <c r="I285" s="29" t="str">
        <f>IFERROR(VLOOKUP(A285,New!A:H,2,0),"لا يوجد مواعيد")</f>
        <v>كشري هند الحي العاشر</v>
      </c>
    </row>
    <row r="286" spans="1:9">
      <c r="A286" s="29">
        <v>10340379</v>
      </c>
      <c r="B286" s="29" t="s">
        <v>2183</v>
      </c>
      <c r="C286" s="32">
        <v>0.708333333333333</v>
      </c>
      <c r="D286" s="32">
        <v>1.29166666666667</v>
      </c>
      <c r="E286" s="29" t="str">
        <f>IFERROR(VLOOKUP(A286,New!A:E,5,0),"لا يوجد مواعيد")</f>
        <v>1102758757 / 249965681031</v>
      </c>
      <c r="F286" s="29">
        <f>IFERROR(VLOOKUP(A286,New!A:E,1,0),"لا يوجد مواعيد")</f>
        <v>10340379</v>
      </c>
      <c r="G286" s="29" t="str">
        <f>IFERROR(VLOOKUP(A286,New!A:F,4,0),"لا يوجد مواعيد")</f>
        <v>أحمد الفاتح</v>
      </c>
      <c r="H286" s="29" t="str">
        <f>IFERROR(VLOOKUP(A286,New!A:G,3,0),"لا يوجد مواعيد")</f>
        <v>مدينة نصر</v>
      </c>
      <c r="I286" s="29" t="str">
        <f>IFERROR(VLOOKUP(A286,New!A:H,2,0),"لا يوجد مواعيد")</f>
        <v>اول عباس</v>
      </c>
    </row>
    <row r="287" spans="1:9">
      <c r="A287" s="29">
        <v>10340418</v>
      </c>
      <c r="B287" s="29" t="s">
        <v>2184</v>
      </c>
      <c r="C287" s="32">
        <v>0.75</v>
      </c>
      <c r="D287" s="32">
        <v>0.333333333333333</v>
      </c>
      <c r="E287" s="29">
        <f>IFERROR(VLOOKUP(A287,New!A:E,5,0),"لا يوجد مواعيد")</f>
        <v>1008135243</v>
      </c>
      <c r="F287" s="29">
        <f>IFERROR(VLOOKUP(A287,New!A:E,1,0),"لا يوجد مواعيد")</f>
        <v>10340418</v>
      </c>
      <c r="G287" s="29" t="str">
        <f>IFERROR(VLOOKUP(A287,New!A:F,4,0),"لا يوجد مواعيد")</f>
        <v>خطاب بشير محمد أحمد</v>
      </c>
      <c r="H287" s="29" t="str">
        <f>IFERROR(VLOOKUP(A287,New!A:G,3,0),"لا يوجد مواعيد")</f>
        <v>الزيتون و مصر الجديدة</v>
      </c>
      <c r="I287" s="29" t="str">
        <f>IFERROR(VLOOKUP(A287,New!A:H,2,0),"لا يوجد مواعيد")</f>
        <v>ابن الحكم</v>
      </c>
    </row>
    <row r="288" spans="1:9">
      <c r="A288" s="29">
        <v>10341007</v>
      </c>
      <c r="B288" s="29" t="s">
        <v>2185</v>
      </c>
      <c r="C288" s="32" t="s">
        <v>1937</v>
      </c>
      <c r="D288" s="32" t="s">
        <v>1937</v>
      </c>
      <c r="E288" s="29">
        <f>IFERROR(VLOOKUP(A288,New!A:E,5,0),"لا يوجد مواعيد")</f>
        <v>1205409714</v>
      </c>
      <c r="F288" s="29">
        <f>IFERROR(VLOOKUP(A288,New!A:E,1,0),"لا يوجد مواعيد")</f>
        <v>10341007</v>
      </c>
      <c r="G288" s="29" t="str">
        <f>IFERROR(VLOOKUP(A288,New!A:F,4,0),"لا يوجد مواعيد")</f>
        <v>صالح عبد القادر عمر محمد</v>
      </c>
      <c r="H288" s="29" t="str">
        <f>IFERROR(VLOOKUP(A288,New!A:G,3,0),"لا يوجد مواعيد")</f>
        <v>مدينة نصر</v>
      </c>
      <c r="I288" s="29" t="str">
        <f>IFERROR(VLOOKUP(A288,New!A:H,2,0),"لا يوجد مواعيد")</f>
        <v>اول مكرم</v>
      </c>
    </row>
    <row r="289" spans="1:9">
      <c r="A289" s="29">
        <v>10341047</v>
      </c>
      <c r="B289" s="29" t="s">
        <v>2186</v>
      </c>
      <c r="C289" s="32">
        <v>0.625</v>
      </c>
      <c r="D289" s="32">
        <v>1</v>
      </c>
      <c r="E289" s="29">
        <f>IFERROR(VLOOKUP(A289,New!A:E,5,0),"لا يوجد مواعيد")</f>
        <v>1050915746</v>
      </c>
      <c r="F289" s="29">
        <f>IFERROR(VLOOKUP(A289,New!A:E,1,0),"لا يوجد مواعيد")</f>
        <v>10341047</v>
      </c>
      <c r="G289" s="29" t="str">
        <f>IFERROR(VLOOKUP(A289,New!A:F,4,0),"لا يوجد مواعيد")</f>
        <v>محمد حامد</v>
      </c>
      <c r="H289" s="29" t="str">
        <f>IFERROR(VLOOKUP(A289,New!A:G,3,0),"لا يوجد مواعيد")</f>
        <v>م - الرحاب و التجمع</v>
      </c>
      <c r="I289" s="29" t="str">
        <f>IFERROR(VLOOKUP(A289,New!A:H,2,0),"لا يوجد مواعيد")</f>
        <v>بوابة 6</v>
      </c>
    </row>
    <row r="290" spans="1:9">
      <c r="A290" s="29">
        <v>10341599</v>
      </c>
      <c r="B290" s="29" t="s">
        <v>2187</v>
      </c>
      <c r="C290" s="32">
        <v>0.666666666666667</v>
      </c>
      <c r="D290" s="32">
        <v>1.25</v>
      </c>
      <c r="E290" s="29">
        <f>IFERROR(VLOOKUP(A290,New!A:E,5,0),"لا يوجد مواعيد")</f>
        <v>0</v>
      </c>
      <c r="F290" s="29">
        <f>IFERROR(VLOOKUP(A290,New!A:E,1,0),"لا يوجد مواعيد")</f>
        <v>10341599</v>
      </c>
      <c r="G290" s="29" t="str">
        <f>IFERROR(VLOOKUP(A290,New!A:F,4,0),"لا يوجد مواعيد")</f>
        <v>بشار محمد البشير حمزة</v>
      </c>
      <c r="H290" s="29" t="str">
        <f>IFERROR(VLOOKUP(A290,New!A:G,3,0),"لا يوجد مواعيد")</f>
        <v>مدينة نصر</v>
      </c>
      <c r="I290" s="29" t="str">
        <f>IFERROR(VLOOKUP(A290,New!A:H,2,0),"لا يوجد مواعيد")</f>
        <v>كشري هند الحي العاشر</v>
      </c>
    </row>
    <row r="291" spans="1:9">
      <c r="A291" s="29">
        <v>10342327</v>
      </c>
      <c r="B291" s="29" t="s">
        <v>2188</v>
      </c>
      <c r="C291" s="32">
        <v>0.625</v>
      </c>
      <c r="D291" s="32">
        <v>1</v>
      </c>
      <c r="E291" s="29">
        <f>IFERROR(VLOOKUP(A291,New!A:E,5,0),"لا يوجد مواعيد")</f>
        <v>1557628989</v>
      </c>
      <c r="F291" s="29">
        <f>IFERROR(VLOOKUP(A291,New!A:E,1,0),"لا يوجد مواعيد")</f>
        <v>10342327</v>
      </c>
      <c r="G291" s="29" t="str">
        <f>IFERROR(VLOOKUP(A291,New!A:F,4,0),"لا يوجد مواعيد")</f>
        <v>كريم حسن</v>
      </c>
      <c r="H291" s="29" t="str">
        <f>IFERROR(VLOOKUP(A291,New!A:G,3,0),"لا يوجد مواعيد")</f>
        <v>ي - المعادى</v>
      </c>
      <c r="I291" s="29" t="str">
        <f>IFERROR(VLOOKUP(A291,New!A:H,2,0),"لا يوجد مواعيد")</f>
        <v>اكاديمية السادات</v>
      </c>
    </row>
    <row r="292" spans="1:9">
      <c r="A292" s="29">
        <v>10342463</v>
      </c>
      <c r="B292" s="29" t="s">
        <v>2189</v>
      </c>
      <c r="C292" s="32">
        <v>0.625</v>
      </c>
      <c r="D292" s="32">
        <v>1</v>
      </c>
      <c r="E292" s="29">
        <f>IFERROR(VLOOKUP(A292,New!A:E,5,0),"لا يوجد مواعيد")</f>
        <v>1125491114</v>
      </c>
      <c r="F292" s="29">
        <f>IFERROR(VLOOKUP(A292,New!A:E,1,0),"لا يوجد مواعيد")</f>
        <v>10342463</v>
      </c>
      <c r="G292" s="29" t="str">
        <f>IFERROR(VLOOKUP(A292,New!A:F,4,0),"لا يوجد مواعيد")</f>
        <v>نديم خالد</v>
      </c>
      <c r="H292" s="29" t="str">
        <f>IFERROR(VLOOKUP(A292,New!A:G,3,0),"لا يوجد مواعيد")</f>
        <v>الزيتون و مصر الجديدة</v>
      </c>
      <c r="I292" s="29" t="str">
        <f>IFERROR(VLOOKUP(A292,New!A:H,2,0),"لا يوجد مواعيد")</f>
        <v>المحكمة</v>
      </c>
    </row>
    <row r="293" spans="1:9">
      <c r="A293" s="29">
        <v>10342471</v>
      </c>
      <c r="B293" s="29" t="s">
        <v>2190</v>
      </c>
      <c r="C293" s="32" t="s">
        <v>1937</v>
      </c>
      <c r="D293" s="32" t="s">
        <v>1937</v>
      </c>
      <c r="E293" s="29">
        <f>IFERROR(VLOOKUP(A293,New!A:E,5,0),"لا يوجد مواعيد")</f>
        <v>1117675614</v>
      </c>
      <c r="F293" s="29">
        <f>IFERROR(VLOOKUP(A293,New!A:E,1,0),"لا يوجد مواعيد")</f>
        <v>10342471</v>
      </c>
      <c r="G293" s="29" t="str">
        <f>IFERROR(VLOOKUP(A293,New!A:F,4,0),"لا يوجد مواعيد")</f>
        <v>هشام حسن</v>
      </c>
      <c r="H293" s="29" t="str">
        <f>IFERROR(VLOOKUP(A293,New!A:G,3,0),"لا يوجد مواعيد")</f>
        <v>ي - المعادى</v>
      </c>
      <c r="I293" s="29" t="str">
        <f>IFERROR(VLOOKUP(A293,New!A:H,2,0),"لا يوجد مواعيد")</f>
        <v>اكاديمية السادات</v>
      </c>
    </row>
    <row r="294" spans="1:9">
      <c r="A294" s="29">
        <v>10342917</v>
      </c>
      <c r="B294" s="29" t="s">
        <v>2191</v>
      </c>
      <c r="C294" s="32">
        <v>0.625</v>
      </c>
      <c r="D294" s="32">
        <v>1.20833333333333</v>
      </c>
      <c r="E294" s="29">
        <f>IFERROR(VLOOKUP(A294,New!A:E,5,0),"لا يوجد مواعيد")</f>
        <v>1016228319</v>
      </c>
      <c r="F294" s="29">
        <f>IFERROR(VLOOKUP(A294,New!A:E,1,0),"لا يوجد مواعيد")</f>
        <v>10342917</v>
      </c>
      <c r="G294" s="29" t="str">
        <f>IFERROR(VLOOKUP(A294,New!A:F,4,0),"لا يوجد مواعيد")</f>
        <v>سينيت تسفاي</v>
      </c>
      <c r="H294" s="29" t="str">
        <f>IFERROR(VLOOKUP(A294,New!A:G,3,0),"لا يوجد مواعيد")</f>
        <v>حلوان و زهراء المعادي</v>
      </c>
      <c r="I294" s="29" t="str">
        <f>IFERROR(VLOOKUP(A294,New!A:H,2,0),"لا يوجد مواعيد")</f>
        <v>سلم صقر قريش</v>
      </c>
    </row>
    <row r="295" spans="1:9">
      <c r="A295" s="29">
        <v>10344239</v>
      </c>
      <c r="B295" s="29" t="s">
        <v>2192</v>
      </c>
      <c r="C295" s="32">
        <v>0.583333333333333</v>
      </c>
      <c r="D295" s="32">
        <v>0.958333333333333</v>
      </c>
      <c r="E295" s="29">
        <f>IFERROR(VLOOKUP(A295,New!A:E,5,0),"لا يوجد مواعيد")</f>
        <v>1031837851</v>
      </c>
      <c r="F295" s="29">
        <f>IFERROR(VLOOKUP(A295,New!A:E,1,0),"لا يوجد مواعيد")</f>
        <v>10344239</v>
      </c>
      <c r="G295" s="29" t="str">
        <f>IFERROR(VLOOKUP(A295,New!A:F,4,0),"لا يوجد مواعيد")</f>
        <v>أسيل جميل</v>
      </c>
      <c r="H295" s="29" t="str">
        <f>IFERROR(VLOOKUP(A295,New!A:G,3,0),"لا يوجد مواعيد")</f>
        <v>فيصل</v>
      </c>
      <c r="I295" s="29" t="str">
        <f>IFERROR(VLOOKUP(A295,New!A:H,2,0),"لا يوجد مواعيد")</f>
        <v>المريوطية</v>
      </c>
    </row>
    <row r="296" spans="1:9">
      <c r="A296" s="29">
        <v>10344398</v>
      </c>
      <c r="B296" s="29" t="s">
        <v>2151</v>
      </c>
      <c r="C296" s="32">
        <v>0.75</v>
      </c>
      <c r="D296" s="32">
        <v>1.25</v>
      </c>
      <c r="E296" s="29" t="str">
        <f>IFERROR(VLOOKUP(A296,New!A:E,5,0),"لا يوجد مواعيد")</f>
        <v>1288044455 / 1277933331</v>
      </c>
      <c r="F296" s="29">
        <f>IFERROR(VLOOKUP(A296,New!A:E,1,0),"لا يوجد مواعيد")</f>
        <v>10344398</v>
      </c>
      <c r="G296" s="29" t="str">
        <f>IFERROR(VLOOKUP(A296,New!A:F,4,0),"لا يوجد مواعيد")</f>
        <v>محمد احمد</v>
      </c>
      <c r="H296" s="29" t="str">
        <f>IFERROR(VLOOKUP(A296,New!A:G,3,0),"لا يوجد مواعيد")</f>
        <v>حلوان و زهراء المعادي</v>
      </c>
      <c r="I296" s="29" t="str">
        <f>IFERROR(VLOOKUP(A296,New!A:H,2,0),"لا يوجد مواعيد")</f>
        <v>سلم البارون</v>
      </c>
    </row>
    <row r="297" spans="1:9">
      <c r="A297" s="29">
        <v>10346798</v>
      </c>
      <c r="B297" s="29" t="s">
        <v>2193</v>
      </c>
      <c r="C297" s="32">
        <v>0.791666666666667</v>
      </c>
      <c r="D297" s="32">
        <v>1.29166666666667</v>
      </c>
      <c r="E297" s="29" t="str">
        <f>IFERROR(VLOOKUP(A297,New!A:E,5,0),"لا يوجد مواعيد")</f>
        <v>1090273995/1277222890</v>
      </c>
      <c r="F297" s="29">
        <f>IFERROR(VLOOKUP(A297,New!A:E,1,0),"لا يوجد مواعيد")</f>
        <v>10346798</v>
      </c>
      <c r="G297" s="29" t="str">
        <f>IFERROR(VLOOKUP(A297,New!A:F,4,0),"لا يوجد مواعيد")</f>
        <v>أمينة النيال</v>
      </c>
      <c r="H297" s="29" t="str">
        <f>IFERROR(VLOOKUP(A297,New!A:G,3,0),"لا يوجد مواعيد")</f>
        <v>و - مدينتي</v>
      </c>
      <c r="I297" s="29" t="str">
        <f>IFERROR(VLOOKUP(A297,New!A:H,2,0),"لا يوجد مواعيد")</f>
        <v>بوابة 1</v>
      </c>
    </row>
    <row r="298" spans="1:9">
      <c r="A298" s="29">
        <v>10348251</v>
      </c>
      <c r="B298" s="29" t="s">
        <v>2194</v>
      </c>
      <c r="C298" s="32">
        <v>0.583333333333333</v>
      </c>
      <c r="D298" s="32">
        <v>0.958333333333333</v>
      </c>
      <c r="E298" s="29">
        <f>IFERROR(VLOOKUP(A298,New!A:E,5,0),"لا يوجد مواعيد")</f>
        <v>1225132953</v>
      </c>
      <c r="F298" s="29">
        <f>IFERROR(VLOOKUP(A298,New!A:E,1,0),"لا يوجد مواعيد")</f>
        <v>10348251</v>
      </c>
      <c r="G298" s="29" t="str">
        <f>IFERROR(VLOOKUP(A298,New!A:F,4,0),"لا يوجد مواعيد")</f>
        <v>مروان زهران</v>
      </c>
      <c r="H298" s="29" t="str">
        <f>IFERROR(VLOOKUP(A298,New!A:G,3,0),"لا يوجد مواعيد")</f>
        <v>و - الشروق</v>
      </c>
      <c r="I298" s="29" t="str">
        <f>IFERROR(VLOOKUP(A298,New!A:H,2,0),"لا يوجد مواعيد")</f>
        <v>كشك اللحمة</v>
      </c>
    </row>
    <row r="299" spans="1:9">
      <c r="A299" s="29">
        <v>10348410</v>
      </c>
      <c r="B299" s="29" t="s">
        <v>2195</v>
      </c>
      <c r="C299" s="32">
        <v>0.583333333333333</v>
      </c>
      <c r="D299" s="32">
        <v>1.08333333333333</v>
      </c>
      <c r="E299" s="29" t="str">
        <f>IFERROR(VLOOKUP(A299,New!A:E,5,0),"لا يوجد مواعيد")</f>
        <v>1126486745/1551991955</v>
      </c>
      <c r="F299" s="29">
        <f>IFERROR(VLOOKUP(A299,New!A:E,1,0),"لا يوجد مواعيد")</f>
        <v>10348410</v>
      </c>
      <c r="G299" s="29" t="str">
        <f>IFERROR(VLOOKUP(A299,New!A:F,4,0),"لا يوجد مواعيد")</f>
        <v>مرغني محمد</v>
      </c>
      <c r="H299" s="29" t="str">
        <f>IFERROR(VLOOKUP(A299,New!A:G,3,0),"لا يوجد مواعيد")</f>
        <v>الزيتون و مصر الجديدة</v>
      </c>
      <c r="I299" s="29" t="str">
        <f>IFERROR(VLOOKUP(A299,New!A:H,2,0),"لا يوجد مواعيد")</f>
        <v>روكسي - العبودي</v>
      </c>
    </row>
    <row r="300" spans="1:9">
      <c r="A300" s="29">
        <v>10348422</v>
      </c>
      <c r="B300" s="29" t="s">
        <v>2196</v>
      </c>
      <c r="C300" s="32">
        <v>0.75</v>
      </c>
      <c r="D300" s="32">
        <v>1.16666666666667</v>
      </c>
      <c r="E300" s="29">
        <f>IFERROR(VLOOKUP(A300,New!A:E,5,0),"لا يوجد مواعيد")</f>
        <v>1012767690</v>
      </c>
      <c r="F300" s="29">
        <f>IFERROR(VLOOKUP(A300,New!A:E,1,0),"لا يوجد مواعيد")</f>
        <v>10348422</v>
      </c>
      <c r="G300" s="29" t="str">
        <f>IFERROR(VLOOKUP(A300,New!A:F,4,0),"لا يوجد مواعيد")</f>
        <v>مروان امير</v>
      </c>
      <c r="H300" s="29" t="str">
        <f>IFERROR(VLOOKUP(A300,New!A:G,3,0),"لا يوجد مواعيد")</f>
        <v>مدينة نصر</v>
      </c>
      <c r="I300" s="29" t="str">
        <f>IFERROR(VLOOKUP(A300,New!A:H,2,0),"لا يوجد مواعيد")</f>
        <v>كشري هند الحي العاشر</v>
      </c>
    </row>
    <row r="301" spans="1:9">
      <c r="A301" s="29">
        <v>10348430</v>
      </c>
      <c r="B301" s="29" t="s">
        <v>2197</v>
      </c>
      <c r="C301" s="32">
        <v>0.666666666666667</v>
      </c>
      <c r="D301" s="32">
        <v>1.20833333333333</v>
      </c>
      <c r="E301" s="29">
        <f>IFERROR(VLOOKUP(A301,New!A:E,5,0),"لا يوجد مواعيد")</f>
        <v>1018345490</v>
      </c>
      <c r="F301" s="29">
        <f>IFERROR(VLOOKUP(A301,New!A:E,1,0),"لا يوجد مواعيد")</f>
        <v>10348430</v>
      </c>
      <c r="G301" s="29" t="str">
        <f>IFERROR(VLOOKUP(A301,New!A:F,4,0),"لا يوجد مواعيد")</f>
        <v>بدر الدين خليل</v>
      </c>
      <c r="H301" s="29" t="str">
        <f>IFERROR(VLOOKUP(A301,New!A:G,3,0),"لا يوجد مواعيد")</f>
        <v>م - الرحاب و التجمع</v>
      </c>
      <c r="I301" s="29" t="str">
        <f>IFERROR(VLOOKUP(A301,New!A:H,2,0),"لا يوجد مواعيد")</f>
        <v>بوابة 13</v>
      </c>
    </row>
    <row r="302" spans="1:9">
      <c r="A302" s="29">
        <v>10340382</v>
      </c>
      <c r="B302" s="29" t="s">
        <v>2198</v>
      </c>
      <c r="C302" s="32">
        <v>0.666666666666667</v>
      </c>
      <c r="D302" s="32">
        <v>1.04166666666667</v>
      </c>
      <c r="E302" s="29">
        <f>IFERROR(VLOOKUP(A302,New!A:E,5,0),"لا يوجد مواعيد")</f>
        <v>1095866320</v>
      </c>
      <c r="F302" s="29">
        <f>IFERROR(VLOOKUP(A302,New!A:E,1,0),"لا يوجد مواعيد")</f>
        <v>10340382</v>
      </c>
      <c r="G302" s="29" t="str">
        <f>IFERROR(VLOOKUP(A302,New!A:F,4,0),"لا يوجد مواعيد")</f>
        <v>نور خالد</v>
      </c>
      <c r="H302" s="29" t="str">
        <f>IFERROR(VLOOKUP(A302,New!A:G,3,0),"لا يوجد مواعيد")</f>
        <v>فيصل</v>
      </c>
      <c r="I302" s="29" t="str">
        <f>IFERROR(VLOOKUP(A302,New!A:H,2,0),"لا يوجد مواعيد")</f>
        <v>الطوابق</v>
      </c>
    </row>
    <row r="303" spans="1:9">
      <c r="A303" s="29">
        <v>10348787</v>
      </c>
      <c r="B303" s="29" t="s">
        <v>2199</v>
      </c>
      <c r="C303" s="32">
        <v>0.708333333333333</v>
      </c>
      <c r="D303" s="32">
        <v>1.08333333333333</v>
      </c>
      <c r="E303" s="29">
        <f>IFERROR(VLOOKUP(A303,New!A:E,5,0),"لا يوجد مواعيد")</f>
        <v>1556565375</v>
      </c>
      <c r="F303" s="29">
        <f>IFERROR(VLOOKUP(A303,New!A:E,1,0),"لا يوجد مواعيد")</f>
        <v>10348787</v>
      </c>
      <c r="G303" s="29" t="str">
        <f>IFERROR(VLOOKUP(A303,New!A:F,4,0),"لا يوجد مواعيد")</f>
        <v>سيما احمد</v>
      </c>
      <c r="H303" s="29" t="str">
        <f>IFERROR(VLOOKUP(A303,New!A:G,3,0),"لا يوجد مواعيد")</f>
        <v>م - المقطم</v>
      </c>
      <c r="I303" s="29" t="str">
        <f>IFERROR(VLOOKUP(A303,New!A:H,2,0),"لا يوجد مواعيد")</f>
        <v>كارفور المقطم</v>
      </c>
    </row>
    <row r="304" spans="1:9">
      <c r="A304" s="29">
        <v>10348733</v>
      </c>
      <c r="B304" s="29" t="s">
        <v>2200</v>
      </c>
      <c r="C304" s="32">
        <v>0.708333333333333</v>
      </c>
      <c r="D304" s="32">
        <v>1.29166666666667</v>
      </c>
      <c r="E304" s="29" t="str">
        <f>IFERROR(VLOOKUP(A304,New!A:E,5,0),"لا يوجد مواعيد")</f>
        <v>1127320350/79196761276</v>
      </c>
      <c r="F304" s="29">
        <f>IFERROR(VLOOKUP(A304,New!A:E,1,0),"لا يوجد مواعيد")</f>
        <v>10348733</v>
      </c>
      <c r="G304" s="29" t="str">
        <f>IFERROR(VLOOKUP(A304,New!A:F,4,0),"لا يوجد مواعيد")</f>
        <v>زياد يونس</v>
      </c>
      <c r="H304" s="29" t="str">
        <f>IFERROR(VLOOKUP(A304,New!A:G,3,0),"لا يوجد مواعيد")</f>
        <v>المهندسين</v>
      </c>
      <c r="I304" s="29" t="str">
        <f>IFERROR(VLOOKUP(A304,New!A:H,2,0),"لا يوجد مواعيد")</f>
        <v>عمر افندي</v>
      </c>
    </row>
    <row r="305" spans="1:9">
      <c r="A305" s="29">
        <v>10348847</v>
      </c>
      <c r="B305" s="29" t="s">
        <v>2201</v>
      </c>
      <c r="C305" s="32">
        <v>0.708333333333333</v>
      </c>
      <c r="D305" s="32">
        <v>1.29166666666667</v>
      </c>
      <c r="E305" s="29">
        <f>IFERROR(VLOOKUP(A305,New!A:E,5,0),"لا يوجد مواعيد")</f>
        <v>1055343683</v>
      </c>
      <c r="F305" s="29">
        <f>IFERROR(VLOOKUP(A305,New!A:E,1,0),"لا يوجد مواعيد")</f>
        <v>10348847</v>
      </c>
      <c r="G305" s="29" t="str">
        <f>IFERROR(VLOOKUP(A305,New!A:F,4,0),"لا يوجد مواعيد")</f>
        <v>أولاجيد إيمانويل تولولبي</v>
      </c>
      <c r="H305" s="29" t="str">
        <f>IFERROR(VLOOKUP(A305,New!A:G,3,0),"لا يوجد مواعيد")</f>
        <v>مدينة نصر</v>
      </c>
      <c r="I305" s="29" t="str">
        <f>IFERROR(VLOOKUP(A305,New!A:H,2,0),"لا يوجد مواعيد")</f>
        <v>كشري هند الحي العاشر</v>
      </c>
    </row>
    <row r="306" spans="1:9">
      <c r="A306" s="29">
        <v>10267962</v>
      </c>
      <c r="B306" s="29" t="s">
        <v>2202</v>
      </c>
      <c r="C306" s="32">
        <v>0.75</v>
      </c>
      <c r="D306" s="32">
        <v>0.166666666666667</v>
      </c>
      <c r="E306" s="29">
        <f>IFERROR(VLOOKUP(A306,New!A:E,5,0),"لا يوجد مواعيد")</f>
        <v>1018145481</v>
      </c>
      <c r="F306" s="29">
        <f>IFERROR(VLOOKUP(A306,New!A:E,1,0),"لا يوجد مواعيد")</f>
        <v>10267962</v>
      </c>
      <c r="G306" s="29" t="str">
        <f>IFERROR(VLOOKUP(A306,New!A:F,4,0),"لا يوجد مواعيد")</f>
        <v>محمد طارق</v>
      </c>
      <c r="H306" s="29" t="str">
        <f>IFERROR(VLOOKUP(A306,New!A:G,3,0),"لا يوجد مواعيد")</f>
        <v>م - الرحاب و التجمع</v>
      </c>
      <c r="I306" s="29" t="str">
        <f>IFERROR(VLOOKUP(A306,New!A:H,2,0),"لا يوجد مواعيد")</f>
        <v>الغاز</v>
      </c>
    </row>
    <row r="307" spans="1:9">
      <c r="A307" s="29">
        <v>10270497</v>
      </c>
      <c r="B307" s="29" t="s">
        <v>2203</v>
      </c>
      <c r="C307" s="32">
        <v>0.75</v>
      </c>
      <c r="D307" s="32">
        <v>1.25</v>
      </c>
      <c r="E307" s="29">
        <f>IFERROR(VLOOKUP(A307,New!A:E,5,0),"لا يوجد مواعيد")</f>
        <v>1017467206</v>
      </c>
      <c r="F307" s="29">
        <f>IFERROR(VLOOKUP(A307,New!A:E,1,0),"لا يوجد مواعيد")</f>
        <v>10270497</v>
      </c>
      <c r="G307" s="29" t="str">
        <f>IFERROR(VLOOKUP(A307,New!A:F,4,0),"لا يوجد مواعيد")</f>
        <v>عمر بدوي</v>
      </c>
      <c r="H307" s="29" t="str">
        <f>IFERROR(VLOOKUP(A307,New!A:G,3,0),"لا يوجد مواعيد")</f>
        <v>اكتوبر و زايد</v>
      </c>
      <c r="I307" s="29" t="str">
        <f>IFERROR(VLOOKUP(A307,New!A:H,2,0),"لا يوجد مواعيد")</f>
        <v>هايبر 1</v>
      </c>
    </row>
    <row r="308" spans="1:9">
      <c r="A308" s="29">
        <v>10271468</v>
      </c>
      <c r="B308" s="29" t="s">
        <v>2204</v>
      </c>
      <c r="C308" s="32">
        <v>0.666666666666667</v>
      </c>
      <c r="D308" s="32">
        <v>1.25</v>
      </c>
      <c r="E308" s="29">
        <f>IFERROR(VLOOKUP(A308,New!A:E,5,0),"لا يوجد مواعيد")</f>
        <v>1009533599</v>
      </c>
      <c r="F308" s="29">
        <f>IFERROR(VLOOKUP(A308,New!A:E,1,0),"لا يوجد مواعيد")</f>
        <v>10271468</v>
      </c>
      <c r="G308" s="29" t="str">
        <f>IFERROR(VLOOKUP(A308,New!A:F,4,0),"لا يوجد مواعيد")</f>
        <v>اسلام الغمري</v>
      </c>
      <c r="H308" s="29" t="str">
        <f>IFERROR(VLOOKUP(A308,New!A:G,3,0),"لا يوجد مواعيد")</f>
        <v>م - المقطم</v>
      </c>
      <c r="I308" s="29" t="str">
        <f>IFERROR(VLOOKUP(A308,New!A:H,2,0),"لا يوجد مواعيد")</f>
        <v>كريم بنونة</v>
      </c>
    </row>
    <row r="309" spans="1:9">
      <c r="A309" s="29">
        <v>10274975</v>
      </c>
      <c r="B309" s="29" t="s">
        <v>2205</v>
      </c>
      <c r="C309" s="32">
        <v>0.916666666666667</v>
      </c>
      <c r="D309" s="32">
        <v>1.29166666666667</v>
      </c>
      <c r="E309" s="29">
        <f>IFERROR(VLOOKUP(A309,New!A:E,5,0),"لا يوجد مواعيد")</f>
        <v>1092636192</v>
      </c>
      <c r="F309" s="29">
        <f>IFERROR(VLOOKUP(A309,New!A:E,1,0),"لا يوجد مواعيد")</f>
        <v>10274975</v>
      </c>
      <c r="G309" s="29" t="str">
        <f>IFERROR(VLOOKUP(A309,New!A:F,4,0),"لا يوجد مواعيد")</f>
        <v>ميكائيل عبدالله</v>
      </c>
      <c r="H309" s="29" t="str">
        <f>IFERROR(VLOOKUP(A309,New!A:G,3,0),"لا يوجد مواعيد")</f>
        <v>م - الرحاب و التجمع</v>
      </c>
      <c r="I309" s="29" t="str">
        <f>IFERROR(VLOOKUP(A309,New!A:H,2,0),"لا يوجد مواعيد")</f>
        <v>ميدان الجزيرة</v>
      </c>
    </row>
    <row r="310" spans="1:9">
      <c r="A310" s="29">
        <v>10281227</v>
      </c>
      <c r="B310" s="29" t="s">
        <v>2206</v>
      </c>
      <c r="C310" s="32">
        <v>0.666666666666667</v>
      </c>
      <c r="D310" s="32">
        <v>1.29166666666667</v>
      </c>
      <c r="E310" s="29">
        <f>IFERROR(VLOOKUP(A310,New!A:E,5,0),"لا يوجد مواعيد")</f>
        <v>1115409972</v>
      </c>
      <c r="F310" s="29">
        <f>IFERROR(VLOOKUP(A310,New!A:E,1,0),"لا يوجد مواعيد")</f>
        <v>10281227</v>
      </c>
      <c r="G310" s="29" t="str">
        <f>IFERROR(VLOOKUP(A310,New!A:F,4,0),"لا يوجد مواعيد")</f>
        <v>خان ستيف</v>
      </c>
      <c r="H310" s="29" t="str">
        <f>IFERROR(VLOOKUP(A310,New!A:G,3,0),"لا يوجد مواعيد")</f>
        <v>دائري</v>
      </c>
      <c r="I310" s="29" t="str">
        <f>IFERROR(VLOOKUP(A310,New!A:H,2,0),"لا يوجد مواعيد")</f>
        <v>دائري المرج</v>
      </c>
    </row>
    <row r="311" spans="1:9">
      <c r="A311" s="29">
        <v>10282243</v>
      </c>
      <c r="B311" s="29" t="s">
        <v>2207</v>
      </c>
      <c r="C311" s="32">
        <v>0.583333333333333</v>
      </c>
      <c r="D311" s="32">
        <v>0.958333333333333</v>
      </c>
      <c r="E311" s="29">
        <f>IFERROR(VLOOKUP(A311,New!A:E,5,0),"لا يوجد مواعيد")</f>
        <v>1556527721</v>
      </c>
      <c r="F311" s="29">
        <f>IFERROR(VLOOKUP(A311,New!A:E,1,0),"لا يوجد مواعيد")</f>
        <v>10282243</v>
      </c>
      <c r="G311" s="29" t="str">
        <f>IFERROR(VLOOKUP(A311,New!A:F,4,0),"لا يوجد مواعيد")</f>
        <v>مؤمن عبد القدير سراج الدين</v>
      </c>
      <c r="H311" s="29" t="str">
        <f>IFERROR(VLOOKUP(A311,New!A:G,3,0),"لا يوجد مواعيد")</f>
        <v>التحرير</v>
      </c>
      <c r="I311" s="29" t="str">
        <f>IFERROR(VLOOKUP(A311,New!A:H,2,0),"لا يوجد مواعيد")</f>
        <v>ابو سمرة ميدان التحرير</v>
      </c>
    </row>
    <row r="312" spans="1:9">
      <c r="A312" s="29">
        <v>10291620</v>
      </c>
      <c r="B312" s="29" t="s">
        <v>2208</v>
      </c>
      <c r="C312" s="32">
        <v>0.583333333333333</v>
      </c>
      <c r="D312" s="32">
        <v>0.958333333333333</v>
      </c>
      <c r="E312" s="29">
        <f>IFERROR(VLOOKUP(A312,New!A:E,5,0),"لا يوجد مواعيد")</f>
        <v>1114918093</v>
      </c>
      <c r="F312" s="29">
        <f>IFERROR(VLOOKUP(A312,New!A:E,1,0),"لا يوجد مواعيد")</f>
        <v>10291620</v>
      </c>
      <c r="G312" s="29" t="str">
        <f>IFERROR(VLOOKUP(A312,New!A:F,4,0),"لا يوجد مواعيد")</f>
        <v>رقية زكريا</v>
      </c>
      <c r="H312" s="29" t="str">
        <f>IFERROR(VLOOKUP(A312,New!A:G,3,0),"لا يوجد مواعيد")</f>
        <v>فيصل</v>
      </c>
      <c r="I312" s="29" t="str">
        <f>IFERROR(VLOOKUP(A312,New!A:H,2,0),"لا يوجد مواعيد")</f>
        <v>طالبية</v>
      </c>
    </row>
    <row r="313" spans="1:9">
      <c r="A313" s="29">
        <v>10299506</v>
      </c>
      <c r="B313" s="29" t="s">
        <v>2209</v>
      </c>
      <c r="C313" s="32">
        <v>0.583333333333333</v>
      </c>
      <c r="D313" s="32">
        <v>1.08333333333333</v>
      </c>
      <c r="E313" s="29">
        <f>IFERROR(VLOOKUP(A313,New!A:E,5,0),"لا يوجد مواعيد")</f>
        <v>1148417872</v>
      </c>
      <c r="F313" s="29">
        <f>IFERROR(VLOOKUP(A313,New!A:E,1,0),"لا يوجد مواعيد")</f>
        <v>10299506</v>
      </c>
      <c r="G313" s="29" t="str">
        <f>IFERROR(VLOOKUP(A313,New!A:F,4,0),"لا يوجد مواعيد")</f>
        <v>عمرو غفار</v>
      </c>
      <c r="H313" s="29" t="str">
        <f>IFERROR(VLOOKUP(A313,New!A:G,3,0),"لا يوجد مواعيد")</f>
        <v>حلوان و زهراء المعادي</v>
      </c>
      <c r="I313" s="29" t="str">
        <f>IFERROR(VLOOKUP(A313,New!A:H,2,0),"لا يوجد مواعيد")</f>
        <v>سلم البارون</v>
      </c>
    </row>
    <row r="314" spans="1:9">
      <c r="A314" s="29">
        <v>10306605</v>
      </c>
      <c r="B314" s="29" t="s">
        <v>2210</v>
      </c>
      <c r="C314" s="32">
        <v>0.583333333333333</v>
      </c>
      <c r="D314" s="32">
        <v>1</v>
      </c>
      <c r="E314" s="29">
        <f>IFERROR(VLOOKUP(A314,New!A:E,5,0),"لا يوجد مواعيد")</f>
        <v>1050623708</v>
      </c>
      <c r="F314" s="29">
        <f>IFERROR(VLOOKUP(A314,New!A:E,1,0),"لا يوجد مواعيد")</f>
        <v>10306605</v>
      </c>
      <c r="G314" s="29" t="str">
        <f>IFERROR(VLOOKUP(A314,New!A:F,4,0),"لا يوجد مواعيد")</f>
        <v>ياسين صبري</v>
      </c>
      <c r="H314" s="29" t="str">
        <f>IFERROR(VLOOKUP(A314,New!A:G,3,0),"لا يوجد مواعيد")</f>
        <v>مدينة نصر</v>
      </c>
      <c r="I314" s="29" t="str">
        <f>IFERROR(VLOOKUP(A314,New!A:H,2,0),"لا يوجد مواعيد")</f>
        <v>كشري هند الحي العاشر</v>
      </c>
    </row>
    <row r="315" spans="1:9">
      <c r="A315" s="29">
        <v>10316787</v>
      </c>
      <c r="B315" s="29" t="s">
        <v>2211</v>
      </c>
      <c r="C315" s="32">
        <v>0.833333333333333</v>
      </c>
      <c r="D315" s="32">
        <v>0.333333333333333</v>
      </c>
      <c r="E315" s="29">
        <f>IFERROR(VLOOKUP(A315,New!A:E,5,0),"لا يوجد مواعيد")</f>
        <v>1287028152</v>
      </c>
      <c r="F315" s="29">
        <f>IFERROR(VLOOKUP(A315,New!A:E,1,0),"لا يوجد مواعيد")</f>
        <v>10316787</v>
      </c>
      <c r="G315" s="29" t="str">
        <f>IFERROR(VLOOKUP(A315,New!A:F,4,0),"لا يوجد مواعيد")</f>
        <v>يوسف صديق</v>
      </c>
      <c r="H315" s="29" t="str">
        <f>IFERROR(VLOOKUP(A315,New!A:G,3,0),"لا يوجد مواعيد")</f>
        <v>و - مدينتي</v>
      </c>
      <c r="I315" s="29" t="str">
        <f>IFERROR(VLOOKUP(A315,New!A:H,2,0),"لا يوجد مواعيد")</f>
        <v>بوابة 1</v>
      </c>
    </row>
    <row r="316" spans="1:9">
      <c r="A316" s="29">
        <v>10317235</v>
      </c>
      <c r="B316" s="29" t="s">
        <v>2212</v>
      </c>
      <c r="C316" s="32">
        <v>0.833333333333333</v>
      </c>
      <c r="D316" s="32">
        <v>0.333333333333333</v>
      </c>
      <c r="E316" s="29">
        <f>IFERROR(VLOOKUP(A316,New!A:E,5,0),"لا يوجد مواعيد")</f>
        <v>1555036873</v>
      </c>
      <c r="F316" s="29">
        <f>IFERROR(VLOOKUP(A316,New!A:E,1,0),"لا يوجد مواعيد")</f>
        <v>10317235</v>
      </c>
      <c r="G316" s="29" t="str">
        <f>IFERROR(VLOOKUP(A316,New!A:F,4,0),"لا يوجد مواعيد")</f>
        <v>الطاهر شمس الدين</v>
      </c>
      <c r="H316" s="29" t="str">
        <f>IFERROR(VLOOKUP(A316,New!A:G,3,0),"لا يوجد مواعيد")</f>
        <v>مدينة نصر</v>
      </c>
      <c r="I316" s="29" t="str">
        <f>IFERROR(VLOOKUP(A316,New!A:H,2,0),"لا يوجد مواعيد")</f>
        <v>اول عباس</v>
      </c>
    </row>
    <row r="317" spans="1:9">
      <c r="A317" s="29">
        <v>10319094</v>
      </c>
      <c r="B317" s="29" t="s">
        <v>2213</v>
      </c>
      <c r="C317" s="32">
        <v>0.958333333333333</v>
      </c>
      <c r="D317" s="32">
        <v>0.333333333333333</v>
      </c>
      <c r="E317" s="29">
        <f>IFERROR(VLOOKUP(A317,New!A:E,5,0),"لا يوجد مواعيد")</f>
        <v>1145153164</v>
      </c>
      <c r="F317" s="29">
        <f>IFERROR(VLOOKUP(A317,New!A:E,1,0),"لا يوجد مواعيد")</f>
        <v>10319094</v>
      </c>
      <c r="G317" s="29" t="str">
        <f>IFERROR(VLOOKUP(A317,New!A:F,4,0),"لا يوجد مواعيد")</f>
        <v>مريم محمد احمد</v>
      </c>
      <c r="H317" s="29" t="str">
        <f>IFERROR(VLOOKUP(A317,New!A:G,3,0),"لا يوجد مواعيد")</f>
        <v>العباسية و الضاهر</v>
      </c>
      <c r="I317" s="29" t="str">
        <f>IFERROR(VLOOKUP(A317,New!A:H,2,0),"لا يوجد مواعيد")</f>
        <v>قسم الوايلي</v>
      </c>
    </row>
    <row r="318" spans="1:9">
      <c r="A318" s="29">
        <v>10319795</v>
      </c>
      <c r="B318" s="29" t="s">
        <v>2214</v>
      </c>
      <c r="C318" s="32">
        <v>0.958333333333333</v>
      </c>
      <c r="D318" s="32">
        <v>0.333333333333333</v>
      </c>
      <c r="E318" s="29" t="str">
        <f>IFERROR(VLOOKUP(A318,New!A:E,5,0),"لا يوجد مواعيد")</f>
        <v>1555123847/966592627798</v>
      </c>
      <c r="F318" s="29">
        <f>IFERROR(VLOOKUP(A318,New!A:E,1,0),"لا يوجد مواعيد")</f>
        <v>10319795</v>
      </c>
      <c r="G318" s="29" t="str">
        <f>IFERROR(VLOOKUP(A318,New!A:F,4,0),"لا يوجد مواعيد")</f>
        <v>محمد صالح</v>
      </c>
      <c r="H318" s="29" t="str">
        <f>IFERROR(VLOOKUP(A318,New!A:G,3,0),"لا يوجد مواعيد")</f>
        <v>الزيتون و مصر الجديدة</v>
      </c>
      <c r="I318" s="29" t="str">
        <f>IFERROR(VLOOKUP(A318,New!A:H,2,0),"لا يوجد مواعيد")</f>
        <v>الجراج</v>
      </c>
    </row>
    <row r="319" spans="1:9">
      <c r="A319" s="29">
        <v>10320291</v>
      </c>
      <c r="B319" s="29" t="s">
        <v>2215</v>
      </c>
      <c r="C319" s="32">
        <v>0.958333333333333</v>
      </c>
      <c r="D319" s="32">
        <v>0.333333333333333</v>
      </c>
      <c r="E319" s="29">
        <f>IFERROR(VLOOKUP(A319,New!A:E,5,0),"لا يوجد مواعيد")</f>
        <v>1154351904</v>
      </c>
      <c r="F319" s="29">
        <f>IFERROR(VLOOKUP(A319,New!A:E,1,0),"لا يوجد مواعيد")</f>
        <v>10320291</v>
      </c>
      <c r="G319" s="29" t="str">
        <f>IFERROR(VLOOKUP(A319,New!A:F,4,0),"لا يوجد مواعيد")</f>
        <v>ناسان مواتي</v>
      </c>
      <c r="H319" s="29" t="str">
        <f>IFERROR(VLOOKUP(A319,New!A:G,3,0),"لا يوجد مواعيد")</f>
        <v>دائري</v>
      </c>
      <c r="I319" s="29" t="str">
        <f>IFERROR(VLOOKUP(A319,New!A:H,2,0),"لا يوجد مواعيد")</f>
        <v>السلام</v>
      </c>
    </row>
    <row r="320" spans="1:9">
      <c r="A320" s="29">
        <v>10323448</v>
      </c>
      <c r="B320" s="29" t="s">
        <v>2216</v>
      </c>
      <c r="C320" s="32">
        <v>0.75</v>
      </c>
      <c r="D320" s="32">
        <v>1.25</v>
      </c>
      <c r="E320" s="29">
        <f>IFERROR(VLOOKUP(A320,New!A:E,5,0),"لا يوجد مواعيد")</f>
        <v>1091061813</v>
      </c>
      <c r="F320" s="29">
        <f>IFERROR(VLOOKUP(A320,New!A:E,1,0),"لا يوجد مواعيد")</f>
        <v>10323448</v>
      </c>
      <c r="G320" s="29" t="str">
        <f>IFERROR(VLOOKUP(A320,New!A:F,4,0),"لا يوجد مواعيد")</f>
        <v>أحمد أسامة صلاح</v>
      </c>
      <c r="H320" s="29" t="str">
        <f>IFERROR(VLOOKUP(A320,New!A:G,3,0),"لا يوجد مواعيد")</f>
        <v>م - الرحاب و التجمع</v>
      </c>
      <c r="I320" s="29" t="str">
        <f>IFERROR(VLOOKUP(A320,New!A:H,2,0),"لا يوجد مواعيد")</f>
        <v>بوابة 13</v>
      </c>
    </row>
    <row r="321" spans="1:9">
      <c r="A321" s="29">
        <v>10323972</v>
      </c>
      <c r="B321" s="29" t="s">
        <v>2217</v>
      </c>
      <c r="C321" s="32" t="s">
        <v>1937</v>
      </c>
      <c r="D321" s="32" t="s">
        <v>1937</v>
      </c>
      <c r="E321" s="29" t="str">
        <f>IFERROR(VLOOKUP(A321,New!A:E,5,0),"لا يوجد مواعيد")</f>
        <v>1101101665/1555121109</v>
      </c>
      <c r="F321" s="29">
        <f>IFERROR(VLOOKUP(A321,New!A:E,1,0),"لا يوجد مواعيد")</f>
        <v>10323972</v>
      </c>
      <c r="G321" s="29" t="str">
        <f>IFERROR(VLOOKUP(A321,New!A:F,4,0),"لا يوجد مواعيد")</f>
        <v>دانيا خالد يوسف</v>
      </c>
      <c r="H321" s="29" t="str">
        <f>IFERROR(VLOOKUP(A321,New!A:G,3,0),"لا يوجد مواعيد")</f>
        <v>حلوان و زهراء المعادي</v>
      </c>
      <c r="I321" s="29" t="str">
        <f>IFERROR(VLOOKUP(A321,New!A:H,2,0),"لا يوجد مواعيد")</f>
        <v>التوحيد و النور</v>
      </c>
    </row>
    <row r="322" spans="1:9">
      <c r="A322" s="29">
        <v>10324535</v>
      </c>
      <c r="B322" s="29" t="s">
        <v>2218</v>
      </c>
      <c r="C322" s="32">
        <v>0.583333333333333</v>
      </c>
      <c r="D322" s="32">
        <v>0.958333333333333</v>
      </c>
      <c r="E322" s="29" t="str">
        <f>IFERROR(VLOOKUP(A322,New!A:E,5,0),"لا يوجد مواعيد")</f>
        <v>1066556940 / 1062215453</v>
      </c>
      <c r="F322" s="29">
        <f>IFERROR(VLOOKUP(A322,New!A:E,1,0),"لا يوجد مواعيد")</f>
        <v>10324535</v>
      </c>
      <c r="G322" s="29" t="str">
        <f>IFERROR(VLOOKUP(A322,New!A:F,4,0),"لا يوجد مواعيد")</f>
        <v>احمد هشام</v>
      </c>
      <c r="H322" s="29" t="str">
        <f>IFERROR(VLOOKUP(A322,New!A:G,3,0),"لا يوجد مواعيد")</f>
        <v>الزيتون و مصر الجديدة</v>
      </c>
      <c r="I322" s="29" t="str">
        <f>IFERROR(VLOOKUP(A322,New!A:H,2,0),"لا يوجد مواعيد")</f>
        <v>الف مسكن</v>
      </c>
    </row>
    <row r="323" spans="1:9">
      <c r="A323" s="29">
        <v>10329904</v>
      </c>
      <c r="B323" s="29" t="s">
        <v>2219</v>
      </c>
      <c r="C323" s="32" t="s">
        <v>1937</v>
      </c>
      <c r="D323" s="32" t="s">
        <v>1937</v>
      </c>
      <c r="E323" s="29">
        <f>IFERROR(VLOOKUP(A323,New!A:E,5,0),"لا يوجد مواعيد")</f>
        <v>1104178758</v>
      </c>
      <c r="F323" s="29">
        <f>IFERROR(VLOOKUP(A323,New!A:E,1,0),"لا يوجد مواعيد")</f>
        <v>10329904</v>
      </c>
      <c r="G323" s="29" t="str">
        <f>IFERROR(VLOOKUP(A323,New!A:F,4,0),"لا يوجد مواعيد")</f>
        <v>ستيفن يوجو جامبيك</v>
      </c>
      <c r="H323" s="29" t="str">
        <f>IFERROR(VLOOKUP(A323,New!A:G,3,0),"لا يوجد مواعيد")</f>
        <v>ي - المعادي</v>
      </c>
      <c r="I323" s="29" t="str">
        <f>IFERROR(VLOOKUP(A323,New!A:H,2,0),"لا يوجد مواعيد")</f>
        <v>المحكمة الدستورية</v>
      </c>
    </row>
    <row r="324" spans="1:9">
      <c r="A324" s="29">
        <v>10331021</v>
      </c>
      <c r="B324" s="29" t="s">
        <v>2220</v>
      </c>
      <c r="C324" s="32">
        <v>0.625</v>
      </c>
      <c r="D324" s="32">
        <v>1.25</v>
      </c>
      <c r="E324" s="29">
        <f>IFERROR(VLOOKUP(A324,New!A:E,5,0),"لا يوجد مواعيد")</f>
        <v>1013447363</v>
      </c>
      <c r="F324" s="29">
        <f>IFERROR(VLOOKUP(A324,New!A:E,1,0),"لا يوجد مواعيد")</f>
        <v>10331021</v>
      </c>
      <c r="G324" s="29" t="str">
        <f>IFERROR(VLOOKUP(A324,New!A:F,4,0),"لا يوجد مواعيد")</f>
        <v>مجدي منديل</v>
      </c>
      <c r="H324" s="29" t="str">
        <f>IFERROR(VLOOKUP(A324,New!A:G,3,0),"لا يوجد مواعيد")</f>
        <v>ي - المعادي</v>
      </c>
      <c r="I324" s="29" t="str">
        <f>IFERROR(VLOOKUP(A324,New!A:H,2,0),"لا يوجد مواعيد")</f>
        <v>المحكمة الدستورية</v>
      </c>
    </row>
    <row r="325" spans="1:9">
      <c r="A325" s="29">
        <v>10331204</v>
      </c>
      <c r="B325" s="29" t="s">
        <v>2221</v>
      </c>
      <c r="C325" s="32">
        <v>0.75</v>
      </c>
      <c r="D325" s="32">
        <v>1.16666666666667</v>
      </c>
      <c r="E325" s="29">
        <f>IFERROR(VLOOKUP(A325,New!A:E,5,0),"لا يوجد مواعيد")</f>
        <v>1123084929</v>
      </c>
      <c r="F325" s="29">
        <f>IFERROR(VLOOKUP(A325,New!A:E,1,0),"لا يوجد مواعيد")</f>
        <v>10331204</v>
      </c>
      <c r="G325" s="29" t="str">
        <f>IFERROR(VLOOKUP(A325,New!A:F,4,0),"لا يوجد مواعيد")</f>
        <v>المجداد احمد</v>
      </c>
      <c r="H325" s="29" t="str">
        <f>IFERROR(VLOOKUP(A325,New!A:G,3,0),"لا يوجد مواعيد")</f>
        <v>و - مدينتي</v>
      </c>
      <c r="I325" s="29" t="str">
        <f>IFERROR(VLOOKUP(A325,New!A:H,2,0),"لا يوجد مواعيد")</f>
        <v>بوابة 1</v>
      </c>
    </row>
    <row r="326" spans="1:9">
      <c r="A326" s="29">
        <v>10334215</v>
      </c>
      <c r="B326" s="29" t="s">
        <v>2222</v>
      </c>
      <c r="C326" s="32">
        <v>0.958333333333333</v>
      </c>
      <c r="D326" s="32">
        <v>0.333333333333333</v>
      </c>
      <c r="E326" s="29">
        <f>IFERROR(VLOOKUP(A326,New!A:E,5,0),"لا يوجد مواعيد")</f>
        <v>1070874137</v>
      </c>
      <c r="F326" s="29">
        <f>IFERROR(VLOOKUP(A326,New!A:E,1,0),"لا يوجد مواعيد")</f>
        <v>10334215</v>
      </c>
      <c r="G326" s="29" t="str">
        <f>IFERROR(VLOOKUP(A326,New!A:F,4,0),"لا يوجد مواعيد")</f>
        <v>زينب عبدالله محمدالحسن</v>
      </c>
      <c r="H326" s="29" t="str">
        <f>IFERROR(VLOOKUP(A326,New!A:G,3,0),"لا يوجد مواعيد")</f>
        <v>حدائق الاهرام</v>
      </c>
      <c r="I326" s="29" t="str">
        <f>IFERROR(VLOOKUP(A326,New!A:H,2,0),"لا يوجد مواعيد")</f>
        <v>بوابة 2 جديدة</v>
      </c>
    </row>
    <row r="327" spans="1:9">
      <c r="A327" s="29">
        <v>10335392</v>
      </c>
      <c r="B327" s="29" t="s">
        <v>2223</v>
      </c>
      <c r="C327" s="32">
        <v>0.583333333333333</v>
      </c>
      <c r="D327" s="32">
        <v>0.333333333333333</v>
      </c>
      <c r="E327" s="29" t="str">
        <f>IFERROR(VLOOKUP(A327,New!A:E,5,0),"لا يوجد مواعيد")</f>
        <v>1125665026 / 1207654247</v>
      </c>
      <c r="F327" s="29">
        <f>IFERROR(VLOOKUP(A327,New!A:E,1,0),"لا يوجد مواعيد")</f>
        <v>10335392</v>
      </c>
      <c r="G327" s="29" t="str">
        <f>IFERROR(VLOOKUP(A327,New!A:F,4,0),"لا يوجد مواعيد")</f>
        <v>سامسون جورام</v>
      </c>
      <c r="H327" s="29" t="str">
        <f>IFERROR(VLOOKUP(A327,New!A:G,3,0),"لا يوجد مواعيد")</f>
        <v>حلوان و زهراء المعادي</v>
      </c>
      <c r="I327" s="29" t="str">
        <f>IFERROR(VLOOKUP(A327,New!A:H,2,0),"لا يوجد مواعيد")</f>
        <v>التوحيد و النور</v>
      </c>
    </row>
    <row r="328" spans="1:9">
      <c r="A328" s="29">
        <v>10335909</v>
      </c>
      <c r="B328" s="29" t="s">
        <v>2224</v>
      </c>
      <c r="C328" s="32">
        <v>0.958333333333333</v>
      </c>
      <c r="D328" s="32">
        <v>0.333333333333333</v>
      </c>
      <c r="E328" s="29">
        <f>IFERROR(VLOOKUP(A328,New!A:E,5,0),"لا يوجد مواعيد")</f>
        <v>1555773066</v>
      </c>
      <c r="F328" s="29">
        <f>IFERROR(VLOOKUP(A328,New!A:E,1,0),"لا يوجد مواعيد")</f>
        <v>10335909</v>
      </c>
      <c r="G328" s="29" t="str">
        <f>IFERROR(VLOOKUP(A328,New!A:F,4,0),"لا يوجد مواعيد")</f>
        <v>إياد محمد</v>
      </c>
      <c r="H328" s="29" t="str">
        <f>IFERROR(VLOOKUP(A328,New!A:G,3,0),"لا يوجد مواعيد")</f>
        <v>ي - بدر</v>
      </c>
      <c r="I328" s="29" t="str">
        <f>IFERROR(VLOOKUP(A328,New!A:H,2,0),"لا يوجد مواعيد")</f>
        <v>مدخل بدر</v>
      </c>
    </row>
    <row r="329" spans="1:9">
      <c r="A329" s="29">
        <v>10335911</v>
      </c>
      <c r="B329" s="29" t="s">
        <v>2225</v>
      </c>
      <c r="C329" s="32">
        <v>0.625</v>
      </c>
      <c r="D329" s="32">
        <v>1</v>
      </c>
      <c r="E329" s="29">
        <f>IFERROR(VLOOKUP(A329,New!A:E,5,0),"لا يوجد مواعيد")</f>
        <v>1500488938</v>
      </c>
      <c r="F329" s="29">
        <f>IFERROR(VLOOKUP(A329,New!A:E,1,0),"لا يوجد مواعيد")</f>
        <v>10335911</v>
      </c>
      <c r="G329" s="29" t="str">
        <f>IFERROR(VLOOKUP(A329,New!A:F,4,0),"لا يوجد مواعيد")</f>
        <v>عبدالوهاب مالك</v>
      </c>
      <c r="H329" s="29" t="str">
        <f>IFERROR(VLOOKUP(A329,New!A:G,3,0),"لا يوجد مواعيد")</f>
        <v>مدينة نصر</v>
      </c>
      <c r="I329" s="29" t="str">
        <f>IFERROR(VLOOKUP(A329,New!A:H,2,0),"لا يوجد مواعيد")</f>
        <v>اول مكرم</v>
      </c>
    </row>
    <row r="330" spans="1:9">
      <c r="A330" s="29">
        <v>10336453</v>
      </c>
      <c r="B330" s="29" t="s">
        <v>2226</v>
      </c>
      <c r="C330" s="32">
        <v>0.958333333333333</v>
      </c>
      <c r="D330" s="32">
        <v>0.333333333333333</v>
      </c>
      <c r="E330" s="29">
        <f>IFERROR(VLOOKUP(A330,New!A:E,5,0),"لا يوجد مواعيد")</f>
        <v>1122755871</v>
      </c>
      <c r="F330" s="29">
        <f>IFERROR(VLOOKUP(A330,New!A:E,1,0),"لا يوجد مواعيد")</f>
        <v>10336453</v>
      </c>
      <c r="G330" s="29" t="str">
        <f>IFERROR(VLOOKUP(A330,New!A:F,4,0),"لا يوجد مواعيد")</f>
        <v>عبدالله أيمن</v>
      </c>
      <c r="H330" s="29" t="str">
        <f>IFERROR(VLOOKUP(A330,New!A:G,3,0),"لا يوجد مواعيد")</f>
        <v>حلوان و زهراء المعادي</v>
      </c>
      <c r="I330" s="29" t="str">
        <f>IFERROR(VLOOKUP(A330,New!A:H,2,0),"لا يوجد مواعيد")</f>
        <v>التوحيد و النور</v>
      </c>
    </row>
    <row r="331" spans="1:9">
      <c r="A331" s="29">
        <v>10337070</v>
      </c>
      <c r="B331" s="29" t="s">
        <v>2227</v>
      </c>
      <c r="C331" s="32">
        <v>0.666666666666667</v>
      </c>
      <c r="D331" s="32">
        <v>1.16666666666667</v>
      </c>
      <c r="E331" s="29">
        <f>IFERROR(VLOOKUP(A331,New!A:E,5,0),"لا يوجد مواعيد")</f>
        <v>1144811677</v>
      </c>
      <c r="F331" s="29">
        <f>IFERROR(VLOOKUP(A331,New!A:E,1,0),"لا يوجد مواعيد")</f>
        <v>10337070</v>
      </c>
      <c r="G331" s="29" t="str">
        <f>IFERROR(VLOOKUP(A331,New!A:F,4,0),"لا يوجد مواعيد")</f>
        <v>عبد الرحمن وليد</v>
      </c>
      <c r="H331" s="29" t="str">
        <f>IFERROR(VLOOKUP(A331,New!A:G,3,0),"لا يوجد مواعيد")</f>
        <v>م - الرحاب و التجمع</v>
      </c>
      <c r="I331" s="29" t="str">
        <f>IFERROR(VLOOKUP(A331,New!A:H,2,0),"لا يوجد مواعيد")</f>
        <v>بوابة 24</v>
      </c>
    </row>
    <row r="332" spans="1:9">
      <c r="A332" s="29">
        <v>10337109</v>
      </c>
      <c r="B332" s="29" t="s">
        <v>2228</v>
      </c>
      <c r="C332" s="32">
        <v>0.666666666666667</v>
      </c>
      <c r="D332" s="32">
        <v>1.16666666666667</v>
      </c>
      <c r="E332" s="29">
        <f>IFERROR(VLOOKUP(A332,New!A:E,5,0),"لا يوجد مواعيد")</f>
        <v>0</v>
      </c>
      <c r="F332" s="29">
        <f>IFERROR(VLOOKUP(A332,New!A:E,1,0),"لا يوجد مواعيد")</f>
        <v>10337109</v>
      </c>
      <c r="G332" s="29" t="str">
        <f>IFERROR(VLOOKUP(A332,New!A:F,4,0),"لا يوجد مواعيد")</f>
        <v>دنيا جابر</v>
      </c>
      <c r="H332" s="29" t="str">
        <f>IFERROR(VLOOKUP(A332,New!A:G,3,0),"لا يوجد مواعيد")</f>
        <v>مدينة نصر</v>
      </c>
      <c r="I332" s="29" t="str">
        <f>IFERROR(VLOOKUP(A332,New!A:H,2,0),"لا يوجد مواعيد")</f>
        <v>مسجد السلام</v>
      </c>
    </row>
    <row r="333" spans="1:9">
      <c r="A333" s="29">
        <v>10337518</v>
      </c>
      <c r="B333" s="29" t="s">
        <v>2229</v>
      </c>
      <c r="C333" s="32" t="s">
        <v>1937</v>
      </c>
      <c r="D333" s="32" t="s">
        <v>1937</v>
      </c>
      <c r="E333" s="29">
        <f>IFERROR(VLOOKUP(A333,New!A:E,5,0),"لا يوجد مواعيد")</f>
        <v>1141552649</v>
      </c>
      <c r="F333" s="29">
        <f>IFERROR(VLOOKUP(A333,New!A:E,1,0),"لا يوجد مواعيد")</f>
        <v>10337518</v>
      </c>
      <c r="G333" s="29" t="str">
        <f>IFERROR(VLOOKUP(A333,New!A:F,4,0),"لا يوجد مواعيد")</f>
        <v>رحيم مصطفى</v>
      </c>
      <c r="H333" s="29" t="str">
        <f>IFERROR(VLOOKUP(A333,New!A:G,3,0),"لا يوجد مواعيد")</f>
        <v>دائري</v>
      </c>
      <c r="I333" s="29" t="str">
        <f>IFERROR(VLOOKUP(A333,New!A:H,2,0),"لا يوجد مواعيد")</f>
        <v>دائري المرج</v>
      </c>
    </row>
    <row r="334" spans="1:9">
      <c r="A334" s="29">
        <v>10338462</v>
      </c>
      <c r="B334" s="29" t="s">
        <v>2230</v>
      </c>
      <c r="C334" s="32">
        <v>0.958333333333333</v>
      </c>
      <c r="D334" s="32">
        <v>0.333333333333333</v>
      </c>
      <c r="E334" s="29">
        <f>IFERROR(VLOOKUP(A334,New!A:E,5,0),"لا يوجد مواعيد")</f>
        <v>1115460558</v>
      </c>
      <c r="F334" s="29">
        <f>IFERROR(VLOOKUP(A334,New!A:E,1,0),"لا يوجد مواعيد")</f>
        <v>10338462</v>
      </c>
      <c r="G334" s="29" t="str">
        <f>IFERROR(VLOOKUP(A334,New!A:F,4,0),"لا يوجد مواعيد")</f>
        <v>سامح رمزي</v>
      </c>
      <c r="H334" s="29" t="str">
        <f>IFERROR(VLOOKUP(A334,New!A:G,3,0),"لا يوجد مواعيد")</f>
        <v>و - الشروق</v>
      </c>
      <c r="I334" s="29" t="str">
        <f>IFERROR(VLOOKUP(A334,New!A:H,2,0),"لا يوجد مواعيد")</f>
        <v>كشك اللحمه</v>
      </c>
    </row>
    <row r="335" spans="1:9">
      <c r="A335" s="29">
        <v>10338474</v>
      </c>
      <c r="B335" s="29" t="s">
        <v>2231</v>
      </c>
      <c r="C335" s="32">
        <v>0.666666666666667</v>
      </c>
      <c r="D335" s="32">
        <v>1.20833333333333</v>
      </c>
      <c r="E335" s="29">
        <f>IFERROR(VLOOKUP(A335,New!A:E,5,0),"لا يوجد مواعيد")</f>
        <v>1148646797</v>
      </c>
      <c r="F335" s="29">
        <f>IFERROR(VLOOKUP(A335,New!A:E,1,0),"لا يوجد مواعيد")</f>
        <v>10338474</v>
      </c>
      <c r="G335" s="29" t="str">
        <f>IFERROR(VLOOKUP(A335,New!A:F,4,0),"لا يوجد مواعيد")</f>
        <v>علي ابراهيم علي</v>
      </c>
      <c r="H335" s="29" t="str">
        <f>IFERROR(VLOOKUP(A335,New!A:G,3,0),"لا يوجد مواعيد")</f>
        <v>م - الرحاب و التجمع</v>
      </c>
      <c r="I335" s="29" t="str">
        <f>IFERROR(VLOOKUP(A335,New!A:H,2,0),"لا يوجد مواعيد")</f>
        <v>بوابة 6</v>
      </c>
    </row>
    <row r="336" spans="1:9">
      <c r="A336" s="29">
        <v>10339759</v>
      </c>
      <c r="B336" s="29" t="s">
        <v>2232</v>
      </c>
      <c r="C336" s="32">
        <v>0.75</v>
      </c>
      <c r="D336" s="32">
        <v>1.25</v>
      </c>
      <c r="E336" s="29">
        <f>IFERROR(VLOOKUP(A336,New!A:E,5,0),"لا يوجد مواعيد")</f>
        <v>1555073993</v>
      </c>
      <c r="F336" s="29">
        <f>IFERROR(VLOOKUP(A336,New!A:E,1,0),"لا يوجد مواعيد")</f>
        <v>10339759</v>
      </c>
      <c r="G336" s="29" t="str">
        <f>IFERROR(VLOOKUP(A336,New!A:F,4,0),"لا يوجد مواعيد")</f>
        <v>لمى كرم</v>
      </c>
      <c r="H336" s="29" t="str">
        <f>IFERROR(VLOOKUP(A336,New!A:G,3,0),"لا يوجد مواعيد")</f>
        <v>م - المقطم</v>
      </c>
      <c r="I336" s="29" t="str">
        <f>IFERROR(VLOOKUP(A336,New!A:H,2,0),"لا يوجد مواعيد")</f>
        <v>كريم بنونة</v>
      </c>
    </row>
    <row r="337" spans="1:9">
      <c r="A337" s="29">
        <v>10340369</v>
      </c>
      <c r="B337" s="29" t="s">
        <v>2233</v>
      </c>
      <c r="C337" s="32">
        <v>0.625</v>
      </c>
      <c r="D337" s="32">
        <v>1.20833333333333</v>
      </c>
      <c r="E337" s="29" t="str">
        <f>IFERROR(VLOOKUP(A337,New!A:E,5,0),"لا يوجد مواعيد")</f>
        <v>1222484297/61478776673</v>
      </c>
      <c r="F337" s="29">
        <f>IFERROR(VLOOKUP(A337,New!A:E,1,0),"لا يوجد مواعيد")</f>
        <v>10340369</v>
      </c>
      <c r="G337" s="29" t="str">
        <f>IFERROR(VLOOKUP(A337,New!A:F,4,0),"لا يوجد مواعيد")</f>
        <v>سليم عطا</v>
      </c>
      <c r="H337" s="29" t="str">
        <f>IFERROR(VLOOKUP(A337,New!A:G,3,0),"لا يوجد مواعيد")</f>
        <v>حلوان و زهراء المعادي</v>
      </c>
      <c r="I337" s="29" t="str">
        <f>IFERROR(VLOOKUP(A337,New!A:H,2,0),"لا يوجد مواعيد")</f>
        <v>التوحيد و النور</v>
      </c>
    </row>
    <row r="338" spans="1:9">
      <c r="A338" s="29">
        <v>10340416</v>
      </c>
      <c r="B338" s="29" t="s">
        <v>2234</v>
      </c>
      <c r="C338" s="32">
        <v>0.916666666666667</v>
      </c>
      <c r="D338" s="32">
        <v>1.29166666666667</v>
      </c>
      <c r="E338" s="29">
        <f>IFERROR(VLOOKUP(A338,New!A:E,5,0),"لا يوجد مواعيد")</f>
        <v>1095250514</v>
      </c>
      <c r="F338" s="29">
        <f>IFERROR(VLOOKUP(A338,New!A:E,1,0),"لا يوجد مواعيد")</f>
        <v>10340416</v>
      </c>
      <c r="G338" s="29" t="str">
        <f>IFERROR(VLOOKUP(A338,New!A:F,4,0),"لا يوجد مواعيد")</f>
        <v>أسامة رمضان</v>
      </c>
      <c r="H338" s="29" t="str">
        <f>IFERROR(VLOOKUP(A338,New!A:G,3,0),"لا يوجد مواعيد")</f>
        <v>مدينة نصر</v>
      </c>
      <c r="I338" s="29" t="str">
        <f>IFERROR(VLOOKUP(A338,New!A:H,2,0),"لا يوجد مواعيد")</f>
        <v>اول عباس</v>
      </c>
    </row>
    <row r="339" spans="1:9">
      <c r="A339" s="29">
        <v>10341020</v>
      </c>
      <c r="B339" s="29" t="s">
        <v>2235</v>
      </c>
      <c r="C339" s="32">
        <v>0.916666666666667</v>
      </c>
      <c r="D339" s="32">
        <v>1.29166666666667</v>
      </c>
      <c r="E339" s="29">
        <f>IFERROR(VLOOKUP(A339,New!A:E,5,0),"لا يوجد مواعيد")</f>
        <v>1153235087</v>
      </c>
      <c r="F339" s="29">
        <f>IFERROR(VLOOKUP(A339,New!A:E,1,0),"لا يوجد مواعيد")</f>
        <v>10341020</v>
      </c>
      <c r="G339" s="29" t="str">
        <f>IFERROR(VLOOKUP(A339,New!A:F,4,0),"لا يوجد مواعيد")</f>
        <v>ملاك معتصم</v>
      </c>
      <c r="H339" s="29" t="str">
        <f>IFERROR(VLOOKUP(A339,New!A:G,3,0),"لا يوجد مواعيد")</f>
        <v>مدينة نصر</v>
      </c>
      <c r="I339" s="29" t="str">
        <f>IFERROR(VLOOKUP(A339,New!A:H,2,0),"لا يوجد مواعيد")</f>
        <v>اول مكرم</v>
      </c>
    </row>
    <row r="340" spans="1:9">
      <c r="A340" s="29">
        <v>10341595</v>
      </c>
      <c r="B340" s="29" t="s">
        <v>2236</v>
      </c>
      <c r="C340" s="32">
        <v>0.75</v>
      </c>
      <c r="D340" s="32">
        <v>1.25</v>
      </c>
      <c r="E340" s="29">
        <f>IFERROR(VLOOKUP(A340,New!A:E,5,0),"لا يوجد مواعيد")</f>
        <v>1044822349</v>
      </c>
      <c r="F340" s="29">
        <f>IFERROR(VLOOKUP(A340,New!A:E,1,0),"لا يوجد مواعيد")</f>
        <v>10341595</v>
      </c>
      <c r="G340" s="29" t="str">
        <f>IFERROR(VLOOKUP(A340,New!A:F,4,0),"لا يوجد مواعيد")</f>
        <v>خالد الهادي سعيد</v>
      </c>
      <c r="H340" s="29" t="str">
        <f>IFERROR(VLOOKUP(A340,New!A:G,3,0),"لا يوجد مواعيد")</f>
        <v>م - الرحاب و التجمع</v>
      </c>
      <c r="I340" s="29" t="str">
        <f>IFERROR(VLOOKUP(A340,New!A:H,2,0),"لا يوجد مواعيد")</f>
        <v>بوابة 13</v>
      </c>
    </row>
    <row r="341" spans="1:9">
      <c r="A341" s="29">
        <v>10341611</v>
      </c>
      <c r="B341" s="29" t="s">
        <v>2237</v>
      </c>
      <c r="C341" s="32">
        <v>0.75</v>
      </c>
      <c r="D341" s="32">
        <v>1.25</v>
      </c>
      <c r="E341" s="29">
        <f>IFERROR(VLOOKUP(A341,New!A:E,5,0),"لا يوجد مواعيد")</f>
        <v>1032492021</v>
      </c>
      <c r="F341" s="29">
        <f>IFERROR(VLOOKUP(A341,New!A:E,1,0),"لا يوجد مواعيد")</f>
        <v>10341611</v>
      </c>
      <c r="G341" s="29" t="str">
        <f>IFERROR(VLOOKUP(A341,New!A:F,4,0),"لا يوجد مواعيد")</f>
        <v>حباب خالد</v>
      </c>
      <c r="H341" s="29" t="str">
        <f>IFERROR(VLOOKUP(A341,New!A:G,3,0),"لا يوجد مواعيد")</f>
        <v>حلوان و زهراء المعادي</v>
      </c>
      <c r="I341" s="29" t="str">
        <f>IFERROR(VLOOKUP(A341,New!A:H,2,0),"لا يوجد مواعيد")</f>
        <v>التوحيد و النور</v>
      </c>
    </row>
    <row r="342" spans="1:9">
      <c r="A342" s="29">
        <v>10342331</v>
      </c>
      <c r="B342" s="29" t="s">
        <v>2238</v>
      </c>
      <c r="C342" s="32" t="s">
        <v>1937</v>
      </c>
      <c r="D342" s="32" t="s">
        <v>1937</v>
      </c>
      <c r="E342" s="29">
        <f>IFERROR(VLOOKUP(A342,New!A:E,5,0),"لا يوجد مواعيد")</f>
        <v>1080445221</v>
      </c>
      <c r="F342" s="29">
        <f>IFERROR(VLOOKUP(A342,New!A:E,1,0),"لا يوجد مواعيد")</f>
        <v>10342331</v>
      </c>
      <c r="G342" s="29" t="str">
        <f>IFERROR(VLOOKUP(A342,New!A:F,4,0),"لا يوجد مواعيد")</f>
        <v>ليال عادل خالد الأمين</v>
      </c>
      <c r="H342" s="29" t="str">
        <f>IFERROR(VLOOKUP(A342,New!A:G,3,0),"لا يوجد مواعيد")</f>
        <v>مدينة نصر</v>
      </c>
      <c r="I342" s="29" t="str">
        <f>IFERROR(VLOOKUP(A342,New!A:H,2,0),"لا يوجد مواعيد")</f>
        <v>اول عباس</v>
      </c>
    </row>
    <row r="343" spans="1:9">
      <c r="A343" s="29">
        <v>10342889</v>
      </c>
      <c r="B343" s="29" t="s">
        <v>2239</v>
      </c>
      <c r="C343" s="32">
        <v>0.625</v>
      </c>
      <c r="D343" s="32">
        <v>1</v>
      </c>
      <c r="E343" s="29" t="str">
        <f>IFERROR(VLOOKUP(A343,New!A:E,5,0),"لا يوجد مواعيد")</f>
        <v>1012396158 / 2349079401734</v>
      </c>
      <c r="F343" s="29">
        <f>IFERROR(VLOOKUP(A343,New!A:E,1,0),"لا يوجد مواعيد")</f>
        <v>10342889</v>
      </c>
      <c r="G343" s="29" t="str">
        <f>IFERROR(VLOOKUP(A343,New!A:F,4,0),"لا يوجد مواعيد")</f>
        <v>عبد الحميد إبراهيم إيانولوا</v>
      </c>
      <c r="H343" s="29" t="str">
        <f>IFERROR(VLOOKUP(A343,New!A:G,3,0),"لا يوجد مواعيد")</f>
        <v>و - الشروق</v>
      </c>
      <c r="I343" s="29" t="str">
        <f>IFERROR(VLOOKUP(A343,New!A:H,2,0),"لا يوجد مواعيد")</f>
        <v>كشك اللحمه</v>
      </c>
    </row>
    <row r="344" spans="1:9">
      <c r="A344" s="29">
        <v>10343475</v>
      </c>
      <c r="B344" s="29" t="s">
        <v>2240</v>
      </c>
      <c r="C344" s="32">
        <v>0.916666666666667</v>
      </c>
      <c r="D344" s="32">
        <v>1.29166666666667</v>
      </c>
      <c r="E344" s="29">
        <f>IFERROR(VLOOKUP(A344,New!A:E,5,0),"لا يوجد مواعيد")</f>
        <v>1559633455</v>
      </c>
      <c r="F344" s="29">
        <f>IFERROR(VLOOKUP(A344,New!A:E,1,0),"لا يوجد مواعيد")</f>
        <v>10343475</v>
      </c>
      <c r="G344" s="29" t="str">
        <f>IFERROR(VLOOKUP(A344,New!A:F,4,0),"لا يوجد مواعيد")</f>
        <v>محمد ابو بكر</v>
      </c>
      <c r="H344" s="29" t="str">
        <f>IFERROR(VLOOKUP(A344,New!A:G,3,0),"لا يوجد مواعيد")</f>
        <v>و - الشروق</v>
      </c>
      <c r="I344" s="29" t="str">
        <f>IFERROR(VLOOKUP(A344,New!A:H,2,0),"لا يوجد مواعيد")</f>
        <v>كشك اللحمه</v>
      </c>
    </row>
    <row r="345" spans="1:9">
      <c r="A345" s="29">
        <v>10344167</v>
      </c>
      <c r="B345" s="29" t="s">
        <v>2241</v>
      </c>
      <c r="C345" s="32">
        <v>0.958333333333333</v>
      </c>
      <c r="D345" s="32">
        <v>0.333333333333333</v>
      </c>
      <c r="E345" s="29">
        <f>IFERROR(VLOOKUP(A345,New!A:E,5,0),"لا يوجد مواعيد")</f>
        <v>1092831999</v>
      </c>
      <c r="F345" s="29">
        <f>IFERROR(VLOOKUP(A345,New!A:E,1,0),"لا يوجد مواعيد")</f>
        <v>10344167</v>
      </c>
      <c r="G345" s="29" t="str">
        <f>IFERROR(VLOOKUP(A345,New!A:F,4,0),"لا يوجد مواعيد")</f>
        <v>احمد المنياوي</v>
      </c>
      <c r="H345" s="29" t="str">
        <f>IFERROR(VLOOKUP(A345,New!A:G,3,0),"لا يوجد مواعيد")</f>
        <v>N/A</v>
      </c>
      <c r="I345" s="29" t="str">
        <f>IFERROR(VLOOKUP(A345,New!A:H,2,0),"لا يوجد مواعيد")</f>
        <v>N/A</v>
      </c>
    </row>
    <row r="346" spans="1:9">
      <c r="A346" s="29">
        <v>10344169</v>
      </c>
      <c r="B346" s="29" t="s">
        <v>2242</v>
      </c>
      <c r="C346" s="32">
        <v>0.75</v>
      </c>
      <c r="D346" s="32">
        <v>1.16666666666667</v>
      </c>
      <c r="E346" s="29" t="str">
        <f>IFERROR(VLOOKUP(A346,New!A:E,5,0),"لا يوجد مواعيد")</f>
        <v>1069935066 / 1282029756</v>
      </c>
      <c r="F346" s="29">
        <f>IFERROR(VLOOKUP(A346,New!A:E,1,0),"لا يوجد مواعيد")</f>
        <v>10344169</v>
      </c>
      <c r="G346" s="29" t="str">
        <f>IFERROR(VLOOKUP(A346,New!A:F,4,0),"لا يوجد مواعيد")</f>
        <v>نور هشام</v>
      </c>
      <c r="H346" s="29" t="str">
        <f>IFERROR(VLOOKUP(A346,New!A:G,3,0),"لا يوجد مواعيد")</f>
        <v>الزيتون و مصر الجديدة</v>
      </c>
      <c r="I346" s="29" t="str">
        <f>IFERROR(VLOOKUP(A346,New!A:H,2,0),"لا يوجد مواعيد")</f>
        <v>الجراج</v>
      </c>
    </row>
    <row r="347" spans="1:9">
      <c r="A347" s="29">
        <v>10344170</v>
      </c>
      <c r="B347" s="29" t="s">
        <v>2243</v>
      </c>
      <c r="C347" s="32">
        <v>0.75</v>
      </c>
      <c r="D347" s="32">
        <v>1.125</v>
      </c>
      <c r="E347" s="29">
        <f>IFERROR(VLOOKUP(A347,New!A:E,5,0),"لا يوجد مواعيد")</f>
        <v>1026041099</v>
      </c>
      <c r="F347" s="29">
        <f>IFERROR(VLOOKUP(A347,New!A:E,1,0),"لا يوجد مواعيد")</f>
        <v>10344170</v>
      </c>
      <c r="G347" s="29" t="str">
        <f>IFERROR(VLOOKUP(A347,New!A:F,4,0),"لا يوجد مواعيد")</f>
        <v>محمود البنداري</v>
      </c>
      <c r="H347" s="29" t="str">
        <f>IFERROR(VLOOKUP(A347,New!A:G,3,0),"لا يوجد مواعيد")</f>
        <v>مدينة نصر</v>
      </c>
      <c r="I347" s="29" t="str">
        <f>IFERROR(VLOOKUP(A347,New!A:H,2,0),"لا يوجد مواعيد")</f>
        <v>كشري هند الحي العاشر</v>
      </c>
    </row>
    <row r="348" spans="1:9">
      <c r="A348" s="29">
        <v>10344173</v>
      </c>
      <c r="B348" s="29" t="s">
        <v>2244</v>
      </c>
      <c r="C348" s="32">
        <v>0.583333333333333</v>
      </c>
      <c r="D348" s="32">
        <v>0.958333333333333</v>
      </c>
      <c r="E348" s="29">
        <f>IFERROR(VLOOKUP(A348,New!A:E,5,0),"لا يوجد مواعيد")</f>
        <v>1117301562</v>
      </c>
      <c r="F348" s="29">
        <f>IFERROR(VLOOKUP(A348,New!A:E,1,0),"لا يوجد مواعيد")</f>
        <v>10344173</v>
      </c>
      <c r="G348" s="29" t="str">
        <f>IFERROR(VLOOKUP(A348,New!A:F,4,0),"لا يوجد مواعيد")</f>
        <v>شريف نجيب</v>
      </c>
      <c r="H348" s="29" t="str">
        <f>IFERROR(VLOOKUP(A348,New!A:G,3,0),"لا يوجد مواعيد")</f>
        <v>الزيتون و مصر الجديدة</v>
      </c>
      <c r="I348" s="29" t="str">
        <f>IFERROR(VLOOKUP(A348,New!A:H,2,0),"لا يوجد مواعيد")</f>
        <v>المحكمة</v>
      </c>
    </row>
    <row r="349" spans="1:9">
      <c r="A349" s="29">
        <v>10344175</v>
      </c>
      <c r="B349" s="29" t="s">
        <v>2245</v>
      </c>
      <c r="C349" s="32" t="s">
        <v>1937</v>
      </c>
      <c r="D349" s="32" t="s">
        <v>1937</v>
      </c>
      <c r="E349" s="29">
        <f>IFERROR(VLOOKUP(A349,New!A:E,5,0),"لا يوجد مواعيد")</f>
        <v>1555097529</v>
      </c>
      <c r="F349" s="29">
        <f>IFERROR(VLOOKUP(A349,New!A:E,1,0),"لا يوجد مواعيد")</f>
        <v>10344175</v>
      </c>
      <c r="G349" s="29" t="str">
        <f>IFERROR(VLOOKUP(A349,New!A:F,4,0),"لا يوجد مواعيد")</f>
        <v>فاطمة الزهراء</v>
      </c>
      <c r="H349" s="29" t="str">
        <f>IFERROR(VLOOKUP(A349,New!A:G,3,0),"لا يوجد مواعيد")</f>
        <v>مدينة نصر</v>
      </c>
      <c r="I349" s="29" t="str">
        <f>IFERROR(VLOOKUP(A349,New!A:H,2,0),"لا يوجد مواعيد")</f>
        <v>مسجد السلام</v>
      </c>
    </row>
    <row r="350" spans="1:9">
      <c r="A350" s="29">
        <v>10344185</v>
      </c>
      <c r="B350" s="29" t="s">
        <v>2246</v>
      </c>
      <c r="C350" s="32">
        <v>0.958333333333333</v>
      </c>
      <c r="D350" s="32">
        <v>0.333333333333333</v>
      </c>
      <c r="E350" s="29">
        <f>IFERROR(VLOOKUP(A350,New!A:E,5,0),"لا يوجد مواعيد")</f>
        <v>1126128951</v>
      </c>
      <c r="F350" s="29">
        <f>IFERROR(VLOOKUP(A350,New!A:E,1,0),"لا يوجد مواعيد")</f>
        <v>10344185</v>
      </c>
      <c r="G350" s="29" t="str">
        <f>IFERROR(VLOOKUP(A350,New!A:F,4,0),"لا يوجد مواعيد")</f>
        <v>تشول بول تشول</v>
      </c>
      <c r="H350" s="29" t="str">
        <f>IFERROR(VLOOKUP(A350,New!A:G,3,0),"لا يوجد مواعيد")</f>
        <v>حلوان و زهراء المعادي</v>
      </c>
      <c r="I350" s="29" t="str">
        <f>IFERROR(VLOOKUP(A350,New!A:H,2,0),"لا يوجد مواعيد")</f>
        <v>سلم صقر قريش</v>
      </c>
    </row>
    <row r="351" spans="1:9">
      <c r="A351" s="29">
        <v>10344186</v>
      </c>
      <c r="B351" s="29" t="s">
        <v>2247</v>
      </c>
      <c r="C351" s="32">
        <v>0.583333333333333</v>
      </c>
      <c r="D351" s="32">
        <v>0.958333333333333</v>
      </c>
      <c r="E351" s="29">
        <f>IFERROR(VLOOKUP(A351,New!A:E,5,0),"لا يوجد مواعيد")</f>
        <v>1098670413</v>
      </c>
      <c r="F351" s="29">
        <f>IFERROR(VLOOKUP(A351,New!A:E,1,0),"لا يوجد مواعيد")</f>
        <v>10344186</v>
      </c>
      <c r="G351" s="29" t="str">
        <f>IFERROR(VLOOKUP(A351,New!A:F,4,0),"لا يوجد مواعيد")</f>
        <v>ملاك محمد</v>
      </c>
      <c r="H351" s="29" t="str">
        <f>IFERROR(VLOOKUP(A351,New!A:G,3,0),"لا يوجد مواعيد")</f>
        <v>حلوان و زهراء المعادي</v>
      </c>
      <c r="I351" s="29" t="str">
        <f>IFERROR(VLOOKUP(A351,New!A:H,2,0),"لا يوجد مواعيد")</f>
        <v>مدخل حلوان الاتوستراد</v>
      </c>
    </row>
    <row r="352" spans="1:9">
      <c r="A352" s="29">
        <v>10344192</v>
      </c>
      <c r="B352" s="29" t="s">
        <v>2248</v>
      </c>
      <c r="C352" s="32">
        <v>0.583333333333333</v>
      </c>
      <c r="D352" s="32">
        <v>0.958333333333333</v>
      </c>
      <c r="E352" s="29" t="str">
        <f>IFERROR(VLOOKUP(A352,New!A:E,5,0),"لا يوجد مواعيد")</f>
        <v>1044758200 / 249904396614</v>
      </c>
      <c r="F352" s="29">
        <f>IFERROR(VLOOKUP(A352,New!A:E,1,0),"لا يوجد مواعيد")</f>
        <v>10344192</v>
      </c>
      <c r="G352" s="29" t="str">
        <f>IFERROR(VLOOKUP(A352,New!A:F,4,0),"لا يوجد مواعيد")</f>
        <v>عبدالله اشرف</v>
      </c>
      <c r="H352" s="29" t="str">
        <f>IFERROR(VLOOKUP(A352,New!A:G,3,0),"لا يوجد مواعيد")</f>
        <v>مدينة نصر</v>
      </c>
      <c r="I352" s="29" t="str">
        <f>IFERROR(VLOOKUP(A352,New!A:H,2,0),"لا يوجد مواعيد")</f>
        <v>اول مكرم</v>
      </c>
    </row>
    <row r="353" spans="1:9">
      <c r="A353" s="29">
        <v>10344214</v>
      </c>
      <c r="B353" s="29" t="s">
        <v>2249</v>
      </c>
      <c r="C353" s="32">
        <v>0.958333333333333</v>
      </c>
      <c r="D353" s="32">
        <v>0.333333333333333</v>
      </c>
      <c r="E353" s="29" t="str">
        <f>IFERROR(VLOOKUP(A353,New!A:E,5,0),"لا يوجد مواعيد")</f>
        <v>1145783124/1124542582</v>
      </c>
      <c r="F353" s="29">
        <f>IFERROR(VLOOKUP(A353,New!A:E,1,0),"لا يوجد مواعيد")</f>
        <v>10344214</v>
      </c>
      <c r="G353" s="29" t="str">
        <f>IFERROR(VLOOKUP(A353,New!A:F,4,0),"لا يوجد مواعيد")</f>
        <v>لينا طارق</v>
      </c>
      <c r="H353" s="29" t="str">
        <f>IFERROR(VLOOKUP(A353,New!A:G,3,0),"لا يوجد مواعيد")</f>
        <v>و - مدينتي</v>
      </c>
      <c r="I353" s="29" t="str">
        <f>IFERROR(VLOOKUP(A353,New!A:H,2,0),"لا يوجد مواعيد")</f>
        <v>بوابة 1</v>
      </c>
    </row>
    <row r="354" spans="1:9">
      <c r="A354" s="29">
        <v>10344235</v>
      </c>
      <c r="B354" s="29" t="s">
        <v>2250</v>
      </c>
      <c r="C354" s="32">
        <v>0.833333333333333</v>
      </c>
      <c r="D354" s="32">
        <v>0.333333333333333</v>
      </c>
      <c r="E354" s="29">
        <f>IFERROR(VLOOKUP(A354,New!A:E,5,0),"لا يوجد مواعيد")</f>
        <v>1145149773</v>
      </c>
      <c r="F354" s="29">
        <f>IFERROR(VLOOKUP(A354,New!A:E,1,0),"لا يوجد مواعيد")</f>
        <v>10344235</v>
      </c>
      <c r="G354" s="29" t="str">
        <f>IFERROR(VLOOKUP(A354,New!A:F,4,0),"لا يوجد مواعيد")</f>
        <v>آية عاطف</v>
      </c>
      <c r="H354" s="29" t="str">
        <f>IFERROR(VLOOKUP(A354,New!A:G,3,0),"لا يوجد مواعيد")</f>
        <v>مدينة نصر</v>
      </c>
      <c r="I354" s="29" t="str">
        <f>IFERROR(VLOOKUP(A354,New!A:H,2,0),"لا يوجد مواعيد")</f>
        <v>كشري هند الحي العاشر</v>
      </c>
    </row>
    <row r="355" spans="1:9">
      <c r="A355" s="29">
        <v>10344236</v>
      </c>
      <c r="B355" s="29" t="s">
        <v>2251</v>
      </c>
      <c r="C355" s="32">
        <v>0.958333333333333</v>
      </c>
      <c r="D355" s="32">
        <v>0.333333333333333</v>
      </c>
      <c r="E355" s="29">
        <f>IFERROR(VLOOKUP(A355,New!A:E,5,0),"لا يوجد مواعيد")</f>
        <v>1060392059</v>
      </c>
      <c r="F355" s="29">
        <f>IFERROR(VLOOKUP(A355,New!A:E,1,0),"لا يوجد مواعيد")</f>
        <v>10344236</v>
      </c>
      <c r="G355" s="29" t="str">
        <f>IFERROR(VLOOKUP(A355,New!A:F,4,0),"لا يوجد مواعيد")</f>
        <v>يحيى لطفي</v>
      </c>
      <c r="H355" s="29" t="str">
        <f>IFERROR(VLOOKUP(A355,New!A:G,3,0),"لا يوجد مواعيد")</f>
        <v>م - الرحاب و التجمع</v>
      </c>
      <c r="I355" s="29" t="str">
        <f>IFERROR(VLOOKUP(A355,New!A:H,2,0),"لا يوجد مواعيد")</f>
        <v>بوابة 13</v>
      </c>
    </row>
    <row r="356" spans="1:9">
      <c r="A356" s="29">
        <v>10344240</v>
      </c>
      <c r="B356" s="29" t="s">
        <v>2252</v>
      </c>
      <c r="C356" s="32">
        <v>0.958333333333333</v>
      </c>
      <c r="D356" s="32">
        <v>1.25</v>
      </c>
      <c r="E356" s="29">
        <f>IFERROR(VLOOKUP(A356,New!A:E,5,0),"لا يوجد مواعيد")</f>
        <v>1140254052</v>
      </c>
      <c r="F356" s="29">
        <f>IFERROR(VLOOKUP(A356,New!A:E,1,0),"لا يوجد مواعيد")</f>
        <v>10344240</v>
      </c>
      <c r="G356" s="29" t="str">
        <f>IFERROR(VLOOKUP(A356,New!A:F,4,0),"لا يوجد مواعيد")</f>
        <v>ألوك مايوم</v>
      </c>
      <c r="H356" s="29" t="str">
        <f>IFERROR(VLOOKUP(A356,New!A:G,3,0),"لا يوجد مواعيد")</f>
        <v>ي - المعادي</v>
      </c>
      <c r="I356" s="29" t="str">
        <f>IFERROR(VLOOKUP(A356,New!A:H,2,0),"لا يوجد مواعيد")</f>
        <v>اكاديمية السادات</v>
      </c>
    </row>
    <row r="357" spans="1:9">
      <c r="A357" s="29">
        <v>10344242</v>
      </c>
      <c r="B357" s="29" t="s">
        <v>2253</v>
      </c>
      <c r="C357" s="32">
        <v>0.75</v>
      </c>
      <c r="D357" s="32">
        <v>1.29166666666667</v>
      </c>
      <c r="E357" s="29">
        <f>IFERROR(VLOOKUP(A357,New!A:E,5,0),"لا يوجد مواعيد")</f>
        <v>1095204998</v>
      </c>
      <c r="F357" s="29">
        <f>IFERROR(VLOOKUP(A357,New!A:E,1,0),"لا يوجد مواعيد")</f>
        <v>10344242</v>
      </c>
      <c r="G357" s="29" t="str">
        <f>IFERROR(VLOOKUP(A357,New!A:F,4,0),"لا يوجد مواعيد")</f>
        <v>حازم حسام</v>
      </c>
      <c r="H357" s="29" t="str">
        <f>IFERROR(VLOOKUP(A357,New!A:G,3,0),"لا يوجد مواعيد")</f>
        <v>م - الرحاب و التجمع</v>
      </c>
      <c r="I357" s="29" t="str">
        <f>IFERROR(VLOOKUP(A357,New!A:H,2,0),"لا يوجد مواعيد")</f>
        <v>ارابيلا</v>
      </c>
    </row>
    <row r="358" spans="1:9">
      <c r="A358" s="29">
        <v>10344250</v>
      </c>
      <c r="B358" s="29" t="s">
        <v>2254</v>
      </c>
      <c r="C358" s="32">
        <v>0.75</v>
      </c>
      <c r="D358" s="32">
        <v>1.25</v>
      </c>
      <c r="E358" s="29">
        <f>IFERROR(VLOOKUP(A358,New!A:E,5,0),"لا يوجد مواعيد")</f>
        <v>1551584488</v>
      </c>
      <c r="F358" s="29">
        <f>IFERROR(VLOOKUP(A358,New!A:E,1,0),"لا يوجد مواعيد")</f>
        <v>10344250</v>
      </c>
      <c r="G358" s="29" t="str">
        <f>IFERROR(VLOOKUP(A358,New!A:F,4,0),"لا يوجد مواعيد")</f>
        <v>منيبة كرار</v>
      </c>
      <c r="H358" s="29" t="str">
        <f>IFERROR(VLOOKUP(A358,New!A:G,3,0),"لا يوجد مواعيد")</f>
        <v>مدينة نصر</v>
      </c>
      <c r="I358" s="29" t="str">
        <f>IFERROR(VLOOKUP(A358,New!A:H,2,0),"لا يوجد مواعيد")</f>
        <v>كشري هند الحي العاشر</v>
      </c>
    </row>
    <row r="359" spans="1:9">
      <c r="A359" s="29">
        <v>10344252</v>
      </c>
      <c r="B359" s="29" t="s">
        <v>2255</v>
      </c>
      <c r="C359" s="32">
        <v>0.958333333333333</v>
      </c>
      <c r="D359" s="32">
        <v>0.333333333333333</v>
      </c>
      <c r="E359" s="29">
        <f>IFERROR(VLOOKUP(A359,New!A:E,5,0),"لا يوجد مواعيد")</f>
        <v>1509946439</v>
      </c>
      <c r="F359" s="29">
        <f>IFERROR(VLOOKUP(A359,New!A:E,1,0),"لا يوجد مواعيد")</f>
        <v>10344252</v>
      </c>
      <c r="G359" s="29" t="str">
        <f>IFERROR(VLOOKUP(A359,New!A:F,4,0),"لا يوجد مواعيد")</f>
        <v>مصطفى عثمان</v>
      </c>
      <c r="H359" s="29" t="str">
        <f>IFERROR(VLOOKUP(A359,New!A:G,3,0),"لا يوجد مواعيد")</f>
        <v>و - الشروق</v>
      </c>
      <c r="I359" s="29" t="str">
        <f>IFERROR(VLOOKUP(A359,New!A:H,2,0),"لا يوجد مواعيد")</f>
        <v>كشك اللحمة</v>
      </c>
    </row>
    <row r="360" spans="1:9">
      <c r="A360" s="29">
        <v>10344261</v>
      </c>
      <c r="B360" s="29" t="s">
        <v>2256</v>
      </c>
      <c r="C360" s="32">
        <v>0.958333333333333</v>
      </c>
      <c r="D360" s="32">
        <v>0.333333333333333</v>
      </c>
      <c r="E360" s="29">
        <f>IFERROR(VLOOKUP(A360,New!A:E,5,0),"لا يوجد مواعيد")</f>
        <v>1203091448</v>
      </c>
      <c r="F360" s="29">
        <f>IFERROR(VLOOKUP(A360,New!A:E,1,0),"لا يوجد مواعيد")</f>
        <v>10344261</v>
      </c>
      <c r="G360" s="29" t="str">
        <f>IFERROR(VLOOKUP(A360,New!A:F,4,0),"لا يوجد مواعيد")</f>
        <v>سجا عامر</v>
      </c>
      <c r="H360" s="29" t="str">
        <f>IFERROR(VLOOKUP(A360,New!A:G,3,0),"لا يوجد مواعيد")</f>
        <v>ي - بدر</v>
      </c>
      <c r="I360" s="29" t="str">
        <f>IFERROR(VLOOKUP(A360,New!A:H,2,0),"لا يوجد مواعيد")</f>
        <v>مدخل بدر</v>
      </c>
    </row>
    <row r="361" spans="1:9">
      <c r="A361" s="29">
        <v>10344274</v>
      </c>
      <c r="B361" s="29" t="s">
        <v>2257</v>
      </c>
      <c r="C361" s="32" t="s">
        <v>1937</v>
      </c>
      <c r="D361" s="32" t="s">
        <v>1937</v>
      </c>
      <c r="E361" s="29">
        <f>IFERROR(VLOOKUP(A361,New!A:E,5,0),"لا يوجد مواعيد")</f>
        <v>1284234931</v>
      </c>
      <c r="F361" s="29">
        <f>IFERROR(VLOOKUP(A361,New!A:E,1,0),"لا يوجد مواعيد")</f>
        <v>10344274</v>
      </c>
      <c r="G361" s="29" t="str">
        <f>IFERROR(VLOOKUP(A361,New!A:F,4,0),"لا يوجد مواعيد")</f>
        <v>حازم دياب</v>
      </c>
      <c r="H361" s="29" t="str">
        <f>IFERROR(VLOOKUP(A361,New!A:G,3,0),"لا يوجد مواعيد")</f>
        <v>حلوان و زهراء المعادي</v>
      </c>
      <c r="I361" s="29" t="str">
        <f>IFERROR(VLOOKUP(A361,New!A:H,2,0),"لا يوجد مواعيد")</f>
        <v>سلم صقر قريش</v>
      </c>
    </row>
    <row r="362" spans="1:9">
      <c r="A362" s="29">
        <v>10344277</v>
      </c>
      <c r="B362" s="29" t="s">
        <v>2258</v>
      </c>
      <c r="C362" s="32">
        <v>0.583333333333333</v>
      </c>
      <c r="D362" s="32">
        <v>0.958333333333333</v>
      </c>
      <c r="E362" s="29" t="str">
        <f>IFERROR(VLOOKUP(A362,New!A:E,5,0),"لا يوجد مواعيد")</f>
        <v>1102858041/1124701660</v>
      </c>
      <c r="F362" s="29">
        <f>IFERROR(VLOOKUP(A362,New!A:E,1,0),"لا يوجد مواعيد")</f>
        <v>10344277</v>
      </c>
      <c r="G362" s="29" t="str">
        <f>IFERROR(VLOOKUP(A362,New!A:F,4,0),"لا يوجد مواعيد")</f>
        <v>محمد نور</v>
      </c>
      <c r="H362" s="29" t="str">
        <f>IFERROR(VLOOKUP(A362,New!A:G,3,0),"لا يوجد مواعيد")</f>
        <v>م - المقطم</v>
      </c>
      <c r="I362" s="29" t="str">
        <f>IFERROR(VLOOKUP(A362,New!A:H,2,0),"لا يوجد مواعيد")</f>
        <v>النافورة</v>
      </c>
    </row>
    <row r="363" spans="1:9">
      <c r="A363" s="29">
        <v>10344278</v>
      </c>
      <c r="B363" s="29" t="s">
        <v>2259</v>
      </c>
      <c r="C363" s="32">
        <v>0.583333333333333</v>
      </c>
      <c r="D363" s="32">
        <v>0.958333333333333</v>
      </c>
      <c r="E363" s="29">
        <f>IFERROR(VLOOKUP(A363,New!A:E,5,0),"لا يوجد مواعيد")</f>
        <v>1121899603</v>
      </c>
      <c r="F363" s="29">
        <f>IFERROR(VLOOKUP(A363,New!A:E,1,0),"لا يوجد مواعيد")</f>
        <v>10344278</v>
      </c>
      <c r="G363" s="29" t="str">
        <f>IFERROR(VLOOKUP(A363,New!A:F,4,0),"لا يوجد مواعيد")</f>
        <v>طارق نصر محمد</v>
      </c>
      <c r="H363" s="29" t="str">
        <f>IFERROR(VLOOKUP(A363,New!A:G,3,0),"لا يوجد مواعيد")</f>
        <v>مدينة نصر</v>
      </c>
      <c r="I363" s="29" t="str">
        <f>IFERROR(VLOOKUP(A363,New!A:H,2,0),"لا يوجد مواعيد")</f>
        <v>اول مكرم</v>
      </c>
    </row>
    <row r="364" spans="1:9">
      <c r="A364" s="29">
        <v>10344279</v>
      </c>
      <c r="B364" s="29" t="s">
        <v>2151</v>
      </c>
      <c r="C364" s="32">
        <v>0.75</v>
      </c>
      <c r="D364" s="32">
        <v>1.125</v>
      </c>
      <c r="E364" s="29">
        <f>IFERROR(VLOOKUP(A364,New!A:E,5,0),"لا يوجد مواعيد")</f>
        <v>1004911039</v>
      </c>
      <c r="F364" s="29">
        <f>IFERROR(VLOOKUP(A364,New!A:E,1,0),"لا يوجد مواعيد")</f>
        <v>10344279</v>
      </c>
      <c r="G364" s="29" t="str">
        <f>IFERROR(VLOOKUP(A364,New!A:F,4,0),"لا يوجد مواعيد")</f>
        <v>محمد احمد</v>
      </c>
      <c r="H364" s="29" t="str">
        <f>IFERROR(VLOOKUP(A364,New!A:G,3,0),"لا يوجد مواعيد")</f>
        <v>م - الرحاب و التجمع</v>
      </c>
      <c r="I364" s="29" t="str">
        <f>IFERROR(VLOOKUP(A364,New!A:H,2,0),"لا يوجد مواعيد")</f>
        <v>وتر واي</v>
      </c>
    </row>
    <row r="365" spans="1:9">
      <c r="A365" s="29">
        <v>10344286</v>
      </c>
      <c r="B365" s="29" t="s">
        <v>2260</v>
      </c>
      <c r="C365" s="32">
        <v>0.583333333333333</v>
      </c>
      <c r="D365" s="32">
        <v>0.958333333333333</v>
      </c>
      <c r="E365" s="29">
        <f>IFERROR(VLOOKUP(A365,New!A:E,5,0),"لا يوجد مواعيد")</f>
        <v>1040334849</v>
      </c>
      <c r="F365" s="29">
        <f>IFERROR(VLOOKUP(A365,New!A:E,1,0),"لا يوجد مواعيد")</f>
        <v>10344286</v>
      </c>
      <c r="G365" s="29" t="str">
        <f>IFERROR(VLOOKUP(A365,New!A:F,4,0),"لا يوجد مواعيد")</f>
        <v>احمد قرضاوي</v>
      </c>
      <c r="H365" s="29" t="str">
        <f>IFERROR(VLOOKUP(A365,New!A:G,3,0),"لا يوجد مواعيد")</f>
        <v>و - مدينتي</v>
      </c>
      <c r="I365" s="29" t="str">
        <f>IFERROR(VLOOKUP(A365,New!A:H,2,0),"لا يوجد مواعيد")</f>
        <v>بوابة 1</v>
      </c>
    </row>
    <row r="366" spans="1:9">
      <c r="A366" s="29">
        <v>10344307</v>
      </c>
      <c r="B366" s="29" t="s">
        <v>2261</v>
      </c>
      <c r="C366" s="32">
        <v>0.833333333333333</v>
      </c>
      <c r="D366" s="32">
        <v>0.333333333333333</v>
      </c>
      <c r="E366" s="29">
        <f>IFERROR(VLOOKUP(A366,New!A:E,5,0),"لا يوجد مواعيد")</f>
        <v>1285622455</v>
      </c>
      <c r="F366" s="29">
        <f>IFERROR(VLOOKUP(A366,New!A:E,1,0),"لا يوجد مواعيد")</f>
        <v>10344307</v>
      </c>
      <c r="G366" s="29" t="str">
        <f>IFERROR(VLOOKUP(A366,New!A:F,4,0),"لا يوجد مواعيد")</f>
        <v>ياسين عمرو</v>
      </c>
      <c r="H366" s="29" t="str">
        <f>IFERROR(VLOOKUP(A366,New!A:G,3,0),"لا يوجد مواعيد")</f>
        <v>حلوان و زهراء المعادي</v>
      </c>
      <c r="I366" s="29" t="str">
        <f>IFERROR(VLOOKUP(A366,New!A:H,2,0),"لا يوجد مواعيد")</f>
        <v>صالح صبحي</v>
      </c>
    </row>
    <row r="367" spans="1:9">
      <c r="A367" s="29">
        <v>10344485</v>
      </c>
      <c r="B367" s="29" t="s">
        <v>2262</v>
      </c>
      <c r="C367" s="32">
        <v>0.583333333333333</v>
      </c>
      <c r="D367" s="32">
        <v>0.958333333333333</v>
      </c>
      <c r="E367" s="29">
        <f>IFERROR(VLOOKUP(A367,New!A:E,5,0),"لا يوجد مواعيد")</f>
        <v>1226223707</v>
      </c>
      <c r="F367" s="29">
        <f>IFERROR(VLOOKUP(A367,New!A:E,1,0),"لا يوجد مواعيد")</f>
        <v>10344485</v>
      </c>
      <c r="G367" s="29" t="str">
        <f>IFERROR(VLOOKUP(A367,New!A:F,4,0),"لا يوجد مواعيد")</f>
        <v>عمر بكري</v>
      </c>
      <c r="H367" s="29" t="str">
        <f>IFERROR(VLOOKUP(A367,New!A:G,3,0),"لا يوجد مواعيد")</f>
        <v>م - الرحاب و التجمع</v>
      </c>
      <c r="I367" s="29" t="str">
        <f>IFERROR(VLOOKUP(A367,New!A:H,2,0),"لا يوجد مواعيد")</f>
        <v>الجزيرة</v>
      </c>
    </row>
    <row r="368" spans="1:9">
      <c r="A368" s="29">
        <v>10344749</v>
      </c>
      <c r="B368" s="29" t="s">
        <v>2263</v>
      </c>
      <c r="C368" s="32">
        <v>0.916666666666667</v>
      </c>
      <c r="D368" s="32">
        <v>1.29166666666667</v>
      </c>
      <c r="E368" s="29">
        <f>IFERROR(VLOOKUP(A368,New!A:E,5,0),"لا يوجد مواعيد")</f>
        <v>1552456793</v>
      </c>
      <c r="F368" s="29">
        <f>IFERROR(VLOOKUP(A368,New!A:E,1,0),"لا يوجد مواعيد")</f>
        <v>10344749</v>
      </c>
      <c r="G368" s="29" t="str">
        <f>IFERROR(VLOOKUP(A368,New!A:F,4,0),"لا يوجد مواعيد")</f>
        <v>محمد أيمن</v>
      </c>
      <c r="H368" s="29" t="str">
        <f>IFERROR(VLOOKUP(A368,New!A:G,3,0),"لا يوجد مواعيد")</f>
        <v>م - الرحاب و التجمع</v>
      </c>
      <c r="I368" s="29" t="str">
        <f>IFERROR(VLOOKUP(A368,New!A:H,2,0),"لا يوجد مواعيد")</f>
        <v>وتر واي</v>
      </c>
    </row>
    <row r="369" spans="1:9">
      <c r="A369" s="29">
        <v>10344752</v>
      </c>
      <c r="B369" s="29" t="s">
        <v>2264</v>
      </c>
      <c r="C369" s="32">
        <v>0.583333333333333</v>
      </c>
      <c r="D369" s="32">
        <v>0.958333333333333</v>
      </c>
      <c r="E369" s="29">
        <f>IFERROR(VLOOKUP(A369,New!A:E,5,0),"لا يوجد مواعيد")</f>
        <v>1144462771</v>
      </c>
      <c r="F369" s="29">
        <f>IFERROR(VLOOKUP(A369,New!A:E,1,0),"لا يوجد مواعيد")</f>
        <v>10344752</v>
      </c>
      <c r="G369" s="29" t="str">
        <f>IFERROR(VLOOKUP(A369,New!A:F,4,0),"لا يوجد مواعيد")</f>
        <v>يوسف طارق</v>
      </c>
      <c r="H369" s="29" t="str">
        <f>IFERROR(VLOOKUP(A369,New!A:G,3,0),"لا يوجد مواعيد")</f>
        <v>م - الرحاب و التجمع</v>
      </c>
      <c r="I369" s="29" t="str">
        <f>IFERROR(VLOOKUP(A369,New!A:H,2,0),"لا يوجد مواعيد")</f>
        <v>بوابة 24</v>
      </c>
    </row>
    <row r="370" spans="1:9">
      <c r="A370" s="29">
        <v>10344755</v>
      </c>
      <c r="B370" s="29" t="s">
        <v>2265</v>
      </c>
      <c r="C370" s="32">
        <v>0.916666666666667</v>
      </c>
      <c r="D370" s="32">
        <v>1.29166666666667</v>
      </c>
      <c r="E370" s="29">
        <f>IFERROR(VLOOKUP(A370,New!A:E,5,0),"لا يوجد مواعيد")</f>
        <v>1004402706</v>
      </c>
      <c r="F370" s="29">
        <f>IFERROR(VLOOKUP(A370,New!A:E,1,0),"لا يوجد مواعيد")</f>
        <v>10344755</v>
      </c>
      <c r="G370" s="29" t="str">
        <f>IFERROR(VLOOKUP(A370,New!A:F,4,0),"لا يوجد مواعيد")</f>
        <v>لوكا اميل</v>
      </c>
      <c r="H370" s="29" t="str">
        <f>IFERROR(VLOOKUP(A370,New!A:G,3,0),"لا يوجد مواعيد")</f>
        <v>الزيتون و مصر الجديدة</v>
      </c>
      <c r="I370" s="29" t="str">
        <f>IFERROR(VLOOKUP(A370,New!A:H,2,0),"لا يوجد مواعيد")</f>
        <v>ابن الحكم</v>
      </c>
    </row>
    <row r="371" spans="1:9">
      <c r="A371" s="29">
        <v>10344757</v>
      </c>
      <c r="B371" s="29" t="s">
        <v>2266</v>
      </c>
      <c r="C371" s="32">
        <v>0.916666666666667</v>
      </c>
      <c r="D371" s="32">
        <v>1.29166666666667</v>
      </c>
      <c r="E371" s="29">
        <f>IFERROR(VLOOKUP(A371,New!A:E,5,0),"لا يوجد مواعيد")</f>
        <v>1093443771</v>
      </c>
      <c r="F371" s="29">
        <f>IFERROR(VLOOKUP(A371,New!A:E,1,0),"لا يوجد مواعيد")</f>
        <v>10344757</v>
      </c>
      <c r="G371" s="29" t="str">
        <f>IFERROR(VLOOKUP(A371,New!A:F,4,0),"لا يوجد مواعيد")</f>
        <v>نور الدين محمود</v>
      </c>
      <c r="H371" s="29" t="str">
        <f>IFERROR(VLOOKUP(A371,New!A:G,3,0),"لا يوجد مواعيد")</f>
        <v>م - الرحاب و التجمع</v>
      </c>
      <c r="I371" s="29" t="str">
        <f>IFERROR(VLOOKUP(A371,New!A:H,2,0),"لا يوجد مواعيد")</f>
        <v>الغاز</v>
      </c>
    </row>
    <row r="372" spans="1:9">
      <c r="A372" s="29">
        <v>10344770</v>
      </c>
      <c r="B372" s="29" t="s">
        <v>2267</v>
      </c>
      <c r="C372" s="32">
        <v>0.916666666666667</v>
      </c>
      <c r="D372" s="32">
        <v>1.29166666666667</v>
      </c>
      <c r="E372" s="29">
        <f>IFERROR(VLOOKUP(A372,New!A:E,5,0),"لا يوجد مواعيد")</f>
        <v>1090642201</v>
      </c>
      <c r="F372" s="29">
        <f>IFERROR(VLOOKUP(A372,New!A:E,1,0),"لا يوجد مواعيد")</f>
        <v>10344770</v>
      </c>
      <c r="G372" s="29" t="str">
        <f>IFERROR(VLOOKUP(A372,New!A:F,4,0),"لا يوجد مواعيد")</f>
        <v>احمد سيف</v>
      </c>
      <c r="H372" s="29" t="str">
        <f>IFERROR(VLOOKUP(A372,New!A:G,3,0),"لا يوجد مواعيد")</f>
        <v>و - الشروق</v>
      </c>
      <c r="I372" s="29" t="str">
        <f>IFERROR(VLOOKUP(A372,New!A:H,2,0),"لا يوجد مواعيد")</f>
        <v>كشك اللحمة</v>
      </c>
    </row>
    <row r="373" spans="1:9">
      <c r="A373" s="29">
        <v>10344855</v>
      </c>
      <c r="B373" s="29" t="s">
        <v>2268</v>
      </c>
      <c r="C373" s="32">
        <v>0.625</v>
      </c>
      <c r="D373" s="32">
        <v>1</v>
      </c>
      <c r="E373" s="29">
        <f>IFERROR(VLOOKUP(A373,New!A:E,5,0),"لا يوجد مواعيد")</f>
        <v>1070390659</v>
      </c>
      <c r="F373" s="29">
        <f>IFERROR(VLOOKUP(A373,New!A:E,1,0),"لا يوجد مواعيد")</f>
        <v>10344855</v>
      </c>
      <c r="G373" s="29" t="str">
        <f>IFERROR(VLOOKUP(A373,New!A:F,4,0),"لا يوجد مواعيد")</f>
        <v>يوسف حسن</v>
      </c>
      <c r="H373" s="29" t="str">
        <f>IFERROR(VLOOKUP(A373,New!A:G,3,0),"لا يوجد مواعيد")</f>
        <v>و - مدينتي</v>
      </c>
      <c r="I373" s="29" t="str">
        <f>IFERROR(VLOOKUP(A373,New!A:H,2,0),"لا يوجد مواعيد")</f>
        <v>بوابة 1</v>
      </c>
    </row>
    <row r="374" spans="1:9">
      <c r="A374" s="29">
        <v>10344857</v>
      </c>
      <c r="B374" s="29" t="s">
        <v>2269</v>
      </c>
      <c r="C374" s="32">
        <v>0.625</v>
      </c>
      <c r="D374" s="32">
        <v>1</v>
      </c>
      <c r="E374" s="29">
        <f>IFERROR(VLOOKUP(A374,New!A:E,5,0),"لا يوجد مواعيد")</f>
        <v>1226167723</v>
      </c>
      <c r="F374" s="29">
        <f>IFERROR(VLOOKUP(A374,New!A:E,1,0),"لا يوجد مواعيد")</f>
        <v>10344857</v>
      </c>
      <c r="G374" s="29" t="str">
        <f>IFERROR(VLOOKUP(A374,New!A:F,4,0),"لا يوجد مواعيد")</f>
        <v>جوري أمير فاروق عبدالعال</v>
      </c>
      <c r="H374" s="29" t="str">
        <f>IFERROR(VLOOKUP(A374,New!A:G,3,0),"لا يوجد مواعيد")</f>
        <v>العبور</v>
      </c>
      <c r="I374" s="29" t="str">
        <f>IFERROR(VLOOKUP(A374,New!A:H,2,0),"لا يوجد مواعيد")</f>
        <v>كارفور العبور</v>
      </c>
    </row>
    <row r="375" spans="1:9">
      <c r="A375" s="29">
        <v>10344860</v>
      </c>
      <c r="B375" s="29" t="s">
        <v>2270</v>
      </c>
      <c r="C375" s="32">
        <v>0.833333333333333</v>
      </c>
      <c r="D375" s="32">
        <v>1.29166666666667</v>
      </c>
      <c r="E375" s="29">
        <f>IFERROR(VLOOKUP(A375,New!A:E,5,0),"لا يوجد مواعيد")</f>
        <v>1505849880</v>
      </c>
      <c r="F375" s="29">
        <f>IFERROR(VLOOKUP(A375,New!A:E,1,0),"لا يوجد مواعيد")</f>
        <v>10344860</v>
      </c>
      <c r="G375" s="29" t="str">
        <f>IFERROR(VLOOKUP(A375,New!A:F,4,0),"لا يوجد مواعيد")</f>
        <v>مصعب صديق</v>
      </c>
      <c r="H375" s="29" t="str">
        <f>IFERROR(VLOOKUP(A375,New!A:G,3,0),"لا يوجد مواعيد")</f>
        <v>مدينة نصر</v>
      </c>
      <c r="I375" s="29" t="str">
        <f>IFERROR(VLOOKUP(A375,New!A:H,2,0),"لا يوجد مواعيد")</f>
        <v>مسجد السلام</v>
      </c>
    </row>
    <row r="376" spans="1:9">
      <c r="A376" s="29">
        <v>10344861</v>
      </c>
      <c r="B376" s="29" t="s">
        <v>2271</v>
      </c>
      <c r="C376" s="32">
        <v>0.916666666666667</v>
      </c>
      <c r="D376" s="32">
        <v>1.29166666666667</v>
      </c>
      <c r="E376" s="29">
        <f>IFERROR(VLOOKUP(A376,New!A:E,5,0),"لا يوجد مواعيد")</f>
        <v>1024731489</v>
      </c>
      <c r="F376" s="29">
        <f>IFERROR(VLOOKUP(A376,New!A:E,1,0),"لا يوجد مواعيد")</f>
        <v>10344861</v>
      </c>
      <c r="G376" s="29" t="str">
        <f>IFERROR(VLOOKUP(A376,New!A:F,4,0),"لا يوجد مواعيد")</f>
        <v>مؤمن صلاح</v>
      </c>
      <c r="H376" s="29" t="str">
        <f>IFERROR(VLOOKUP(A376,New!A:G,3,0),"لا يوجد مواعيد")</f>
        <v>الزيتون و مصر الجديدة</v>
      </c>
      <c r="I376" s="29" t="str">
        <f>IFERROR(VLOOKUP(A376,New!A:H,2,0),"لا يوجد مواعيد")</f>
        <v>الجراج</v>
      </c>
    </row>
    <row r="377" spans="1:9">
      <c r="A377" s="29">
        <v>10344863</v>
      </c>
      <c r="B377" s="29" t="s">
        <v>2272</v>
      </c>
      <c r="C377" s="32">
        <v>0.916666666666667</v>
      </c>
      <c r="D377" s="32">
        <v>1.29166666666667</v>
      </c>
      <c r="E377" s="29">
        <f>IFERROR(VLOOKUP(A377,New!A:E,5,0),"لا يوجد مواعيد")</f>
        <v>1122706070</v>
      </c>
      <c r="F377" s="29">
        <f>IFERROR(VLOOKUP(A377,New!A:E,1,0),"لا يوجد مواعيد")</f>
        <v>10344863</v>
      </c>
      <c r="G377" s="29" t="str">
        <f>IFERROR(VLOOKUP(A377,New!A:F,4,0),"لا يوجد مواعيد")</f>
        <v>محمود عاطف</v>
      </c>
      <c r="H377" s="29" t="str">
        <f>IFERROR(VLOOKUP(A377,New!A:G,3,0),"لا يوجد مواعيد")</f>
        <v>حلوان و زهراء المعادي</v>
      </c>
      <c r="I377" s="29" t="str">
        <f>IFERROR(VLOOKUP(A377,New!A:H,2,0),"لا يوجد مواعيد")</f>
        <v>سلم البارون</v>
      </c>
    </row>
    <row r="378" spans="1:9">
      <c r="A378" s="29">
        <v>10344865</v>
      </c>
      <c r="B378" s="29" t="s">
        <v>2273</v>
      </c>
      <c r="C378" s="32">
        <v>0.625</v>
      </c>
      <c r="D378" s="32">
        <v>1</v>
      </c>
      <c r="E378" s="29">
        <f>IFERROR(VLOOKUP(A378,New!A:E,5,0),"لا يوجد مواعيد")</f>
        <v>1153210480</v>
      </c>
      <c r="F378" s="29">
        <f>IFERROR(VLOOKUP(A378,New!A:E,1,0),"لا يوجد مواعيد")</f>
        <v>10344865</v>
      </c>
      <c r="G378" s="29" t="str">
        <f>IFERROR(VLOOKUP(A378,New!A:F,4,0),"لا يوجد مواعيد")</f>
        <v>اية الحج</v>
      </c>
      <c r="H378" s="29" t="str">
        <f>IFERROR(VLOOKUP(A378,New!A:G,3,0),"لا يوجد مواعيد")</f>
        <v>مدينة نصر</v>
      </c>
      <c r="I378" s="29" t="str">
        <f>IFERROR(VLOOKUP(A378,New!A:H,2,0),"لا يوجد مواعيد")</f>
        <v>كشري هند الحي العاشر</v>
      </c>
    </row>
    <row r="379" spans="1:9">
      <c r="A379" s="29">
        <v>10344866</v>
      </c>
      <c r="B379" s="29" t="s">
        <v>2136</v>
      </c>
      <c r="C379" s="32">
        <v>0.916666666666667</v>
      </c>
      <c r="D379" s="32">
        <v>1.29166666666667</v>
      </c>
      <c r="E379" s="29">
        <f>IFERROR(VLOOKUP(A379,New!A:E,5,0),"لا يوجد مواعيد")</f>
        <v>1021293302</v>
      </c>
      <c r="F379" s="29">
        <f>IFERROR(VLOOKUP(A379,New!A:E,1,0),"لا يوجد مواعيد")</f>
        <v>10344866</v>
      </c>
      <c r="G379" s="29" t="str">
        <f>IFERROR(VLOOKUP(A379,New!A:F,4,0),"لا يوجد مواعيد")</f>
        <v>مصطفى محمد</v>
      </c>
      <c r="H379" s="29" t="str">
        <f>IFERROR(VLOOKUP(A379,New!A:G,3,0),"لا يوجد مواعيد")</f>
        <v>حلوان و زهراء المعادي</v>
      </c>
      <c r="I379" s="29" t="str">
        <f>IFERROR(VLOOKUP(A379,New!A:H,2,0),"لا يوجد مواعيد")</f>
        <v>صالح صبحي</v>
      </c>
    </row>
    <row r="380" spans="1:9">
      <c r="A380" s="29">
        <v>10344883</v>
      </c>
      <c r="B380" s="29" t="s">
        <v>2274</v>
      </c>
      <c r="C380" s="32">
        <v>0.625</v>
      </c>
      <c r="D380" s="32">
        <v>1</v>
      </c>
      <c r="E380" s="29">
        <f>IFERROR(VLOOKUP(A380,New!A:E,5,0),"لا يوجد مواعيد")</f>
        <v>1023850840</v>
      </c>
      <c r="F380" s="29">
        <f>IFERROR(VLOOKUP(A380,New!A:E,1,0),"لا يوجد مواعيد")</f>
        <v>10344883</v>
      </c>
      <c r="G380" s="29" t="str">
        <f>IFERROR(VLOOKUP(A380,New!A:F,4,0),"لا يوجد مواعيد")</f>
        <v>يوسف قاسم</v>
      </c>
      <c r="H380" s="29" t="str">
        <f>IFERROR(VLOOKUP(A380,New!A:G,3,0),"لا يوجد مواعيد")</f>
        <v>مدينة نصر</v>
      </c>
      <c r="I380" s="29" t="str">
        <f>IFERROR(VLOOKUP(A380,New!A:H,2,0),"لا يوجد مواعيد")</f>
        <v>اول عباس</v>
      </c>
    </row>
    <row r="381" spans="1:9">
      <c r="A381" s="29">
        <v>10344884</v>
      </c>
      <c r="B381" s="29" t="s">
        <v>2275</v>
      </c>
      <c r="C381" s="32">
        <v>0.625</v>
      </c>
      <c r="D381" s="32">
        <v>1</v>
      </c>
      <c r="E381" s="29">
        <f>IFERROR(VLOOKUP(A381,New!A:E,5,0),"لا يوجد مواعيد")</f>
        <v>1099361043</v>
      </c>
      <c r="F381" s="29">
        <f>IFERROR(VLOOKUP(A381,New!A:E,1,0),"لا يوجد مواعيد")</f>
        <v>10344884</v>
      </c>
      <c r="G381" s="29" t="str">
        <f>IFERROR(VLOOKUP(A381,New!A:F,4,0),"لا يوجد مواعيد")</f>
        <v>عبد العزيز مجدي</v>
      </c>
      <c r="H381" s="29" t="str">
        <f>IFERROR(VLOOKUP(A381,New!A:G,3,0),"لا يوجد مواعيد")</f>
        <v>مدينة نصر</v>
      </c>
      <c r="I381" s="29" t="str">
        <f>IFERROR(VLOOKUP(A381,New!A:H,2,0),"لا يوجد مواعيد")</f>
        <v>ميدان رابعة</v>
      </c>
    </row>
    <row r="382" spans="1:9">
      <c r="A382" s="29">
        <v>10344885</v>
      </c>
      <c r="B382" s="29" t="s">
        <v>2276</v>
      </c>
      <c r="C382" s="32">
        <v>0.625</v>
      </c>
      <c r="D382" s="32">
        <v>1</v>
      </c>
      <c r="E382" s="29">
        <f>IFERROR(VLOOKUP(A382,New!A:E,5,0),"لا يوجد مواعيد")</f>
        <v>1116231956</v>
      </c>
      <c r="F382" s="29">
        <f>IFERROR(VLOOKUP(A382,New!A:E,1,0),"لا يوجد مواعيد")</f>
        <v>10344885</v>
      </c>
      <c r="G382" s="29" t="str">
        <f>IFERROR(VLOOKUP(A382,New!A:F,4,0),"لا يوجد مواعيد")</f>
        <v>هبة علي</v>
      </c>
      <c r="H382" s="29" t="str">
        <f>IFERROR(VLOOKUP(A382,New!A:G,3,0),"لا يوجد مواعيد")</f>
        <v>مدينة نصر</v>
      </c>
      <c r="I382" s="29" t="str">
        <f>IFERROR(VLOOKUP(A382,New!A:H,2,0),"لا يوجد مواعيد")</f>
        <v>كشري هند الحي العاشر</v>
      </c>
    </row>
    <row r="383" spans="1:9">
      <c r="A383" s="29">
        <v>10344900</v>
      </c>
      <c r="B383" s="29" t="s">
        <v>2277</v>
      </c>
      <c r="C383" s="32">
        <v>0.583333333333333</v>
      </c>
      <c r="D383" s="32">
        <v>0.958333333333333</v>
      </c>
      <c r="E383" s="29" t="str">
        <f>IFERROR(VLOOKUP(A383,New!A:E,5,0),"لا يوجد مواعيد")</f>
        <v>1280410652/966530800596 / 1143556948</v>
      </c>
      <c r="F383" s="29">
        <f>IFERROR(VLOOKUP(A383,New!A:E,1,0),"لا يوجد مواعيد")</f>
        <v>10344900</v>
      </c>
      <c r="G383" s="29" t="str">
        <f>IFERROR(VLOOKUP(A383,New!A:F,4,0),"لا يوجد مواعيد")</f>
        <v>امجد عادل</v>
      </c>
      <c r="H383" s="29" t="str">
        <f>IFERROR(VLOOKUP(A383,New!A:G,3,0),"لا يوجد مواعيد")</f>
        <v>مدينة نصر</v>
      </c>
      <c r="I383" s="29" t="str">
        <f>IFERROR(VLOOKUP(A383,New!A:H,2,0),"لا يوجد مواعيد")</f>
        <v>مسجد السلام</v>
      </c>
    </row>
    <row r="384" spans="1:9">
      <c r="A384" s="29">
        <v>10344902</v>
      </c>
      <c r="B384" s="29" t="s">
        <v>2278</v>
      </c>
      <c r="C384" s="32">
        <v>0.666666666666667</v>
      </c>
      <c r="D384" s="32">
        <v>1.16666666666667</v>
      </c>
      <c r="E384" s="29">
        <f>IFERROR(VLOOKUP(A384,New!A:E,5,0),"لا يوجد مواعيد")</f>
        <v>1090598043</v>
      </c>
      <c r="F384" s="29">
        <f>IFERROR(VLOOKUP(A384,New!A:E,1,0),"لا يوجد مواعيد")</f>
        <v>10344902</v>
      </c>
      <c r="G384" s="29" t="str">
        <f>IFERROR(VLOOKUP(A384,New!A:F,4,0),"لا يوجد مواعيد")</f>
        <v>صلاح حسن صلاح</v>
      </c>
      <c r="H384" s="29" t="str">
        <f>IFERROR(VLOOKUP(A384,New!A:G,3,0),"لا يوجد مواعيد")</f>
        <v>م - الرحاب و التجمع</v>
      </c>
      <c r="I384" s="29" t="str">
        <f>IFERROR(VLOOKUP(A384,New!A:H,2,0),"لا يوجد مواعيد")</f>
        <v>بوابة 13</v>
      </c>
    </row>
    <row r="385" spans="1:9">
      <c r="A385" s="29">
        <v>10345543</v>
      </c>
      <c r="B385" s="29" t="s">
        <v>2279</v>
      </c>
      <c r="C385" s="32">
        <v>0.583333333333333</v>
      </c>
      <c r="D385" s="32">
        <v>0.958333333333333</v>
      </c>
      <c r="E385" s="29">
        <f>IFERROR(VLOOKUP(A385,New!A:E,5,0),"لا يوجد مواعيد")</f>
        <v>1149265144</v>
      </c>
      <c r="F385" s="29">
        <f>IFERROR(VLOOKUP(A385,New!A:E,1,0),"لا يوجد مواعيد")</f>
        <v>10345543</v>
      </c>
      <c r="G385" s="29" t="str">
        <f>IFERROR(VLOOKUP(A385,New!A:F,4,0),"لا يوجد مواعيد")</f>
        <v>زهرة الجاك</v>
      </c>
      <c r="H385" s="29" t="str">
        <f>IFERROR(VLOOKUP(A385,New!A:G,3,0),"لا يوجد مواعيد")</f>
        <v>فيصل</v>
      </c>
      <c r="I385" s="29" t="str">
        <f>IFERROR(VLOOKUP(A385,New!A:H,2,0),"لا يوجد مواعيد")</f>
        <v>العشرين</v>
      </c>
    </row>
    <row r="386" spans="1:9">
      <c r="A386" s="29">
        <v>10345545</v>
      </c>
      <c r="B386" s="29" t="s">
        <v>2280</v>
      </c>
      <c r="C386" s="32">
        <v>0.958333333333333</v>
      </c>
      <c r="D386" s="32">
        <v>0.333333333333333</v>
      </c>
      <c r="E386" s="29">
        <f>IFERROR(VLOOKUP(A386,New!A:E,5,0),"لا يوجد مواعيد")</f>
        <v>1094190472</v>
      </c>
      <c r="F386" s="29">
        <f>IFERROR(VLOOKUP(A386,New!A:E,1,0),"لا يوجد مواعيد")</f>
        <v>10345545</v>
      </c>
      <c r="G386" s="29" t="str">
        <f>IFERROR(VLOOKUP(A386,New!A:F,4,0),"لا يوجد مواعيد")</f>
        <v>يوسف عبد الله</v>
      </c>
      <c r="H386" s="29" t="str">
        <f>IFERROR(VLOOKUP(A386,New!A:G,3,0),"لا يوجد مواعيد")</f>
        <v>مدينة نصر</v>
      </c>
      <c r="I386" s="29" t="str">
        <f>IFERROR(VLOOKUP(A386,New!A:H,2,0),"لا يوجد مواعيد")</f>
        <v>مسجد السلام</v>
      </c>
    </row>
    <row r="387" spans="1:9">
      <c r="A387" s="29">
        <v>10345744</v>
      </c>
      <c r="B387" s="29" t="s">
        <v>2281</v>
      </c>
      <c r="C387" s="32">
        <v>0.625</v>
      </c>
      <c r="D387" s="32">
        <v>1</v>
      </c>
      <c r="E387" s="29">
        <f>IFERROR(VLOOKUP(A387,New!A:E,5,0),"لا يوجد مواعيد")</f>
        <v>1026876551</v>
      </c>
      <c r="F387" s="29">
        <f>IFERROR(VLOOKUP(A387,New!A:E,1,0),"لا يوجد مواعيد")</f>
        <v>10345744</v>
      </c>
      <c r="G387" s="29" t="str">
        <f>IFERROR(VLOOKUP(A387,New!A:F,4,0),"لا يوجد مواعيد")</f>
        <v>حسن السيد</v>
      </c>
      <c r="H387" s="29" t="str">
        <f>IFERROR(VLOOKUP(A387,New!A:G,3,0),"لا يوجد مواعيد")</f>
        <v>ي - بدر</v>
      </c>
      <c r="I387" s="29" t="str">
        <f>IFERROR(VLOOKUP(A387,New!A:H,2,0),"لا يوجد مواعيد")</f>
        <v>مدخل بدر</v>
      </c>
    </row>
    <row r="388" spans="1:9">
      <c r="A388" s="29">
        <v>10346011</v>
      </c>
      <c r="B388" s="29" t="s">
        <v>2282</v>
      </c>
      <c r="C388" s="32">
        <v>0.583333333333333</v>
      </c>
      <c r="D388" s="32">
        <v>0.958333333333333</v>
      </c>
      <c r="E388" s="29">
        <f>IFERROR(VLOOKUP(A388,New!A:E,5,0),"لا يوجد مواعيد")</f>
        <v>1143585920</v>
      </c>
      <c r="F388" s="29">
        <f>IFERROR(VLOOKUP(A388,New!A:E,1,0),"لا يوجد مواعيد")</f>
        <v>10346011</v>
      </c>
      <c r="G388" s="29" t="str">
        <f>IFERROR(VLOOKUP(A388,New!A:F,4,0),"لا يوجد مواعيد")</f>
        <v>عبد الله أحمد فتح الله</v>
      </c>
      <c r="H388" s="29" t="str">
        <f>IFERROR(VLOOKUP(A388,New!A:G,3,0),"لا يوجد مواعيد")</f>
        <v>مدينة نصر</v>
      </c>
      <c r="I388" s="29" t="str">
        <f>IFERROR(VLOOKUP(A388,New!A:H,2,0),"لا يوجد مواعيد")</f>
        <v>اول مكرم</v>
      </c>
    </row>
    <row r="389" spans="1:9">
      <c r="A389" s="29">
        <v>10346088</v>
      </c>
      <c r="B389" s="29" t="s">
        <v>2283</v>
      </c>
      <c r="C389" s="32">
        <v>0.958333333333333</v>
      </c>
      <c r="D389" s="32">
        <v>0.333333333333333</v>
      </c>
      <c r="E389" s="29">
        <f>IFERROR(VLOOKUP(A389,New!A:E,5,0),"لا يوجد مواعيد")</f>
        <v>1281887573</v>
      </c>
      <c r="F389" s="29">
        <f>IFERROR(VLOOKUP(A389,New!A:E,1,0),"لا يوجد مواعيد")</f>
        <v>10346088</v>
      </c>
      <c r="G389" s="29" t="str">
        <f>IFERROR(VLOOKUP(A389,New!A:F,4,0),"لا يوجد مواعيد")</f>
        <v>مارتن ناير</v>
      </c>
      <c r="H389" s="29" t="str">
        <f>IFERROR(VLOOKUP(A389,New!A:G,3,0),"لا يوجد مواعيد")</f>
        <v>مدينة نصر</v>
      </c>
      <c r="I389" s="29" t="str">
        <f>IFERROR(VLOOKUP(A389,New!A:H,2,0),"لا يوجد مواعيد")</f>
        <v>كشري هند الحي العاشر</v>
      </c>
    </row>
    <row r="390" spans="1:9">
      <c r="A390" s="29">
        <v>10346118</v>
      </c>
      <c r="B390" s="29" t="s">
        <v>2284</v>
      </c>
      <c r="C390" s="32">
        <v>0.583333333333333</v>
      </c>
      <c r="D390" s="32">
        <v>0.958333333333333</v>
      </c>
      <c r="E390" s="29" t="str">
        <f>IFERROR(VLOOKUP(A390,New!A:E,5,0),"لا يوجد مواعيد")</f>
        <v>1019600170 / 36208085435 (Whatsapp)</v>
      </c>
      <c r="F390" s="29">
        <f>IFERROR(VLOOKUP(A390,New!A:E,1,0),"لا يوجد مواعيد")</f>
        <v>10346118</v>
      </c>
      <c r="G390" s="29" t="str">
        <f>IFERROR(VLOOKUP(A390,New!A:F,4,0),"لا يوجد مواعيد")</f>
        <v>نبيل طارق</v>
      </c>
      <c r="H390" s="29" t="str">
        <f>IFERROR(VLOOKUP(A390,New!A:G,3,0),"لا يوجد مواعيد")</f>
        <v>؟</v>
      </c>
      <c r="I390" s="29" t="str">
        <f>IFERROR(VLOOKUP(A390,New!A:H,2,0),"لا يوجد مواعيد")</f>
        <v>؟</v>
      </c>
    </row>
    <row r="391" spans="1:9">
      <c r="A391" s="29">
        <v>10346148</v>
      </c>
      <c r="B391" s="29" t="s">
        <v>2285</v>
      </c>
      <c r="C391" s="32">
        <v>0.583333333333333</v>
      </c>
      <c r="D391" s="32">
        <v>0.958333333333333</v>
      </c>
      <c r="E391" s="29">
        <f>IFERROR(VLOOKUP(A391,New!A:E,5,0),"لا يوجد مواعيد")</f>
        <v>1507554968</v>
      </c>
      <c r="F391" s="29">
        <f>IFERROR(VLOOKUP(A391,New!A:E,1,0),"لا يوجد مواعيد")</f>
        <v>10346148</v>
      </c>
      <c r="G391" s="29" t="str">
        <f>IFERROR(VLOOKUP(A391,New!A:F,4,0),"لا يوجد مواعيد")</f>
        <v>احمد الصادق</v>
      </c>
      <c r="H391" s="29" t="str">
        <f>IFERROR(VLOOKUP(A391,New!A:G,3,0),"لا يوجد مواعيد")</f>
        <v>حلوان و زهراء المعادي</v>
      </c>
      <c r="I391" s="29" t="str">
        <f>IFERROR(VLOOKUP(A391,New!A:H,2,0),"لا يوجد مواعيد")</f>
        <v>سلم البارون</v>
      </c>
    </row>
    <row r="392" spans="1:9">
      <c r="A392" s="29">
        <v>10346149</v>
      </c>
      <c r="B392" s="29" t="s">
        <v>2286</v>
      </c>
      <c r="C392" s="32">
        <v>0.583333333333333</v>
      </c>
      <c r="D392" s="32">
        <v>0.958333333333333</v>
      </c>
      <c r="E392" s="29" t="str">
        <f>IFERROR(VLOOKUP(A392,New!A:E,5,0),"لا يوجد مواعيد")</f>
        <v>1044183469/249112356639</v>
      </c>
      <c r="F392" s="29">
        <f>IFERROR(VLOOKUP(A392,New!A:E,1,0),"لا يوجد مواعيد")</f>
        <v>10346149</v>
      </c>
      <c r="G392" s="29" t="str">
        <f>IFERROR(VLOOKUP(A392,New!A:F,4,0),"لا يوجد مواعيد")</f>
        <v>بنورة عز الدين</v>
      </c>
      <c r="H392" s="29" t="str">
        <f>IFERROR(VLOOKUP(A392,New!A:G,3,0),"لا يوجد مواعيد")</f>
        <v>مدينة نصر</v>
      </c>
      <c r="I392" s="29" t="str">
        <f>IFERROR(VLOOKUP(A392,New!A:H,2,0),"لا يوجد مواعيد")</f>
        <v>كشري هند الحي العاشر</v>
      </c>
    </row>
    <row r="393" spans="1:9">
      <c r="A393" s="29">
        <v>10346150</v>
      </c>
      <c r="B393" s="29" t="s">
        <v>2287</v>
      </c>
      <c r="C393" s="32">
        <v>0.625</v>
      </c>
      <c r="D393" s="32">
        <v>1</v>
      </c>
      <c r="E393" s="29" t="str">
        <f>IFERROR(VLOOKUP(A393,New!A:E,5,0),"لا يوجد مواعيد")</f>
        <v>1080766074 / 249920520446</v>
      </c>
      <c r="F393" s="29">
        <f>IFERROR(VLOOKUP(A393,New!A:E,1,0),"لا يوجد مواعيد")</f>
        <v>10346150</v>
      </c>
      <c r="G393" s="29" t="str">
        <f>IFERROR(VLOOKUP(A393,New!A:F,4,0),"لا يوجد مواعيد")</f>
        <v>جعفر منهل</v>
      </c>
      <c r="H393" s="29" t="str">
        <f>IFERROR(VLOOKUP(A393,New!A:G,3,0),"لا يوجد مواعيد")</f>
        <v>الزيتون و مصر الجديدة</v>
      </c>
      <c r="I393" s="29" t="str">
        <f>IFERROR(VLOOKUP(A393,New!A:H,2,0),"لا يوجد مواعيد")</f>
        <v>الجراج</v>
      </c>
    </row>
    <row r="394" spans="1:9">
      <c r="A394" s="29">
        <v>10346282</v>
      </c>
      <c r="B394" s="29" t="s">
        <v>2288</v>
      </c>
      <c r="C394" s="32" t="s">
        <v>1937</v>
      </c>
      <c r="D394" s="32" t="s">
        <v>1937</v>
      </c>
      <c r="E394" s="29">
        <f>IFERROR(VLOOKUP(A394,New!A:E,5,0),"لا يوجد مواعيد")</f>
        <v>1070413418</v>
      </c>
      <c r="F394" s="29">
        <f>IFERROR(VLOOKUP(A394,New!A:E,1,0),"لا يوجد مواعيد")</f>
        <v>10346282</v>
      </c>
      <c r="G394" s="29" t="str">
        <f>IFERROR(VLOOKUP(A394,New!A:F,4,0),"لا يوجد مواعيد")</f>
        <v>علي احمد</v>
      </c>
      <c r="H394" s="29" t="str">
        <f>IFERROR(VLOOKUP(A394,New!A:G,3,0),"لا يوجد مواعيد")</f>
        <v>حلوان و زهراء المعادي</v>
      </c>
      <c r="I394" s="29" t="str">
        <f>IFERROR(VLOOKUP(A394,New!A:H,2,0),"لا يوجد مواعيد")</f>
        <v>سلم صقر قريش</v>
      </c>
    </row>
    <row r="395" spans="1:9">
      <c r="A395" s="29">
        <v>10346285</v>
      </c>
      <c r="B395" s="29" t="s">
        <v>2289</v>
      </c>
      <c r="C395" s="32">
        <v>0.958333333333333</v>
      </c>
      <c r="D395" s="32">
        <v>0.333333333333333</v>
      </c>
      <c r="E395" s="29" t="str">
        <f>IFERROR(VLOOKUP(A395,New!A:E,5,0),"لا يوجد مواعيد")</f>
        <v>150860024 /1070166291</v>
      </c>
      <c r="F395" s="29">
        <f>IFERROR(VLOOKUP(A395,New!A:E,1,0),"لا يوجد مواعيد")</f>
        <v>10346285</v>
      </c>
      <c r="G395" s="29" t="str">
        <f>IFERROR(VLOOKUP(A395,New!A:F,4,0),"لا يوجد مواعيد")</f>
        <v>تنزيل عثمان</v>
      </c>
      <c r="H395" s="29" t="str">
        <f>IFERROR(VLOOKUP(A395,New!A:G,3,0),"لا يوجد مواعيد")</f>
        <v>و - مدينتي</v>
      </c>
      <c r="I395" s="29" t="str">
        <f>IFERROR(VLOOKUP(A395,New!A:H,2,0),"لا يوجد مواعيد")</f>
        <v>بوابة 1</v>
      </c>
    </row>
    <row r="396" spans="1:9">
      <c r="A396" s="29">
        <v>10346382</v>
      </c>
      <c r="B396" s="29" t="s">
        <v>2290</v>
      </c>
      <c r="C396" s="32">
        <v>0.916666666666666</v>
      </c>
      <c r="D396" s="32">
        <v>0.291666666666666</v>
      </c>
      <c r="E396" s="29">
        <f>IFERROR(VLOOKUP(A396,New!A:E,5,0),"لا يوجد مواعيد")</f>
        <v>1277749159</v>
      </c>
      <c r="F396" s="29">
        <f>IFERROR(VLOOKUP(A396,New!A:E,1,0),"لا يوجد مواعيد")</f>
        <v>10346382</v>
      </c>
      <c r="G396" s="29" t="str">
        <f>IFERROR(VLOOKUP(A396,New!A:F,4,0),"لا يوجد مواعيد")</f>
        <v>احمد محمد مصطفى</v>
      </c>
      <c r="H396" s="29" t="str">
        <f>IFERROR(VLOOKUP(A396,New!A:G,3,0),"لا يوجد مواعيد")</f>
        <v>الزيتون و مصر الجديدة</v>
      </c>
      <c r="I396" s="29" t="str">
        <f>IFERROR(VLOOKUP(A396,New!A:H,2,0),"لا يوجد مواعيد")</f>
        <v>المحكمة</v>
      </c>
    </row>
    <row r="397" spans="1:9">
      <c r="A397" s="29">
        <v>10346474</v>
      </c>
      <c r="B397" s="29" t="s">
        <v>2291</v>
      </c>
      <c r="C397" s="32">
        <v>0.958333333333333</v>
      </c>
      <c r="D397" s="32">
        <v>0.333333333333333</v>
      </c>
      <c r="E397" s="29">
        <f>IFERROR(VLOOKUP(A397,New!A:E,5,0),"لا يوجد مواعيد")</f>
        <v>1020488691</v>
      </c>
      <c r="F397" s="29">
        <f>IFERROR(VLOOKUP(A397,New!A:E,1,0),"لا يوجد مواعيد")</f>
        <v>10346474</v>
      </c>
      <c r="G397" s="29" t="str">
        <f>IFERROR(VLOOKUP(A397,New!A:F,4,0),"لا يوجد مواعيد")</f>
        <v>منة الحاج</v>
      </c>
      <c r="H397" s="29" t="str">
        <f>IFERROR(VLOOKUP(A397,New!A:G,3,0),"لا يوجد مواعيد")</f>
        <v>و - مدينتي</v>
      </c>
      <c r="I397" s="29" t="str">
        <f>IFERROR(VLOOKUP(A397,New!A:H,2,0),"لا يوجد مواعيد")</f>
        <v>بوابة 1</v>
      </c>
    </row>
    <row r="398" spans="1:9">
      <c r="A398" s="29">
        <v>10346555</v>
      </c>
      <c r="B398" s="29" t="s">
        <v>2292</v>
      </c>
      <c r="C398" s="32">
        <v>0.958333333333333</v>
      </c>
      <c r="D398" s="32">
        <v>0.333333333333333</v>
      </c>
      <c r="E398" s="29">
        <f>IFERROR(VLOOKUP(A398,New!A:E,5,0),"لا يوجد مواعيد")</f>
        <v>1501002468</v>
      </c>
      <c r="F398" s="29">
        <f>IFERROR(VLOOKUP(A398,New!A:E,1,0),"لا يوجد مواعيد")</f>
        <v>10346555</v>
      </c>
      <c r="G398" s="29" t="str">
        <f>IFERROR(VLOOKUP(A398,New!A:F,4,0),"لا يوجد مواعيد")</f>
        <v>عثمان هاشم</v>
      </c>
      <c r="H398" s="29" t="str">
        <f>IFERROR(VLOOKUP(A398,New!A:G,3,0),"لا يوجد مواعيد")</f>
        <v>ي - المعادي</v>
      </c>
      <c r="I398" s="29" t="str">
        <f>IFERROR(VLOOKUP(A398,New!A:H,2,0),"لا يوجد مواعيد")</f>
        <v>المحكمة الدستورية</v>
      </c>
    </row>
    <row r="399" spans="1:9">
      <c r="A399" s="29">
        <v>10346556</v>
      </c>
      <c r="B399" s="29" t="s">
        <v>2293</v>
      </c>
      <c r="C399" s="32">
        <v>0.958333333333333</v>
      </c>
      <c r="D399" s="32">
        <v>0.333333333333333</v>
      </c>
      <c r="E399" s="29">
        <f>IFERROR(VLOOKUP(A399,New!A:E,5,0),"لا يوجد مواعيد")</f>
        <v>1280325265</v>
      </c>
      <c r="F399" s="29">
        <f>IFERROR(VLOOKUP(A399,New!A:E,1,0),"لا يوجد مواعيد")</f>
        <v>10346556</v>
      </c>
      <c r="G399" s="29" t="str">
        <f>IFERROR(VLOOKUP(A399,New!A:F,4,0),"لا يوجد مواعيد")</f>
        <v>محمود حسن</v>
      </c>
      <c r="H399" s="29" t="str">
        <f>IFERROR(VLOOKUP(A399,New!A:G,3,0),"لا يوجد مواعيد")</f>
        <v>الزيتون و مصر الجديدة</v>
      </c>
      <c r="I399" s="29" t="str">
        <f>IFERROR(VLOOKUP(A399,New!A:H,2,0),"لا يوجد مواعيد")</f>
        <v>الف مسكن</v>
      </c>
    </row>
    <row r="400" spans="1:9">
      <c r="A400" s="29">
        <v>10346560</v>
      </c>
      <c r="B400" s="29" t="s">
        <v>2294</v>
      </c>
      <c r="C400" s="32">
        <v>0.958333333333333</v>
      </c>
      <c r="D400" s="32">
        <v>0.333333333333333</v>
      </c>
      <c r="E400" s="29">
        <f>IFERROR(VLOOKUP(A400,New!A:E,5,0),"لا يوجد مواعيد")</f>
        <v>1280323963</v>
      </c>
      <c r="F400" s="29">
        <f>IFERROR(VLOOKUP(A400,New!A:E,1,0),"لا يوجد مواعيد")</f>
        <v>10346560</v>
      </c>
      <c r="G400" s="29" t="str">
        <f>IFERROR(VLOOKUP(A400,New!A:F,4,0),"لا يوجد مواعيد")</f>
        <v>مريم حسن</v>
      </c>
      <c r="H400" s="29" t="str">
        <f>IFERROR(VLOOKUP(A400,New!A:G,3,0),"لا يوجد مواعيد")</f>
        <v>مدينة نصر</v>
      </c>
      <c r="I400" s="29" t="str">
        <f>IFERROR(VLOOKUP(A400,New!A:H,2,0),"لا يوجد مواعيد")</f>
        <v>؟</v>
      </c>
    </row>
    <row r="401" spans="1:9">
      <c r="A401" s="29">
        <v>10346564</v>
      </c>
      <c r="B401" s="29" t="s">
        <v>2295</v>
      </c>
      <c r="C401" s="32">
        <v>0.625</v>
      </c>
      <c r="D401" s="32">
        <v>1</v>
      </c>
      <c r="E401" s="29">
        <f>IFERROR(VLOOKUP(A401,New!A:E,5,0),"لا يوجد مواعيد")</f>
        <v>1152380728</v>
      </c>
      <c r="F401" s="29">
        <f>IFERROR(VLOOKUP(A401,New!A:E,1,0),"لا يوجد مواعيد")</f>
        <v>10346564</v>
      </c>
      <c r="G401" s="29" t="str">
        <f>IFERROR(VLOOKUP(A401,New!A:F,4,0),"لا يوجد مواعيد")</f>
        <v>محمد فتح الرحمن ابراهيم</v>
      </c>
      <c r="H401" s="29" t="str">
        <f>IFERROR(VLOOKUP(A401,New!A:G,3,0),"لا يوجد مواعيد")</f>
        <v>حلوان و زهراء المعادي</v>
      </c>
      <c r="I401" s="29" t="str">
        <f>IFERROR(VLOOKUP(A401,New!A:H,2,0),"لا يوجد مواعيد")</f>
        <v>سلم صقر قريش</v>
      </c>
    </row>
    <row r="402" spans="1:9">
      <c r="A402" s="29">
        <v>10346573</v>
      </c>
      <c r="B402" s="29" t="s">
        <v>2296</v>
      </c>
      <c r="C402" s="32">
        <v>0.958333333333333</v>
      </c>
      <c r="D402" s="32">
        <v>0.333333333333333</v>
      </c>
      <c r="E402" s="29">
        <f>IFERROR(VLOOKUP(A402,New!A:E,5,0),"لا يوجد مواعيد")</f>
        <v>1124069931</v>
      </c>
      <c r="F402" s="29">
        <f>IFERROR(VLOOKUP(A402,New!A:E,1,0),"لا يوجد مواعيد")</f>
        <v>10346573</v>
      </c>
      <c r="G402" s="29" t="str">
        <f>IFERROR(VLOOKUP(A402,New!A:F,4,0),"لا يوجد مواعيد")</f>
        <v>بال جون</v>
      </c>
      <c r="H402" s="29" t="str">
        <f>IFERROR(VLOOKUP(A402,New!A:G,3,0),"لا يوجد مواعيد")</f>
        <v>حلوان و زهراء المعادي</v>
      </c>
      <c r="I402" s="29" t="str">
        <f>IFERROR(VLOOKUP(A402,New!A:H,2,0),"لا يوجد مواعيد")</f>
        <v>سلم صقر قريش</v>
      </c>
    </row>
    <row r="403" spans="1:9">
      <c r="A403" s="29">
        <v>10346644</v>
      </c>
      <c r="B403" s="29" t="s">
        <v>2297</v>
      </c>
      <c r="C403" s="32">
        <v>0.75</v>
      </c>
      <c r="D403" s="32">
        <v>0.333333333333333</v>
      </c>
      <c r="E403" s="29">
        <f>IFERROR(VLOOKUP(A403,New!A:E,5,0),"لا يوجد مواعيد")</f>
        <v>1100286082</v>
      </c>
      <c r="F403" s="29">
        <f>IFERROR(VLOOKUP(A403,New!A:E,1,0),"لا يوجد مواعيد")</f>
        <v>10346644</v>
      </c>
      <c r="G403" s="29" t="str">
        <f>IFERROR(VLOOKUP(A403,New!A:F,4,0),"لا يوجد مواعيد")</f>
        <v>عبدالله عمار</v>
      </c>
      <c r="H403" s="29" t="str">
        <f>IFERROR(VLOOKUP(A403,New!A:G,3,0),"لا يوجد مواعيد")</f>
        <v>م - الرحاب و التجمع</v>
      </c>
      <c r="I403" s="29" t="str">
        <f>IFERROR(VLOOKUP(A403,New!A:H,2,0),"لا يوجد مواعيد")</f>
        <v>بوابة 13</v>
      </c>
    </row>
    <row r="404" spans="1:9">
      <c r="A404" s="29">
        <v>10346755</v>
      </c>
      <c r="B404" s="29" t="s">
        <v>2298</v>
      </c>
      <c r="C404" s="32">
        <v>0.583333333333333</v>
      </c>
      <c r="D404" s="32">
        <v>0.958333333333333</v>
      </c>
      <c r="E404" s="29">
        <f>IFERROR(VLOOKUP(A404,New!A:E,5,0),"لا يوجد مواعيد")</f>
        <v>1276272363</v>
      </c>
      <c r="F404" s="29">
        <f>IFERROR(VLOOKUP(A404,New!A:E,1,0),"لا يوجد مواعيد")</f>
        <v>10346755</v>
      </c>
      <c r="G404" s="29" t="str">
        <f>IFERROR(VLOOKUP(A404,New!A:F,4,0),"لا يوجد مواعيد")</f>
        <v>وئام تاج الدين</v>
      </c>
      <c r="H404" s="29" t="str">
        <f>IFERROR(VLOOKUP(A404,New!A:G,3,0),"لا يوجد مواعيد")</f>
        <v>ي - المعادي</v>
      </c>
      <c r="I404" s="29" t="str">
        <f>IFERROR(VLOOKUP(A404,New!A:H,2,0),"لا يوجد مواعيد")</f>
        <v>شمال طره كورنيش المعادي</v>
      </c>
    </row>
    <row r="405" spans="1:9">
      <c r="A405" s="29">
        <v>10346770</v>
      </c>
      <c r="B405" s="29" t="s">
        <v>2299</v>
      </c>
      <c r="C405" s="32" t="s">
        <v>1937</v>
      </c>
      <c r="D405" s="32" t="s">
        <v>1937</v>
      </c>
      <c r="E405" s="29">
        <f>IFERROR(VLOOKUP(A405,New!A:E,5,0),"لا يوجد مواعيد")</f>
        <v>1015592867</v>
      </c>
      <c r="F405" s="29">
        <f>IFERROR(VLOOKUP(A405,New!A:E,1,0),"لا يوجد مواعيد")</f>
        <v>10346770</v>
      </c>
      <c r="G405" s="29" t="str">
        <f>IFERROR(VLOOKUP(A405,New!A:F,4,0),"لا يوجد مواعيد")</f>
        <v>هاجر محمد فكري</v>
      </c>
      <c r="H405" s="29" t="str">
        <f>IFERROR(VLOOKUP(A405,New!A:G,3,0),"لا يوجد مواعيد")</f>
        <v>حدائق القبة</v>
      </c>
      <c r="I405" s="29" t="str">
        <f>IFERROR(VLOOKUP(A405,New!A:H,2,0),"لا يوجد مواعيد")</f>
        <v>الروماني</v>
      </c>
    </row>
    <row r="406" spans="1:9">
      <c r="A406" s="29">
        <v>10346778</v>
      </c>
      <c r="B406" s="29" t="s">
        <v>2300</v>
      </c>
      <c r="C406" s="32">
        <v>0.583333333333333</v>
      </c>
      <c r="D406" s="32">
        <v>0.958333333333333</v>
      </c>
      <c r="E406" s="29">
        <f>IFERROR(VLOOKUP(A406,New!A:E,5,0),"لا يوجد مواعيد")</f>
        <v>1126257048</v>
      </c>
      <c r="F406" s="29">
        <f>IFERROR(VLOOKUP(A406,New!A:E,1,0),"لا يوجد مواعيد")</f>
        <v>10346778</v>
      </c>
      <c r="G406" s="29" t="str">
        <f>IFERROR(VLOOKUP(A406,New!A:F,4,0),"لا يوجد مواعيد")</f>
        <v>ملك ابراهيم</v>
      </c>
      <c r="H406" s="29" t="str">
        <f>IFERROR(VLOOKUP(A406,New!A:G,3,0),"لا يوجد مواعيد")</f>
        <v>الزيتون و مصر الجديدة</v>
      </c>
      <c r="I406" s="29" t="str">
        <f>IFERROR(VLOOKUP(A406,New!A:H,2,0),"لا يوجد مواعيد")</f>
        <v>الجراج</v>
      </c>
    </row>
    <row r="407" spans="1:9">
      <c r="A407" s="29">
        <v>10346788</v>
      </c>
      <c r="B407" s="29" t="s">
        <v>2301</v>
      </c>
      <c r="C407" s="32">
        <v>0.583333333333333</v>
      </c>
      <c r="D407" s="32">
        <v>0.958333333333333</v>
      </c>
      <c r="E407" s="29">
        <f>IFERROR(VLOOKUP(A407,New!A:E,5,0),"لا يوجد مواعيد")</f>
        <v>1080652791</v>
      </c>
      <c r="F407" s="29">
        <f>IFERROR(VLOOKUP(A407,New!A:E,1,0),"لا يوجد مواعيد")</f>
        <v>10346788</v>
      </c>
      <c r="G407" s="29" t="str">
        <f>IFERROR(VLOOKUP(A407,New!A:F,4,0),"لا يوجد مواعيد")</f>
        <v>أمل علاء الدين توكس</v>
      </c>
      <c r="H407" s="29" t="str">
        <f>IFERROR(VLOOKUP(A407,New!A:G,3,0),"لا يوجد مواعيد")</f>
        <v>حلوان و زهراء المعادي</v>
      </c>
      <c r="I407" s="29" t="str">
        <f>IFERROR(VLOOKUP(A407,New!A:H,2,0),"لا يوجد مواعيد")</f>
        <v>التوحيد و النور</v>
      </c>
    </row>
    <row r="408" spans="1:9">
      <c r="A408" s="29">
        <v>10346789</v>
      </c>
      <c r="B408" s="29" t="s">
        <v>2302</v>
      </c>
      <c r="C408" s="32">
        <v>0.958333333333333</v>
      </c>
      <c r="D408" s="32">
        <v>0.333333333333333</v>
      </c>
      <c r="E408" s="29">
        <f>IFERROR(VLOOKUP(A408,New!A:E,5,0),"لا يوجد مواعيد")</f>
        <v>1044237280</v>
      </c>
      <c r="F408" s="29">
        <f>IFERROR(VLOOKUP(A408,New!A:E,1,0),"لا يوجد مواعيد")</f>
        <v>10346789</v>
      </c>
      <c r="G408" s="29" t="str">
        <f>IFERROR(VLOOKUP(A408,New!A:F,4,0),"لا يوجد مواعيد")</f>
        <v>مصعب عمر</v>
      </c>
      <c r="H408" s="29" t="str">
        <f>IFERROR(VLOOKUP(A408,New!A:G,3,0),"لا يوجد مواعيد")</f>
        <v>م - الرحاب و التجمع</v>
      </c>
      <c r="I408" s="29" t="str">
        <f>IFERROR(VLOOKUP(A408,New!A:H,2,0),"لا يوجد مواعيد")</f>
        <v>بوابة 24</v>
      </c>
    </row>
    <row r="409" spans="1:9">
      <c r="A409" s="29">
        <v>10346796</v>
      </c>
      <c r="B409" s="29" t="s">
        <v>2303</v>
      </c>
      <c r="C409" s="32">
        <v>0.958333333333333</v>
      </c>
      <c r="D409" s="32">
        <v>0.333333333333333</v>
      </c>
      <c r="E409" s="29" t="str">
        <f>IFERROR(VLOOKUP(A409,New!A:E,5,0),"لا يوجد مواعيد")</f>
        <v>1158774994/ 1551575778</v>
      </c>
      <c r="F409" s="29">
        <f>IFERROR(VLOOKUP(A409,New!A:E,1,0),"لا يوجد مواعيد")</f>
        <v>10346796</v>
      </c>
      <c r="G409" s="29" t="str">
        <f>IFERROR(VLOOKUP(A409,New!A:F,4,0),"لا يوجد مواعيد")</f>
        <v>محمد خالد</v>
      </c>
      <c r="H409" s="29" t="str">
        <f>IFERROR(VLOOKUP(A409,New!A:G,3,0),"لا يوجد مواعيد")</f>
        <v>مدينة نصر</v>
      </c>
      <c r="I409" s="29" t="str">
        <f>IFERROR(VLOOKUP(A409,New!A:H,2,0),"لا يوجد مواعيد")</f>
        <v>مسجد السلام</v>
      </c>
    </row>
    <row r="410" spans="1:9">
      <c r="A410" s="29">
        <v>10346886</v>
      </c>
      <c r="B410" s="29" t="s">
        <v>2304</v>
      </c>
      <c r="C410" s="32">
        <v>0.833333333333333</v>
      </c>
      <c r="D410" s="32">
        <v>0.333333333333333</v>
      </c>
      <c r="E410" s="29">
        <f>IFERROR(VLOOKUP(A410,New!A:E,5,0),"لا يوجد مواعيد")</f>
        <v>1099884506</v>
      </c>
      <c r="F410" s="29">
        <f>IFERROR(VLOOKUP(A410,New!A:E,1,0),"لا يوجد مواعيد")</f>
        <v>10346886</v>
      </c>
      <c r="G410" s="29" t="str">
        <f>IFERROR(VLOOKUP(A410,New!A:F,4,0),"لا يوجد مواعيد")</f>
        <v>إياد ياسر</v>
      </c>
      <c r="H410" s="29" t="str">
        <f>IFERROR(VLOOKUP(A410,New!A:G,3,0),"لا يوجد مواعيد")</f>
        <v>م - الرحاب و التجمع</v>
      </c>
      <c r="I410" s="29" t="str">
        <f>IFERROR(VLOOKUP(A410,New!A:H,2,0),"لا يوجد مواعيد")</f>
        <v>ارابيلا</v>
      </c>
    </row>
    <row r="411" spans="1:9">
      <c r="A411" s="29">
        <v>10347004</v>
      </c>
      <c r="B411" s="29" t="s">
        <v>2305</v>
      </c>
      <c r="C411" s="32">
        <v>0.833333333333333</v>
      </c>
      <c r="D411" s="32">
        <v>0.333333333333333</v>
      </c>
      <c r="E411" s="29">
        <f>IFERROR(VLOOKUP(A411,New!A:E,5,0),"لا يوجد مواعيد")</f>
        <v>1024271525</v>
      </c>
      <c r="F411" s="29">
        <f>IFERROR(VLOOKUP(A411,New!A:E,1,0),"لا يوجد مواعيد")</f>
        <v>10347004</v>
      </c>
      <c r="G411" s="29" t="str">
        <f>IFERROR(VLOOKUP(A411,New!A:F,4,0),"لا يوجد مواعيد")</f>
        <v>سيف وائل</v>
      </c>
      <c r="H411" s="29" t="str">
        <f>IFERROR(VLOOKUP(A411,New!A:G,3,0),"لا يوجد مواعيد")</f>
        <v>ي - المعادي</v>
      </c>
      <c r="I411" s="29" t="str">
        <f>IFERROR(VLOOKUP(A411,New!A:H,2,0),"لا يوجد مواعيد")</f>
        <v>شمال طره كورنيش المعادي</v>
      </c>
    </row>
    <row r="412" spans="1:9">
      <c r="A412" s="29">
        <v>10347007</v>
      </c>
      <c r="B412" s="29" t="s">
        <v>2306</v>
      </c>
      <c r="C412" s="32">
        <v>0.916666666666667</v>
      </c>
      <c r="D412" s="32">
        <v>1.29166666666667</v>
      </c>
      <c r="E412" s="29">
        <f>IFERROR(VLOOKUP(A412,New!A:E,5,0),"لا يوجد مواعيد")</f>
        <v>1091324859</v>
      </c>
      <c r="F412" s="29">
        <f>IFERROR(VLOOKUP(A412,New!A:E,1,0),"لا يوجد مواعيد")</f>
        <v>10347007</v>
      </c>
      <c r="G412" s="29" t="str">
        <f>IFERROR(VLOOKUP(A412,New!A:F,4,0),"لا يوجد مواعيد")</f>
        <v>حسام الدين وليد مصطفى</v>
      </c>
      <c r="H412" s="29" t="str">
        <f>IFERROR(VLOOKUP(A412,New!A:G,3,0),"لا يوجد مواعيد")</f>
        <v>مدينة نصر</v>
      </c>
      <c r="I412" s="29" t="str">
        <f>IFERROR(VLOOKUP(A412,New!A:H,2,0),"لا يوجد مواعيد")</f>
        <v>كشري هند الحي العاشر</v>
      </c>
    </row>
    <row r="413" spans="1:9">
      <c r="A413" s="29">
        <v>10347014</v>
      </c>
      <c r="B413" s="29" t="s">
        <v>2307</v>
      </c>
      <c r="C413" s="32">
        <v>0.958333333333333</v>
      </c>
      <c r="D413" s="32">
        <v>0.333333333333333</v>
      </c>
      <c r="E413" s="29">
        <f>IFERROR(VLOOKUP(A413,New!A:E,5,0),"لا يوجد مواعيد")</f>
        <v>1005018561</v>
      </c>
      <c r="F413" s="29">
        <f>IFERROR(VLOOKUP(A413,New!A:E,1,0),"لا يوجد مواعيد")</f>
        <v>10347014</v>
      </c>
      <c r="G413" s="29" t="str">
        <f>IFERROR(VLOOKUP(A413,New!A:F,4,0),"لا يوجد مواعيد")</f>
        <v>ندى سعد</v>
      </c>
      <c r="H413" s="29" t="str">
        <f>IFERROR(VLOOKUP(A413,New!A:G,3,0),"لا يوجد مواعيد")</f>
        <v>؟</v>
      </c>
      <c r="I413" s="29" t="str">
        <f>IFERROR(VLOOKUP(A413,New!A:H,2,0),"لا يوجد مواعيد")</f>
        <v>؟</v>
      </c>
    </row>
    <row r="414" spans="1:9">
      <c r="A414" s="29">
        <v>10347015</v>
      </c>
      <c r="B414" s="29" t="s">
        <v>2308</v>
      </c>
      <c r="C414" s="32">
        <v>0.625</v>
      </c>
      <c r="D414" s="32">
        <v>1</v>
      </c>
      <c r="E414" s="29">
        <f>IFERROR(VLOOKUP(A414,New!A:E,5,0),"لا يوجد مواعيد")</f>
        <v>1098356001</v>
      </c>
      <c r="F414" s="29">
        <f>IFERROR(VLOOKUP(A414,New!A:E,1,0),"لا يوجد مواعيد")</f>
        <v>10347015</v>
      </c>
      <c r="G414" s="29" t="str">
        <f>IFERROR(VLOOKUP(A414,New!A:F,4,0),"لا يوجد مواعيد")</f>
        <v>ليلى حمدي</v>
      </c>
      <c r="H414" s="29" t="str">
        <f>IFERROR(VLOOKUP(A414,New!A:G,3,0),"لا يوجد مواعيد")</f>
        <v>م - الرحاب و التجمع</v>
      </c>
      <c r="I414" s="29" t="str">
        <f>IFERROR(VLOOKUP(A414,New!A:H,2,0),"لا يوجد مواعيد")</f>
        <v>بوابة 6</v>
      </c>
    </row>
    <row r="415" spans="1:9">
      <c r="A415" s="29">
        <v>10347165</v>
      </c>
      <c r="B415" s="29" t="s">
        <v>2309</v>
      </c>
      <c r="C415" s="32">
        <v>0.666666666666667</v>
      </c>
      <c r="D415" s="32">
        <v>1.25</v>
      </c>
      <c r="E415" s="29">
        <f>IFERROR(VLOOKUP(A415,New!A:E,5,0),"لا يوجد مواعيد")</f>
        <v>1002894384</v>
      </c>
      <c r="F415" s="29">
        <f>IFERROR(VLOOKUP(A415,New!A:E,1,0),"لا يوجد مواعيد")</f>
        <v>10347165</v>
      </c>
      <c r="G415" s="29" t="str">
        <f>IFERROR(VLOOKUP(A415,New!A:F,4,0),"لا يوجد مواعيد")</f>
        <v>عبدالله طارق</v>
      </c>
      <c r="H415" s="29" t="str">
        <f>IFERROR(VLOOKUP(A415,New!A:G,3,0),"لا يوجد مواعيد")</f>
        <v>شبرا</v>
      </c>
      <c r="I415" s="29" t="str">
        <f>IFERROR(VLOOKUP(A415,New!A:H,2,0),"لا يوجد مواعيد")</f>
        <v>التوحيد و النور</v>
      </c>
    </row>
    <row r="416" spans="1:9">
      <c r="A416" s="29">
        <v>10347183</v>
      </c>
      <c r="B416" s="29" t="s">
        <v>2310</v>
      </c>
      <c r="C416" s="32">
        <v>0.875</v>
      </c>
      <c r="D416" s="32">
        <v>1.25</v>
      </c>
      <c r="E416" s="29">
        <f>IFERROR(VLOOKUP(A416,New!A:E,5,0),"لا يوجد مواعيد")</f>
        <v>1031695970</v>
      </c>
      <c r="F416" s="29">
        <f>IFERROR(VLOOKUP(A416,New!A:E,1,0),"لا يوجد مواعيد")</f>
        <v>10347183</v>
      </c>
      <c r="G416" s="29" t="str">
        <f>IFERROR(VLOOKUP(A416,New!A:F,4,0),"لا يوجد مواعيد")</f>
        <v>عمرو تامر</v>
      </c>
      <c r="H416" s="29" t="str">
        <f>IFERROR(VLOOKUP(A416,New!A:G,3,0),"لا يوجد مواعيد")</f>
        <v>و - الشروق</v>
      </c>
      <c r="I416" s="29" t="str">
        <f>IFERROR(VLOOKUP(A416,New!A:H,2,0),"لا يوجد مواعيد")</f>
        <v>كشك اللحمة</v>
      </c>
    </row>
    <row r="417" spans="1:9">
      <c r="A417" s="29">
        <v>10347219</v>
      </c>
      <c r="B417" s="29" t="s">
        <v>2311</v>
      </c>
      <c r="C417" s="32">
        <v>0.916666666666667</v>
      </c>
      <c r="D417" s="32">
        <v>1.29166666666667</v>
      </c>
      <c r="E417" s="29">
        <f>IFERROR(VLOOKUP(A417,New!A:E,5,0),"لا يوجد مواعيد")</f>
        <v>1004919775</v>
      </c>
      <c r="F417" s="29">
        <f>IFERROR(VLOOKUP(A417,New!A:E,1,0),"لا يوجد مواعيد")</f>
        <v>10347219</v>
      </c>
      <c r="G417" s="29" t="str">
        <f>IFERROR(VLOOKUP(A417,New!A:F,4,0),"لا يوجد مواعيد")</f>
        <v>مازن اشرف</v>
      </c>
      <c r="H417" s="29" t="str">
        <f>IFERROR(VLOOKUP(A417,New!A:G,3,0),"لا يوجد مواعيد")</f>
        <v>م - الرحاب و التجمع</v>
      </c>
      <c r="I417" s="29" t="str">
        <f>IFERROR(VLOOKUP(A417,New!A:H,2,0),"لا يوجد مواعيد")</f>
        <v>بوابة 13</v>
      </c>
    </row>
    <row r="418" spans="1:9">
      <c r="A418" s="29">
        <v>10347234</v>
      </c>
      <c r="B418" s="29" t="s">
        <v>2312</v>
      </c>
      <c r="C418" s="32">
        <v>0.916666666666667</v>
      </c>
      <c r="D418" s="32">
        <v>1.29166666666667</v>
      </c>
      <c r="E418" s="29">
        <f>IFERROR(VLOOKUP(A418,New!A:E,5,0),"لا يوجد مواعيد")</f>
        <v>1146188508</v>
      </c>
      <c r="F418" s="29">
        <f>IFERROR(VLOOKUP(A418,New!A:E,1,0),"لا يوجد مواعيد")</f>
        <v>10347234</v>
      </c>
      <c r="G418" s="29" t="str">
        <f>IFERROR(VLOOKUP(A418,New!A:F,4,0),"لا يوجد مواعيد")</f>
        <v>دانيا ياسر</v>
      </c>
      <c r="H418" s="29" t="str">
        <f>IFERROR(VLOOKUP(A418,New!A:G,3,0),"لا يوجد مواعيد")</f>
        <v>و - مدينتي</v>
      </c>
      <c r="I418" s="29" t="str">
        <f>IFERROR(VLOOKUP(A418,New!A:H,2,0),"لا يوجد مواعيد")</f>
        <v>بوابة 1</v>
      </c>
    </row>
    <row r="419" spans="1:9">
      <c r="A419" s="29">
        <v>10347259</v>
      </c>
      <c r="B419" s="29" t="s">
        <v>2313</v>
      </c>
      <c r="C419" s="32">
        <v>0.75</v>
      </c>
      <c r="D419" s="32">
        <v>0.333333333333333</v>
      </c>
      <c r="E419" s="29">
        <f>IFERROR(VLOOKUP(A419,New!A:E,5,0),"لا يوجد مواعيد")</f>
        <v>1155829737</v>
      </c>
      <c r="F419" s="29">
        <f>IFERROR(VLOOKUP(A419,New!A:E,1,0),"لا يوجد مواعيد")</f>
        <v>10347259</v>
      </c>
      <c r="G419" s="29" t="str">
        <f>IFERROR(VLOOKUP(A419,New!A:F,4,0),"لا يوجد مواعيد")</f>
        <v>عبد الرؤوف محمود</v>
      </c>
      <c r="H419" s="29" t="str">
        <f>IFERROR(VLOOKUP(A419,New!A:G,3,0),"لا يوجد مواعيد")</f>
        <v>م - الرحاب و التجمع</v>
      </c>
      <c r="I419" s="29" t="str">
        <f>IFERROR(VLOOKUP(A419,New!A:H,2,0),"لا يوجد مواعيد")</f>
        <v>ارابيلا</v>
      </c>
    </row>
    <row r="420" spans="1:9">
      <c r="A420" s="29">
        <v>10347261</v>
      </c>
      <c r="B420" s="29" t="s">
        <v>2314</v>
      </c>
      <c r="C420" s="32">
        <v>0.666666666666667</v>
      </c>
      <c r="D420" s="32">
        <v>1.25</v>
      </c>
      <c r="E420" s="29" t="str">
        <f>IFERROR(VLOOKUP(A420,New!A:E,5,0),"لا يوجد مواعيد")</f>
        <v>1128109338_00249901091101</v>
      </c>
      <c r="F420" s="29">
        <f>IFERROR(VLOOKUP(A420,New!A:E,1,0),"لا يوجد مواعيد")</f>
        <v>10347261</v>
      </c>
      <c r="G420" s="29" t="str">
        <f>IFERROR(VLOOKUP(A420,New!A:F,4,0),"لا يوجد مواعيد")</f>
        <v>كريم الدين امير صلاح</v>
      </c>
      <c r="H420" s="29" t="str">
        <f>IFERROR(VLOOKUP(A420,New!A:G,3,0),"لا يوجد مواعيد")</f>
        <v>و - مدينتي</v>
      </c>
      <c r="I420" s="29" t="str">
        <f>IFERROR(VLOOKUP(A420,New!A:H,2,0),"لا يوجد مواعيد")</f>
        <v>بوابة 1</v>
      </c>
    </row>
    <row r="421" spans="1:9">
      <c r="A421" s="29">
        <v>10347280</v>
      </c>
      <c r="B421" s="29" t="s">
        <v>2315</v>
      </c>
      <c r="C421" s="32">
        <v>0.916666666666667</v>
      </c>
      <c r="D421" s="32">
        <v>1.29166666666667</v>
      </c>
      <c r="E421" s="29">
        <f>IFERROR(VLOOKUP(A421,New!A:E,5,0),"لا يوجد مواعيد")</f>
        <v>1222749900</v>
      </c>
      <c r="F421" s="29">
        <f>IFERROR(VLOOKUP(A421,New!A:E,1,0),"لا يوجد مواعيد")</f>
        <v>10347280</v>
      </c>
      <c r="G421" s="29" t="str">
        <f>IFERROR(VLOOKUP(A421,New!A:F,4,0),"لا يوجد مواعيد")</f>
        <v>سيف الشامي</v>
      </c>
      <c r="H421" s="29" t="str">
        <f>IFERROR(VLOOKUP(A421,New!A:G,3,0),"لا يوجد مواعيد")</f>
        <v>م - الرحاب و التجمع</v>
      </c>
      <c r="I421" s="29" t="str">
        <f>IFERROR(VLOOKUP(A421,New!A:H,2,0),"لا يوجد مواعيد")</f>
        <v>الجزيره</v>
      </c>
    </row>
    <row r="422" spans="1:9">
      <c r="A422" s="29">
        <v>10347324</v>
      </c>
      <c r="B422" s="29" t="s">
        <v>2316</v>
      </c>
      <c r="C422" s="32">
        <v>0.916666666666667</v>
      </c>
      <c r="D422" s="32">
        <v>1.29166666666667</v>
      </c>
      <c r="E422" s="29">
        <f>IFERROR(VLOOKUP(A422,New!A:E,5,0),"لا يوجد مواعيد")</f>
        <v>1129422164</v>
      </c>
      <c r="F422" s="29">
        <f>IFERROR(VLOOKUP(A422,New!A:E,1,0),"لا يوجد مواعيد")</f>
        <v>10347324</v>
      </c>
      <c r="G422" s="29" t="str">
        <f>IFERROR(VLOOKUP(A422,New!A:F,4,0),"لا يوجد مواعيد")</f>
        <v>مدثر أسامة</v>
      </c>
      <c r="H422" s="29" t="str">
        <f>IFERROR(VLOOKUP(A422,New!A:G,3,0),"لا يوجد مواعيد")</f>
        <v>و - مدينتي</v>
      </c>
      <c r="I422" s="29" t="str">
        <f>IFERROR(VLOOKUP(A422,New!A:H,2,0),"لا يوجد مواعيد")</f>
        <v>بوابة 1</v>
      </c>
    </row>
    <row r="423" spans="1:9">
      <c r="A423" s="29">
        <v>10347325</v>
      </c>
      <c r="B423" s="29" t="s">
        <v>2317</v>
      </c>
      <c r="C423" s="32">
        <v>0.625</v>
      </c>
      <c r="D423" s="32">
        <v>1</v>
      </c>
      <c r="E423" s="29" t="str">
        <f>IFERROR(VLOOKUP(A423,New!A:E,5,0),"لا يوجد مواعيد")</f>
        <v>1556802729/249966553605</v>
      </c>
      <c r="F423" s="29">
        <f>IFERROR(VLOOKUP(A423,New!A:E,1,0),"لا يوجد مواعيد")</f>
        <v>10347325</v>
      </c>
      <c r="G423" s="29" t="str">
        <f>IFERROR(VLOOKUP(A423,New!A:F,4,0),"لا يوجد مواعيد")</f>
        <v>محمد نادر عوض</v>
      </c>
      <c r="H423" s="29" t="str">
        <f>IFERROR(VLOOKUP(A423,New!A:G,3,0),"لا يوجد مواعيد")</f>
        <v>مدينة نصر</v>
      </c>
      <c r="I423" s="29" t="str">
        <f>IFERROR(VLOOKUP(A423,New!A:H,2,0),"لا يوجد مواعيد")</f>
        <v>اول مكرم</v>
      </c>
    </row>
    <row r="424" spans="1:9">
      <c r="A424" s="29">
        <v>10347347</v>
      </c>
      <c r="B424" s="29" t="s">
        <v>2318</v>
      </c>
      <c r="C424" s="32">
        <v>0.916666666666667</v>
      </c>
      <c r="D424" s="32">
        <v>1.29166666666667</v>
      </c>
      <c r="E424" s="29">
        <f>IFERROR(VLOOKUP(A424,New!A:E,5,0),"لا يوجد مواعيد")</f>
        <v>0</v>
      </c>
      <c r="F424" s="29">
        <f>IFERROR(VLOOKUP(A424,New!A:E,1,0),"لا يوجد مواعيد")</f>
        <v>10347347</v>
      </c>
      <c r="G424" s="29" t="str">
        <f>IFERROR(VLOOKUP(A424,New!A:F,4,0),"لا يوجد مواعيد")</f>
        <v>عمر عادل</v>
      </c>
      <c r="H424" s="29" t="str">
        <f>IFERROR(VLOOKUP(A424,New!A:G,3,0),"لا يوجد مواعيد")</f>
        <v>؟</v>
      </c>
      <c r="I424" s="29" t="str">
        <f>IFERROR(VLOOKUP(A424,New!A:H,2,0),"لا يوجد مواعيد")</f>
        <v>؟</v>
      </c>
    </row>
    <row r="425" spans="1:9">
      <c r="A425" s="29">
        <v>10347530</v>
      </c>
      <c r="B425" s="29" t="s">
        <v>2319</v>
      </c>
      <c r="C425" s="32">
        <v>0.916666666666667</v>
      </c>
      <c r="D425" s="32">
        <v>1.29166666666667</v>
      </c>
      <c r="E425" s="29">
        <f>IFERROR(VLOOKUP(A425,New!A:E,5,0),"لا يوجد مواعيد")</f>
        <v>1281239426</v>
      </c>
      <c r="F425" s="29">
        <f>IFERROR(VLOOKUP(A425,New!A:E,1,0),"لا يوجد مواعيد")</f>
        <v>10347530</v>
      </c>
      <c r="G425" s="29" t="str">
        <f>IFERROR(VLOOKUP(A425,New!A:F,4,0),"لا يوجد مواعيد")</f>
        <v>أندرو عادل إسحاق</v>
      </c>
      <c r="H425" s="29" t="str">
        <f>IFERROR(VLOOKUP(A425,New!A:G,3,0),"لا يوجد مواعيد")</f>
        <v>الزيتون و مصر الجديدة</v>
      </c>
      <c r="I425" s="29" t="str">
        <f>IFERROR(VLOOKUP(A425,New!A:H,2,0),"لا يوجد مواعيد")</f>
        <v>الف مسكن</v>
      </c>
    </row>
    <row r="426" spans="1:9">
      <c r="A426" s="29">
        <v>10347589</v>
      </c>
      <c r="B426" s="29" t="s">
        <v>2320</v>
      </c>
      <c r="C426" s="32">
        <v>0.916666666666667</v>
      </c>
      <c r="D426" s="32">
        <v>1.29166666666667</v>
      </c>
      <c r="E426" s="29">
        <f>IFERROR(VLOOKUP(A426,New!A:E,5,0),"لا يوجد مواعيد")</f>
        <v>1148282927</v>
      </c>
      <c r="F426" s="29">
        <f>IFERROR(VLOOKUP(A426,New!A:E,1,0),"لا يوجد مواعيد")</f>
        <v>10347589</v>
      </c>
      <c r="G426" s="29" t="str">
        <f>IFERROR(VLOOKUP(A426,New!A:F,4,0),"لا يوجد مواعيد")</f>
        <v>حبيبة خالد</v>
      </c>
      <c r="H426" s="29" t="str">
        <f>IFERROR(VLOOKUP(A426,New!A:G,3,0),"لا يوجد مواعيد")</f>
        <v>العبور</v>
      </c>
      <c r="I426" s="29" t="str">
        <f>IFERROR(VLOOKUP(A426,New!A:H,2,0),"لا يوجد مواعيد")</f>
        <v>كارفور العبور</v>
      </c>
    </row>
    <row r="427" spans="1:9">
      <c r="A427" s="29">
        <v>10347601</v>
      </c>
      <c r="B427" s="29" t="s">
        <v>2321</v>
      </c>
      <c r="C427" s="32">
        <v>0.916666666666667</v>
      </c>
      <c r="D427" s="32">
        <v>1.29166666666667</v>
      </c>
      <c r="E427" s="29">
        <f>IFERROR(VLOOKUP(A427,New!A:E,5,0),"لا يوجد مواعيد")</f>
        <v>1555693374</v>
      </c>
      <c r="F427" s="29">
        <f>IFERROR(VLOOKUP(A427,New!A:E,1,0),"لا يوجد مواعيد")</f>
        <v>10347601</v>
      </c>
      <c r="G427" s="29" t="str">
        <f>IFERROR(VLOOKUP(A427,New!A:F,4,0),"لا يوجد مواعيد")</f>
        <v>مراد مصطفى كمال</v>
      </c>
      <c r="H427" s="29" t="str">
        <f>IFERROR(VLOOKUP(A427,New!A:G,3,0),"لا يوجد مواعيد")</f>
        <v>م - الرحاب و التجمع</v>
      </c>
      <c r="I427" s="29" t="str">
        <f>IFERROR(VLOOKUP(A427,New!A:H,2,0),"لا يوجد مواعيد")</f>
        <v>ارابيلا</v>
      </c>
    </row>
    <row r="428" spans="1:9">
      <c r="A428" s="29">
        <v>10347605</v>
      </c>
      <c r="B428" s="29" t="s">
        <v>2322</v>
      </c>
      <c r="C428" s="32">
        <v>0.916666666666667</v>
      </c>
      <c r="D428" s="32">
        <v>1.29166666666667</v>
      </c>
      <c r="E428" s="29">
        <f>IFERROR(VLOOKUP(A428,New!A:E,5,0),"لا يوجد مواعيد")</f>
        <v>1222696146</v>
      </c>
      <c r="F428" s="29">
        <f>IFERROR(VLOOKUP(A428,New!A:E,1,0),"لا يوجد مواعيد")</f>
        <v>10347605</v>
      </c>
      <c r="G428" s="29" t="str">
        <f>IFERROR(VLOOKUP(A428,New!A:F,4,0),"لا يوجد مواعيد")</f>
        <v>أحمد مصطفى كامل</v>
      </c>
      <c r="H428" s="29" t="str">
        <f>IFERROR(VLOOKUP(A428,New!A:G,3,0),"لا يوجد مواعيد")</f>
        <v>مدينة نصر</v>
      </c>
      <c r="I428" s="29" t="str">
        <f>IFERROR(VLOOKUP(A428,New!A:H,2,0),"لا يوجد مواعيد")</f>
        <v>اول مكرم</v>
      </c>
    </row>
    <row r="429" spans="1:9">
      <c r="A429" s="29">
        <v>10347607</v>
      </c>
      <c r="B429" s="29" t="s">
        <v>2323</v>
      </c>
      <c r="C429" s="32">
        <v>0.916666666666667</v>
      </c>
      <c r="D429" s="32">
        <v>1.29166666666667</v>
      </c>
      <c r="E429" s="29">
        <f>IFERROR(VLOOKUP(A429,New!A:E,5,0),"لا يوجد مواعيد")</f>
        <v>1093300936</v>
      </c>
      <c r="F429" s="29">
        <f>IFERROR(VLOOKUP(A429,New!A:E,1,0),"لا يوجد مواعيد")</f>
        <v>10347607</v>
      </c>
      <c r="G429" s="29" t="str">
        <f>IFERROR(VLOOKUP(A429,New!A:F,4,0),"لا يوجد مواعيد")</f>
        <v>مازن الباجوري</v>
      </c>
      <c r="H429" s="29" t="str">
        <f>IFERROR(VLOOKUP(A429,New!A:G,3,0),"لا يوجد مواعيد")</f>
        <v>م - الرحاب و التجمع</v>
      </c>
      <c r="I429" s="29" t="str">
        <f>IFERROR(VLOOKUP(A429,New!A:H,2,0),"لا يوجد مواعيد")</f>
        <v>بوابة 13</v>
      </c>
    </row>
    <row r="430" spans="1:9">
      <c r="A430" s="29">
        <v>10347609</v>
      </c>
      <c r="B430" s="29" t="s">
        <v>2324</v>
      </c>
      <c r="C430" s="32">
        <v>0.875</v>
      </c>
      <c r="D430" s="32">
        <v>0.333333333333333</v>
      </c>
      <c r="E430" s="29">
        <f>IFERROR(VLOOKUP(A430,New!A:E,5,0),"لا يوجد مواعيد")</f>
        <v>1091172333</v>
      </c>
      <c r="F430" s="29">
        <f>IFERROR(VLOOKUP(A430,New!A:E,1,0),"لا يوجد مواعيد")</f>
        <v>10347609</v>
      </c>
      <c r="G430" s="29" t="str">
        <f>IFERROR(VLOOKUP(A430,New!A:F,4,0),"لا يوجد مواعيد")</f>
        <v>حسام محمد نبيل حمدي</v>
      </c>
      <c r="H430" s="29" t="str">
        <f>IFERROR(VLOOKUP(A430,New!A:G,3,0),"لا يوجد مواعيد")</f>
        <v>الزيتون و مصر الجديدة</v>
      </c>
      <c r="I430" s="29" t="str">
        <f>IFERROR(VLOOKUP(A430,New!A:H,2,0),"لا يوجد مواعيد")</f>
        <v>روكسي العبودي</v>
      </c>
    </row>
    <row r="431" spans="1:9">
      <c r="A431" s="29">
        <v>10347630</v>
      </c>
      <c r="B431" s="29" t="s">
        <v>2325</v>
      </c>
      <c r="C431" s="32">
        <v>0.875</v>
      </c>
      <c r="D431" s="32">
        <v>1.25</v>
      </c>
      <c r="E431" s="29">
        <f>IFERROR(VLOOKUP(A431,New!A:E,5,0),"لا يوجد مواعيد")</f>
        <v>1144418499</v>
      </c>
      <c r="F431" s="29">
        <f>IFERROR(VLOOKUP(A431,New!A:E,1,0),"لا يوجد مواعيد")</f>
        <v>10347630</v>
      </c>
      <c r="G431" s="29" t="str">
        <f>IFERROR(VLOOKUP(A431,New!A:F,4,0),"لا يوجد مواعيد")</f>
        <v>مصطفى مدحت</v>
      </c>
      <c r="H431" s="29" t="str">
        <f>IFERROR(VLOOKUP(A431,New!A:G,3,0),"لا يوجد مواعيد")</f>
        <v>م - الرحاب و التجمع</v>
      </c>
      <c r="I431" s="29" t="str">
        <f>IFERROR(VLOOKUP(A431,New!A:H,2,0),"لا يوجد مواعيد")</f>
        <v>بوابة 13</v>
      </c>
    </row>
    <row r="432" spans="1:9">
      <c r="A432" s="29">
        <v>10347646</v>
      </c>
      <c r="B432" s="29" t="s">
        <v>2326</v>
      </c>
      <c r="C432" s="32">
        <v>0.875</v>
      </c>
      <c r="D432" s="32">
        <v>1.25</v>
      </c>
      <c r="E432" s="29">
        <f>IFERROR(VLOOKUP(A432,New!A:E,5,0),"لا يوجد مواعيد")</f>
        <v>1020340671</v>
      </c>
      <c r="F432" s="29">
        <f>IFERROR(VLOOKUP(A432,New!A:E,1,0),"لا يوجد مواعيد")</f>
        <v>10347646</v>
      </c>
      <c r="G432" s="29" t="str">
        <f>IFERROR(VLOOKUP(A432,New!A:F,4,0),"لا يوجد مواعيد")</f>
        <v>عبد الله جمال</v>
      </c>
      <c r="H432" s="29" t="str">
        <f>IFERROR(VLOOKUP(A432,New!A:G,3,0),"لا يوجد مواعيد")</f>
        <v>الزيتون و مصر الجديدة</v>
      </c>
      <c r="I432" s="29" t="str">
        <f>IFERROR(VLOOKUP(A432,New!A:H,2,0),"لا يوجد مواعيد")</f>
        <v>الجراج</v>
      </c>
    </row>
    <row r="433" spans="1:9">
      <c r="A433" s="29">
        <v>10347754</v>
      </c>
      <c r="B433" s="29" t="s">
        <v>2327</v>
      </c>
      <c r="C433" s="32">
        <v>0.875</v>
      </c>
      <c r="D433" s="32">
        <v>1.25</v>
      </c>
      <c r="E433" s="29">
        <f>IFERROR(VLOOKUP(A433,New!A:E,5,0),"لا يوجد مواعيد")</f>
        <v>1096062793</v>
      </c>
      <c r="F433" s="29">
        <f>IFERROR(VLOOKUP(A433,New!A:E,1,0),"لا يوجد مواعيد")</f>
        <v>10347754</v>
      </c>
      <c r="G433" s="29" t="str">
        <f>IFERROR(VLOOKUP(A433,New!A:F,4,0),"لا يوجد مواعيد")</f>
        <v>محمد علاء</v>
      </c>
      <c r="H433" s="29" t="str">
        <f>IFERROR(VLOOKUP(A433,New!A:G,3,0),"لا يوجد مواعيد")</f>
        <v>و - الشروق</v>
      </c>
      <c r="I433" s="29" t="str">
        <f>IFERROR(VLOOKUP(A433,New!A:H,2,0),"لا يوجد مواعيد")</f>
        <v>كشك اللحمة</v>
      </c>
    </row>
    <row r="434" spans="1:9">
      <c r="A434" s="29">
        <v>10347758</v>
      </c>
      <c r="B434" s="29" t="s">
        <v>2328</v>
      </c>
      <c r="C434" s="32">
        <v>0.875</v>
      </c>
      <c r="D434" s="32">
        <v>1.25</v>
      </c>
      <c r="E434" s="29">
        <f>IFERROR(VLOOKUP(A434,New!A:E,5,0),"لا يوجد مواعيد")</f>
        <v>1228798735</v>
      </c>
      <c r="F434" s="29">
        <f>IFERROR(VLOOKUP(A434,New!A:E,1,0),"لا يوجد مواعيد")</f>
        <v>10347758</v>
      </c>
      <c r="G434" s="29" t="str">
        <f>IFERROR(VLOOKUP(A434,New!A:F,4,0),"لا يوجد مواعيد")</f>
        <v>مصطفى حازم</v>
      </c>
      <c r="H434" s="29" t="str">
        <f>IFERROR(VLOOKUP(A434,New!A:G,3,0),"لا يوجد مواعيد")</f>
        <v>مدينة نصر</v>
      </c>
      <c r="I434" s="29" t="str">
        <f>IFERROR(VLOOKUP(A434,New!A:H,2,0),"لا يوجد مواعيد")</f>
        <v>اول مكرم</v>
      </c>
    </row>
    <row r="435" spans="1:9">
      <c r="A435" s="29">
        <v>10347983</v>
      </c>
      <c r="B435" s="29" t="s">
        <v>2329</v>
      </c>
      <c r="C435" s="32">
        <v>0.875</v>
      </c>
      <c r="D435" s="32">
        <v>1.25</v>
      </c>
      <c r="E435" s="29">
        <f>IFERROR(VLOOKUP(A435,New!A:E,5,0),"لا يوجد مواعيد")</f>
        <v>1097424636</v>
      </c>
      <c r="F435" s="29">
        <f>IFERROR(VLOOKUP(A435,New!A:E,1,0),"لا يوجد مواعيد")</f>
        <v>10347983</v>
      </c>
      <c r="G435" s="29" t="str">
        <f>IFERROR(VLOOKUP(A435,New!A:F,4,0),"لا يوجد مواعيد")</f>
        <v>ضحى عامر</v>
      </c>
      <c r="H435" s="29" t="str">
        <f>IFERROR(VLOOKUP(A435,New!A:G,3,0),"لا يوجد مواعيد")</f>
        <v>مدينة نصر</v>
      </c>
      <c r="I435" s="29" t="str">
        <f>IFERROR(VLOOKUP(A435,New!A:H,2,0),"لا يوجد مواعيد")</f>
        <v>اول مكرم</v>
      </c>
    </row>
    <row r="436" spans="1:9">
      <c r="A436" s="29">
        <v>10347991</v>
      </c>
      <c r="B436" s="29" t="s">
        <v>2330</v>
      </c>
      <c r="C436" s="32">
        <v>0.875</v>
      </c>
      <c r="D436" s="32">
        <v>1.25</v>
      </c>
      <c r="E436" s="29">
        <f>IFERROR(VLOOKUP(A436,New!A:E,5,0),"لا يوجد مواعيد")</f>
        <v>1104380295</v>
      </c>
      <c r="F436" s="29">
        <f>IFERROR(VLOOKUP(A436,New!A:E,1,0),"لا يوجد مواعيد")</f>
        <v>10347991</v>
      </c>
      <c r="G436" s="29" t="str">
        <f>IFERROR(VLOOKUP(A436,New!A:F,4,0),"لا يوجد مواعيد")</f>
        <v>محمد ابوبكر</v>
      </c>
      <c r="H436" s="29" t="str">
        <f>IFERROR(VLOOKUP(A436,New!A:G,3,0),"لا يوجد مواعيد")</f>
        <v>حدائق القبة</v>
      </c>
      <c r="I436" s="29" t="str">
        <f>IFERROR(VLOOKUP(A436,New!A:H,2,0),"لا يوجد مواعيد")</f>
        <v>ولي العهد</v>
      </c>
    </row>
    <row r="437" spans="1:9">
      <c r="A437" s="29">
        <v>10347992</v>
      </c>
      <c r="B437" s="29" t="s">
        <v>2331</v>
      </c>
      <c r="C437" s="32">
        <v>0.875</v>
      </c>
      <c r="D437" s="32">
        <v>1.25</v>
      </c>
      <c r="E437" s="29">
        <f>IFERROR(VLOOKUP(A437,New!A:E,5,0),"لا يوجد مواعيد")</f>
        <v>1507870093</v>
      </c>
      <c r="F437" s="29">
        <f>IFERROR(VLOOKUP(A437,New!A:E,1,0),"لا يوجد مواعيد")</f>
        <v>10347992</v>
      </c>
      <c r="G437" s="29" t="str">
        <f>IFERROR(VLOOKUP(A437,New!A:F,4,0),"لا يوجد مواعيد")</f>
        <v>عمر عبدالله</v>
      </c>
      <c r="H437" s="29" t="str">
        <f>IFERROR(VLOOKUP(A437,New!A:G,3,0),"لا يوجد مواعيد")</f>
        <v>و - مدينتي</v>
      </c>
      <c r="I437" s="29" t="str">
        <f>IFERROR(VLOOKUP(A437,New!A:H,2,0),"لا يوجد مواعيد")</f>
        <v>بوابة 1</v>
      </c>
    </row>
    <row r="438" spans="1:9">
      <c r="A438" s="29">
        <v>10347993</v>
      </c>
      <c r="B438" s="29" t="s">
        <v>2332</v>
      </c>
      <c r="C438" s="32">
        <v>0.875</v>
      </c>
      <c r="D438" s="32">
        <v>1.25</v>
      </c>
      <c r="E438" s="29">
        <f>IFERROR(VLOOKUP(A438,New!A:E,5,0),"لا يوجد مواعيد")</f>
        <v>1013996057</v>
      </c>
      <c r="F438" s="29">
        <f>IFERROR(VLOOKUP(A438,New!A:E,1,0),"لا يوجد مواعيد")</f>
        <v>10347993</v>
      </c>
      <c r="G438" s="29" t="str">
        <f>IFERROR(VLOOKUP(A438,New!A:F,4,0),"لا يوجد مواعيد")</f>
        <v>احمد عادل</v>
      </c>
      <c r="H438" s="29" t="str">
        <f>IFERROR(VLOOKUP(A438,New!A:G,3,0),"لا يوجد مواعيد")</f>
        <v>م - الرحاب و التجمع</v>
      </c>
      <c r="I438" s="29" t="str">
        <f>IFERROR(VLOOKUP(A438,New!A:H,2,0),"لا يوجد مواعيد")</f>
        <v>وتر واي</v>
      </c>
    </row>
    <row r="439" spans="1:9">
      <c r="A439" s="29">
        <v>10347997</v>
      </c>
      <c r="B439" s="29" t="s">
        <v>2333</v>
      </c>
      <c r="C439" s="32">
        <v>0.75</v>
      </c>
      <c r="D439" s="32">
        <v>0.25</v>
      </c>
      <c r="E439" s="29">
        <f>IFERROR(VLOOKUP(A439,New!A:E,5,0),"لا يوجد مواعيد")</f>
        <v>1270864338</v>
      </c>
      <c r="F439" s="29">
        <f>IFERROR(VLOOKUP(A439,New!A:E,1,0),"لا يوجد مواعيد")</f>
        <v>10347997</v>
      </c>
      <c r="G439" s="29" t="str">
        <f>IFERROR(VLOOKUP(A439,New!A:F,4,0),"لا يوجد مواعيد")</f>
        <v>محمود احمد</v>
      </c>
      <c r="H439" s="29" t="str">
        <f>IFERROR(VLOOKUP(A439,New!A:G,3,0),"لا يوجد مواعيد")</f>
        <v>مدينة نصر</v>
      </c>
      <c r="I439" s="29" t="str">
        <f>IFERROR(VLOOKUP(A439,New!A:H,2,0),"لا يوجد مواعيد")</f>
        <v>مسجد السلام</v>
      </c>
    </row>
    <row r="440" spans="1:9">
      <c r="A440" s="29">
        <v>10348000</v>
      </c>
      <c r="B440" s="29" t="s">
        <v>2334</v>
      </c>
      <c r="C440" s="32">
        <v>0.875</v>
      </c>
      <c r="D440" s="32">
        <v>1.25</v>
      </c>
      <c r="E440" s="29" t="str">
        <f>IFERROR(VLOOKUP(A440,New!A:E,5,0),"لا يوجد مواعيد")</f>
        <v>1044637937/1108373366</v>
      </c>
      <c r="F440" s="29">
        <f>IFERROR(VLOOKUP(A440,New!A:E,1,0),"لا يوجد مواعيد")</f>
        <v>10348000</v>
      </c>
      <c r="G440" s="29" t="str">
        <f>IFERROR(VLOOKUP(A440,New!A:F,4,0),"لا يوجد مواعيد")</f>
        <v>محمد البدري بابكر</v>
      </c>
      <c r="H440" s="29" t="str">
        <f>IFERROR(VLOOKUP(A440,New!A:G,3,0),"لا يوجد مواعيد")</f>
        <v>م - الرحاب و التجمع</v>
      </c>
      <c r="I440" s="29" t="str">
        <f>IFERROR(VLOOKUP(A440,New!A:H,2,0),"لا يوجد مواعيد")</f>
        <v>بوابه 24</v>
      </c>
    </row>
    <row r="441" spans="1:9">
      <c r="A441" s="29">
        <v>10348008</v>
      </c>
      <c r="B441" s="29" t="s">
        <v>2335</v>
      </c>
      <c r="C441" s="32">
        <v>0.875</v>
      </c>
      <c r="D441" s="32">
        <v>1.25</v>
      </c>
      <c r="E441" s="29" t="str">
        <f>IFERROR(VLOOKUP(A441,New!A:E,5,0),"لا يوجد مواعيد")</f>
        <v>1557655853 / 249965691878</v>
      </c>
      <c r="F441" s="29">
        <f>IFERROR(VLOOKUP(A441,New!A:E,1,0),"لا يوجد مواعيد")</f>
        <v>10348008</v>
      </c>
      <c r="G441" s="29" t="str">
        <f>IFERROR(VLOOKUP(A441,New!A:F,4,0),"لا يوجد مواعيد")</f>
        <v>عبد المنعم خالد</v>
      </c>
      <c r="H441" s="29" t="str">
        <f>IFERROR(VLOOKUP(A441,New!A:G,3,0),"لا يوجد مواعيد")</f>
        <v>و - الشروق</v>
      </c>
      <c r="I441" s="29" t="str">
        <f>IFERROR(VLOOKUP(A441,New!A:H,2,0),"لا يوجد مواعيد")</f>
        <v>كشك اللحمه</v>
      </c>
    </row>
    <row r="442" spans="1:9">
      <c r="A442" s="29">
        <v>10348012</v>
      </c>
      <c r="B442" s="29" t="s">
        <v>2336</v>
      </c>
      <c r="C442" s="32">
        <v>0.875</v>
      </c>
      <c r="D442" s="32">
        <v>1.25</v>
      </c>
      <c r="E442" s="29" t="str">
        <f>IFERROR(VLOOKUP(A442,New!A:E,5,0),"لا يوجد مواعيد")</f>
        <v>1505229817 WPP only</v>
      </c>
      <c r="F442" s="29">
        <f>IFERROR(VLOOKUP(A442,New!A:E,1,0),"لا يوجد مواعيد")</f>
        <v>10348012</v>
      </c>
      <c r="G442" s="29" t="str">
        <f>IFERROR(VLOOKUP(A442,New!A:F,4,0),"لا يوجد مواعيد")</f>
        <v>براء محمد</v>
      </c>
      <c r="H442" s="29" t="str">
        <f>IFERROR(VLOOKUP(A442,New!A:G,3,0),"لا يوجد مواعيد")</f>
        <v>مدينة نصر</v>
      </c>
      <c r="I442" s="29" t="str">
        <f>IFERROR(VLOOKUP(A442,New!A:H,2,0),"لا يوجد مواعيد")</f>
        <v>كشري هند الحي العاشر</v>
      </c>
    </row>
    <row r="443" spans="1:9">
      <c r="A443" s="29">
        <v>10348014</v>
      </c>
      <c r="B443" s="29" t="s">
        <v>2337</v>
      </c>
      <c r="C443" s="32">
        <v>0.875</v>
      </c>
      <c r="D443" s="32">
        <v>1.25</v>
      </c>
      <c r="E443" s="29" t="str">
        <f>IFERROR(VLOOKUP(A443,New!A:E,5,0),"لا يوجد مواعيد")</f>
        <v>249122099066/1551258200</v>
      </c>
      <c r="F443" s="29">
        <f>IFERROR(VLOOKUP(A443,New!A:E,1,0),"لا يوجد مواعيد")</f>
        <v>10348014</v>
      </c>
      <c r="G443" s="29" t="str">
        <f>IFERROR(VLOOKUP(A443,New!A:F,4,0),"لا يوجد مواعيد")</f>
        <v>عثمان نورالدين</v>
      </c>
      <c r="H443" s="29" t="str">
        <f>IFERROR(VLOOKUP(A443,New!A:G,3,0),"لا يوجد مواعيد")</f>
        <v>و - مدينتي</v>
      </c>
      <c r="I443" s="29" t="str">
        <f>IFERROR(VLOOKUP(A443,New!A:H,2,0),"لا يوجد مواعيد")</f>
        <v>بوابة 1</v>
      </c>
    </row>
    <row r="444" spans="1:9">
      <c r="A444" s="29">
        <v>10348015</v>
      </c>
      <c r="B444" s="29" t="s">
        <v>2338</v>
      </c>
      <c r="C444" s="32">
        <v>0.875</v>
      </c>
      <c r="D444" s="32">
        <v>1.25</v>
      </c>
      <c r="E444" s="29" t="str">
        <f>IFERROR(VLOOKUP(A444,New!A:E,5,0),"لا يوجد مواعيد")</f>
        <v>1273412666/249969118005</v>
      </c>
      <c r="F444" s="29">
        <f>IFERROR(VLOOKUP(A444,New!A:E,1,0),"لا يوجد مواعيد")</f>
        <v>10348015</v>
      </c>
      <c r="G444" s="29" t="str">
        <f>IFERROR(VLOOKUP(A444,New!A:F,4,0),"لا يوجد مواعيد")</f>
        <v>باسل معتز</v>
      </c>
      <c r="H444" s="29" t="str">
        <f>IFERROR(VLOOKUP(A444,New!A:G,3,0),"لا يوجد مواعيد")</f>
        <v>مدينة نصر</v>
      </c>
      <c r="I444" s="29" t="str">
        <f>IFERROR(VLOOKUP(A444,New!A:H,2,0),"لا يوجد مواعيد")</f>
        <v>ميدان رابعة</v>
      </c>
    </row>
    <row r="445" spans="1:9">
      <c r="A445" s="29">
        <v>10348043</v>
      </c>
      <c r="B445" s="29" t="s">
        <v>2339</v>
      </c>
      <c r="C445" s="32">
        <v>0.875</v>
      </c>
      <c r="D445" s="32">
        <v>1.25</v>
      </c>
      <c r="E445" s="29">
        <f>IFERROR(VLOOKUP(A445,New!A:E,5,0),"لا يوجد مواعيد")</f>
        <v>1055980976</v>
      </c>
      <c r="F445" s="29">
        <f>IFERROR(VLOOKUP(A445,New!A:E,1,0),"لا يوجد مواعيد")</f>
        <v>10348043</v>
      </c>
      <c r="G445" s="29" t="str">
        <f>IFERROR(VLOOKUP(A445,New!A:F,4,0),"لا يوجد مواعيد")</f>
        <v>احمد شبل</v>
      </c>
      <c r="H445" s="29" t="str">
        <f>IFERROR(VLOOKUP(A445,New!A:G,3,0),"لا يوجد مواعيد")</f>
        <v>شبرا</v>
      </c>
      <c r="I445" s="29" t="str">
        <f>IFERROR(VLOOKUP(A445,New!A:H,2,0),"لا يوجد مواعيد")</f>
        <v>الخلفاوي</v>
      </c>
    </row>
    <row r="446" spans="1:9">
      <c r="A446" s="29">
        <v>10348044</v>
      </c>
      <c r="B446" s="29" t="s">
        <v>2340</v>
      </c>
      <c r="C446" s="32">
        <v>0.875</v>
      </c>
      <c r="D446" s="32">
        <v>1.25</v>
      </c>
      <c r="E446" s="29" t="str">
        <f>IFERROR(VLOOKUP(A446,New!A:E,5,0),"لا يوجد مواعيد")</f>
        <v>1225392073 / 1550558440</v>
      </c>
      <c r="F446" s="29">
        <f>IFERROR(VLOOKUP(A446,New!A:E,1,0),"لا يوجد مواعيد")</f>
        <v>10348044</v>
      </c>
      <c r="G446" s="29" t="str">
        <f>IFERROR(VLOOKUP(A446,New!A:F,4,0),"لا يوجد مواعيد")</f>
        <v>يوسف طاهر</v>
      </c>
      <c r="H446" s="29" t="str">
        <f>IFERROR(VLOOKUP(A446,New!A:G,3,0),"لا يوجد مواعيد")</f>
        <v>الزيتون و مصر الجديدة</v>
      </c>
      <c r="I446" s="29" t="str">
        <f>IFERROR(VLOOKUP(A446,New!A:H,2,0),"لا يوجد مواعيد")</f>
        <v>الجراج</v>
      </c>
    </row>
    <row r="447" spans="1:9">
      <c r="A447" s="29">
        <v>10348054</v>
      </c>
      <c r="B447" s="29" t="s">
        <v>2341</v>
      </c>
      <c r="C447" s="32">
        <v>0.875</v>
      </c>
      <c r="D447" s="32">
        <v>1.25</v>
      </c>
      <c r="E447" s="29">
        <f>IFERROR(VLOOKUP(A447,New!A:E,5,0),"لا يوجد مواعيد")</f>
        <v>1500087789</v>
      </c>
      <c r="F447" s="29">
        <f>IFERROR(VLOOKUP(A447,New!A:E,1,0),"لا يوجد مواعيد")</f>
        <v>10348054</v>
      </c>
      <c r="G447" s="29" t="str">
        <f>IFERROR(VLOOKUP(A447,New!A:F,4,0),"لا يوجد مواعيد")</f>
        <v>سعيد الليثي</v>
      </c>
      <c r="H447" s="29" t="str">
        <f>IFERROR(VLOOKUP(A447,New!A:G,3,0),"لا يوجد مواعيد")</f>
        <v>مدينة نصر</v>
      </c>
      <c r="I447" s="29" t="str">
        <f>IFERROR(VLOOKUP(A447,New!A:H,2,0),"لا يوجد مواعيد")</f>
        <v>الحي العاشر</v>
      </c>
    </row>
    <row r="448" spans="1:9">
      <c r="A448" s="29">
        <v>10348055</v>
      </c>
      <c r="B448" s="29" t="s">
        <v>2342</v>
      </c>
      <c r="C448" s="32">
        <v>0.875</v>
      </c>
      <c r="D448" s="32">
        <v>1.25</v>
      </c>
      <c r="E448" s="29">
        <f>IFERROR(VLOOKUP(A448,New!A:E,5,0),"لا يوجد مواعيد")</f>
        <v>1558595142</v>
      </c>
      <c r="F448" s="29">
        <f>IFERROR(VLOOKUP(A448,New!A:E,1,0),"لا يوجد مواعيد")</f>
        <v>10348055</v>
      </c>
      <c r="G448" s="29" t="str">
        <f>IFERROR(VLOOKUP(A448,New!A:F,4,0),"لا يوجد مواعيد")</f>
        <v>ندى أحمد جاسم</v>
      </c>
      <c r="H448" s="29" t="str">
        <f>IFERROR(VLOOKUP(A448,New!A:G,3,0),"لا يوجد مواعيد")</f>
        <v>و - الشروق</v>
      </c>
      <c r="I448" s="29" t="str">
        <f>IFERROR(VLOOKUP(A448,New!A:H,2,0),"لا يوجد مواعيد")</f>
        <v>كشك اللحمه</v>
      </c>
    </row>
    <row r="449" spans="1:9">
      <c r="A449" s="29">
        <v>10348215</v>
      </c>
      <c r="B449" s="29" t="s">
        <v>2343</v>
      </c>
      <c r="C449" s="32">
        <v>0.583333333333333</v>
      </c>
      <c r="D449" s="32">
        <v>1.16666666666667</v>
      </c>
      <c r="E449" s="29">
        <f>IFERROR(VLOOKUP(A449,New!A:E,5,0),"لا يوجد مواعيد")</f>
        <v>1270041241</v>
      </c>
      <c r="F449" s="29">
        <f>IFERROR(VLOOKUP(A449,New!A:E,1,0),"لا يوجد مواعيد")</f>
        <v>10348215</v>
      </c>
      <c r="G449" s="29" t="str">
        <f>IFERROR(VLOOKUP(A449,New!A:F,4,0),"لا يوجد مواعيد")</f>
        <v>عمرو خالد</v>
      </c>
      <c r="H449" s="29" t="str">
        <f>IFERROR(VLOOKUP(A449,New!A:G,3,0),"لا يوجد مواعيد")</f>
        <v>Has a car</v>
      </c>
      <c r="I449" s="29" t="str">
        <f>IFERROR(VLOOKUP(A449,New!A:H,2,0),"لا يوجد مواعيد")</f>
        <v>Has a car</v>
      </c>
    </row>
    <row r="450" spans="1:9">
      <c r="A450" s="29">
        <v>10348216</v>
      </c>
      <c r="B450" s="29" t="s">
        <v>2318</v>
      </c>
      <c r="C450" s="32">
        <v>0.625</v>
      </c>
      <c r="D450" s="32">
        <v>1</v>
      </c>
      <c r="E450" s="29">
        <f>IFERROR(VLOOKUP(A450,New!A:E,5,0),"لا يوجد مواعيد")</f>
        <v>1044330535</v>
      </c>
      <c r="F450" s="29">
        <f>IFERROR(VLOOKUP(A450,New!A:E,1,0),"لا يوجد مواعيد")</f>
        <v>10348216</v>
      </c>
      <c r="G450" s="29" t="str">
        <f>IFERROR(VLOOKUP(A450,New!A:F,4,0),"لا يوجد مواعيد")</f>
        <v>عمر عادل</v>
      </c>
      <c r="H450" s="29" t="str">
        <f>IFERROR(VLOOKUP(A450,New!A:G,3,0),"لا يوجد مواعيد")</f>
        <v>حلوان و زهراء المعادي</v>
      </c>
      <c r="I450" s="29" t="str">
        <f>IFERROR(VLOOKUP(A450,New!A:H,2,0),"لا يوجد مواعيد")</f>
        <v>سلم البارون</v>
      </c>
    </row>
    <row r="451" spans="1:9">
      <c r="A451" s="29">
        <v>10348227</v>
      </c>
      <c r="B451" s="29" t="s">
        <v>2344</v>
      </c>
      <c r="C451" s="32">
        <v>0.791666666666667</v>
      </c>
      <c r="D451" s="32">
        <v>1.25</v>
      </c>
      <c r="E451" s="29">
        <f>IFERROR(VLOOKUP(A451,New!A:E,5,0),"لا يوجد مواعيد")</f>
        <v>11567115272</v>
      </c>
      <c r="F451" s="29">
        <f>IFERROR(VLOOKUP(A451,New!A:E,1,0),"لا يوجد مواعيد")</f>
        <v>10348227</v>
      </c>
      <c r="G451" s="29" t="str">
        <f>IFERROR(VLOOKUP(A451,New!A:F,4,0),"لا يوجد مواعيد")</f>
        <v>محمد مصطفى</v>
      </c>
      <c r="H451" s="29" t="str">
        <f>IFERROR(VLOOKUP(A451,New!A:G,3,0),"لا يوجد مواعيد")</f>
        <v>م - الرحاب و التجمع</v>
      </c>
      <c r="I451" s="29" t="str">
        <f>IFERROR(VLOOKUP(A451,New!A:H,2,0),"لا يوجد مواعيد")</f>
        <v>بوابة 24</v>
      </c>
    </row>
    <row r="452" spans="1:9">
      <c r="A452" s="29">
        <v>10348249</v>
      </c>
      <c r="B452" s="29" t="s">
        <v>2345</v>
      </c>
      <c r="C452" s="32">
        <v>0.625</v>
      </c>
      <c r="D452" s="32">
        <v>1</v>
      </c>
      <c r="E452" s="29">
        <f>IFERROR(VLOOKUP(A452,New!A:E,5,0),"لا يوجد مواعيد")</f>
        <v>1070199150</v>
      </c>
      <c r="F452" s="29">
        <f>IFERROR(VLOOKUP(A452,New!A:E,1,0),"لا يوجد مواعيد")</f>
        <v>10348249</v>
      </c>
      <c r="G452" s="29" t="str">
        <f>IFERROR(VLOOKUP(A452,New!A:F,4,0),"لا يوجد مواعيد")</f>
        <v>أسيل سامي</v>
      </c>
      <c r="H452" s="29" t="str">
        <f>IFERROR(VLOOKUP(A452,New!A:G,3,0),"لا يوجد مواعيد")</f>
        <v>الزيتون و مصر الجديدة</v>
      </c>
      <c r="I452" s="29" t="str">
        <f>IFERROR(VLOOKUP(A452,New!A:H,2,0),"لا يوجد مواعيد")</f>
        <v>الجراج</v>
      </c>
    </row>
    <row r="453" spans="1:9">
      <c r="A453" s="29">
        <v>10348269</v>
      </c>
      <c r="B453" s="29" t="s">
        <v>2346</v>
      </c>
      <c r="C453" s="32">
        <v>0.625</v>
      </c>
      <c r="D453" s="32">
        <v>1</v>
      </c>
      <c r="E453" s="29">
        <f>IFERROR(VLOOKUP(A453,New!A:E,5,0),"لا يوجد مواعيد")</f>
        <v>1210789851</v>
      </c>
      <c r="F453" s="29">
        <f>IFERROR(VLOOKUP(A453,New!A:E,1,0),"لا يوجد مواعيد")</f>
        <v>10348269</v>
      </c>
      <c r="G453" s="29" t="str">
        <f>IFERROR(VLOOKUP(A453,New!A:F,4,0),"لا يوجد مواعيد")</f>
        <v>هبة عثمان أحمد الطاهر</v>
      </c>
      <c r="H453" s="29" t="str">
        <f>IFERROR(VLOOKUP(A453,New!A:G,3,0),"لا يوجد مواعيد")</f>
        <v>مدينة نصر</v>
      </c>
      <c r="I453" s="29" t="str">
        <f>IFERROR(VLOOKUP(A453,New!A:H,2,0),"لا يوجد مواعيد")</f>
        <v>كشري هند الحي العاشر</v>
      </c>
    </row>
    <row r="454" spans="1:9">
      <c r="A454" s="29">
        <v>10348293</v>
      </c>
      <c r="B454" s="29" t="s">
        <v>2347</v>
      </c>
      <c r="C454" s="32">
        <v>0.75</v>
      </c>
      <c r="D454" s="32">
        <v>0.333333333333333</v>
      </c>
      <c r="E454" s="29">
        <f>IFERROR(VLOOKUP(A454,New!A:E,5,0),"لا يوجد مواعيد")</f>
        <v>1007614330</v>
      </c>
      <c r="F454" s="29">
        <f>IFERROR(VLOOKUP(A454,New!A:E,1,0),"لا يوجد مواعيد")</f>
        <v>10348293</v>
      </c>
      <c r="G454" s="29" t="str">
        <f>IFERROR(VLOOKUP(A454,New!A:F,4,0),"لا يوجد مواعيد")</f>
        <v>مصطفى محمد</v>
      </c>
      <c r="H454" s="29" t="str">
        <f>IFERROR(VLOOKUP(A454,New!A:G,3,0),"لا يوجد مواعيد")</f>
        <v>و - الشروق</v>
      </c>
      <c r="I454" s="29" t="str">
        <f>IFERROR(VLOOKUP(A454,New!A:H,2,0),"لا يوجد مواعيد")</f>
        <v>كشك اللحمه</v>
      </c>
    </row>
    <row r="455" spans="1:9">
      <c r="A455" s="29">
        <v>10348300</v>
      </c>
      <c r="B455" s="29" t="s">
        <v>2348</v>
      </c>
      <c r="C455" s="32">
        <v>0.625</v>
      </c>
      <c r="D455" s="32">
        <v>1.125</v>
      </c>
      <c r="E455" s="29" t="str">
        <f>IFERROR(VLOOKUP(A455,New!A:E,5,0),"لا يوجد مواعيد")</f>
        <v>1559986500/249119446025</v>
      </c>
      <c r="F455" s="29">
        <f>IFERROR(VLOOKUP(A455,New!A:E,1,0),"لا يوجد مواعيد")</f>
        <v>10348300</v>
      </c>
      <c r="G455" s="29" t="str">
        <f>IFERROR(VLOOKUP(A455,New!A:F,4,0),"لا يوجد مواعيد")</f>
        <v>رائد ياسر</v>
      </c>
      <c r="H455" s="29" t="str">
        <f>IFERROR(VLOOKUP(A455,New!A:G,3,0),"لا يوجد مواعيد")</f>
        <v>و - مدينتي</v>
      </c>
      <c r="I455" s="29" t="str">
        <f>IFERROR(VLOOKUP(A455,New!A:H,2,0),"لا يوجد مواعيد")</f>
        <v>بوابة 1</v>
      </c>
    </row>
    <row r="456" spans="1:9">
      <c r="A456" s="29">
        <v>10348303</v>
      </c>
      <c r="B456" s="29" t="s">
        <v>2165</v>
      </c>
      <c r="C456" s="32">
        <v>0.75</v>
      </c>
      <c r="D456" s="32">
        <v>1.125</v>
      </c>
      <c r="E456" s="29" t="str">
        <f>IFERROR(VLOOKUP(A456,New!A:E,5,0),"لا يوجد مواعيد")</f>
        <v>1500837996/249929419400</v>
      </c>
      <c r="F456" s="29">
        <f>IFERROR(VLOOKUP(A456,New!A:E,1,0),"لا يوجد مواعيد")</f>
        <v>10348303</v>
      </c>
      <c r="G456" s="29" t="str">
        <f>IFERROR(VLOOKUP(A456,New!A:F,4,0),"لا يوجد مواعيد")</f>
        <v>احمد عبد العظيم</v>
      </c>
      <c r="H456" s="29" t="str">
        <f>IFERROR(VLOOKUP(A456,New!A:G,3,0),"لا يوجد مواعيد")</f>
        <v>و - مدينتي</v>
      </c>
      <c r="I456" s="29" t="str">
        <f>IFERROR(VLOOKUP(A456,New!A:H,2,0),"لا يوجد مواعيد")</f>
        <v>بوابة 1</v>
      </c>
    </row>
    <row r="457" spans="1:9">
      <c r="A457" s="29">
        <v>10348308</v>
      </c>
      <c r="B457" s="29" t="s">
        <v>2349</v>
      </c>
      <c r="C457" s="32">
        <v>0.75</v>
      </c>
      <c r="D457" s="32">
        <v>1.125</v>
      </c>
      <c r="E457" s="29">
        <f>IFERROR(VLOOKUP(A457,New!A:E,5,0),"لا يوجد مواعيد")</f>
        <v>1556278711</v>
      </c>
      <c r="F457" s="29">
        <f>IFERROR(VLOOKUP(A457,New!A:E,1,0),"لا يوجد مواعيد")</f>
        <v>10348308</v>
      </c>
      <c r="G457" s="29" t="str">
        <f>IFERROR(VLOOKUP(A457,New!A:F,4,0),"لا يوجد مواعيد")</f>
        <v>عمر الفاتح</v>
      </c>
      <c r="H457" s="29" t="str">
        <f>IFERROR(VLOOKUP(A457,New!A:G,3,0),"لا يوجد مواعيد")</f>
        <v>Has a car</v>
      </c>
      <c r="I457" s="29" t="str">
        <f>IFERROR(VLOOKUP(A457,New!A:H,2,0),"لا يوجد مواعيد")</f>
        <v>Has a car</v>
      </c>
    </row>
    <row r="458" spans="1:9">
      <c r="A458" s="29">
        <v>10348485</v>
      </c>
      <c r="B458" s="29" t="s">
        <v>2350</v>
      </c>
      <c r="C458" s="32">
        <v>0.625</v>
      </c>
      <c r="D458" s="32">
        <v>1</v>
      </c>
      <c r="E458" s="29">
        <f>IFERROR(VLOOKUP(A458,New!A:E,5,0),"لا يوجد مواعيد")</f>
        <v>1205310663</v>
      </c>
      <c r="F458" s="29">
        <f>IFERROR(VLOOKUP(A458,New!A:E,1,0),"لا يوجد مواعيد")</f>
        <v>10348485</v>
      </c>
      <c r="G458" s="29" t="str">
        <f>IFERROR(VLOOKUP(A458,New!A:F,4,0),"لا يوجد مواعيد")</f>
        <v>يوسف غرانت</v>
      </c>
      <c r="H458" s="29" t="str">
        <f>IFERROR(VLOOKUP(A458,New!A:G,3,0),"لا يوجد مواعيد")</f>
        <v>الزيتون و مصر الجديدة</v>
      </c>
      <c r="I458" s="29" t="str">
        <f>IFERROR(VLOOKUP(A458,New!A:H,2,0),"لا يوجد مواعيد")</f>
        <v>الجراج</v>
      </c>
    </row>
    <row r="459" spans="1:9">
      <c r="A459" s="29">
        <v>10348552</v>
      </c>
      <c r="B459" s="29" t="s">
        <v>2351</v>
      </c>
      <c r="C459" s="32">
        <v>0.75</v>
      </c>
      <c r="D459" s="32">
        <v>1.25</v>
      </c>
      <c r="E459" s="29">
        <f>IFERROR(VLOOKUP(A459,New!A:E,5,0),"لا يوجد مواعيد")</f>
        <v>1287010193</v>
      </c>
      <c r="F459" s="29">
        <f>IFERROR(VLOOKUP(A459,New!A:E,1,0),"لا يوجد مواعيد")</f>
        <v>10348552</v>
      </c>
      <c r="G459" s="29" t="str">
        <f>IFERROR(VLOOKUP(A459,New!A:F,4,0),"لا يوجد مواعيد")</f>
        <v>لوجينا أحمد كامل</v>
      </c>
      <c r="H459" s="29" t="str">
        <f>IFERROR(VLOOKUP(A459,New!A:G,3,0),"لا يوجد مواعيد")</f>
        <v>دائري</v>
      </c>
      <c r="I459" s="29" t="str">
        <f>IFERROR(VLOOKUP(A459,New!A:H,2,0),"لا يوجد مواعيد")</f>
        <v>السلام</v>
      </c>
    </row>
    <row r="460" spans="1:9">
      <c r="A460" s="29">
        <v>10344308</v>
      </c>
      <c r="B460" s="29" t="s">
        <v>2352</v>
      </c>
      <c r="C460" s="32" t="s">
        <v>1937</v>
      </c>
      <c r="D460" s="32" t="s">
        <v>1937</v>
      </c>
      <c r="E460" s="29">
        <f>IFERROR(VLOOKUP(A460,New!A:E,5,0),"لا يوجد مواعيد")</f>
        <v>1555975766</v>
      </c>
      <c r="F460" s="29">
        <f>IFERROR(VLOOKUP(A460,New!A:E,1,0),"لا يوجد مواعيد")</f>
        <v>10344308</v>
      </c>
      <c r="G460" s="29" t="str">
        <f>IFERROR(VLOOKUP(A460,New!A:F,4,0),"لا يوجد مواعيد")</f>
        <v>رانيا عبد الرحمن</v>
      </c>
      <c r="H460" s="29" t="str">
        <f>IFERROR(VLOOKUP(A460,New!A:G,3,0),"لا يوجد مواعيد")</f>
        <v>و - مدينتي</v>
      </c>
      <c r="I460" s="29" t="str">
        <f>IFERROR(VLOOKUP(A460,New!A:H,2,0),"لا يوجد مواعيد")</f>
        <v>بوابة 1</v>
      </c>
    </row>
    <row r="461" spans="1:9">
      <c r="A461" s="29">
        <v>10342330</v>
      </c>
      <c r="B461" s="29" t="s">
        <v>2353</v>
      </c>
      <c r="C461" s="32" t="s">
        <v>1937</v>
      </c>
      <c r="D461" s="32" t="s">
        <v>1937</v>
      </c>
      <c r="E461" s="29">
        <f>IFERROR(VLOOKUP(A461,New!A:E,5,0),"لا يوجد مواعيد")</f>
        <v>1123321087</v>
      </c>
      <c r="F461" s="29">
        <f>IFERROR(VLOOKUP(A461,New!A:E,1,0),"لا يوجد مواعيد")</f>
        <v>10342330</v>
      </c>
      <c r="G461" s="29" t="str">
        <f>IFERROR(VLOOKUP(A461,New!A:F,4,0),"لا يوجد مواعيد")</f>
        <v>عبد الرحمن محمد</v>
      </c>
      <c r="H461" s="29" t="str">
        <f>IFERROR(VLOOKUP(A461,New!A:G,3,0),"لا يوجد مواعيد")</f>
        <v>مدينة نصر</v>
      </c>
      <c r="I461" s="29" t="str">
        <f>IFERROR(VLOOKUP(A461,New!A:H,2,0),"لا يوجد مواعيد")</f>
        <v>كشري هند الحي العاشر</v>
      </c>
    </row>
    <row r="462" spans="1:9">
      <c r="A462" s="29">
        <v>10329382</v>
      </c>
      <c r="B462" s="29" t="s">
        <v>2354</v>
      </c>
      <c r="C462" s="32">
        <v>0.958333333333333</v>
      </c>
      <c r="D462" s="32">
        <v>0.333333333333333</v>
      </c>
      <c r="E462" s="29" t="str">
        <f>IFERROR(VLOOKUP(A462,New!A:E,5,0),"لا يوجد مواعيد")</f>
        <v>1024194988  / 1224030197</v>
      </c>
      <c r="F462" s="29">
        <f>IFERROR(VLOOKUP(A462,New!A:E,1,0),"لا يوجد مواعيد")</f>
        <v>10329382</v>
      </c>
      <c r="G462" s="29" t="str">
        <f>IFERROR(VLOOKUP(A462,New!A:F,4,0),"لا يوجد مواعيد")</f>
        <v>محمد ابراهيم</v>
      </c>
      <c r="H462" s="29" t="str">
        <f>IFERROR(VLOOKUP(A462,New!A:G,3,0),"لا يوجد مواعيد")</f>
        <v>دائري</v>
      </c>
      <c r="I462" s="29" t="str">
        <f>IFERROR(VLOOKUP(A462,New!A:H,2,0),"لا يوجد مواعيد")</f>
        <v>السلام</v>
      </c>
    </row>
    <row r="463" spans="1:9">
      <c r="A463" s="29">
        <v>10348796</v>
      </c>
      <c r="B463" s="29" t="s">
        <v>2355</v>
      </c>
      <c r="C463" s="32">
        <v>0.708333333333333</v>
      </c>
      <c r="D463" s="32">
        <v>0.0833333333333333</v>
      </c>
      <c r="E463" s="29" t="str">
        <f>IFERROR(VLOOKUP(A463,New!A:E,5,0),"لا يوجد مواعيد")</f>
        <v>1021011962/ 1505614990</v>
      </c>
      <c r="F463" s="29">
        <f>IFERROR(VLOOKUP(A463,New!A:E,1,0),"لا يوجد مواعيد")</f>
        <v>10348796</v>
      </c>
      <c r="G463" s="29" t="str">
        <f>IFERROR(VLOOKUP(A463,New!A:F,4,0),"لا يوجد مواعيد")</f>
        <v>حسين جمعة</v>
      </c>
      <c r="H463" s="29" t="str">
        <f>IFERROR(VLOOKUP(A463,New!A:G,3,0),"لا يوجد مواعيد")</f>
        <v>ي - المعادي</v>
      </c>
      <c r="I463" s="29" t="str">
        <f>IFERROR(VLOOKUP(A463,New!A:H,2,0),"لا يوجد مواعيد")</f>
        <v>المحكمة الدستورية</v>
      </c>
    </row>
    <row r="464" spans="1:9">
      <c r="A464" s="29">
        <v>10348790</v>
      </c>
      <c r="B464" s="29" t="s">
        <v>2356</v>
      </c>
      <c r="C464" s="32">
        <v>0.708333333333333</v>
      </c>
      <c r="D464" s="32">
        <v>0.0833333333333333</v>
      </c>
      <c r="E464" s="29">
        <f>IFERROR(VLOOKUP(A464,New!A:E,5,0),"لا يوجد مواعيد")</f>
        <v>1207159546</v>
      </c>
      <c r="F464" s="29">
        <f>IFERROR(VLOOKUP(A464,New!A:E,1,0),"لا يوجد مواعيد")</f>
        <v>10348790</v>
      </c>
      <c r="G464" s="29" t="str">
        <f>IFERROR(VLOOKUP(A464,New!A:F,4,0),"لا يوجد مواعيد")</f>
        <v>مزة حاتم يعقوب</v>
      </c>
      <c r="H464" s="29" t="str">
        <f>IFERROR(VLOOKUP(A464,New!A:G,3,0),"لا يوجد مواعيد")</f>
        <v>حلوان و زهراء المعادي</v>
      </c>
      <c r="I464" s="29" t="str">
        <f>IFERROR(VLOOKUP(A464,New!A:H,2,0),"لا يوجد مواعيد")</f>
        <v>التوحيد و النور</v>
      </c>
    </row>
    <row r="465" spans="1:9">
      <c r="A465" s="29">
        <v>10348792</v>
      </c>
      <c r="B465" s="29" t="s">
        <v>2357</v>
      </c>
      <c r="C465" s="32">
        <v>0.708333333333333</v>
      </c>
      <c r="D465" s="32">
        <v>0.0833333333333333</v>
      </c>
      <c r="E465" s="29">
        <f>IFERROR(VLOOKUP(A465,New!A:E,5,0),"لا يوجد مواعيد")</f>
        <v>1507001352</v>
      </c>
      <c r="F465" s="29">
        <f>IFERROR(VLOOKUP(A465,New!A:E,1,0),"لا يوجد مواعيد")</f>
        <v>10348792</v>
      </c>
      <c r="G465" s="29" t="str">
        <f>IFERROR(VLOOKUP(A465,New!A:F,4,0),"لا يوجد مواعيد")</f>
        <v>عبد الرحمن رستم</v>
      </c>
      <c r="H465" s="29" t="str">
        <f>IFERROR(VLOOKUP(A465,New!A:G,3,0),"لا يوجد مواعيد")</f>
        <v>مدينة نصر</v>
      </c>
      <c r="I465" s="29" t="str">
        <f>IFERROR(VLOOKUP(A465,New!A:H,2,0),"لا يوجد مواعيد")</f>
        <v>اول عباس</v>
      </c>
    </row>
    <row r="466" spans="1:9">
      <c r="A466" s="29">
        <v>10348793</v>
      </c>
      <c r="B466" s="29" t="s">
        <v>2358</v>
      </c>
      <c r="C466" s="32">
        <v>0.708333333333333</v>
      </c>
      <c r="D466" s="32">
        <v>0.0833333333333333</v>
      </c>
      <c r="E466" s="29" t="str">
        <f>IFERROR(VLOOKUP(A466,New!A:E,5,0),"لا يوجد مواعيد")</f>
        <v>1022106531 / 1062917693</v>
      </c>
      <c r="F466" s="29">
        <f>IFERROR(VLOOKUP(A466,New!A:E,1,0),"لا يوجد مواعيد")</f>
        <v>10348793</v>
      </c>
      <c r="G466" s="29" t="str">
        <f>IFERROR(VLOOKUP(A466,New!A:F,4,0),"لا يوجد مواعيد")</f>
        <v>عمار عبدالمجيد بدوي</v>
      </c>
      <c r="H466" s="29" t="str">
        <f>IFERROR(VLOOKUP(A466,New!A:G,3,0),"لا يوجد مواعيد")</f>
        <v>الزيتون و مصر الجديدة</v>
      </c>
      <c r="I466" s="29" t="str">
        <f>IFERROR(VLOOKUP(A466,New!A:H,2,0),"لا يوجد مواعيد")</f>
        <v>روكسي - العبودي</v>
      </c>
    </row>
    <row r="467" spans="1:9">
      <c r="A467" s="29">
        <v>10276557</v>
      </c>
      <c r="B467" s="29" t="s">
        <v>2359</v>
      </c>
      <c r="C467" s="32">
        <v>0.708333333333333</v>
      </c>
      <c r="D467" s="32">
        <v>0.0833333333333333</v>
      </c>
      <c r="E467" s="29">
        <f>IFERROR(VLOOKUP(A467,New!A:E,5,0),"لا يوجد مواعيد")</f>
        <v>1141915010</v>
      </c>
      <c r="F467" s="29">
        <f>IFERROR(VLOOKUP(A467,New!A:E,1,0),"لا يوجد مواعيد")</f>
        <v>10276557</v>
      </c>
      <c r="G467" s="29" t="str">
        <f>IFERROR(VLOOKUP(A467,New!A:F,4,0),"لا يوجد مواعيد")</f>
        <v>SME - أياك دينج</v>
      </c>
      <c r="H467" s="29" t="str">
        <f>IFERROR(VLOOKUP(A467,New!A:G,3,0),"لا يوجد مواعيد")</f>
        <v>الزيتون و مصر الجديدة</v>
      </c>
      <c r="I467" s="29" t="str">
        <f>IFERROR(VLOOKUP(A467,New!A:H,2,0),"لا يوجد مواعيد")</f>
        <v>ابن الحكم</v>
      </c>
    </row>
    <row r="468" spans="1:9">
      <c r="A468" s="29">
        <v>10291155</v>
      </c>
      <c r="B468" s="29" t="s">
        <v>2360</v>
      </c>
      <c r="C468" s="32">
        <v>0.625</v>
      </c>
      <c r="D468" s="32">
        <v>0.208333333333333</v>
      </c>
      <c r="E468" s="29">
        <f>IFERROR(VLOOKUP(A468,New!A:E,5,0),"لا يوجد مواعيد")</f>
        <v>1200090832</v>
      </c>
      <c r="F468" s="29">
        <f>IFERROR(VLOOKUP(A468,New!A:E,1,0),"لا يوجد مواعيد")</f>
        <v>10291155</v>
      </c>
      <c r="G468" s="29" t="str">
        <f>IFERROR(VLOOKUP(A468,New!A:F,4,0),"لا يوجد مواعيد")</f>
        <v>ملاك انطون مهنا</v>
      </c>
      <c r="H468" s="29" t="str">
        <f>IFERROR(VLOOKUP(A468,New!A:G,3,0),"لا يوجد مواعيد")</f>
        <v>الزيتون و مصر الجديدة</v>
      </c>
      <c r="I468" s="29" t="str">
        <f>IFERROR(VLOOKUP(A468,New!A:H,2,0),"لا يوجد مواعيد")</f>
        <v>روكسي العبودي</v>
      </c>
    </row>
    <row r="469" spans="1:9">
      <c r="A469" s="29">
        <v>10299384</v>
      </c>
      <c r="B469" s="29" t="s">
        <v>2361</v>
      </c>
      <c r="C469" s="32">
        <v>0.583333333333333</v>
      </c>
      <c r="D469" s="32">
        <v>0.958333333333333</v>
      </c>
      <c r="E469" s="29">
        <f>IFERROR(VLOOKUP(A469,New!A:E,5,0),"لا يوجد مواعيد")</f>
        <v>1008448127</v>
      </c>
      <c r="F469" s="29">
        <f>IFERROR(VLOOKUP(A469,New!A:E,1,0),"لا يوجد مواعيد")</f>
        <v>10299384</v>
      </c>
      <c r="G469" s="29" t="str">
        <f>IFERROR(VLOOKUP(A469,New!A:F,4,0),"لا يوجد مواعيد")</f>
        <v>عمر مهدي</v>
      </c>
      <c r="H469" s="29" t="str">
        <f>IFERROR(VLOOKUP(A469,New!A:G,3,0),"لا يوجد مواعيد")</f>
        <v>الزيتون و مصر الجديدة</v>
      </c>
      <c r="I469" s="29" t="str">
        <f>IFERROR(VLOOKUP(A469,New!A:H,2,0),"لا يوجد مواعيد")</f>
        <v>ابن الحكم</v>
      </c>
    </row>
    <row r="470" spans="1:9">
      <c r="A470" s="29">
        <v>10311872</v>
      </c>
      <c r="B470" s="29" t="s">
        <v>2362</v>
      </c>
      <c r="C470" s="32">
        <v>0.75</v>
      </c>
      <c r="D470" s="32">
        <v>0.166666666666667</v>
      </c>
      <c r="E470" s="29">
        <f>IFERROR(VLOOKUP(A470,New!A:E,5,0),"لا يوجد مواعيد")</f>
        <v>1274776024</v>
      </c>
      <c r="F470" s="29">
        <f>IFERROR(VLOOKUP(A470,New!A:E,1,0),"لا يوجد مواعيد")</f>
        <v>10311872</v>
      </c>
      <c r="G470" s="29" t="str">
        <f>IFERROR(VLOOKUP(A470,New!A:F,4,0),"لا يوجد مواعيد")</f>
        <v>إياد خيري</v>
      </c>
      <c r="H470" s="29" t="str">
        <f>IFERROR(VLOOKUP(A470,New!A:G,3,0),"لا يوجد مواعيد")</f>
        <v>ي - المعادي</v>
      </c>
      <c r="I470" s="29" t="str">
        <f>IFERROR(VLOOKUP(A470,New!A:H,2,0),"لا يوجد مواعيد")</f>
        <v>اكاديمية السادات</v>
      </c>
    </row>
    <row r="471" spans="1:9">
      <c r="A471" s="29">
        <v>10316740</v>
      </c>
      <c r="B471" s="29" t="s">
        <v>2363</v>
      </c>
      <c r="C471" s="32" t="s">
        <v>1937</v>
      </c>
      <c r="D471" s="32" t="s">
        <v>1937</v>
      </c>
      <c r="E471" s="29">
        <f>IFERROR(VLOOKUP(A471,New!A:E,5,0),"لا يوجد مواعيد")</f>
        <v>1110689559</v>
      </c>
      <c r="F471" s="29">
        <f>IFERROR(VLOOKUP(A471,New!A:E,1,0),"لا يوجد مواعيد")</f>
        <v>10316740</v>
      </c>
      <c r="G471" s="29" t="str">
        <f>IFERROR(VLOOKUP(A471,New!A:F,4,0),"لا يوجد مواعيد")</f>
        <v>ممدوح تبدي</v>
      </c>
      <c r="H471" s="29" t="str">
        <f>IFERROR(VLOOKUP(A471,New!A:G,3,0),"لا يوجد مواعيد")</f>
        <v>مدينة نصر</v>
      </c>
      <c r="I471" s="29" t="str">
        <f>IFERROR(VLOOKUP(A471,New!A:H,2,0),"لا يوجد مواعيد")</f>
        <v>اول عباس</v>
      </c>
    </row>
    <row r="472" spans="1:9">
      <c r="A472" s="29">
        <v>10324552</v>
      </c>
      <c r="B472" s="29" t="s">
        <v>2364</v>
      </c>
      <c r="C472" s="32" t="s">
        <v>1937</v>
      </c>
      <c r="D472" s="32" t="s">
        <v>1937</v>
      </c>
      <c r="E472" s="29">
        <f>IFERROR(VLOOKUP(A472,New!A:E,5,0),"لا يوجد مواعيد")</f>
        <v>0</v>
      </c>
      <c r="F472" s="29">
        <f>IFERROR(VLOOKUP(A472,New!A:E,1,0),"لا يوجد مواعيد")</f>
        <v>10324552</v>
      </c>
      <c r="G472" s="29" t="str">
        <f>IFERROR(VLOOKUP(A472,New!A:F,4,0),"لا يوجد مواعيد")</f>
        <v>سارة عشماوي</v>
      </c>
      <c r="H472" s="29" t="str">
        <f>IFERROR(VLOOKUP(A472,New!A:G,3,0),"لا يوجد مواعيد")</f>
        <v>الواحات</v>
      </c>
      <c r="I472" s="29" t="str">
        <f>IFERROR(VLOOKUP(A472,New!A:H,2,0),"لا يوجد مواعيد")</f>
        <v>800 فدان</v>
      </c>
    </row>
    <row r="473" spans="1:9">
      <c r="A473" s="29">
        <v>10327950</v>
      </c>
      <c r="B473" s="29" t="s">
        <v>2365</v>
      </c>
      <c r="C473" s="32" t="s">
        <v>1937</v>
      </c>
      <c r="D473" s="32" t="s">
        <v>1937</v>
      </c>
      <c r="E473" s="29">
        <f>IFERROR(VLOOKUP(A473,New!A:E,5,0),"لا يوجد مواعيد")</f>
        <v>1102766064</v>
      </c>
      <c r="F473" s="29">
        <f>IFERROR(VLOOKUP(A473,New!A:E,1,0),"لا يوجد مواعيد")</f>
        <v>10327950</v>
      </c>
      <c r="G473" s="29" t="str">
        <f>IFERROR(VLOOKUP(A473,New!A:F,4,0),"لا يوجد مواعيد")</f>
        <v>فياض حمدي</v>
      </c>
      <c r="H473" s="29" t="str">
        <f>IFERROR(VLOOKUP(A473,New!A:G,3,0),"لا يوجد مواعيد")</f>
        <v>مدينة نصر</v>
      </c>
      <c r="I473" s="29" t="str">
        <f>IFERROR(VLOOKUP(A473,New!A:H,2,0),"لا يوجد مواعيد")</f>
        <v>مسجد السلام</v>
      </c>
    </row>
    <row r="474" spans="1:9">
      <c r="A474" s="29">
        <v>10331002</v>
      </c>
      <c r="B474" s="29" t="s">
        <v>2366</v>
      </c>
      <c r="C474" s="32">
        <v>0.75</v>
      </c>
      <c r="D474" s="32">
        <v>0.125</v>
      </c>
      <c r="E474" s="29" t="str">
        <f>IFERROR(VLOOKUP(A474,New!A:E,5,0),"لا يوجد مواعيد")</f>
        <v>1552409918 / +249966293122</v>
      </c>
      <c r="F474" s="29">
        <f>IFERROR(VLOOKUP(A474,New!A:E,1,0),"لا يوجد مواعيد")</f>
        <v>10331002</v>
      </c>
      <c r="G474" s="29" t="str">
        <f>IFERROR(VLOOKUP(A474,New!A:F,4,0),"لا يوجد مواعيد")</f>
        <v>منذر بابكر</v>
      </c>
      <c r="H474" s="29" t="str">
        <f>IFERROR(VLOOKUP(A474,New!A:G,3,0),"لا يوجد مواعيد")</f>
        <v>مدينة نصر</v>
      </c>
      <c r="I474" s="29" t="str">
        <f>IFERROR(VLOOKUP(A474,New!A:H,2,0),"لا يوجد مواعيد")</f>
        <v>اول عباس</v>
      </c>
    </row>
    <row r="475" spans="1:9">
      <c r="A475" s="29">
        <v>10331008</v>
      </c>
      <c r="B475" s="29" t="s">
        <v>2367</v>
      </c>
      <c r="C475" s="32">
        <v>0.958333333333333</v>
      </c>
      <c r="D475" s="32">
        <v>0.333333333333333</v>
      </c>
      <c r="E475" s="29">
        <f>IFERROR(VLOOKUP(A475,New!A:E,5,0),"لا يوجد مواعيد")</f>
        <v>1204108343</v>
      </c>
      <c r="F475" s="29">
        <f>IFERROR(VLOOKUP(A475,New!A:E,1,0),"لا يوجد مواعيد")</f>
        <v>10331008</v>
      </c>
      <c r="G475" s="29" t="str">
        <f>IFERROR(VLOOKUP(A475,New!A:F,4,0),"لا يوجد مواعيد")</f>
        <v>المصطفى احمد</v>
      </c>
      <c r="H475" s="29" t="str">
        <f>IFERROR(VLOOKUP(A475,New!A:G,3,0),"لا يوجد مواعيد")</f>
        <v>مدينة نصر</v>
      </c>
      <c r="I475" s="29" t="str">
        <f>IFERROR(VLOOKUP(A475,New!A:H,2,0),"لا يوجد مواعيد")</f>
        <v>كشري هند الحي العاشر</v>
      </c>
    </row>
    <row r="476" spans="1:9">
      <c r="A476" s="29">
        <v>10331020</v>
      </c>
      <c r="B476" s="29" t="s">
        <v>2368</v>
      </c>
      <c r="C476" s="32">
        <v>0.583333333333333</v>
      </c>
      <c r="D476" s="32">
        <v>0.958333333333333</v>
      </c>
      <c r="E476" s="29">
        <f>IFERROR(VLOOKUP(A476,New!A:E,5,0),"لا يوجد مواعيد")</f>
        <v>1065421169</v>
      </c>
      <c r="F476" s="29">
        <f>IFERROR(VLOOKUP(A476,New!A:E,1,0),"لا يوجد مواعيد")</f>
        <v>10331020</v>
      </c>
      <c r="G476" s="29" t="str">
        <f>IFERROR(VLOOKUP(A476,New!A:F,4,0),"لا يوجد مواعيد")</f>
        <v>آية محمد الصديق</v>
      </c>
      <c r="H476" s="29" t="str">
        <f>IFERROR(VLOOKUP(A476,New!A:G,3,0),"لا يوجد مواعيد")</f>
        <v>و - الشروق</v>
      </c>
      <c r="I476" s="29" t="str">
        <f>IFERROR(VLOOKUP(A476,New!A:H,2,0),"لا يوجد مواعيد")</f>
        <v>كشك اللحمة</v>
      </c>
    </row>
    <row r="477" spans="1:9">
      <c r="A477" s="29">
        <v>10331702</v>
      </c>
      <c r="B477" s="29" t="s">
        <v>2369</v>
      </c>
      <c r="C477" s="32">
        <v>0.625</v>
      </c>
      <c r="D477" s="32">
        <v>0.208333333333333</v>
      </c>
      <c r="E477" s="29">
        <f>IFERROR(VLOOKUP(A477,New!A:E,5,0),"لا يوجد مواعيد")</f>
        <v>1118972534</v>
      </c>
      <c r="F477" s="29">
        <f>IFERROR(VLOOKUP(A477,New!A:E,1,0),"لا يوجد مواعيد")</f>
        <v>10331702</v>
      </c>
      <c r="G477" s="29" t="str">
        <f>IFERROR(VLOOKUP(A477,New!A:F,4,0),"لا يوجد مواعيد")</f>
        <v>فراس بن أسامة</v>
      </c>
      <c r="H477" s="29" t="str">
        <f>IFERROR(VLOOKUP(A477,New!A:G,3,0),"لا يوجد مواعيد")</f>
        <v>مدينة نصر</v>
      </c>
      <c r="I477" s="29" t="str">
        <f>IFERROR(VLOOKUP(A477,New!A:H,2,0),"لا يوجد مواعيد")</f>
        <v>مسجد السلام</v>
      </c>
    </row>
    <row r="478" spans="1:9">
      <c r="A478" s="29">
        <v>10335408</v>
      </c>
      <c r="B478" s="29" t="s">
        <v>2370</v>
      </c>
      <c r="C478" s="32">
        <v>0.958333333333333</v>
      </c>
      <c r="D478" s="32">
        <v>0.333333333333333</v>
      </c>
      <c r="E478" s="29">
        <f>IFERROR(VLOOKUP(A478,New!A:E,5,0),"لا يوجد مواعيد")</f>
        <v>1550567520</v>
      </c>
      <c r="F478" s="29">
        <f>IFERROR(VLOOKUP(A478,New!A:E,1,0),"لا يوجد مواعيد")</f>
        <v>10335408</v>
      </c>
      <c r="G478" s="29" t="str">
        <f>IFERROR(VLOOKUP(A478,New!A:F,4,0),"لا يوجد مواعيد")</f>
        <v>أمل مهدي عمر</v>
      </c>
      <c r="H478" s="29" t="str">
        <f>IFERROR(VLOOKUP(A478,New!A:G,3,0),"لا يوجد مواعيد")</f>
        <v>و - مدينتي</v>
      </c>
      <c r="I478" s="29" t="str">
        <f>IFERROR(VLOOKUP(A478,New!A:H,2,0),"لا يوجد مواعيد")</f>
        <v>بوابة 1</v>
      </c>
    </row>
    <row r="479" spans="1:9">
      <c r="A479" s="29">
        <v>10336050</v>
      </c>
      <c r="B479" s="29" t="s">
        <v>2371</v>
      </c>
      <c r="C479" s="32" t="s">
        <v>1937</v>
      </c>
      <c r="D479" s="32" t="s">
        <v>1937</v>
      </c>
      <c r="E479" s="29" t="str">
        <f>IFERROR(VLOOKUP(A479,New!A:E,5,0),"لا يوجد مواعيد")</f>
        <v>1031434723/ 1080875417</v>
      </c>
      <c r="F479" s="29">
        <f>IFERROR(VLOOKUP(A479,New!A:E,1,0),"لا يوجد مواعيد")</f>
        <v>10336050</v>
      </c>
      <c r="G479" s="29" t="str">
        <f>IFERROR(VLOOKUP(A479,New!A:F,4,0),"لا يوجد مواعيد")</f>
        <v>عمر مصطفى</v>
      </c>
      <c r="H479" s="29" t="str">
        <f>IFERROR(VLOOKUP(A479,New!A:G,3,0),"لا يوجد مواعيد")</f>
        <v>م - الرحاب و التجمع</v>
      </c>
      <c r="I479" s="29" t="str">
        <f>IFERROR(VLOOKUP(A479,New!A:H,2,0),"لا يوجد مواعيد")</f>
        <v>بوابة 13</v>
      </c>
    </row>
    <row r="480" spans="1:9">
      <c r="A480" s="29">
        <v>10238619</v>
      </c>
      <c r="B480" s="29" t="s">
        <v>2372</v>
      </c>
      <c r="C480" s="32">
        <v>0.583333333333333</v>
      </c>
      <c r="D480" s="32">
        <v>0.958333333333333</v>
      </c>
      <c r="E480" s="29">
        <f>IFERROR(VLOOKUP(A480,New!A:E,5,0),"لا يوجد مواعيد")</f>
        <v>1127261406</v>
      </c>
      <c r="F480" s="29">
        <f>IFERROR(VLOOKUP(A480,New!A:E,1,0),"لا يوجد مواعيد")</f>
        <v>10238619</v>
      </c>
      <c r="G480" s="29" t="str">
        <f>IFERROR(VLOOKUP(A480,New!A:F,4,0),"لا يوجد مواعيد")</f>
        <v>تيم ليدر - عمرو عزام</v>
      </c>
      <c r="H480" s="29" t="str">
        <f>IFERROR(VLOOKUP(A480,New!A:G,3,0),"لا يوجد مواعيد")</f>
        <v>الواحات</v>
      </c>
      <c r="I480" s="29" t="str">
        <f>IFERROR(VLOOKUP(A480,New!A:H,2,0),"لا يوجد مواعيد")</f>
        <v>دجلة بالمز</v>
      </c>
    </row>
    <row r="481" spans="1:9">
      <c r="A481" s="29">
        <v>10282876</v>
      </c>
      <c r="B481" s="29" t="s">
        <v>2373</v>
      </c>
      <c r="C481" s="32">
        <v>0.666666666666667</v>
      </c>
      <c r="D481" s="32">
        <v>0.0416666666666667</v>
      </c>
      <c r="E481" s="29">
        <f>IFERROR(VLOOKUP(A481,New!A:E,5,0),"لا يوجد مواعيد")</f>
        <v>1277779066</v>
      </c>
      <c r="F481" s="29">
        <f>IFERROR(VLOOKUP(A481,New!A:E,1,0),"لا يوجد مواعيد")</f>
        <v>10282876</v>
      </c>
      <c r="G481" s="29" t="str">
        <f>IFERROR(VLOOKUP(A481,New!A:F,4,0),"لا يوجد مواعيد")</f>
        <v>زياد ثابت</v>
      </c>
      <c r="H481" s="29" t="str">
        <f>IFERROR(VLOOKUP(A481,New!A:G,3,0),"لا يوجد مواعيد")</f>
        <v>حدائق اكتوبر</v>
      </c>
      <c r="I481" s="29" t="str">
        <f>IFERROR(VLOOKUP(A481,New!A:H,2,0),"لا يوجد مواعيد")</f>
        <v>هرم ستي</v>
      </c>
    </row>
    <row r="482" spans="1:9">
      <c r="A482" s="29">
        <v>10212383</v>
      </c>
      <c r="B482" s="29" t="s">
        <v>2374</v>
      </c>
      <c r="C482" s="32">
        <v>0.833333333333333</v>
      </c>
      <c r="D482" s="32">
        <v>0.208333333333333</v>
      </c>
      <c r="E482" s="29">
        <f>IFERROR(VLOOKUP(A482,New!A:E,5,0),"لا يوجد مواعيد")</f>
        <v>1123800117</v>
      </c>
      <c r="F482" s="29">
        <f>IFERROR(VLOOKUP(A482,New!A:E,1,0),"لا يوجد مواعيد")</f>
        <v>10212383</v>
      </c>
      <c r="G482" s="29" t="str">
        <f>IFERROR(VLOOKUP(A482,New!A:F,4,0),"لا يوجد مواعيد")</f>
        <v>تيم ليدر - عمرو ماجد</v>
      </c>
      <c r="H482" s="29" t="str">
        <f>IFERROR(VLOOKUP(A482,New!A:G,3,0),"لا يوجد مواعيد")</f>
        <v>حلوان و زهراء المعادي</v>
      </c>
      <c r="I482" s="29" t="str">
        <f>IFERROR(VLOOKUP(A482,New!A:H,2,0),"لا يوجد مواعيد")</f>
        <v>التوحيد والنور الاتوستراد</v>
      </c>
    </row>
    <row r="483" spans="1:9">
      <c r="A483" s="29">
        <v>10283568</v>
      </c>
      <c r="B483" s="29" t="s">
        <v>2375</v>
      </c>
      <c r="C483" s="32">
        <v>0.583333333333333</v>
      </c>
      <c r="D483" s="32">
        <v>0.958333333333333</v>
      </c>
      <c r="E483" s="29">
        <f>IFERROR(VLOOKUP(A483,New!A:E,5,0),"لا يوجد مواعيد")</f>
        <v>1093346067</v>
      </c>
      <c r="F483" s="29">
        <f>IFERROR(VLOOKUP(A483,New!A:E,1,0),"لا يوجد مواعيد")</f>
        <v>10283568</v>
      </c>
      <c r="G483" s="29" t="str">
        <f>IFERROR(VLOOKUP(A483,New!A:F,4,0),"لا يوجد مواعيد")</f>
        <v>ضحى أحمد</v>
      </c>
      <c r="H483" s="29" t="str">
        <f>IFERROR(VLOOKUP(A483,New!A:G,3,0),"لا يوجد مواعيد")</f>
        <v>مدينة نصر</v>
      </c>
      <c r="I483" s="29" t="str">
        <f>IFERROR(VLOOKUP(A483,New!A:H,2,0),"لا يوجد مواعيد")</f>
        <v>مسجد السلام</v>
      </c>
    </row>
    <row r="484" spans="1:9">
      <c r="A484" s="29">
        <v>10266290</v>
      </c>
      <c r="B484" s="29" t="s">
        <v>2376</v>
      </c>
      <c r="C484" s="32">
        <v>0.583333333333333</v>
      </c>
      <c r="D484" s="32">
        <v>0.958333333333333</v>
      </c>
      <c r="E484" s="29">
        <f>IFERROR(VLOOKUP(A484,New!A:E,5,0),"لا يوجد مواعيد")</f>
        <v>1019633118</v>
      </c>
      <c r="F484" s="29">
        <f>IFERROR(VLOOKUP(A484,New!A:E,1,0),"لا يوجد مواعيد")</f>
        <v>10266290</v>
      </c>
      <c r="G484" s="29" t="str">
        <f>IFERROR(VLOOKUP(A484,New!A:F,4,0),"لا يوجد مواعيد")</f>
        <v>محمد محسن</v>
      </c>
      <c r="H484" s="29" t="str">
        <f>IFERROR(VLOOKUP(A484,New!A:G,3,0),"لا يوجد مواعيد")</f>
        <v>اكتوبر و زايد</v>
      </c>
      <c r="I484" s="29" t="str">
        <f>IFERROR(VLOOKUP(A484,New!A:H,2,0),"لا يوجد مواعيد")</f>
        <v>الحصري</v>
      </c>
    </row>
    <row r="485" spans="1:9">
      <c r="A485" s="29">
        <v>10322714</v>
      </c>
      <c r="B485" s="29" t="s">
        <v>2377</v>
      </c>
      <c r="C485" s="32">
        <v>0.75</v>
      </c>
      <c r="D485" s="32">
        <v>0.125</v>
      </c>
      <c r="E485" s="29">
        <f>IFERROR(VLOOKUP(A485,New!A:E,5,0),"لا يوجد مواعيد")</f>
        <v>1033206100</v>
      </c>
      <c r="F485" s="29">
        <f>IFERROR(VLOOKUP(A485,New!A:E,1,0),"لا يوجد مواعيد")</f>
        <v>10322714</v>
      </c>
      <c r="G485" s="29" t="str">
        <f>IFERROR(VLOOKUP(A485,New!A:F,4,0),"لا يوجد مواعيد")</f>
        <v>حبيبة خالد سلامة</v>
      </c>
      <c r="H485" s="29" t="str">
        <f>IFERROR(VLOOKUP(A485,New!A:G,3,0),"لا يوجد مواعيد")</f>
        <v>م - الرحاب و التجمع</v>
      </c>
      <c r="I485" s="29" t="str">
        <f>IFERROR(VLOOKUP(A485,New!A:H,2,0),"لا يوجد مواعيد")</f>
        <v>بوابة 24</v>
      </c>
    </row>
    <row r="486" spans="1:9">
      <c r="A486" s="29">
        <v>10320297</v>
      </c>
      <c r="B486" s="29" t="s">
        <v>2378</v>
      </c>
      <c r="C486" s="32">
        <v>0.958333333333333</v>
      </c>
      <c r="D486" s="32">
        <v>0.333333333333333</v>
      </c>
      <c r="E486" s="29">
        <f>IFERROR(VLOOKUP(A486,New!A:E,5,0),"لا يوجد مواعيد")</f>
        <v>1080545669</v>
      </c>
      <c r="F486" s="29">
        <f>IFERROR(VLOOKUP(A486,New!A:E,1,0),"لا يوجد مواعيد")</f>
        <v>10320297</v>
      </c>
      <c r="G486" s="29" t="str">
        <f>IFERROR(VLOOKUP(A486,New!A:F,4,0),"لا يوجد مواعيد")</f>
        <v>عبدالله غاندي عبدالله النويري</v>
      </c>
      <c r="H486" s="29" t="str">
        <f>IFERROR(VLOOKUP(A486,New!A:G,3,0),"لا يوجد مواعيد")</f>
        <v>ي - بدر</v>
      </c>
      <c r="I486" s="29" t="str">
        <f>IFERROR(VLOOKUP(A486,New!A:H,2,0),"لا يوجد مواعيد")</f>
        <v>مدخل بدر</v>
      </c>
    </row>
    <row r="487" spans="1:9">
      <c r="A487" s="29">
        <v>10308019</v>
      </c>
      <c r="B487" s="29" t="s">
        <v>2379</v>
      </c>
      <c r="C487" s="32">
        <v>0.75</v>
      </c>
      <c r="D487" s="32">
        <v>0.125</v>
      </c>
      <c r="E487" s="29">
        <f>IFERROR(VLOOKUP(A487,New!A:E,5,0),"لا يوجد مواعيد")</f>
        <v>1121378981</v>
      </c>
      <c r="F487" s="29">
        <f>IFERROR(VLOOKUP(A487,New!A:E,1,0),"لا يوجد مواعيد")</f>
        <v>10308019</v>
      </c>
      <c r="G487" s="29" t="str">
        <f>IFERROR(VLOOKUP(A487,New!A:F,4,0),"لا يوجد مواعيد")</f>
        <v>دان أحمد</v>
      </c>
      <c r="H487" s="29" t="str">
        <f>IFERROR(VLOOKUP(A487,New!A:G,3,0),"لا يوجد مواعيد")</f>
        <v>الزيتون و مصر الجديدة</v>
      </c>
      <c r="I487" s="29" t="str">
        <f>IFERROR(VLOOKUP(A487,New!A:H,2,0),"لا يوجد مواعيد")</f>
        <v>الجراج</v>
      </c>
    </row>
    <row r="488" spans="1:9">
      <c r="A488" s="29">
        <v>10335898</v>
      </c>
      <c r="B488" s="29" t="s">
        <v>2380</v>
      </c>
      <c r="C488" s="32">
        <v>0.708333333333333</v>
      </c>
      <c r="D488" s="32">
        <v>0.0833333333333333</v>
      </c>
      <c r="E488" s="29">
        <f>IFERROR(VLOOKUP(A488,New!A:E,5,0),"لا يوجد مواعيد")</f>
        <v>1102912624</v>
      </c>
      <c r="F488" s="29">
        <f>IFERROR(VLOOKUP(A488,New!A:E,1,0),"لا يوجد مواعيد")</f>
        <v>10335898</v>
      </c>
      <c r="G488" s="29" t="str">
        <f>IFERROR(VLOOKUP(A488,New!A:F,4,0),"لا يوجد مواعيد")</f>
        <v>احمد بكري</v>
      </c>
      <c r="H488" s="29" t="str">
        <f>IFERROR(VLOOKUP(A488,New!A:G,3,0),"لا يوجد مواعيد")</f>
        <v>حلوان و زهراء المعادي</v>
      </c>
      <c r="I488" s="29" t="str">
        <f>IFERROR(VLOOKUP(A488,New!A:H,2,0),"لا يوجد مواعيد")</f>
        <v>صالح صبحي</v>
      </c>
    </row>
    <row r="489" spans="1:9">
      <c r="A489" s="29">
        <v>10285481</v>
      </c>
      <c r="B489" s="29" t="s">
        <v>2381</v>
      </c>
      <c r="C489" s="32">
        <v>0.75</v>
      </c>
      <c r="D489" s="32">
        <v>0.125</v>
      </c>
      <c r="E489" s="29">
        <f>IFERROR(VLOOKUP(A489,New!A:E,5,0),"لا يوجد مواعيد")</f>
        <v>1117228732</v>
      </c>
      <c r="F489" s="29">
        <f>IFERROR(VLOOKUP(A489,New!A:E,1,0),"لا يوجد مواعيد")</f>
        <v>10285481</v>
      </c>
      <c r="G489" s="29" t="str">
        <f>IFERROR(VLOOKUP(A489,New!A:F,4,0),"لا يوجد مواعيد")</f>
        <v>إسراء سامي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بوابة 6</v>
      </c>
    </row>
    <row r="490" spans="1:9">
      <c r="A490" s="29">
        <v>10298710</v>
      </c>
      <c r="B490" s="29" t="s">
        <v>2382</v>
      </c>
      <c r="C490" s="32">
        <v>0.666666666666667</v>
      </c>
      <c r="D490" s="32">
        <v>0.0416666666666667</v>
      </c>
      <c r="E490" s="29">
        <f>IFERROR(VLOOKUP(A490,New!A:E,5,0),"لا يوجد مواعيد")</f>
        <v>1278809178</v>
      </c>
      <c r="F490" s="29">
        <f>IFERROR(VLOOKUP(A490,New!A:E,1,0),"لا يوجد مواعيد")</f>
        <v>10298710</v>
      </c>
      <c r="G490" s="29" t="str">
        <f>IFERROR(VLOOKUP(A490,New!A:F,4,0),"لا يوجد مواعيد")</f>
        <v>موسى وحيد عزت زكي</v>
      </c>
      <c r="H490" s="29" t="str">
        <f>IFERROR(VLOOKUP(A490,New!A:G,3,0),"لا يوجد مواعيد")</f>
        <v>الزيتون و مصر الجديدة</v>
      </c>
      <c r="I490" s="29" t="str">
        <f>IFERROR(VLOOKUP(A490,New!A:H,2,0),"لا يوجد مواعيد")</f>
        <v>ابن الحكم</v>
      </c>
    </row>
    <row r="491" spans="1:9">
      <c r="A491" s="29">
        <v>10313972</v>
      </c>
      <c r="B491" s="29" t="s">
        <v>2383</v>
      </c>
      <c r="C491" s="32">
        <v>0.958333333333333</v>
      </c>
      <c r="D491" s="32">
        <v>0.333333333333333</v>
      </c>
      <c r="E491" s="29">
        <f>IFERROR(VLOOKUP(A491,New!A:E,5,0),"لا يوجد مواعيد")</f>
        <v>1552032039</v>
      </c>
      <c r="F491" s="29">
        <f>IFERROR(VLOOKUP(A491,New!A:E,1,0),"لا يوجد مواعيد")</f>
        <v>10313972</v>
      </c>
      <c r="G491" s="29" t="str">
        <f>IFERROR(VLOOKUP(A491,New!A:F,4,0),"لا يوجد مواعيد")</f>
        <v>رنا شمس الدين</v>
      </c>
      <c r="H491" s="29" t="str">
        <f>IFERROR(VLOOKUP(A491,New!A:G,3,0),"لا يوجد مواعيد")</f>
        <v>فيصل</v>
      </c>
      <c r="I491" s="29" t="str">
        <f>IFERROR(VLOOKUP(A491,New!A:H,2,0),"لا يوجد مواعيد")</f>
        <v>مريوطية</v>
      </c>
    </row>
    <row r="492" spans="1:9">
      <c r="A492" s="29">
        <v>10292490</v>
      </c>
      <c r="B492" s="29" t="s">
        <v>2384</v>
      </c>
      <c r="C492" s="32">
        <v>0.875</v>
      </c>
      <c r="D492" s="32">
        <v>0.25</v>
      </c>
      <c r="E492" s="29">
        <f>IFERROR(VLOOKUP(A492,New!A:E,5,0),"لا يوجد مواعيد")</f>
        <v>1153727814</v>
      </c>
      <c r="F492" s="29">
        <f>IFERROR(VLOOKUP(A492,New!A:E,1,0),"لا يوجد مواعيد")</f>
        <v>10292490</v>
      </c>
      <c r="G492" s="29" t="str">
        <f>IFERROR(VLOOKUP(A492,New!A:F,4,0),"لا يوجد مواعيد")</f>
        <v>فارس عصام الدين حسن خليفة</v>
      </c>
      <c r="H492" s="29" t="str">
        <f>IFERROR(VLOOKUP(A492,New!A:G,3,0),"لا يوجد مواعيد")</f>
        <v>و - مدينتي</v>
      </c>
      <c r="I492" s="29" t="str">
        <f>IFERROR(VLOOKUP(A492,New!A:H,2,0),"لا يوجد مواعيد")</f>
        <v>بوابة 1</v>
      </c>
    </row>
    <row r="493" spans="1:9">
      <c r="A493" s="29">
        <v>10331009</v>
      </c>
      <c r="B493" s="29" t="s">
        <v>2385</v>
      </c>
      <c r="C493" s="32">
        <v>0.708333333333333</v>
      </c>
      <c r="D493" s="32">
        <v>0.0833333333333333</v>
      </c>
      <c r="E493" s="29">
        <f>IFERROR(VLOOKUP(A493,New!A:E,5,0),"لا يوجد مواعيد")</f>
        <v>1274393886</v>
      </c>
      <c r="F493" s="29">
        <f>IFERROR(VLOOKUP(A493,New!A:E,1,0),"لا يوجد مواعيد")</f>
        <v>10331009</v>
      </c>
      <c r="G493" s="29" t="str">
        <f>IFERROR(VLOOKUP(A493,New!A:F,4,0),"لا يوجد مواعيد")</f>
        <v>تادرس وجيه</v>
      </c>
      <c r="H493" s="29" t="str">
        <f>IFERROR(VLOOKUP(A493,New!A:G,3,0),"لا يوجد مواعيد")</f>
        <v>حلوان و زهراء المعادي</v>
      </c>
      <c r="I493" s="29" t="str">
        <f>IFERROR(VLOOKUP(A493,New!A:H,2,0),"لا يوجد مواعيد")</f>
        <v>مدخل معصرة الاتوستراد</v>
      </c>
    </row>
    <row r="494" spans="1:9">
      <c r="A494" s="29">
        <v>10325898</v>
      </c>
      <c r="B494" s="29" t="s">
        <v>2386</v>
      </c>
      <c r="C494" s="32">
        <v>0.833333333333333</v>
      </c>
      <c r="D494" s="32">
        <v>0.208333333333333</v>
      </c>
      <c r="E494" s="29">
        <f>IFERROR(VLOOKUP(A494,New!A:E,5,0),"لا يوجد مواعيد")</f>
        <v>1142234058</v>
      </c>
      <c r="F494" s="29">
        <f>IFERROR(VLOOKUP(A494,New!A:E,1,0),"لا يوجد مواعيد")</f>
        <v>10325898</v>
      </c>
      <c r="G494" s="29" t="str">
        <f>IFERROR(VLOOKUP(A494,New!A:F,4,0),"لا يوجد مواعيد")</f>
        <v>احمد مختار</v>
      </c>
      <c r="H494" s="29" t="str">
        <f>IFERROR(VLOOKUP(A494,New!A:G,3,0),"لا يوجد مواعيد")</f>
        <v>حلوان و زهراء المعادي</v>
      </c>
      <c r="I494" s="29" t="str">
        <f>IFERROR(VLOOKUP(A494,New!A:H,2,0),"لا يوجد مواعيد")</f>
        <v>صالح صبحي</v>
      </c>
    </row>
    <row r="495" spans="1:9">
      <c r="A495" s="29">
        <v>10349015</v>
      </c>
      <c r="B495" s="29" t="s">
        <v>2387</v>
      </c>
      <c r="C495" s="32">
        <v>0.416666666666667</v>
      </c>
      <c r="D495" s="32">
        <v>0.791666666666667</v>
      </c>
      <c r="E495" s="29">
        <f>IFERROR(VLOOKUP(A495,New!A:E,5,0),"لا يوجد مواعيد")</f>
        <v>1044744639</v>
      </c>
      <c r="F495" s="29">
        <f>IFERROR(VLOOKUP(A495,New!A:E,1,0),"لا يوجد مواعيد")</f>
        <v>10349015</v>
      </c>
      <c r="G495" s="29" t="str">
        <f>IFERROR(VLOOKUP(A495,New!A:F,4,0),"لا يوجد مواعيد")</f>
        <v>حذيفة قنديل</v>
      </c>
      <c r="H495" s="29" t="str">
        <f>IFERROR(VLOOKUP(A495,New!A:G,3,0),"لا يوجد مواعيد")</f>
        <v>حلوان و زهراء المعادي</v>
      </c>
      <c r="I495" s="29" t="str">
        <f>IFERROR(VLOOKUP(A495,New!A:H,2,0),"لا يوجد مواعيد")</f>
        <v>مدخل حلوان</v>
      </c>
    </row>
    <row r="496" spans="1:9">
      <c r="A496" s="29">
        <v>10349017</v>
      </c>
      <c r="B496" s="29" t="s">
        <v>2388</v>
      </c>
      <c r="C496" s="32">
        <v>0.416666666666667</v>
      </c>
      <c r="D496" s="32">
        <v>0.791666666666667</v>
      </c>
      <c r="E496" s="29" t="str">
        <f>IFERROR(VLOOKUP(A496,New!A:E,5,0),"لا يوجد مواعيد")</f>
        <v>1010730975 // WA1118078838</v>
      </c>
      <c r="F496" s="29">
        <f>IFERROR(VLOOKUP(A496,New!A:E,1,0),"لا يوجد مواعيد")</f>
        <v>10349017</v>
      </c>
      <c r="G496" s="29" t="str">
        <f>IFERROR(VLOOKUP(A496,New!A:F,4,0),"لا يوجد مواعيد")</f>
        <v>محمد العزب</v>
      </c>
      <c r="H496" s="29" t="str">
        <f>IFERROR(VLOOKUP(A496,New!A:G,3,0),"لا يوجد مواعيد")</f>
        <v>فيصل</v>
      </c>
      <c r="I496" s="29" t="str">
        <f>IFERROR(VLOOKUP(A496,New!A:H,2,0),"لا يوجد مواعيد")</f>
        <v>الرمايه</v>
      </c>
    </row>
    <row r="497" spans="1:9">
      <c r="A497" s="29">
        <v>10349025</v>
      </c>
      <c r="B497" s="29" t="s">
        <v>2389</v>
      </c>
      <c r="C497" s="32">
        <v>0.416666666666667</v>
      </c>
      <c r="D497" s="32">
        <v>0.791666666666667</v>
      </c>
      <c r="E497" s="29">
        <f>IFERROR(VLOOKUP(A497,New!A:E,5,0),"لا يوجد مواعيد")</f>
        <v>1069684801</v>
      </c>
      <c r="F497" s="29">
        <f>IFERROR(VLOOKUP(A497,New!A:E,1,0),"لا يوجد مواعيد")</f>
        <v>10349025</v>
      </c>
      <c r="G497" s="29" t="str">
        <f>IFERROR(VLOOKUP(A497,New!A:F,4,0),"لا يوجد مواعيد")</f>
        <v>رقية هاشم</v>
      </c>
      <c r="H497" s="29" t="str">
        <f>IFERROR(VLOOKUP(A497,New!A:G,3,0),"لا يوجد مواعيد")</f>
        <v>دائري</v>
      </c>
      <c r="I497" s="29" t="str">
        <f>IFERROR(VLOOKUP(A497,New!A:H,2,0),"لا يوجد مواعيد")</f>
        <v>السلام</v>
      </c>
    </row>
    <row r="498" spans="1:9">
      <c r="A498" s="29">
        <v>10349026</v>
      </c>
      <c r="B498" s="29" t="s">
        <v>2390</v>
      </c>
      <c r="C498" s="32">
        <v>0.416666666666667</v>
      </c>
      <c r="D498" s="32">
        <v>0.791666666666667</v>
      </c>
      <c r="E498" s="29">
        <f>IFERROR(VLOOKUP(A498,New!A:E,5,0),"لا يوجد مواعيد")</f>
        <v>1070454217</v>
      </c>
      <c r="F498" s="29">
        <f>IFERROR(VLOOKUP(A498,New!A:E,1,0),"لا يوجد مواعيد")</f>
        <v>10349026</v>
      </c>
      <c r="G498" s="29" t="str">
        <f>IFERROR(VLOOKUP(A498,New!A:F,4,0),"لا يوجد مواعيد")</f>
        <v>زينا نادر عبد المنعم</v>
      </c>
      <c r="H498" s="29" t="str">
        <f>IFERROR(VLOOKUP(A498,New!A:G,3,0),"لا يوجد مواعيد")</f>
        <v>العبور</v>
      </c>
      <c r="I498" s="29" t="str">
        <f>IFERROR(VLOOKUP(A498,New!A:H,2,0),"لا يوجد مواعيد")</f>
        <v>كارفور العبور</v>
      </c>
    </row>
    <row r="499" spans="1:9">
      <c r="A499" s="29">
        <v>10349032</v>
      </c>
      <c r="B499" s="29" t="s">
        <v>2391</v>
      </c>
      <c r="C499" s="32">
        <v>0.916666666666667</v>
      </c>
      <c r="D499" s="32">
        <v>0.791666666666667</v>
      </c>
      <c r="E499" s="29">
        <f>IFERROR(VLOOKUP(A499,New!A:E,5,0),"لا يوجد مواعيد")</f>
        <v>1223429209</v>
      </c>
      <c r="F499" s="29">
        <f>IFERROR(VLOOKUP(A499,New!A:E,1,0),"لا يوجد مواعيد")</f>
        <v>10349032</v>
      </c>
      <c r="G499" s="29" t="str">
        <f>IFERROR(VLOOKUP(A499,New!A:F,4,0),"لا يوجد مواعيد")</f>
        <v>يمنى امير عبد الله</v>
      </c>
      <c r="H499" s="29" t="str">
        <f>IFERROR(VLOOKUP(A499,New!A:G,3,0),"لا يوجد مواعيد")</f>
        <v>دائري</v>
      </c>
      <c r="I499" s="29" t="str">
        <f>IFERROR(VLOOKUP(A499,New!A:H,2,0),"لا يوجد مواعيد")</f>
        <v>السلام</v>
      </c>
    </row>
    <row r="500" spans="1:9">
      <c r="A500" s="29">
        <v>10349033</v>
      </c>
      <c r="B500" s="29" t="s">
        <v>2392</v>
      </c>
      <c r="C500" s="32">
        <v>0.916666666666667</v>
      </c>
      <c r="D500" s="32">
        <v>0.791666666666667</v>
      </c>
      <c r="E500" s="29" t="str">
        <f>IFERROR(VLOOKUP(A500,New!A:E,5,0),"لا يوجد مواعيد")</f>
        <v>1503323941/ 24911891811</v>
      </c>
      <c r="F500" s="29">
        <f>IFERROR(VLOOKUP(A500,New!A:E,1,0),"لا يوجد مواعيد")</f>
        <v>10349033</v>
      </c>
      <c r="G500" s="29" t="str">
        <f>IFERROR(VLOOKUP(A500,New!A:F,4,0),"لا يوجد مواعيد")</f>
        <v>خالد وليد</v>
      </c>
      <c r="H500" s="29" t="str">
        <f>IFERROR(VLOOKUP(A500,New!A:G,3,0),"لا يوجد مواعيد")</f>
        <v>فيصل</v>
      </c>
      <c r="I500" s="29" t="str">
        <f>IFERROR(VLOOKUP(A500,New!A:H,2,0),"لا يوجد مواعيد")</f>
        <v>العروبة</v>
      </c>
    </row>
    <row r="501" spans="1:9">
      <c r="A501" s="29">
        <v>10349056</v>
      </c>
      <c r="B501" s="29" t="s">
        <v>2393</v>
      </c>
      <c r="C501" s="32">
        <v>0.916666666666667</v>
      </c>
      <c r="D501" s="32">
        <v>0.791666666666667</v>
      </c>
      <c r="E501" s="29">
        <f>IFERROR(VLOOKUP(A501,New!A:E,5,0),"لا يوجد مواعيد")</f>
        <v>1288271110</v>
      </c>
      <c r="F501" s="29">
        <f>IFERROR(VLOOKUP(A501,New!A:E,1,0),"لا يوجد مواعيد")</f>
        <v>10349056</v>
      </c>
      <c r="G501" s="29" t="str">
        <f>IFERROR(VLOOKUP(A501,New!A:F,4,0),"لا يوجد مواعيد")</f>
        <v>محمد عبدون</v>
      </c>
      <c r="H501" s="29" t="str">
        <f>IFERROR(VLOOKUP(A501,New!A:G,3,0),"لا يوجد مواعيد")</f>
        <v>حلوان و زهراء المعادي</v>
      </c>
      <c r="I501" s="29" t="str">
        <f>IFERROR(VLOOKUP(A501,New!A:H,2,0),"لا يوجد مواعيد")</f>
        <v>سلم البارون</v>
      </c>
    </row>
    <row r="502" spans="1:9">
      <c r="A502" s="29">
        <v>10336631</v>
      </c>
      <c r="B502" s="29" t="s">
        <v>2394</v>
      </c>
      <c r="C502" s="32">
        <v>0.416666666666667</v>
      </c>
      <c r="D502" s="32">
        <v>0.791666666666667</v>
      </c>
      <c r="E502" s="29">
        <f>IFERROR(VLOOKUP(A502,New!A:E,5,0),"لا يوجد مواعيد")</f>
        <v>1121670258</v>
      </c>
      <c r="F502" s="29">
        <f>IFERROR(VLOOKUP(A502,New!A:E,1,0),"لا يوجد مواعيد")</f>
        <v>10336631</v>
      </c>
      <c r="G502" s="29" t="str">
        <f>IFERROR(VLOOKUP(A502,New!A:F,4,0),"لا يوجد مواعيد")</f>
        <v>دهب محمد</v>
      </c>
      <c r="H502" s="29" t="str">
        <f>IFERROR(VLOOKUP(A502,New!A:G,3,0),"لا يوجد مواعيد")</f>
        <v>حدائق الاهرام</v>
      </c>
      <c r="I502" s="29" t="str">
        <f>IFERROR(VLOOKUP(A502,New!A:H,2,0),"لا يوجد مواعيد")</f>
        <v>بوابة تانية قديمة</v>
      </c>
    </row>
    <row r="503" spans="1:9">
      <c r="A503" s="29">
        <v>10348986</v>
      </c>
      <c r="B503" s="29" t="s">
        <v>2395</v>
      </c>
      <c r="C503" s="32">
        <v>0.416666666666667</v>
      </c>
      <c r="D503" s="32">
        <v>0.791666666666667</v>
      </c>
      <c r="E503" s="29">
        <f>IFERROR(VLOOKUP(A503,New!A:E,5,0),"لا يوجد مواعيد")</f>
        <v>1155645885</v>
      </c>
      <c r="F503" s="29">
        <f>IFERROR(VLOOKUP(A503,New!A:E,1,0),"لا يوجد مواعيد")</f>
        <v>10348986</v>
      </c>
      <c r="G503" s="29" t="str">
        <f>IFERROR(VLOOKUP(A503,New!A:F,4,0),"لا يوجد مواعيد")</f>
        <v>فاطمة الزين</v>
      </c>
      <c r="H503" s="29" t="str">
        <f>IFERROR(VLOOKUP(A503,New!A:G,3,0),"لا يوجد مواعيد")</f>
        <v>فيصل</v>
      </c>
      <c r="I503" s="29" t="str">
        <f>IFERROR(VLOOKUP(A503,New!A:H,2,0),"لا يوجد مواعيد")</f>
        <v>مريوطية</v>
      </c>
    </row>
    <row r="504" spans="1:9">
      <c r="A504" s="29">
        <v>10348989</v>
      </c>
      <c r="B504" s="29" t="s">
        <v>2396</v>
      </c>
      <c r="C504" s="32">
        <v>0.416666666666667</v>
      </c>
      <c r="D504" s="32">
        <v>0.791666666666667</v>
      </c>
      <c r="E504" s="29">
        <f>IFERROR(VLOOKUP(A504,New!A:E,5,0),"لا يوجد مواعيد")</f>
        <v>1555119737</v>
      </c>
      <c r="F504" s="29">
        <f>IFERROR(VLOOKUP(A504,New!A:E,1,0),"لا يوجد مواعيد")</f>
        <v>10348989</v>
      </c>
      <c r="G504" s="29" t="str">
        <f>IFERROR(VLOOKUP(A504,New!A:F,4,0),"لا يوجد مواعيد")</f>
        <v>ريم عباس</v>
      </c>
      <c r="H504" s="29" t="str">
        <f>IFERROR(VLOOKUP(A504,New!A:G,3,0),"لا يوجد مواعيد")</f>
        <v>مدينة نصر</v>
      </c>
      <c r="I504" s="29" t="str">
        <f>IFERROR(VLOOKUP(A504,New!A:H,2,0),"لا يوجد مواعيد")</f>
        <v>اول مكرم</v>
      </c>
    </row>
    <row r="505" spans="1:9">
      <c r="A505" s="29">
        <v>10349354</v>
      </c>
      <c r="B505" s="29" t="s">
        <v>2397</v>
      </c>
      <c r="C505" s="32">
        <v>0.416666666666667</v>
      </c>
      <c r="D505" s="32">
        <v>0.791666666666667</v>
      </c>
      <c r="E505" s="29">
        <f>IFERROR(VLOOKUP(A505,New!A:E,5,0),"لا يوجد مواعيد")</f>
        <v>1119444137</v>
      </c>
      <c r="F505" s="29">
        <f>IFERROR(VLOOKUP(A505,New!A:E,1,0),"لا يوجد مواعيد")</f>
        <v>10349354</v>
      </c>
      <c r="G505" s="29" t="str">
        <f>IFERROR(VLOOKUP(A505,New!A:F,4,0),"لا يوجد مواعيد")</f>
        <v>عبد الرحمن اشرف</v>
      </c>
      <c r="H505" s="29" t="str">
        <f>IFERROR(VLOOKUP(A505,New!A:G,3,0),"لا يوجد مواعيد")</f>
        <v>فيصل</v>
      </c>
      <c r="I505" s="29" t="str">
        <f>IFERROR(VLOOKUP(A505,New!A:H,2,0),"لا يوجد مواعيد")</f>
        <v>الابيض اول فيصل</v>
      </c>
    </row>
    <row r="506" spans="1:9">
      <c r="A506" s="29">
        <v>10341186</v>
      </c>
      <c r="B506" s="29" t="s">
        <v>2398</v>
      </c>
      <c r="C506" s="32">
        <v>0.416666666666667</v>
      </c>
      <c r="D506" s="32">
        <v>0.791666666666667</v>
      </c>
      <c r="E506" s="29">
        <f>IFERROR(VLOOKUP(A506,New!A:E,5,0),"لا يوجد مواعيد")</f>
        <v>1022914574</v>
      </c>
      <c r="F506" s="29">
        <f>IFERROR(VLOOKUP(A506,New!A:E,1,0),"لا يوجد مواعيد")</f>
        <v>10341186</v>
      </c>
      <c r="G506" s="29" t="str">
        <f>IFERROR(VLOOKUP(A506,New!A:F,4,0),"لا يوجد مواعيد")</f>
        <v>محمود احمد هلال</v>
      </c>
      <c r="H506" s="29" t="str">
        <f>IFERROR(VLOOKUP(A506,New!A:G,3,0),"لا يوجد مواعيد")</f>
        <v>دائري</v>
      </c>
      <c r="I506" s="29" t="str">
        <f>IFERROR(VLOOKUP(A506,New!A:H,2,0),"لا يوجد مواعيد")</f>
        <v>قليوب</v>
      </c>
    </row>
    <row r="507" spans="1:9">
      <c r="A507" s="29">
        <v>10349353</v>
      </c>
      <c r="B507" s="29" t="s">
        <v>2399</v>
      </c>
      <c r="C507" s="32">
        <v>0.416666666666667</v>
      </c>
      <c r="D507" s="32">
        <v>0.791666666666667</v>
      </c>
      <c r="E507" s="29">
        <f>IFERROR(VLOOKUP(A507,New!A:E,5,0),"لا يوجد مواعيد")</f>
        <v>1120332179</v>
      </c>
      <c r="F507" s="29">
        <f>IFERROR(VLOOKUP(A507,New!A:E,1,0),"لا يوجد مواعيد")</f>
        <v>10349353</v>
      </c>
      <c r="G507" s="29" t="str">
        <f>IFERROR(VLOOKUP(A507,New!A:F,4,0),"لا يوجد مواعيد")</f>
        <v>مصطفي احمد علي</v>
      </c>
      <c r="H507" s="29" t="str">
        <f>IFERROR(VLOOKUP(A507,New!A:G,3,0),"لا يوجد مواعيد")</f>
        <v>فيصل</v>
      </c>
      <c r="I507" s="29" t="str">
        <f>IFERROR(VLOOKUP(A507,New!A:H,2,0),"لا يوجد مواعيد")</f>
        <v>الابيض اول فيصل</v>
      </c>
    </row>
    <row r="508" spans="1:9">
      <c r="A508" s="29">
        <v>10349491</v>
      </c>
      <c r="B508" s="29" t="s">
        <v>2400</v>
      </c>
      <c r="C508" s="32">
        <v>0.416666666666667</v>
      </c>
      <c r="D508" s="32">
        <v>0.791666666666667</v>
      </c>
      <c r="E508" s="29">
        <f>IFERROR(VLOOKUP(A508,New!A:E,5,0),"لا يوجد مواعيد")</f>
        <v>1203388919</v>
      </c>
      <c r="F508" s="29">
        <f>IFERROR(VLOOKUP(A508,New!A:E,1,0),"لا يوجد مواعيد")</f>
        <v>10349491</v>
      </c>
      <c r="G508" s="29" t="str">
        <f>IFERROR(VLOOKUP(A508,New!A:F,4,0),"لا يوجد مواعيد")</f>
        <v>احمد محمد يونس</v>
      </c>
      <c r="H508" s="29" t="str">
        <f>IFERROR(VLOOKUP(A508,New!A:G,3,0),"لا يوجد مواعيد")</f>
        <v>م - الرحاب و التجمع</v>
      </c>
      <c r="I508" s="29" t="str">
        <f>IFERROR(VLOOKUP(A508,New!A:H,2,0),"لا يوجد مواعيد")</f>
        <v>ارابيلا</v>
      </c>
    </row>
    <row r="509" spans="1:9">
      <c r="A509" s="29">
        <v>10349402</v>
      </c>
      <c r="B509" s="29" t="s">
        <v>2401</v>
      </c>
      <c r="C509" s="32">
        <v>0.416666666666667</v>
      </c>
      <c r="D509" s="32">
        <v>0.791666666666667</v>
      </c>
      <c r="E509" s="29">
        <f>IFERROR(VLOOKUP(A509,New!A:E,5,0),"لا يوجد مواعيد")</f>
        <v>1061473372</v>
      </c>
      <c r="F509" s="29">
        <f>IFERROR(VLOOKUP(A509,New!A:E,1,0),"لا يوجد مواعيد")</f>
        <v>10349402</v>
      </c>
      <c r="G509" s="29" t="str">
        <f>IFERROR(VLOOKUP(A509,New!A:F,4,0),"لا يوجد مواعيد")</f>
        <v>احمد الحكيم</v>
      </c>
      <c r="H509" s="29" t="str">
        <f>IFERROR(VLOOKUP(A509,New!A:G,3,0),"لا يوجد مواعيد")</f>
        <v>المهندسين</v>
      </c>
      <c r="I509" s="29" t="str">
        <f>IFERROR(VLOOKUP(A509,New!A:H,2,0),"لا يوجد مواعيد")</f>
        <v>عمر افندي</v>
      </c>
    </row>
    <row r="510" spans="1:9">
      <c r="A510" s="29">
        <v>10349404</v>
      </c>
      <c r="B510" s="29" t="s">
        <v>2402</v>
      </c>
      <c r="C510" s="32">
        <v>0.416666666666667</v>
      </c>
      <c r="D510" s="32">
        <v>0.791666666666667</v>
      </c>
      <c r="E510" s="29">
        <f>IFERROR(VLOOKUP(A510,New!A:E,5,0),"لا يوجد مواعيد")</f>
        <v>1129849493</v>
      </c>
      <c r="F510" s="29">
        <f>IFERROR(VLOOKUP(A510,New!A:E,1,0),"لا يوجد مواعيد")</f>
        <v>10349404</v>
      </c>
      <c r="G510" s="29" t="str">
        <f>IFERROR(VLOOKUP(A510,New!A:F,4,0),"لا يوجد مواعيد")</f>
        <v>أحمد الهادي عبدالله</v>
      </c>
      <c r="H510" s="29" t="str">
        <f>IFERROR(VLOOKUP(A510,New!A:G,3,0),"لا يوجد مواعيد")</f>
        <v>العبور</v>
      </c>
      <c r="I510" s="29" t="str">
        <f>IFERROR(VLOOKUP(A510,New!A:H,2,0),"لا يوجد مواعيد")</f>
        <v>كارفور العبور</v>
      </c>
    </row>
    <row r="511" spans="1:9">
      <c r="A511" s="29">
        <v>10349492</v>
      </c>
      <c r="B511" s="29" t="s">
        <v>2403</v>
      </c>
      <c r="C511" s="32">
        <v>0.416666666666667</v>
      </c>
      <c r="D511" s="32">
        <v>0.791666666666667</v>
      </c>
      <c r="E511" s="29" t="str">
        <f>IFERROR(VLOOKUP(A511,New!A:E,5,0),"لا يوجد مواعيد")</f>
        <v>1515496586 / 1552997470</v>
      </c>
      <c r="F511" s="29">
        <f>IFERROR(VLOOKUP(A511,New!A:E,1,0),"لا يوجد مواعيد")</f>
        <v>10349492</v>
      </c>
      <c r="G511" s="29" t="str">
        <f>IFERROR(VLOOKUP(A511,New!A:F,4,0),"لا يوجد مواعيد")</f>
        <v>مآب ناجي</v>
      </c>
      <c r="H511" s="29" t="str">
        <f>IFERROR(VLOOKUP(A511,New!A:G,3,0),"لا يوجد مواعيد")</f>
        <v>فيصل</v>
      </c>
      <c r="I511" s="29" t="str">
        <f>IFERROR(VLOOKUP(A511,New!A:H,2,0),"لا يوجد مواعيد")</f>
        <v>مريوطية</v>
      </c>
    </row>
    <row r="512" spans="1:9">
      <c r="A512" s="29">
        <v>10349406</v>
      </c>
      <c r="B512" s="29" t="s">
        <v>2404</v>
      </c>
      <c r="C512" s="32">
        <v>0.416666666666667</v>
      </c>
      <c r="D512" s="32">
        <v>0.791666666666667</v>
      </c>
      <c r="E512" s="29">
        <f>IFERROR(VLOOKUP(A512,New!A:E,5,0),"لا يوجد مواعيد")</f>
        <v>1158530543</v>
      </c>
      <c r="F512" s="29">
        <f>IFERROR(VLOOKUP(A512,New!A:E,1,0),"لا يوجد مواعيد")</f>
        <v>10349406</v>
      </c>
      <c r="G512" s="29" t="str">
        <f>IFERROR(VLOOKUP(A512,New!A:F,4,0),"لا يوجد مواعيد")</f>
        <v>فاطمة محيي الدين</v>
      </c>
      <c r="H512" s="29" t="str">
        <f>IFERROR(VLOOKUP(A512,New!A:G,3,0),"لا يوجد مواعيد")</f>
        <v>فيصل</v>
      </c>
      <c r="I512" s="29" t="str">
        <f>IFERROR(VLOOKUP(A512,New!A:H,2,0),"لا يوجد مواعيد")</f>
        <v>الابيض اول فيصل</v>
      </c>
    </row>
    <row r="513" spans="1:9">
      <c r="A513" s="29">
        <v>10349407</v>
      </c>
      <c r="B513" s="29" t="s">
        <v>2405</v>
      </c>
      <c r="C513" s="32">
        <v>0.416666666666667</v>
      </c>
      <c r="D513" s="32">
        <v>0.791666666666667</v>
      </c>
      <c r="E513" s="29">
        <f>IFERROR(VLOOKUP(A513,New!A:E,5,0),"لا يوجد مواعيد")</f>
        <v>1555795564</v>
      </c>
      <c r="F513" s="29">
        <f>IFERROR(VLOOKUP(A513,New!A:E,1,0),"لا يوجد مواعيد")</f>
        <v>10349407</v>
      </c>
      <c r="G513" s="29" t="str">
        <f>IFERROR(VLOOKUP(A513,New!A:F,4,0),"لا يوجد مواعيد")</f>
        <v>عثمان ابراهيم</v>
      </c>
      <c r="H513" s="29" t="str">
        <f>IFERROR(VLOOKUP(A513,New!A:G,3,0),"لا يوجد مواعيد")</f>
        <v>الزيتون و مصر الجديدة</v>
      </c>
      <c r="I513" s="29" t="str">
        <f>IFERROR(VLOOKUP(A513,New!A:H,2,0),"لا يوجد مواعيد")</f>
        <v>الجراج</v>
      </c>
    </row>
    <row r="514" spans="1:9">
      <c r="A514" s="29">
        <v>10349490</v>
      </c>
      <c r="B514" s="29" t="s">
        <v>2406</v>
      </c>
      <c r="C514" s="32">
        <v>0.416666666666667</v>
      </c>
      <c r="D514" s="32">
        <v>0.791666666666667</v>
      </c>
      <c r="E514" s="29">
        <f>IFERROR(VLOOKUP(A514,New!A:E,5,0),"لا يوجد مواعيد")</f>
        <v>1141799206</v>
      </c>
      <c r="F514" s="29">
        <f>IFERROR(VLOOKUP(A514,New!A:E,1,0),"لا يوجد مواعيد")</f>
        <v>10349490</v>
      </c>
      <c r="G514" s="29" t="str">
        <f>IFERROR(VLOOKUP(A514,New!A:F,4,0),"لا يوجد مواعيد")</f>
        <v>شاهيناز علي</v>
      </c>
      <c r="H514" s="29" t="str">
        <f>IFERROR(VLOOKUP(A514,New!A:G,3,0),"لا يوجد مواعيد")</f>
        <v>اكتوبر و زايد</v>
      </c>
      <c r="I514" s="29" t="str">
        <f>IFERROR(VLOOKUP(A514,New!A:H,2,0),"لا يوجد مواعيد")</f>
        <v>الحصري</v>
      </c>
    </row>
    <row r="515" spans="1:9">
      <c r="A515" s="29">
        <v>10349489</v>
      </c>
      <c r="B515" s="29" t="s">
        <v>2407</v>
      </c>
      <c r="C515" s="32">
        <v>0.416666666666667</v>
      </c>
      <c r="D515" s="32">
        <v>0.791666666666667</v>
      </c>
      <c r="E515" s="29" t="str">
        <f>IFERROR(VLOOKUP(A515,New!A:E,5,0),"لا يوجد مواعيد")</f>
        <v>1012795796/249969000088</v>
      </c>
      <c r="F515" s="29">
        <f>IFERROR(VLOOKUP(A515,New!A:E,1,0),"لا يوجد مواعيد")</f>
        <v>10349489</v>
      </c>
      <c r="G515" s="29" t="str">
        <f>IFERROR(VLOOKUP(A515,New!A:F,4,0),"لا يوجد مواعيد")</f>
        <v>عبدالله خالد</v>
      </c>
      <c r="H515" s="29" t="str">
        <f>IFERROR(VLOOKUP(A515,New!A:G,3,0),"لا يوجد مواعيد")</f>
        <v>و - مدينتي</v>
      </c>
      <c r="I515" s="29" t="str">
        <f>IFERROR(VLOOKUP(A515,New!A:H,2,0),"لا يوجد مواعيد")</f>
        <v>بوابة 1</v>
      </c>
    </row>
    <row r="516" spans="1:9">
      <c r="A516" s="29">
        <v>10347639</v>
      </c>
      <c r="B516" s="29" t="s">
        <v>2408</v>
      </c>
      <c r="C516" s="32">
        <v>0.458333333333333</v>
      </c>
      <c r="D516" s="32">
        <v>0.833333333333333</v>
      </c>
      <c r="E516" s="29">
        <f>IFERROR(VLOOKUP(A516,New!A:E,5,0),"لا يوجد مواعيد")</f>
        <v>1002105332</v>
      </c>
      <c r="F516" s="29">
        <f>IFERROR(VLOOKUP(A516,New!A:E,1,0),"لا يوجد مواعيد")</f>
        <v>10347639</v>
      </c>
      <c r="G516" s="29" t="str">
        <f>IFERROR(VLOOKUP(A516,New!A:F,4,0),"لا يوجد مواعيد")</f>
        <v>هبة رسلان</v>
      </c>
      <c r="H516" s="29" t="str">
        <f>IFERROR(VLOOKUP(A516,New!A:G,3,0),"لا يوجد مواعيد")</f>
        <v>؟</v>
      </c>
      <c r="I516" s="29" t="str">
        <f>IFERROR(VLOOKUP(A516,New!A:H,2,0),"لا يوجد مواعيد")</f>
        <v>؟</v>
      </c>
    </row>
    <row r="517" spans="1:9">
      <c r="A517" s="29">
        <v>10347643</v>
      </c>
      <c r="B517" s="29" t="s">
        <v>2409</v>
      </c>
      <c r="C517" s="32">
        <v>0.458333333333333</v>
      </c>
      <c r="D517" s="32">
        <v>0.833333333333333</v>
      </c>
      <c r="E517" s="29">
        <f>IFERROR(VLOOKUP(A517,New!A:E,5,0),"لا يوجد مواعيد")</f>
        <v>1508397610</v>
      </c>
      <c r="F517" s="29">
        <f>IFERROR(VLOOKUP(A517,New!A:E,1,0),"لا يوجد مواعيد")</f>
        <v>10347643</v>
      </c>
      <c r="G517" s="29" t="str">
        <f>IFERROR(VLOOKUP(A517,New!A:F,4,0),"لا يوجد مواعيد")</f>
        <v>احمد عادل احمد علي</v>
      </c>
      <c r="H517" s="29" t="str">
        <f>IFERROR(VLOOKUP(A517,New!A:G,3,0),"لا يوجد مواعيد")</f>
        <v>؟</v>
      </c>
      <c r="I517" s="29" t="str">
        <f>IFERROR(VLOOKUP(A517,New!A:H,2,0),"لا يوجد مواعيد")</f>
        <v>؟</v>
      </c>
    </row>
    <row r="518" spans="1:9">
      <c r="A518" s="29">
        <v>10347623</v>
      </c>
      <c r="B518" s="29" t="s">
        <v>2410</v>
      </c>
      <c r="C518" s="32">
        <v>0.458333333333333</v>
      </c>
      <c r="D518" s="32">
        <v>0.833333333333333</v>
      </c>
      <c r="E518" s="29">
        <f>IFERROR(VLOOKUP(A518,New!A:E,5,0),"لا يوجد مواعيد")</f>
        <v>1023151819</v>
      </c>
      <c r="F518" s="29">
        <f>IFERROR(VLOOKUP(A518,New!A:E,1,0),"لا يوجد مواعيد")</f>
        <v>10347623</v>
      </c>
      <c r="G518" s="29" t="str">
        <f>IFERROR(VLOOKUP(A518,New!A:F,4,0),"لا يوجد مواعيد")</f>
        <v>الاء محمد</v>
      </c>
      <c r="H518" s="29" t="str">
        <f>IFERROR(VLOOKUP(A518,New!A:G,3,0),"لا يوجد مواعيد")</f>
        <v>؟</v>
      </c>
      <c r="I518" s="29" t="str">
        <f>IFERROR(VLOOKUP(A518,New!A:H,2,0),"لا يوجد مواعيد")</f>
        <v>؟</v>
      </c>
    </row>
    <row r="519" spans="1:9">
      <c r="A519" s="29">
        <v>10347770</v>
      </c>
      <c r="B519" s="29" t="s">
        <v>2411</v>
      </c>
      <c r="C519" s="32">
        <v>0.458333333333333</v>
      </c>
      <c r="D519" s="32">
        <v>0.833333333333333</v>
      </c>
      <c r="E519" s="29">
        <f>IFERROR(VLOOKUP(A519,New!A:E,5,0),"لا يوجد مواعيد")</f>
        <v>1014383050</v>
      </c>
      <c r="F519" s="29">
        <f>IFERROR(VLOOKUP(A519,New!A:E,1,0),"لا يوجد مواعيد")</f>
        <v>10347770</v>
      </c>
      <c r="G519" s="29" t="str">
        <f>IFERROR(VLOOKUP(A519,New!A:F,4,0),"لا يوجد مواعيد")</f>
        <v>هادي عبد المنعم</v>
      </c>
      <c r="H519" s="29" t="str">
        <f>IFERROR(VLOOKUP(A519,New!A:G,3,0),"لا يوجد مواعيد")</f>
        <v>؟</v>
      </c>
      <c r="I519" s="29" t="str">
        <f>IFERROR(VLOOKUP(A519,New!A:H,2,0),"لا يوجد مواعيد")</f>
        <v>؟</v>
      </c>
    </row>
    <row r="520" spans="1:9">
      <c r="A520" s="29">
        <v>10347762</v>
      </c>
      <c r="B520" s="29" t="s">
        <v>2412</v>
      </c>
      <c r="C520" s="32">
        <v>0.458333333333333</v>
      </c>
      <c r="D520" s="32">
        <v>0.833333333333333</v>
      </c>
      <c r="E520" s="29">
        <f>IFERROR(VLOOKUP(A520,New!A:E,5,0),"لا يوجد مواعيد")</f>
        <v>1091400410</v>
      </c>
      <c r="F520" s="29">
        <f>IFERROR(VLOOKUP(A520,New!A:E,1,0),"لا يوجد مواعيد")</f>
        <v>10347762</v>
      </c>
      <c r="G520" s="29" t="str">
        <f>IFERROR(VLOOKUP(A520,New!A:F,4,0),"لا يوجد مواعيد")</f>
        <v>ميرنا محمد</v>
      </c>
      <c r="H520" s="29" t="str">
        <f>IFERROR(VLOOKUP(A520,New!A:G,3,0),"لا يوجد مواعيد")</f>
        <v>؟</v>
      </c>
      <c r="I520" s="29" t="str">
        <f>IFERROR(VLOOKUP(A520,New!A:H,2,0),"لا يوجد مواعيد")</f>
        <v>؟</v>
      </c>
    </row>
    <row r="521" spans="1:9">
      <c r="A521" s="29">
        <v>10347756</v>
      </c>
      <c r="B521" s="29" t="s">
        <v>2413</v>
      </c>
      <c r="C521" s="32">
        <v>0.458333333333333</v>
      </c>
      <c r="D521" s="32">
        <v>0.833333333333333</v>
      </c>
      <c r="E521" s="29">
        <f>IFERROR(VLOOKUP(A521,New!A:E,5,0),"لا يوجد مواعيد")</f>
        <v>1158808766</v>
      </c>
      <c r="F521" s="29">
        <f>IFERROR(VLOOKUP(A521,New!A:E,1,0),"لا يوجد مواعيد")</f>
        <v>10347756</v>
      </c>
      <c r="G521" s="29" t="str">
        <f>IFERROR(VLOOKUP(A521,New!A:F,4,0),"لا يوجد مواعيد")</f>
        <v>محمد سليمان</v>
      </c>
      <c r="H521" s="29" t="str">
        <f>IFERROR(VLOOKUP(A521,New!A:G,3,0),"لا يوجد مواعيد")</f>
        <v>؟</v>
      </c>
      <c r="I521" s="29" t="str">
        <f>IFERROR(VLOOKUP(A521,New!A:H,2,0),"لا يوجد مواعيد")</f>
        <v>؟</v>
      </c>
    </row>
    <row r="522" spans="1:9">
      <c r="A522" s="29">
        <v>10347768</v>
      </c>
      <c r="B522" s="29" t="s">
        <v>2414</v>
      </c>
      <c r="C522" s="32">
        <v>0.458333333333333</v>
      </c>
      <c r="D522" s="32">
        <v>0.833333333333333</v>
      </c>
      <c r="E522" s="29">
        <f>IFERROR(VLOOKUP(A522,New!A:E,5,0),"لا يوجد مواعيد")</f>
        <v>1063790715</v>
      </c>
      <c r="F522" s="29">
        <f>IFERROR(VLOOKUP(A522,New!A:E,1,0),"لا يوجد مواعيد")</f>
        <v>10347768</v>
      </c>
      <c r="G522" s="29" t="str">
        <f>IFERROR(VLOOKUP(A522,New!A:F,4,0),"لا يوجد مواعيد")</f>
        <v>شهد وائل</v>
      </c>
      <c r="H522" s="29" t="str">
        <f>IFERROR(VLOOKUP(A522,New!A:G,3,0),"لا يوجد مواعيد")</f>
        <v>؟</v>
      </c>
      <c r="I522" s="29" t="str">
        <f>IFERROR(VLOOKUP(A522,New!A:H,2,0),"لا يوجد مواعيد")</f>
        <v>؟</v>
      </c>
    </row>
    <row r="523" spans="1:9">
      <c r="A523" s="29">
        <v>10264767</v>
      </c>
      <c r="B523" s="29" t="s">
        <v>2415</v>
      </c>
      <c r="C523" s="32" t="s">
        <v>1898</v>
      </c>
      <c r="D523" s="32" t="s">
        <v>1898</v>
      </c>
      <c r="E523" s="29">
        <f>IFERROR(VLOOKUP(A523,New!A:E,5,0),"لا يوجد مواعيد")</f>
        <v>1113563210</v>
      </c>
      <c r="F523" s="29">
        <f>IFERROR(VLOOKUP(A523,New!A:E,1,0),"لا يوجد مواعيد")</f>
        <v>10264767</v>
      </c>
      <c r="G523" s="29" t="str">
        <f>IFERROR(VLOOKUP(A523,New!A:F,4,0),"لا يوجد مواعيد")</f>
        <v>احمد سامى</v>
      </c>
      <c r="H523" s="29" t="str">
        <f>IFERROR(VLOOKUP(A523,New!A:G,3,0),"لا يوجد مواعيد")</f>
        <v>فيصل</v>
      </c>
      <c r="I523" s="29" t="str">
        <f>IFERROR(VLOOKUP(A523,New!A:H,2,0),"لا يوجد مواعيد")</f>
        <v>العروبة</v>
      </c>
    </row>
    <row r="524" spans="1:9">
      <c r="A524" s="29">
        <v>10294734</v>
      </c>
      <c r="B524" s="29" t="s">
        <v>2416</v>
      </c>
      <c r="C524" s="32">
        <v>0.583333333333333</v>
      </c>
      <c r="D524" s="32">
        <v>0</v>
      </c>
      <c r="E524" s="29">
        <f>IFERROR(VLOOKUP(A524,New!A:E,5,0),"لا يوجد مواعيد")</f>
        <v>1142926092</v>
      </c>
      <c r="F524" s="29">
        <f>IFERROR(VLOOKUP(A524,New!A:E,1,0),"لا يوجد مواعيد")</f>
        <v>10294734</v>
      </c>
      <c r="G524" s="29" t="str">
        <f>IFERROR(VLOOKUP(A524,New!A:F,4,0),"لا يوجد مواعيد")</f>
        <v>يوسف شعبان</v>
      </c>
      <c r="H524" s="29" t="str">
        <f>IFERROR(VLOOKUP(A524,New!A:G,3,0),"لا يوجد مواعيد")</f>
        <v>حلوان و زهراء المعادي</v>
      </c>
      <c r="I524" s="29" t="str">
        <f>IFERROR(VLOOKUP(A524,New!A:H,2,0),"لا يوجد مواعيد")</f>
        <v>سلم البارون</v>
      </c>
    </row>
    <row r="525" spans="1:9">
      <c r="A525" s="29">
        <v>10303306</v>
      </c>
      <c r="B525" s="29" t="s">
        <v>2417</v>
      </c>
      <c r="C525" s="32">
        <v>0.333333333333333</v>
      </c>
      <c r="D525" s="32">
        <v>0.666666666666667</v>
      </c>
      <c r="E525" s="29">
        <f>IFERROR(VLOOKUP(A525,New!A:E,5,0),"لا يوجد مواعيد")</f>
        <v>1275539822</v>
      </c>
      <c r="F525" s="29">
        <f>IFERROR(VLOOKUP(A525,New!A:E,1,0),"لا يوجد مواعيد")</f>
        <v>10303306</v>
      </c>
      <c r="G525" s="29" t="str">
        <f>IFERROR(VLOOKUP(A525,New!A:F,4,0),"لا يوجد مواعيد")</f>
        <v>كارولين جرجس</v>
      </c>
      <c r="H525" s="29" t="str">
        <f>IFERROR(VLOOKUP(A525,New!A:G,3,0),"لا يوجد مواعيد")</f>
        <v>الزيتون و مصر الجديدة</v>
      </c>
      <c r="I525" s="29" t="str">
        <f>IFERROR(VLOOKUP(A525,New!A:H,2,0),"لا يوجد مواعيد")</f>
        <v>ابن الحكم</v>
      </c>
    </row>
    <row r="526" spans="1:9">
      <c r="A526" s="29">
        <v>10254383</v>
      </c>
      <c r="B526" s="29" t="s">
        <v>2418</v>
      </c>
      <c r="C526" s="32">
        <v>0.625</v>
      </c>
      <c r="D526" s="32">
        <v>0</v>
      </c>
      <c r="E526" s="29">
        <f>IFERROR(VLOOKUP(A526,New!A:E,5,0),"لا يوجد مواعيد")</f>
        <v>1271406300</v>
      </c>
      <c r="F526" s="29">
        <f>IFERROR(VLOOKUP(A526,New!A:E,1,0),"لا يوجد مواعيد")</f>
        <v>10254383</v>
      </c>
      <c r="G526" s="29" t="str">
        <f>IFERROR(VLOOKUP(A526,New!A:F,4,0),"لا يوجد مواعيد")</f>
        <v>تيم ليدر - محمد عبد الله</v>
      </c>
      <c r="H526" s="29" t="str">
        <f>IFERROR(VLOOKUP(A526,New!A:G,3,0),"لا يوجد مواعيد")</f>
        <v>فيصل</v>
      </c>
      <c r="I526" s="29" t="str">
        <f>IFERROR(VLOOKUP(A526,New!A:H,2,0),"لا يوجد مواعيد")</f>
        <v>طوابق</v>
      </c>
    </row>
    <row r="527" spans="1:9">
      <c r="A527" s="29">
        <v>10260539</v>
      </c>
      <c r="B527" s="29" t="s">
        <v>2419</v>
      </c>
      <c r="C527" s="32">
        <v>0.625</v>
      </c>
      <c r="D527" s="32">
        <v>0</v>
      </c>
      <c r="E527" s="29">
        <f>IFERROR(VLOOKUP(A527,New!A:E,5,0),"لا يوجد مواعيد")</f>
        <v>1550752064</v>
      </c>
      <c r="F527" s="29">
        <f>IFERROR(VLOOKUP(A527,New!A:E,1,0),"لا يوجد مواعيد")</f>
        <v>10260539</v>
      </c>
      <c r="G527" s="29" t="str">
        <f>IFERROR(VLOOKUP(A527,New!A:F,4,0),"لا يوجد مواعيد")</f>
        <v>تيم ليدر - محمد فتحي</v>
      </c>
      <c r="H527" s="29" t="str">
        <f>IFERROR(VLOOKUP(A527,New!A:G,3,0),"لا يوجد مواعيد")</f>
        <v>المهندسين</v>
      </c>
      <c r="I527" s="29" t="str">
        <f>IFERROR(VLOOKUP(A527,New!A:H,2,0),"لا يوجد مواعيد")</f>
        <v>كوبري الدقي</v>
      </c>
    </row>
    <row r="528" spans="1:9">
      <c r="A528" s="29">
        <v>10296219</v>
      </c>
      <c r="B528" s="29" t="s">
        <v>2420</v>
      </c>
      <c r="C528" s="32">
        <v>0.625</v>
      </c>
      <c r="D528" s="32">
        <v>0</v>
      </c>
      <c r="E528" s="29">
        <f>IFERROR(VLOOKUP(A528,New!A:E,5,0),"لا يوجد مواعيد")</f>
        <v>1551182622</v>
      </c>
      <c r="F528" s="29">
        <f>IFERROR(VLOOKUP(A528,New!A:E,1,0),"لا يوجد مواعيد")</f>
        <v>10296219</v>
      </c>
      <c r="G528" s="29" t="str">
        <f>IFERROR(VLOOKUP(A528,New!A:F,4,0),"لا يوجد مواعيد")</f>
        <v>سها عمر</v>
      </c>
      <c r="H528" s="29" t="str">
        <f>IFERROR(VLOOKUP(A528,New!A:G,3,0),"لا يوجد مواعيد")</f>
        <v>حدائق الاهرام</v>
      </c>
      <c r="I528" s="29" t="str">
        <f>IFERROR(VLOOKUP(A528,New!A:H,2,0),"لا يوجد مواعيد")</f>
        <v>بوابة 2 جديدة</v>
      </c>
    </row>
    <row r="529" spans="1:9">
      <c r="A529" s="29">
        <v>10225636</v>
      </c>
      <c r="B529" s="29" t="s">
        <v>2421</v>
      </c>
      <c r="C529" s="32">
        <v>0.625</v>
      </c>
      <c r="D529" s="32">
        <v>0</v>
      </c>
      <c r="E529" s="29">
        <f>IFERROR(VLOOKUP(A529,New!A:E,5,0),"لا يوجد مواعيد")</f>
        <v>1019578796</v>
      </c>
      <c r="F529" s="29">
        <f>IFERROR(VLOOKUP(A529,New!A:E,1,0),"لا يوجد مواعيد")</f>
        <v>10225636</v>
      </c>
      <c r="G529" s="29" t="str">
        <f>IFERROR(VLOOKUP(A529,New!A:F,4,0),"لا يوجد مواعيد")</f>
        <v>تيم ليدر - احمد عبدالقادر</v>
      </c>
      <c r="H529" s="29" t="str">
        <f>IFERROR(VLOOKUP(A529,New!A:G,3,0),"لا يوجد مواعيد")</f>
        <v>ي - المعادي</v>
      </c>
      <c r="I529" s="29" t="str">
        <f>IFERROR(VLOOKUP(A529,New!A:H,2,0),"لا يوجد مواعيد")</f>
        <v>المحكمة الدستورية</v>
      </c>
    </row>
    <row r="530" spans="1:9">
      <c r="A530" s="29">
        <v>10324909</v>
      </c>
      <c r="B530" s="29" t="s">
        <v>2422</v>
      </c>
      <c r="C530" s="32">
        <v>0.625</v>
      </c>
      <c r="D530" s="32">
        <v>0</v>
      </c>
      <c r="E530" s="29">
        <f>IFERROR(VLOOKUP(A530,New!A:E,5,0),"لا يوجد مواعيد")</f>
        <v>0</v>
      </c>
      <c r="F530" s="29">
        <f>IFERROR(VLOOKUP(A530,New!A:E,1,0),"لا يوجد مواعيد")</f>
        <v>10324909</v>
      </c>
      <c r="G530" s="29" t="str">
        <f>IFERROR(VLOOKUP(A530,New!A:F,4,0),"لا يوجد مواعيد")</f>
        <v>محمد يوسف</v>
      </c>
      <c r="H530" s="29" t="str">
        <f>IFERROR(VLOOKUP(A530,New!A:G,3,0),"لا يوجد مواعيد")</f>
        <v>الزيتون و مصر الجديدة</v>
      </c>
      <c r="I530" s="29" t="str">
        <f>IFERROR(VLOOKUP(A530,New!A:H,2,0),"لا يوجد مواعيد")</f>
        <v>روكسي العبودي</v>
      </c>
    </row>
    <row r="531" spans="1:9">
      <c r="A531" s="29">
        <v>10340710</v>
      </c>
      <c r="B531" s="29" t="s">
        <v>2423</v>
      </c>
      <c r="C531" s="32">
        <v>0.333333333333333</v>
      </c>
      <c r="D531" s="32">
        <v>0.708333333333333</v>
      </c>
      <c r="E531" s="29">
        <f>IFERROR(VLOOKUP(A531,New!A:E,5,0),"لا يوجد مواعيد")</f>
        <v>0</v>
      </c>
      <c r="F531" s="29">
        <f>IFERROR(VLOOKUP(A531,New!A:E,1,0),"لا يوجد مواعيد")</f>
        <v>10340710</v>
      </c>
      <c r="G531" s="29" t="str">
        <f>IFERROR(VLOOKUP(A531,New!A:F,4,0),"لا يوجد مواعيد")</f>
        <v>يوسف عمرو</v>
      </c>
      <c r="H531" s="29" t="str">
        <f>IFERROR(VLOOKUP(A531,New!A:G,3,0),"لا يوجد مواعيد")</f>
        <v>الزيتون و مصر الجديدة</v>
      </c>
      <c r="I531" s="29" t="str">
        <f>IFERROR(VLOOKUP(A531,New!A:H,2,0),"لا يوجد مواعيد")</f>
        <v>الجراج</v>
      </c>
    </row>
    <row r="532" spans="1:9">
      <c r="A532" s="29">
        <v>10329457</v>
      </c>
      <c r="B532" s="29" t="s">
        <v>2424</v>
      </c>
      <c r="C532" s="32">
        <v>0.458333333333333</v>
      </c>
      <c r="D532" s="32">
        <v>0.791666666666667</v>
      </c>
      <c r="E532" s="29">
        <f>IFERROR(VLOOKUP(A532,New!A:E,5,0),"لا يوجد مواعيد")</f>
        <v>1276701073</v>
      </c>
      <c r="F532" s="29">
        <f>IFERROR(VLOOKUP(A532,New!A:E,1,0),"لا يوجد مواعيد")</f>
        <v>10329457</v>
      </c>
      <c r="G532" s="29" t="str">
        <f>IFERROR(VLOOKUP(A532,New!A:F,4,0),"لا يوجد مواعيد")</f>
        <v>وفاء عبده</v>
      </c>
      <c r="H532" s="29" t="str">
        <f>IFERROR(VLOOKUP(A532,New!A:G,3,0),"لا يوجد مواعيد")</f>
        <v>و - الشروق</v>
      </c>
      <c r="I532" s="29" t="str">
        <f>IFERROR(VLOOKUP(A532,New!A:H,2,0),"لا يوجد مواعيد")</f>
        <v>كشك اللحمة</v>
      </c>
    </row>
    <row r="533" spans="1:9">
      <c r="A533" s="29">
        <v>10275931</v>
      </c>
      <c r="B533" s="29" t="s">
        <v>2425</v>
      </c>
      <c r="C533" s="32">
        <v>0.458333333333333</v>
      </c>
      <c r="D533" s="32">
        <v>0.791666666666667</v>
      </c>
      <c r="E533" s="29">
        <f>IFERROR(VLOOKUP(A533,New!A:E,5,0),"لا يوجد مواعيد")</f>
        <v>1023646785</v>
      </c>
      <c r="F533" s="29">
        <f>IFERROR(VLOOKUP(A533,New!A:E,1,0),"لا يوجد مواعيد")</f>
        <v>10275931</v>
      </c>
      <c r="G533" s="29" t="str">
        <f>IFERROR(VLOOKUP(A533,New!A:F,4,0),"لا يوجد مواعيد")</f>
        <v>لانا سامح عبد الفتاح</v>
      </c>
      <c r="H533" s="29" t="str">
        <f>IFERROR(VLOOKUP(A533,New!A:G,3,0),"لا يوجد مواعيد")</f>
        <v>مدينة نصر</v>
      </c>
      <c r="I533" s="29" t="str">
        <f>IFERROR(VLOOKUP(A533,New!A:H,2,0),"لا يوجد مواعيد")</f>
        <v>كشري هند الحي العاشر</v>
      </c>
    </row>
    <row r="534" spans="1:9">
      <c r="A534" s="29">
        <v>10297499</v>
      </c>
      <c r="B534" s="29" t="s">
        <v>2426</v>
      </c>
      <c r="C534" s="32">
        <v>0.458333333333333</v>
      </c>
      <c r="D534" s="32">
        <v>0.791666666666667</v>
      </c>
      <c r="E534" s="29">
        <f>IFERROR(VLOOKUP(A534,New!A:E,5,0),"لا يوجد مواعيد")</f>
        <v>1103806087</v>
      </c>
      <c r="F534" s="29">
        <f>IFERROR(VLOOKUP(A534,New!A:E,1,0),"لا يوجد مواعيد")</f>
        <v>10297499</v>
      </c>
      <c r="G534" s="29" t="str">
        <f>IFERROR(VLOOKUP(A534,New!A:F,4,0),"لا يوجد مواعيد")</f>
        <v>منة يحيى</v>
      </c>
      <c r="H534" s="29" t="str">
        <f>IFERROR(VLOOKUP(A534,New!A:G,3,0),"لا يوجد مواعيد")</f>
        <v>ي - المعادي</v>
      </c>
      <c r="I534" s="29" t="str">
        <f>IFERROR(VLOOKUP(A534,New!A:H,2,0),"لا يوجد مواعيد")</f>
        <v>شمال طره كورنيش المعادي</v>
      </c>
    </row>
    <row r="535" spans="1:9">
      <c r="A535" s="29">
        <v>10309482</v>
      </c>
      <c r="B535" s="29" t="s">
        <v>2427</v>
      </c>
      <c r="C535" s="32">
        <v>0.458333333333333</v>
      </c>
      <c r="D535" s="32">
        <v>0.791666666666667</v>
      </c>
      <c r="E535" s="29">
        <f>IFERROR(VLOOKUP(A535,New!A:E,5,0),"لا يوجد مواعيد")</f>
        <v>1099469460</v>
      </c>
      <c r="F535" s="29">
        <f>IFERROR(VLOOKUP(A535,New!A:E,1,0),"لا يوجد مواعيد")</f>
        <v>10309482</v>
      </c>
      <c r="G535" s="29" t="str">
        <f>IFERROR(VLOOKUP(A535,New!A:F,4,0),"لا يوجد مواعيد")</f>
        <v>منة الله سمير</v>
      </c>
      <c r="H535" s="29" t="str">
        <f>IFERROR(VLOOKUP(A535,New!A:G,3,0),"لا يوجد مواعيد")</f>
        <v>مدينة نصر</v>
      </c>
      <c r="I535" s="29" t="str">
        <f>IFERROR(VLOOKUP(A535,New!A:H,2,0),"لا يوجد مواعيد")</f>
        <v>اول مكرم</v>
      </c>
    </row>
    <row r="536" spans="1:9">
      <c r="A536" s="29">
        <v>10278058</v>
      </c>
      <c r="B536" s="29" t="s">
        <v>2428</v>
      </c>
      <c r="C536" s="32">
        <v>0.458333333333333</v>
      </c>
      <c r="D536" s="32">
        <v>0.791666666666667</v>
      </c>
      <c r="E536" s="29">
        <f>IFERROR(VLOOKUP(A536,New!A:E,5,0),"لا يوجد مواعيد")</f>
        <v>1000604891</v>
      </c>
      <c r="F536" s="29">
        <f>IFERROR(VLOOKUP(A536,New!A:E,1,0),"لا يوجد مواعيد")</f>
        <v>10278058</v>
      </c>
      <c r="G536" s="29" t="str">
        <f>IFERROR(VLOOKUP(A536,New!A:F,4,0),"لا يوجد مواعيد")</f>
        <v>تيم ليدر - احمد بلال</v>
      </c>
      <c r="H536" s="29" t="str">
        <f>IFERROR(VLOOKUP(A536,New!A:G,3,0),"لا يوجد مواعيد")</f>
        <v>ي - المعادي</v>
      </c>
      <c r="I536" s="29" t="str">
        <f>IFERROR(VLOOKUP(A536,New!A:H,2,0),"لا يوجد مواعيد")</f>
        <v>اكاديمية السادات</v>
      </c>
    </row>
    <row r="537" spans="1:9">
      <c r="A537" s="29">
        <v>10272462</v>
      </c>
      <c r="B537" s="29" t="s">
        <v>2429</v>
      </c>
      <c r="C537" s="32">
        <v>0.416666666666667</v>
      </c>
      <c r="D537" s="32">
        <v>0.75</v>
      </c>
      <c r="E537" s="29">
        <f>IFERROR(VLOOKUP(A537,New!A:E,5,0),"لا يوجد مواعيد")</f>
        <v>1093481280</v>
      </c>
      <c r="F537" s="29">
        <f>IFERROR(VLOOKUP(A537,New!A:E,1,0),"لا يوجد مواعيد")</f>
        <v>10272462</v>
      </c>
      <c r="G537" s="29" t="str">
        <f>IFERROR(VLOOKUP(A537,New!A:F,4,0),"لا يوجد مواعيد")</f>
        <v>علياء ابو العزم</v>
      </c>
      <c r="H537" s="29" t="str">
        <f>IFERROR(VLOOKUP(A537,New!A:G,3,0),"لا يوجد مواعيد")</f>
        <v>و - مدينتي</v>
      </c>
      <c r="I537" s="29" t="str">
        <f>IFERROR(VLOOKUP(A537,New!A:H,2,0),"لا يوجد مواعيد")</f>
        <v>بوابة 1</v>
      </c>
    </row>
    <row r="538" spans="1:9">
      <c r="A538" s="29">
        <v>10274128</v>
      </c>
      <c r="B538" s="29" t="s">
        <v>2430</v>
      </c>
      <c r="C538" s="32">
        <v>0.458333333333333</v>
      </c>
      <c r="D538" s="32">
        <v>0.791666666666667</v>
      </c>
      <c r="E538" s="29">
        <f>IFERROR(VLOOKUP(A538,New!A:E,5,0),"لا يوجد مواعيد")</f>
        <v>1018132641</v>
      </c>
      <c r="F538" s="29">
        <f>IFERROR(VLOOKUP(A538,New!A:E,1,0),"لا يوجد مواعيد")</f>
        <v>10274128</v>
      </c>
      <c r="G538" s="29" t="str">
        <f>IFERROR(VLOOKUP(A538,New!A:F,4,0),"لا يوجد مواعيد")</f>
        <v>شيما محمد الأشقر</v>
      </c>
      <c r="H538" s="29" t="str">
        <f>IFERROR(VLOOKUP(A538,New!A:G,3,0),"لا يوجد مواعيد")</f>
        <v>م - الرحاب و التجمع</v>
      </c>
      <c r="I538" s="29" t="str">
        <f>IFERROR(VLOOKUP(A538,New!A:H,2,0),"لا يوجد مواعيد")</f>
        <v>ارابيلا</v>
      </c>
    </row>
    <row r="539" spans="1:9">
      <c r="A539" s="29">
        <v>10326286</v>
      </c>
      <c r="B539" s="29" t="s">
        <v>2431</v>
      </c>
      <c r="C539" s="32">
        <v>0.458333333333333</v>
      </c>
      <c r="D539" s="32">
        <v>0.791666666666667</v>
      </c>
      <c r="E539" s="29">
        <f>IFERROR(VLOOKUP(A539,New!A:E,5,0),"لا يوجد مواعيد")</f>
        <v>1002007027</v>
      </c>
      <c r="F539" s="29">
        <f>IFERROR(VLOOKUP(A539,New!A:E,1,0),"لا يوجد مواعيد")</f>
        <v>10326286</v>
      </c>
      <c r="G539" s="29" t="str">
        <f>IFERROR(VLOOKUP(A539,New!A:F,4,0),"لا يوجد مواعيد")</f>
        <v>خلود جمال</v>
      </c>
      <c r="H539" s="29" t="str">
        <f>IFERROR(VLOOKUP(A539,New!A:G,3,0),"لا يوجد مواعيد")</f>
        <v>مدينة نصر</v>
      </c>
      <c r="I539" s="29" t="str">
        <f>IFERROR(VLOOKUP(A539,New!A:H,2,0),"لا يوجد مواعيد")</f>
        <v>ميدان رابعة</v>
      </c>
    </row>
    <row r="540" spans="1:9">
      <c r="A540" s="29">
        <v>10269213</v>
      </c>
      <c r="B540" s="29" t="s">
        <v>2432</v>
      </c>
      <c r="C540" s="32">
        <v>0.458333333333333</v>
      </c>
      <c r="D540" s="32">
        <v>0.791666666666667</v>
      </c>
      <c r="E540" s="29">
        <f>IFERROR(VLOOKUP(A540,New!A:E,5,0),"لا يوجد مواعيد")</f>
        <v>1068084166</v>
      </c>
      <c r="F540" s="29">
        <f>IFERROR(VLOOKUP(A540,New!A:E,1,0),"لا يوجد مواعيد")</f>
        <v>10269213</v>
      </c>
      <c r="G540" s="29" t="str">
        <f>IFERROR(VLOOKUP(A540,New!A:F,4,0),"لا يوجد مواعيد")</f>
        <v>حبيبة خالد بركات</v>
      </c>
      <c r="H540" s="29" t="str">
        <f>IFERROR(VLOOKUP(A540,New!A:G,3,0),"لا يوجد مواعيد")</f>
        <v>فيصل</v>
      </c>
      <c r="I540" s="29" t="str">
        <f>IFERROR(VLOOKUP(A540,New!A:H,2,0),"لا يوجد مواعيد")</f>
        <v>مطبعة</v>
      </c>
    </row>
    <row r="541" spans="1:9">
      <c r="A541" s="29">
        <v>10272767</v>
      </c>
      <c r="B541" s="29" t="s">
        <v>2433</v>
      </c>
      <c r="C541" s="32">
        <v>0.416666666666667</v>
      </c>
      <c r="D541" s="32">
        <v>0.791666666666667</v>
      </c>
      <c r="E541" s="29">
        <f>IFERROR(VLOOKUP(A541,New!A:E,5,0),"لا يوجد مواعيد")</f>
        <v>1155792366</v>
      </c>
      <c r="F541" s="29">
        <f>IFERROR(VLOOKUP(A541,New!A:E,1,0),"لا يوجد مواعيد")</f>
        <v>10272767</v>
      </c>
      <c r="G541" s="29" t="str">
        <f>IFERROR(VLOOKUP(A541,New!A:F,4,0),"لا يوجد مواعيد")</f>
        <v>عمر سكر</v>
      </c>
      <c r="H541" s="29" t="str">
        <f>IFERROR(VLOOKUP(A541,New!A:G,3,0),"لا يوجد مواعيد")</f>
        <v>م - المقطم</v>
      </c>
      <c r="I541" s="29" t="str">
        <f>IFERROR(VLOOKUP(A541,New!A:H,2,0),"لا يوجد مواعيد")</f>
        <v>كريم بنونة</v>
      </c>
    </row>
    <row r="542" spans="1:9">
      <c r="A542" s="29">
        <v>10259973</v>
      </c>
      <c r="B542" s="29" t="s">
        <v>2434</v>
      </c>
      <c r="C542" s="32">
        <v>0.416666666666667</v>
      </c>
      <c r="D542" s="32">
        <v>0.791666666666667</v>
      </c>
      <c r="E542" s="29">
        <f>IFERROR(VLOOKUP(A542,New!A:E,5,0),"لا يوجد مواعيد")</f>
        <v>1009100931</v>
      </c>
      <c r="F542" s="29">
        <f>IFERROR(VLOOKUP(A542,New!A:E,1,0),"لا يوجد مواعيد")</f>
        <v>10259973</v>
      </c>
      <c r="G542" s="29" t="str">
        <f>IFERROR(VLOOKUP(A542,New!A:F,4,0),"لا يوجد مواعيد")</f>
        <v>عمر الشريف</v>
      </c>
      <c r="H542" s="29" t="str">
        <f>IFERROR(VLOOKUP(A542,New!A:G,3,0),"لا يوجد مواعيد")</f>
        <v>حدائق الاهرام</v>
      </c>
      <c r="I542" s="29" t="str">
        <f>IFERROR(VLOOKUP(A542,New!A:H,2,0),"لا يوجد مواعيد")</f>
        <v>بوابه حورس</v>
      </c>
    </row>
    <row r="543" spans="1:9">
      <c r="A543" s="29">
        <v>10225640</v>
      </c>
      <c r="B543" s="29" t="s">
        <v>2435</v>
      </c>
      <c r="C543" s="32">
        <v>0.458333333333333</v>
      </c>
      <c r="D543" s="32">
        <v>0.833333333333333</v>
      </c>
      <c r="E543" s="29">
        <f>IFERROR(VLOOKUP(A543,New!A:E,5,0),"لا يوجد مواعيد")</f>
        <v>0</v>
      </c>
      <c r="F543" s="29">
        <f>IFERROR(VLOOKUP(A543,New!A:E,1,0),"لا يوجد مواعيد")</f>
        <v>10225640</v>
      </c>
      <c r="G543" s="29" t="str">
        <f>IFERROR(VLOOKUP(A543,New!A:F,4,0),"لا يوجد مواعيد")</f>
        <v>محمود نجيب</v>
      </c>
      <c r="H543" s="29" t="str">
        <f>IFERROR(VLOOKUP(A543,New!A:G,3,0),"لا يوجد مواعيد")</f>
        <v>حدائق الاهرام</v>
      </c>
      <c r="I543" s="29" t="str">
        <f>IFERROR(VLOOKUP(A543,New!A:H,2,0),"لا يوجد مواعيد")</f>
        <v>بوابة 1</v>
      </c>
    </row>
    <row r="544" spans="1:9">
      <c r="A544" s="29">
        <v>10316685</v>
      </c>
      <c r="B544" s="29" t="s">
        <v>2436</v>
      </c>
      <c r="C544" s="32">
        <v>0.375</v>
      </c>
      <c r="D544" s="32">
        <v>0.75</v>
      </c>
      <c r="E544" s="29" t="str">
        <f>IFERROR(VLOOKUP(A544,New!A:E,5,0),"لا يوجد مواعيد")</f>
        <v>1276379796 /1500299226</v>
      </c>
      <c r="F544" s="29">
        <f>IFERROR(VLOOKUP(A544,New!A:E,1,0),"لا يوجد مواعيد")</f>
        <v>10316685</v>
      </c>
      <c r="G544" s="29" t="str">
        <f>IFERROR(VLOOKUP(A544,New!A:F,4,0),"لا يوجد مواعيد")</f>
        <v>نوران محمد نوبي</v>
      </c>
      <c r="H544" s="29" t="str">
        <f>IFERROR(VLOOKUP(A544,New!A:G,3,0),"لا يوجد مواعيد")</f>
        <v>حدائق القبة</v>
      </c>
      <c r="I544" s="29" t="str">
        <f>IFERROR(VLOOKUP(A544,New!A:H,2,0),"لا يوجد مواعيد")</f>
        <v>الروماني</v>
      </c>
    </row>
    <row r="545" spans="1:9">
      <c r="A545" s="29">
        <v>10316538</v>
      </c>
      <c r="B545" s="29" t="s">
        <v>2437</v>
      </c>
      <c r="C545" s="32">
        <v>0.5</v>
      </c>
      <c r="D545" s="32">
        <v>0.875</v>
      </c>
      <c r="E545" s="29">
        <f>IFERROR(VLOOKUP(A545,New!A:E,5,0),"لا يوجد مواعيد")</f>
        <v>1012900031</v>
      </c>
      <c r="F545" s="29">
        <f>IFERROR(VLOOKUP(A545,New!A:E,1,0),"لا يوجد مواعيد")</f>
        <v>10316538</v>
      </c>
      <c r="G545" s="29" t="str">
        <f>IFERROR(VLOOKUP(A545,New!A:F,4,0),"لا يوجد مواعيد")</f>
        <v>محمد السيد عبد الرحمن</v>
      </c>
      <c r="H545" s="29" t="str">
        <f>IFERROR(VLOOKUP(A545,New!A:G,3,0),"لا يوجد مواعيد")</f>
        <v>الزيتون و مصر الجديدة</v>
      </c>
      <c r="I545" s="29" t="str">
        <f>IFERROR(VLOOKUP(A545,New!A:H,2,0),"لا يوجد مواعيد")</f>
        <v>المحكمة</v>
      </c>
    </row>
    <row r="546" spans="1:9">
      <c r="A546" s="29">
        <v>10320414</v>
      </c>
      <c r="B546" s="29" t="s">
        <v>2438</v>
      </c>
      <c r="C546" s="32">
        <v>0.416666666666667</v>
      </c>
      <c r="D546" s="32">
        <v>0.791666666666667</v>
      </c>
      <c r="E546" s="29">
        <f>IFERROR(VLOOKUP(A546,New!A:E,5,0),"لا يوجد مواعيد")</f>
        <v>1016415631</v>
      </c>
      <c r="F546" s="29">
        <f>IFERROR(VLOOKUP(A546,New!A:E,1,0),"لا يوجد مواعيد")</f>
        <v>10320414</v>
      </c>
      <c r="G546" s="29" t="str">
        <f>IFERROR(VLOOKUP(A546,New!A:F,4,0),"لا يوجد مواعيد")</f>
        <v>فاطمة الزهراء شوقي</v>
      </c>
      <c r="H546" s="29" t="str">
        <f>IFERROR(VLOOKUP(A546,New!A:G,3,0),"لا يوجد مواعيد")</f>
        <v>م - المقطم</v>
      </c>
      <c r="I546" s="29" t="str">
        <f>IFERROR(VLOOKUP(A546,New!A:H,2,0),"لا يوجد مواعيد")</f>
        <v>كريم بنونة</v>
      </c>
    </row>
    <row r="547" spans="1:9">
      <c r="A547" s="29">
        <v>10272259</v>
      </c>
      <c r="B547" s="29" t="s">
        <v>2439</v>
      </c>
      <c r="C547" s="32">
        <v>0.333333333333333</v>
      </c>
      <c r="D547" s="32">
        <v>0.708333333333333</v>
      </c>
      <c r="E547" s="29">
        <f>IFERROR(VLOOKUP(A547,New!A:E,5,0),"لا يوجد مواعيد")</f>
        <v>1121171477</v>
      </c>
      <c r="F547" s="29">
        <f>IFERROR(VLOOKUP(A547,New!A:E,1,0),"لا يوجد مواعيد")</f>
        <v>10272259</v>
      </c>
      <c r="G547" s="29" t="str">
        <f>IFERROR(VLOOKUP(A547,New!A:F,4,0),"لا يوجد مواعيد")</f>
        <v>آية أحمد حسن</v>
      </c>
      <c r="H547" s="29" t="str">
        <f>IFERROR(VLOOKUP(A547,New!A:G,3,0),"لا يوجد مواعيد")</f>
        <v>م - المقطم</v>
      </c>
      <c r="I547" s="29" t="str">
        <f>IFERROR(VLOOKUP(A547,New!A:H,2,0),"لا يوجد مواعيد")</f>
        <v>كريم بنونة</v>
      </c>
    </row>
    <row r="548" spans="1:9">
      <c r="A548" s="29">
        <v>10320407</v>
      </c>
      <c r="B548" s="29" t="s">
        <v>2440</v>
      </c>
      <c r="C548" s="32">
        <v>0.375</v>
      </c>
      <c r="D548" s="32">
        <v>0.875</v>
      </c>
      <c r="E548" s="29">
        <f>IFERROR(VLOOKUP(A548,New!A:E,5,0),"لا يوجد مواعيد")</f>
        <v>1283419417</v>
      </c>
      <c r="F548" s="29">
        <f>IFERROR(VLOOKUP(A548,New!A:E,1,0),"لا يوجد مواعيد")</f>
        <v>10320407</v>
      </c>
      <c r="G548" s="29" t="str">
        <f>IFERROR(VLOOKUP(A548,New!A:F,4,0),"لا يوجد مواعيد")</f>
        <v>مارلين منير</v>
      </c>
      <c r="H548" s="29" t="str">
        <f>IFERROR(VLOOKUP(A548,New!A:G,3,0),"لا يوجد مواعيد")</f>
        <v>فيصل</v>
      </c>
      <c r="I548" s="29" t="str">
        <f>IFERROR(VLOOKUP(A548,New!A:H,2,0),"لا يوجد مواعيد")</f>
        <v>مطبعة</v>
      </c>
    </row>
    <row r="549" spans="1:9">
      <c r="A549" s="29">
        <v>10317522</v>
      </c>
      <c r="B549" s="29" t="s">
        <v>2441</v>
      </c>
      <c r="C549" s="32">
        <v>0.5</v>
      </c>
      <c r="D549" s="32">
        <v>0.875</v>
      </c>
      <c r="E549" s="29">
        <f>IFERROR(VLOOKUP(A549,New!A:E,5,0),"لا يوجد مواعيد")</f>
        <v>1143319202</v>
      </c>
      <c r="F549" s="29">
        <f>IFERROR(VLOOKUP(A549,New!A:E,1,0),"لا يوجد مواعيد")</f>
        <v>10317522</v>
      </c>
      <c r="G549" s="29" t="str">
        <f>IFERROR(VLOOKUP(A549,New!A:F,4,0),"لا يوجد مواعيد")</f>
        <v>احمد هشام</v>
      </c>
      <c r="H549" s="29" t="str">
        <f>IFERROR(VLOOKUP(A549,New!A:G,3,0),"لا يوجد مواعيد")</f>
        <v>فيصل</v>
      </c>
      <c r="I549" s="29" t="str">
        <f>IFERROR(VLOOKUP(A549,New!A:H,2,0),"لا يوجد مواعيد")</f>
        <v>مريوطية</v>
      </c>
    </row>
    <row r="550" spans="1:9">
      <c r="A550" s="29">
        <v>10316540</v>
      </c>
      <c r="B550" s="29" t="s">
        <v>2442</v>
      </c>
      <c r="C550" s="32">
        <v>0.333333333333333</v>
      </c>
      <c r="D550" s="32">
        <v>0.708333333333333</v>
      </c>
      <c r="E550" s="29">
        <f>IFERROR(VLOOKUP(A550,New!A:E,5,0),"لا يوجد مواعيد")</f>
        <v>1065931748</v>
      </c>
      <c r="F550" s="29">
        <f>IFERROR(VLOOKUP(A550,New!A:E,1,0),"لا يوجد مواعيد")</f>
        <v>10316540</v>
      </c>
      <c r="G550" s="29" t="str">
        <f>IFERROR(VLOOKUP(A550,New!A:F,4,0),"لا يوجد مواعيد")</f>
        <v>وفاء محمود النبي</v>
      </c>
      <c r="H550" s="29" t="str">
        <f>IFERROR(VLOOKUP(A550,New!A:G,3,0),"لا يوجد مواعيد")</f>
        <v>فيصل</v>
      </c>
      <c r="I550" s="29" t="str">
        <f>IFERROR(VLOOKUP(A550,New!A:H,2,0),"لا يوجد مواعيد")</f>
        <v>مريوطية</v>
      </c>
    </row>
    <row r="551" spans="1:9">
      <c r="A551" s="29">
        <v>10250963</v>
      </c>
      <c r="B551" s="29" t="s">
        <v>2443</v>
      </c>
      <c r="C551" s="32">
        <v>0.375</v>
      </c>
      <c r="D551" s="32">
        <v>0.75</v>
      </c>
      <c r="E551" s="29">
        <f>IFERROR(VLOOKUP(A551,New!A:E,5,0),"لا يوجد مواعيد")</f>
        <v>1095439627</v>
      </c>
      <c r="F551" s="29">
        <f>IFERROR(VLOOKUP(A551,New!A:E,1,0),"لا يوجد مواعيد")</f>
        <v>10250963</v>
      </c>
      <c r="G551" s="29" t="str">
        <f>IFERROR(VLOOKUP(A551,New!A:F,4,0),"لا يوجد مواعيد")</f>
        <v>دينا حنفي</v>
      </c>
      <c r="H551" s="29" t="str">
        <f>IFERROR(VLOOKUP(A551,New!A:G,3,0),"لا يوجد مواعيد")</f>
        <v>م - الرحاب و التجمع</v>
      </c>
      <c r="I551" s="29" t="str">
        <f>IFERROR(VLOOKUP(A551,New!A:H,2,0),"لا يوجد مواعيد")</f>
        <v>بوابة 13</v>
      </c>
    </row>
    <row r="552" spans="1:9">
      <c r="A552" s="29">
        <v>10317147</v>
      </c>
      <c r="B552" s="29" t="s">
        <v>2444</v>
      </c>
      <c r="C552" s="32">
        <v>0.375</v>
      </c>
      <c r="D552" s="32">
        <v>0.75</v>
      </c>
      <c r="E552" s="29">
        <f>IFERROR(VLOOKUP(A552,New!A:E,5,0),"لا يوجد مواعيد")</f>
        <v>1102081505</v>
      </c>
      <c r="F552" s="29">
        <f>IFERROR(VLOOKUP(A552,New!A:E,1,0),"لا يوجد مواعيد")</f>
        <v>10317147</v>
      </c>
      <c r="G552" s="29" t="str">
        <f>IFERROR(VLOOKUP(A552,New!A:F,4,0),"لا يوجد مواعيد")</f>
        <v>اصالة ابراهيم</v>
      </c>
      <c r="H552" s="29" t="str">
        <f>IFERROR(VLOOKUP(A552,New!A:G,3,0),"لا يوجد مواعيد")</f>
        <v>ي - المعادي</v>
      </c>
      <c r="I552" s="29" t="str">
        <f>IFERROR(VLOOKUP(A552,New!A:H,2,0),"لا يوجد مواعيد")</f>
        <v>المحكمة الدستورية</v>
      </c>
    </row>
    <row r="553" spans="1:9">
      <c r="A553" s="29">
        <v>10306591</v>
      </c>
      <c r="B553" s="29" t="s">
        <v>2445</v>
      </c>
      <c r="C553" s="32">
        <v>0.416666666666667</v>
      </c>
      <c r="D553" s="32">
        <v>0.791666666666667</v>
      </c>
      <c r="E553" s="29">
        <f>IFERROR(VLOOKUP(A553,New!A:E,5,0),"لا يوجد مواعيد")</f>
        <v>1095599069</v>
      </c>
      <c r="F553" s="29">
        <f>IFERROR(VLOOKUP(A553,New!A:E,1,0),"لا يوجد مواعيد")</f>
        <v>10306591</v>
      </c>
      <c r="G553" s="29" t="str">
        <f>IFERROR(VLOOKUP(A553,New!A:F,4,0),"لا يوجد مواعيد")</f>
        <v>كريم أحمد محمد</v>
      </c>
      <c r="H553" s="29" t="str">
        <f>IFERROR(VLOOKUP(A553,New!A:G,3,0),"لا يوجد مواعيد")</f>
        <v>اكتوبر و زايد</v>
      </c>
      <c r="I553" s="29" t="str">
        <f>IFERROR(VLOOKUP(A553,New!A:H,2,0),"لا يوجد مواعيد")</f>
        <v>فودافون</v>
      </c>
    </row>
    <row r="554" spans="1:9">
      <c r="A554" s="29">
        <v>10276839</v>
      </c>
      <c r="B554" s="29" t="s">
        <v>2446</v>
      </c>
      <c r="C554" s="32">
        <v>0.375</v>
      </c>
      <c r="D554" s="32">
        <v>0.75</v>
      </c>
      <c r="E554" s="29">
        <f>IFERROR(VLOOKUP(A554,New!A:E,5,0),"لا يوجد مواعيد")</f>
        <v>1061043124</v>
      </c>
      <c r="F554" s="29">
        <f>IFERROR(VLOOKUP(A554,New!A:E,1,0),"لا يوجد مواعيد")</f>
        <v>10276839</v>
      </c>
      <c r="G554" s="29" t="str">
        <f>IFERROR(VLOOKUP(A554,New!A:F,4,0),"لا يوجد مواعيد")</f>
        <v>ريم علاء</v>
      </c>
      <c r="H554" s="29" t="str">
        <f>IFERROR(VLOOKUP(A554,New!A:G,3,0),"لا يوجد مواعيد")</f>
        <v>م - الرحاب و التجمع</v>
      </c>
      <c r="I554" s="29" t="str">
        <f>IFERROR(VLOOKUP(A554,New!A:H,2,0),"لا يوجد مواعيد")</f>
        <v>بوابة 6</v>
      </c>
    </row>
    <row r="555" spans="1:9">
      <c r="A555" s="29">
        <v>10320435</v>
      </c>
      <c r="B555" s="29" t="s">
        <v>2447</v>
      </c>
      <c r="C555" s="32">
        <v>0.375</v>
      </c>
      <c r="D555" s="32">
        <v>0.75</v>
      </c>
      <c r="E555" s="29">
        <f>IFERROR(VLOOKUP(A555,New!A:E,5,0),"لا يوجد مواعيد")</f>
        <v>1018580780</v>
      </c>
      <c r="F555" s="29">
        <f>IFERROR(VLOOKUP(A555,New!A:E,1,0),"لا يوجد مواعيد")</f>
        <v>10320435</v>
      </c>
      <c r="G555" s="29" t="str">
        <f>IFERROR(VLOOKUP(A555,New!A:F,4,0),"لا يوجد مواعيد")</f>
        <v>سيف عصام عبد الفتاح</v>
      </c>
      <c r="H555" s="29" t="str">
        <f>IFERROR(VLOOKUP(A555,New!A:G,3,0),"لا يوجد مواعيد")</f>
        <v>الزيتون و مصر الجديدة</v>
      </c>
      <c r="I555" s="29" t="str">
        <f>IFERROR(VLOOKUP(A555,New!A:H,2,0),"لا يوجد مواعيد")</f>
        <v>الجراج</v>
      </c>
    </row>
    <row r="556" spans="1:9">
      <c r="A556" s="29">
        <v>10320412</v>
      </c>
      <c r="B556" s="29" t="s">
        <v>2448</v>
      </c>
      <c r="C556" s="32">
        <v>0.5</v>
      </c>
      <c r="D556" s="32">
        <v>0.875</v>
      </c>
      <c r="E556" s="29">
        <f>IFERROR(VLOOKUP(A556,New!A:E,5,0),"لا يوجد مواعيد")</f>
        <v>1096289176</v>
      </c>
      <c r="F556" s="29">
        <f>IFERROR(VLOOKUP(A556,New!A:E,1,0),"لا يوجد مواعيد")</f>
        <v>10320412</v>
      </c>
      <c r="G556" s="29" t="str">
        <f>IFERROR(VLOOKUP(A556,New!A:F,4,0),"لا يوجد مواعيد")</f>
        <v>بسنت حاتم</v>
      </c>
      <c r="H556" s="29" t="str">
        <f>IFERROR(VLOOKUP(A556,New!A:G,3,0),"لا يوجد مواعيد")</f>
        <v>الزيتون و مصر الجديدة</v>
      </c>
      <c r="I556" s="29" t="str">
        <f>IFERROR(VLOOKUP(A556,New!A:H,2,0),"لا يوجد مواعيد")</f>
        <v>هليوبليس</v>
      </c>
    </row>
    <row r="557" spans="1:9">
      <c r="A557" s="29">
        <v>10320409</v>
      </c>
      <c r="B557" s="29" t="s">
        <v>2449</v>
      </c>
      <c r="C557" s="32" t="s">
        <v>1937</v>
      </c>
      <c r="D557" s="32" t="s">
        <v>1937</v>
      </c>
      <c r="E557" s="29">
        <f>IFERROR(VLOOKUP(A557,New!A:E,5,0),"لا يوجد مواعيد")</f>
        <v>1022012888</v>
      </c>
      <c r="F557" s="29">
        <f>IFERROR(VLOOKUP(A557,New!A:E,1,0),"لا يوجد مواعيد")</f>
        <v>10320409</v>
      </c>
      <c r="G557" s="29" t="str">
        <f>IFERROR(VLOOKUP(A557,New!A:F,4,0),"لا يوجد مواعيد")</f>
        <v>يوسف مجدي</v>
      </c>
      <c r="H557" s="29" t="str">
        <f>IFERROR(VLOOKUP(A557,New!A:G,3,0),"لا يوجد مواعيد")</f>
        <v>م - المقطم</v>
      </c>
      <c r="I557" s="29" t="str">
        <f>IFERROR(VLOOKUP(A557,New!A:H,2,0),"لا يوجد مواعيد")</f>
        <v>كريم بنونة</v>
      </c>
    </row>
    <row r="558" spans="1:9">
      <c r="A558" s="29">
        <v>10327293</v>
      </c>
      <c r="B558" s="29" t="s">
        <v>2450</v>
      </c>
      <c r="C558" s="32">
        <v>0.333333333333333</v>
      </c>
      <c r="D558" s="32">
        <v>0.708333333333333</v>
      </c>
      <c r="E558" s="29">
        <f>IFERROR(VLOOKUP(A558,New!A:E,5,0),"لا يوجد مواعيد")</f>
        <v>1159397474</v>
      </c>
      <c r="F558" s="29">
        <f>IFERROR(VLOOKUP(A558,New!A:E,1,0),"لا يوجد مواعيد")</f>
        <v>10327293</v>
      </c>
      <c r="G558" s="29" t="str">
        <f>IFERROR(VLOOKUP(A558,New!A:F,4,0),"لا يوجد مواعيد")</f>
        <v>سلمى حلمي</v>
      </c>
      <c r="H558" s="29" t="str">
        <f>IFERROR(VLOOKUP(A558,New!A:G,3,0),"لا يوجد مواعيد")</f>
        <v>م - الرحاب و التجمع</v>
      </c>
      <c r="I558" s="29" t="str">
        <f>IFERROR(VLOOKUP(A558,New!A:H,2,0),"لا يوجد مواعيد")</f>
        <v>ارابيلا</v>
      </c>
    </row>
    <row r="559" spans="1:9">
      <c r="A559" s="29">
        <v>10327224</v>
      </c>
      <c r="B559" s="29" t="s">
        <v>2451</v>
      </c>
      <c r="C559" s="32" t="s">
        <v>1937</v>
      </c>
      <c r="D559" s="32" t="s">
        <v>1937</v>
      </c>
      <c r="E559" s="29">
        <f>IFERROR(VLOOKUP(A559,New!A:E,5,0),"لا يوجد مواعيد")</f>
        <v>1093126336</v>
      </c>
      <c r="F559" s="29">
        <f>IFERROR(VLOOKUP(A559,New!A:E,1,0),"لا يوجد مواعيد")</f>
        <v>10327224</v>
      </c>
      <c r="G559" s="29" t="str">
        <f>IFERROR(VLOOKUP(A559,New!A:F,4,0),"لا يوجد مواعيد")</f>
        <v>محمد معتز</v>
      </c>
      <c r="H559" s="29" t="str">
        <f>IFERROR(VLOOKUP(A559,New!A:G,3,0),"لا يوجد مواعيد")</f>
        <v>مدينة نصر</v>
      </c>
      <c r="I559" s="29" t="str">
        <f>IFERROR(VLOOKUP(A559,New!A:H,2,0),"لا يوجد مواعيد")</f>
        <v>كشري هند الحي العاشر</v>
      </c>
    </row>
    <row r="560" spans="1:9">
      <c r="A560" s="29">
        <v>10327297</v>
      </c>
      <c r="B560" s="29" t="s">
        <v>2452</v>
      </c>
      <c r="C560" s="32" t="s">
        <v>1952</v>
      </c>
      <c r="D560" s="32" t="s">
        <v>1952</v>
      </c>
      <c r="E560" s="29">
        <f>IFERROR(VLOOKUP(A560,New!A:E,5,0),"لا يوجد مواعيد")</f>
        <v>1122055635</v>
      </c>
      <c r="F560" s="29">
        <f>IFERROR(VLOOKUP(A560,New!A:E,1,0),"لا يوجد مواعيد")</f>
        <v>10327297</v>
      </c>
      <c r="G560" s="29" t="str">
        <f>IFERROR(VLOOKUP(A560,New!A:F,4,0),"لا يوجد مواعيد")</f>
        <v>سارة محمد</v>
      </c>
      <c r="H560" s="29" t="str">
        <f>IFERROR(VLOOKUP(A560,New!A:G,3,0),"لا يوجد مواعيد")</f>
        <v>م - المقطم</v>
      </c>
      <c r="I560" s="29" t="str">
        <f>IFERROR(VLOOKUP(A560,New!A:H,2,0),"لا يوجد مواعيد")</f>
        <v>النافورة</v>
      </c>
    </row>
    <row r="561" spans="1:9">
      <c r="A561" s="29">
        <v>10327295</v>
      </c>
      <c r="B561" s="29" t="s">
        <v>2453</v>
      </c>
      <c r="C561" s="32">
        <v>0.5</v>
      </c>
      <c r="D561" s="32">
        <v>0.875</v>
      </c>
      <c r="E561" s="29" t="str">
        <f>IFERROR(VLOOKUP(A561,New!A:E,5,0),"لا يوجد مواعيد")</f>
        <v>1121433227 / 1121994455</v>
      </c>
      <c r="F561" s="29">
        <f>IFERROR(VLOOKUP(A561,New!A:E,1,0),"لا يوجد مواعيد")</f>
        <v>10327295</v>
      </c>
      <c r="G561" s="29" t="str">
        <f>IFERROR(VLOOKUP(A561,New!A:F,4,0),"لا يوجد مواعيد")</f>
        <v>محمود م. فهمي</v>
      </c>
      <c r="H561" s="29" t="str">
        <f>IFERROR(VLOOKUP(A561,New!A:G,3,0),"لا يوجد مواعيد")</f>
        <v>م - الرحاب و التجمع</v>
      </c>
      <c r="I561" s="29" t="str">
        <f>IFERROR(VLOOKUP(A561,New!A:H,2,0),"لا يوجد مواعيد")</f>
        <v>الجزيرة</v>
      </c>
    </row>
    <row r="562" spans="1:9">
      <c r="A562" s="29">
        <v>10331627</v>
      </c>
      <c r="B562" s="29" t="s">
        <v>2454</v>
      </c>
      <c r="C562" s="32" t="s">
        <v>1952</v>
      </c>
      <c r="D562" s="32" t="s">
        <v>1952</v>
      </c>
      <c r="E562" s="29" t="str">
        <f>IFERROR(VLOOKUP(A562,New!A:E,5,0),"لا يوجد مواعيد")</f>
        <v>1030913747 / 1114060379</v>
      </c>
      <c r="F562" s="29">
        <f>IFERROR(VLOOKUP(A562,New!A:E,1,0),"لا يوجد مواعيد")</f>
        <v>10331627</v>
      </c>
      <c r="G562" s="29" t="str">
        <f>IFERROR(VLOOKUP(A562,New!A:F,4,0),"لا يوجد مواعيد")</f>
        <v>فرح بهاء</v>
      </c>
      <c r="H562" s="29" t="str">
        <f>IFERROR(VLOOKUP(A562,New!A:G,3,0),"لا يوجد مواعيد")</f>
        <v>ي - المعادي</v>
      </c>
      <c r="I562" s="29" t="str">
        <f>IFERROR(VLOOKUP(A562,New!A:H,2,0),"لا يوجد مواعيد")</f>
        <v>اكاديمية السادات</v>
      </c>
    </row>
    <row r="563" spans="1:9">
      <c r="A563" s="29">
        <v>10331651</v>
      </c>
      <c r="B563" s="29" t="s">
        <v>2455</v>
      </c>
      <c r="C563" s="32" t="s">
        <v>1937</v>
      </c>
      <c r="D563" s="32" t="s">
        <v>1937</v>
      </c>
      <c r="E563" s="29">
        <f>IFERROR(VLOOKUP(A563,New!A:E,5,0),"لا يوجد مواعيد")</f>
        <v>1124486001</v>
      </c>
      <c r="F563" s="29">
        <f>IFERROR(VLOOKUP(A563,New!A:E,1,0),"لا يوجد مواعيد")</f>
        <v>10331651</v>
      </c>
      <c r="G563" s="29" t="str">
        <f>IFERROR(VLOOKUP(A563,New!A:F,4,0),"لا يوجد مواعيد")</f>
        <v>معتصم منيب</v>
      </c>
      <c r="H563" s="29" t="str">
        <f>IFERROR(VLOOKUP(A563,New!A:G,3,0),"لا يوجد مواعيد")</f>
        <v>م - الرحاب و التجمع</v>
      </c>
      <c r="I563" s="29" t="str">
        <f>IFERROR(VLOOKUP(A563,New!A:H,2,0),"لا يوجد مواعيد")</f>
        <v>وتر واي</v>
      </c>
    </row>
    <row r="564" spans="1:9">
      <c r="A564" s="29">
        <v>10331708</v>
      </c>
      <c r="B564" s="29" t="s">
        <v>2456</v>
      </c>
      <c r="C564" s="32">
        <v>0.375</v>
      </c>
      <c r="D564" s="32">
        <v>0.75</v>
      </c>
      <c r="E564" s="29">
        <f>IFERROR(VLOOKUP(A564,New!A:E,5,0),"لا يوجد مواعيد")</f>
        <v>1055483869</v>
      </c>
      <c r="F564" s="29">
        <f>IFERROR(VLOOKUP(A564,New!A:E,1,0),"لا يوجد مواعيد")</f>
        <v>10331708</v>
      </c>
      <c r="G564" s="29" t="str">
        <f>IFERROR(VLOOKUP(A564,New!A:F,4,0),"لا يوجد مواعيد")</f>
        <v>نبي محمد</v>
      </c>
      <c r="H564" s="29" t="str">
        <f>IFERROR(VLOOKUP(A564,New!A:G,3,0),"لا يوجد مواعيد")</f>
        <v>الزيتون و مصر الجديدة</v>
      </c>
      <c r="I564" s="29" t="str">
        <f>IFERROR(VLOOKUP(A564,New!A:H,2,0),"لا يوجد مواعيد")</f>
        <v>الجراج</v>
      </c>
    </row>
    <row r="565" spans="1:9">
      <c r="A565" s="29">
        <v>10337074</v>
      </c>
      <c r="B565" s="29" t="s">
        <v>2457</v>
      </c>
      <c r="C565" s="32" t="s">
        <v>1937</v>
      </c>
      <c r="D565" s="32" t="s">
        <v>1937</v>
      </c>
      <c r="E565" s="29">
        <f>IFERROR(VLOOKUP(A565,New!A:E,5,0),"لا يوجد مواعيد")</f>
        <v>1030788901</v>
      </c>
      <c r="F565" s="29">
        <f>IFERROR(VLOOKUP(A565,New!A:E,1,0),"لا يوجد مواعيد")</f>
        <v>10337074</v>
      </c>
      <c r="G565" s="29" t="str">
        <f>IFERROR(VLOOKUP(A565,New!A:F,4,0),"لا يوجد مواعيد")</f>
        <v>هادي فتحي</v>
      </c>
      <c r="H565" s="29" t="str">
        <f>IFERROR(VLOOKUP(A565,New!A:G,3,0),"لا يوجد مواعيد")</f>
        <v>م - الرحاب و التجمع</v>
      </c>
      <c r="I565" s="29" t="str">
        <f>IFERROR(VLOOKUP(A565,New!A:H,2,0),"لا يوجد مواعيد")</f>
        <v>بوابة 13</v>
      </c>
    </row>
    <row r="566" spans="1:9">
      <c r="A566" s="29">
        <v>10337069</v>
      </c>
      <c r="B566" s="29" t="s">
        <v>2458</v>
      </c>
      <c r="C566" s="32">
        <v>0.5</v>
      </c>
      <c r="D566" s="32">
        <v>0.875</v>
      </c>
      <c r="E566" s="29">
        <f>IFERROR(VLOOKUP(A566,New!A:E,5,0),"لا يوجد مواعيد")</f>
        <v>1211552537</v>
      </c>
      <c r="F566" s="29">
        <f>IFERROR(VLOOKUP(A566,New!A:E,1,0),"لا يوجد مواعيد")</f>
        <v>10337069</v>
      </c>
      <c r="G566" s="29" t="str">
        <f>IFERROR(VLOOKUP(A566,New!A:F,4,0),"لا يوجد مواعيد")</f>
        <v>مريم مصطفى</v>
      </c>
      <c r="H566" s="29" t="str">
        <f>IFERROR(VLOOKUP(A566,New!A:G,3,0),"لا يوجد مواعيد")</f>
        <v>م - الرحاب و التجمع</v>
      </c>
      <c r="I566" s="29" t="str">
        <f>IFERROR(VLOOKUP(A566,New!A:H,2,0),"لا يوجد مواعيد")</f>
        <v>بوابة 24</v>
      </c>
    </row>
    <row r="567" spans="1:9">
      <c r="A567" s="29">
        <v>10337193</v>
      </c>
      <c r="B567" s="29" t="s">
        <v>2459</v>
      </c>
      <c r="C567" s="32">
        <v>0.375</v>
      </c>
      <c r="D567" s="32">
        <v>0.75</v>
      </c>
      <c r="E567" s="29">
        <f>IFERROR(VLOOKUP(A567,New!A:E,5,0),"لا يوجد مواعيد")</f>
        <v>1142422826</v>
      </c>
      <c r="F567" s="29">
        <f>IFERROR(VLOOKUP(A567,New!A:E,1,0),"لا يوجد مواعيد")</f>
        <v>10337193</v>
      </c>
      <c r="G567" s="29" t="str">
        <f>IFERROR(VLOOKUP(A567,New!A:F,4,0),"لا يوجد مواعيد")</f>
        <v>مصطفى جاد</v>
      </c>
      <c r="H567" s="29" t="str">
        <f>IFERROR(VLOOKUP(A567,New!A:G,3,0),"لا يوجد مواعيد")</f>
        <v>ي - المعادي</v>
      </c>
      <c r="I567" s="29" t="str">
        <f>IFERROR(VLOOKUP(A567,New!A:H,2,0),"لا يوجد مواعيد")</f>
        <v>اكاديمية السادات</v>
      </c>
    </row>
    <row r="568" spans="1:9">
      <c r="A568" s="29">
        <v>10337038</v>
      </c>
      <c r="B568" s="29" t="s">
        <v>2460</v>
      </c>
      <c r="C568" s="32">
        <v>0.375</v>
      </c>
      <c r="D568" s="32">
        <v>0.75</v>
      </c>
      <c r="E568" s="29">
        <f>IFERROR(VLOOKUP(A568,New!A:E,5,0),"لا يوجد مواعيد")</f>
        <v>1029557588</v>
      </c>
      <c r="F568" s="29">
        <f>IFERROR(VLOOKUP(A568,New!A:E,1,0),"لا يوجد مواعيد")</f>
        <v>10337038</v>
      </c>
      <c r="G568" s="29" t="str">
        <f>IFERROR(VLOOKUP(A568,New!A:F,4,0),"لا يوجد مواعيد")</f>
        <v>محمد عصام صلاح الدين</v>
      </c>
      <c r="H568" s="29" t="str">
        <f>IFERROR(VLOOKUP(A568,New!A:G,3,0),"لا يوجد مواعيد")</f>
        <v>المهندسين</v>
      </c>
      <c r="I568" s="29" t="str">
        <f>IFERROR(VLOOKUP(A568,New!A:H,2,0),"لا يوجد مواعيد")</f>
        <v>ميدان لبنان</v>
      </c>
    </row>
    <row r="569" spans="1:9">
      <c r="A569" s="29">
        <v>10309485</v>
      </c>
      <c r="B569" s="29" t="s">
        <v>2461</v>
      </c>
      <c r="C569" s="32">
        <v>0.5</v>
      </c>
      <c r="D569" s="32">
        <v>0.875</v>
      </c>
      <c r="E569" s="29">
        <f>IFERROR(VLOOKUP(A569,New!A:E,5,0),"لا يوجد مواعيد")</f>
        <v>1146076917</v>
      </c>
      <c r="F569" s="29">
        <f>IFERROR(VLOOKUP(A569,New!A:E,1,0),"لا يوجد مواعيد")</f>
        <v>10309485</v>
      </c>
      <c r="G569" s="29" t="str">
        <f>IFERROR(VLOOKUP(A569,New!A:F,4,0),"لا يوجد مواعيد")</f>
        <v>روان فاروق</v>
      </c>
      <c r="H569" s="29" t="str">
        <f>IFERROR(VLOOKUP(A569,New!A:G,3,0),"لا يوجد مواعيد")</f>
        <v>حلوان و زهراء المعادي</v>
      </c>
      <c r="I569" s="29" t="str">
        <f>IFERROR(VLOOKUP(A569,New!A:H,2,0),"لا يوجد مواعيد")</f>
        <v>سلم البارون</v>
      </c>
    </row>
    <row r="570" spans="1:9">
      <c r="A570" s="29">
        <v>10337017</v>
      </c>
      <c r="B570" s="29" t="s">
        <v>2462</v>
      </c>
      <c r="C570" s="32">
        <v>0.5</v>
      </c>
      <c r="D570" s="32">
        <v>0.875</v>
      </c>
      <c r="E570" s="29">
        <f>IFERROR(VLOOKUP(A570,New!A:E,5,0),"لا يوجد مواعيد")</f>
        <v>1127933488</v>
      </c>
      <c r="F570" s="29">
        <f>IFERROR(VLOOKUP(A570,New!A:E,1,0),"لا يوجد مواعيد")</f>
        <v>10337017</v>
      </c>
      <c r="G570" s="29" t="str">
        <f>IFERROR(VLOOKUP(A570,New!A:F,4,0),"لا يوجد مواعيد")</f>
        <v>رؤى ياسر عبد الرحمن</v>
      </c>
      <c r="H570" s="29" t="str">
        <f>IFERROR(VLOOKUP(A570,New!A:G,3,0),"لا يوجد مواعيد")</f>
        <v>مدينة نصر</v>
      </c>
      <c r="I570" s="29" t="str">
        <f>IFERROR(VLOOKUP(A570,New!A:H,2,0),"لا يوجد مواعيد")</f>
        <v>كشري هند الحي العاشر</v>
      </c>
    </row>
    <row r="571" spans="1:9">
      <c r="A571" s="29">
        <v>10337078</v>
      </c>
      <c r="B571" s="29" t="s">
        <v>2463</v>
      </c>
      <c r="C571" s="32" t="s">
        <v>1952</v>
      </c>
      <c r="D571" s="32" t="s">
        <v>1952</v>
      </c>
      <c r="E571" s="29" t="str">
        <f>IFERROR(VLOOKUP(A571,New!A:E,5,0),"لا يوجد مواعيد")</f>
        <v>1092938026 / 1556487918</v>
      </c>
      <c r="F571" s="29">
        <f>IFERROR(VLOOKUP(A571,New!A:E,1,0),"لا يوجد مواعيد")</f>
        <v>10337078</v>
      </c>
      <c r="G571" s="29" t="str">
        <f>IFERROR(VLOOKUP(A571,New!A:F,4,0),"لا يوجد مواعيد")</f>
        <v>يوسف الجوهري</v>
      </c>
      <c r="H571" s="29" t="str">
        <f>IFERROR(VLOOKUP(A571,New!A:G,3,0),"لا يوجد مواعيد")</f>
        <v>ي - المعادي</v>
      </c>
      <c r="I571" s="29" t="str">
        <f>IFERROR(VLOOKUP(A571,New!A:H,2,0),"لا يوجد مواعيد")</f>
        <v>المحكمة الدستورية</v>
      </c>
    </row>
    <row r="572" spans="1:9">
      <c r="A572" s="29">
        <v>10343270</v>
      </c>
      <c r="B572" s="29" t="s">
        <v>2464</v>
      </c>
      <c r="C572" s="32">
        <v>0.5</v>
      </c>
      <c r="D572" s="32">
        <v>0.875</v>
      </c>
      <c r="E572" s="29">
        <f>IFERROR(VLOOKUP(A572,New!A:E,5,0),"لا يوجد مواعيد")</f>
        <v>1012692499</v>
      </c>
      <c r="F572" s="29">
        <f>IFERROR(VLOOKUP(A572,New!A:E,1,0),"لا يوجد مواعيد")</f>
        <v>10343270</v>
      </c>
      <c r="G572" s="29" t="str">
        <f>IFERROR(VLOOKUP(A572,New!A:F,4,0),"لا يوجد مواعيد")</f>
        <v>مرام عبدالله</v>
      </c>
      <c r="H572" s="29" t="str">
        <f>IFERROR(VLOOKUP(A572,New!A:G,3,0),"لا يوجد مواعيد")</f>
        <v>ي - المعادي</v>
      </c>
      <c r="I572" s="29" t="str">
        <f>IFERROR(VLOOKUP(A572,New!A:H,2,0),"لا يوجد مواعيد")</f>
        <v>شمال طره كورنيش المعادي</v>
      </c>
    </row>
    <row r="573" spans="1:9">
      <c r="A573" s="29">
        <v>10294264</v>
      </c>
      <c r="B573" s="29" t="s">
        <v>2465</v>
      </c>
      <c r="C573" s="32">
        <v>0.5</v>
      </c>
      <c r="D573" s="32">
        <v>0.875</v>
      </c>
      <c r="E573" s="29">
        <f>IFERROR(VLOOKUP(A573,New!A:E,5,0),"لا يوجد مواعيد")</f>
        <v>1027949221</v>
      </c>
      <c r="F573" s="29">
        <f>IFERROR(VLOOKUP(A573,New!A:E,1,0),"لا يوجد مواعيد")</f>
        <v>10294264</v>
      </c>
      <c r="G573" s="29" t="str">
        <f>IFERROR(VLOOKUP(A573,New!A:F,4,0),"لا يوجد مواعيد")</f>
        <v>منى عزت</v>
      </c>
      <c r="H573" s="29" t="str">
        <f>IFERROR(VLOOKUP(A573,New!A:G,3,0),"لا يوجد مواعيد")</f>
        <v>م - المقطم</v>
      </c>
      <c r="I573" s="29" t="str">
        <f>IFERROR(VLOOKUP(A573,New!A:H,2,0),"لا يوجد مواعيد")</f>
        <v>كريم بنونة</v>
      </c>
    </row>
    <row r="574" spans="1:9">
      <c r="A574" s="29">
        <v>10343406</v>
      </c>
      <c r="B574" s="29" t="s">
        <v>2466</v>
      </c>
      <c r="C574" s="32">
        <v>0.5</v>
      </c>
      <c r="D574" s="32">
        <v>0.875</v>
      </c>
      <c r="E574" s="29">
        <f>IFERROR(VLOOKUP(A574,New!A:E,5,0),"لا يوجد مواعيد")</f>
        <v>1022171730</v>
      </c>
      <c r="F574" s="29">
        <f>IFERROR(VLOOKUP(A574,New!A:E,1,0),"لا يوجد مواعيد")</f>
        <v>10343406</v>
      </c>
      <c r="G574" s="29" t="str">
        <f>IFERROR(VLOOKUP(A574,New!A:F,4,0),"لا يوجد مواعيد")</f>
        <v>اكرام عبد المنعم</v>
      </c>
      <c r="H574" s="29" t="str">
        <f>IFERROR(VLOOKUP(A574,New!A:G,3,0),"لا يوجد مواعيد")</f>
        <v>حلوان و زهراء المعادي</v>
      </c>
      <c r="I574" s="29" t="str">
        <f>IFERROR(VLOOKUP(A574,New!A:H,2,0),"لا يوجد مواعيد")</f>
        <v>المعصرة الاتوستراد</v>
      </c>
    </row>
    <row r="575" spans="1:9">
      <c r="A575" s="29">
        <v>10343271</v>
      </c>
      <c r="B575" s="29" t="s">
        <v>2467</v>
      </c>
      <c r="C575" s="32">
        <v>0.333333333333333</v>
      </c>
      <c r="D575" s="32">
        <v>0.708333333333333</v>
      </c>
      <c r="E575" s="29">
        <f>IFERROR(VLOOKUP(A575,New!A:E,5,0),"لا يوجد مواعيد")</f>
        <v>1012997137</v>
      </c>
      <c r="F575" s="29">
        <f>IFERROR(VLOOKUP(A575,New!A:E,1,0),"لا يوجد مواعيد")</f>
        <v>10343271</v>
      </c>
      <c r="G575" s="29" t="str">
        <f>IFERROR(VLOOKUP(A575,New!A:F,4,0),"لا يوجد مواعيد")</f>
        <v>حبيبة عادل</v>
      </c>
      <c r="H575" s="29" t="str">
        <f>IFERROR(VLOOKUP(A575,New!A:G,3,0),"لا يوجد مواعيد")</f>
        <v>المهندسين</v>
      </c>
      <c r="I575" s="29" t="str">
        <f>IFERROR(VLOOKUP(A575,New!A:H,2,0),"لا يوجد مواعيد")</f>
        <v>عمر افندي</v>
      </c>
    </row>
    <row r="576" spans="1:9">
      <c r="A576" s="29">
        <v>10343408</v>
      </c>
      <c r="B576" s="29" t="s">
        <v>2468</v>
      </c>
      <c r="C576" s="32">
        <v>0.333333333333333</v>
      </c>
      <c r="D576" s="32">
        <v>0.708333333333333</v>
      </c>
      <c r="E576" s="29">
        <f>IFERROR(VLOOKUP(A576,New!A:E,5,0),"لا يوجد مواعيد")</f>
        <v>1019247490</v>
      </c>
      <c r="F576" s="29">
        <f>IFERROR(VLOOKUP(A576,New!A:E,1,0),"لا يوجد مواعيد")</f>
        <v>10343408</v>
      </c>
      <c r="G576" s="29" t="str">
        <f>IFERROR(VLOOKUP(A576,New!A:F,4,0),"لا يوجد مواعيد")</f>
        <v>آية أحمد</v>
      </c>
      <c r="H576" s="29" t="str">
        <f>IFERROR(VLOOKUP(A576,New!A:G,3,0),"لا يوجد مواعيد")</f>
        <v>الزيتون و مصر الجديدة</v>
      </c>
      <c r="I576" s="29" t="str">
        <f>IFERROR(VLOOKUP(A576,New!A:H,2,0),"لا يوجد مواعيد")</f>
        <v>المحكمة</v>
      </c>
    </row>
    <row r="577" spans="1:9">
      <c r="A577" s="29">
        <v>10343397</v>
      </c>
      <c r="B577" s="29" t="s">
        <v>2469</v>
      </c>
      <c r="C577" s="32">
        <v>0.375</v>
      </c>
      <c r="D577" s="32">
        <v>0.75</v>
      </c>
      <c r="E577" s="29">
        <f>IFERROR(VLOOKUP(A577,New!A:E,5,0),"لا يوجد مواعيد")</f>
        <v>1112106710</v>
      </c>
      <c r="F577" s="29">
        <f>IFERROR(VLOOKUP(A577,New!A:E,1,0),"لا يوجد مواعيد")</f>
        <v>10343397</v>
      </c>
      <c r="G577" s="29" t="str">
        <f>IFERROR(VLOOKUP(A577,New!A:F,4,0),"لا يوجد مواعيد")</f>
        <v>يسرا مبارك</v>
      </c>
      <c r="H577" s="29" t="str">
        <f>IFERROR(VLOOKUP(A577,New!A:G,3,0),"لا يوجد مواعيد")</f>
        <v>مدينة نصر</v>
      </c>
      <c r="I577" s="29" t="str">
        <f>IFERROR(VLOOKUP(A577,New!A:H,2,0),"لا يوجد مواعيد")</f>
        <v>اول مكرم</v>
      </c>
    </row>
    <row r="578" spans="1:9">
      <c r="A578" s="29">
        <v>10343405</v>
      </c>
      <c r="B578" s="29" t="s">
        <v>2470</v>
      </c>
      <c r="C578" s="32">
        <v>0.5</v>
      </c>
      <c r="D578" s="32">
        <v>0.875</v>
      </c>
      <c r="E578" s="29">
        <f>IFERROR(VLOOKUP(A578,New!A:E,5,0),"لا يوجد مواعيد")</f>
        <v>1065734525</v>
      </c>
      <c r="F578" s="29">
        <f>IFERROR(VLOOKUP(A578,New!A:E,1,0),"لا يوجد مواعيد")</f>
        <v>10343405</v>
      </c>
      <c r="G578" s="29" t="str">
        <f>IFERROR(VLOOKUP(A578,New!A:F,4,0),"لا يوجد مواعيد")</f>
        <v>سلمى محمد علي</v>
      </c>
      <c r="H578" s="29" t="str">
        <f>IFERROR(VLOOKUP(A578,New!A:G,3,0),"لا يوجد مواعيد")</f>
        <v>م - الرحاب و التجمع</v>
      </c>
      <c r="I578" s="29" t="str">
        <f>IFERROR(VLOOKUP(A578,New!A:H,2,0),"لا يوجد مواعيد")</f>
        <v>وتر واي</v>
      </c>
    </row>
    <row r="579" spans="1:9">
      <c r="A579" s="29">
        <v>10343404</v>
      </c>
      <c r="B579" s="29" t="s">
        <v>2471</v>
      </c>
      <c r="C579" s="32">
        <v>0.5</v>
      </c>
      <c r="D579" s="32">
        <v>0.875</v>
      </c>
      <c r="E579" s="29">
        <f>IFERROR(VLOOKUP(A579,New!A:E,5,0),"لا يوجد مواعيد")</f>
        <v>1121452045</v>
      </c>
      <c r="F579" s="29">
        <f>IFERROR(VLOOKUP(A579,New!A:E,1,0),"لا يوجد مواعيد")</f>
        <v>10343404</v>
      </c>
      <c r="G579" s="29" t="str">
        <f>IFERROR(VLOOKUP(A579,New!A:F,4,0),"لا يوجد مواعيد")</f>
        <v>أسامة أنور</v>
      </c>
      <c r="H579" s="29" t="str">
        <f>IFERROR(VLOOKUP(A579,New!A:G,3,0),"لا يوجد مواعيد")</f>
        <v>دائري</v>
      </c>
      <c r="I579" s="29" t="str">
        <f>IFERROR(VLOOKUP(A579,New!A:H,2,0),"لا يوجد مواعيد")</f>
        <v>بهتيم</v>
      </c>
    </row>
    <row r="580" spans="1:9">
      <c r="A580" s="29">
        <v>10343276</v>
      </c>
      <c r="B580" s="29" t="s">
        <v>2472</v>
      </c>
      <c r="C580" s="32">
        <v>0.375</v>
      </c>
      <c r="D580" s="32">
        <v>0.75</v>
      </c>
      <c r="E580" s="29">
        <f>IFERROR(VLOOKUP(A580,New!A:E,5,0),"لا يوجد مواعيد")</f>
        <v>1118082037</v>
      </c>
      <c r="F580" s="29">
        <f>IFERROR(VLOOKUP(A580,New!A:E,1,0),"لا يوجد مواعيد")</f>
        <v>10343276</v>
      </c>
      <c r="G580" s="29" t="str">
        <f>IFERROR(VLOOKUP(A580,New!A:F,4,0),"لا يوجد مواعيد")</f>
        <v>لاما جعفر</v>
      </c>
      <c r="H580" s="29" t="str">
        <f>IFERROR(VLOOKUP(A580,New!A:G,3,0),"لا يوجد مواعيد")</f>
        <v>الزيتون و مصر الجديدة</v>
      </c>
      <c r="I580" s="29" t="str">
        <f>IFERROR(VLOOKUP(A580,New!A:H,2,0),"لا يوجد مواعيد")</f>
        <v>الف مسكن</v>
      </c>
    </row>
    <row r="581" spans="1:9">
      <c r="A581" s="29">
        <v>10343407</v>
      </c>
      <c r="B581" s="29" t="s">
        <v>2473</v>
      </c>
      <c r="C581" s="32">
        <v>0.5</v>
      </c>
      <c r="D581" s="32">
        <v>0.875</v>
      </c>
      <c r="E581" s="29">
        <f>IFERROR(VLOOKUP(A581,New!A:E,5,0),"لا يوجد مواعيد")</f>
        <v>1012764001</v>
      </c>
      <c r="F581" s="29">
        <f>IFERROR(VLOOKUP(A581,New!A:E,1,0),"لا يوجد مواعيد")</f>
        <v>10343407</v>
      </c>
      <c r="G581" s="29" t="str">
        <f>IFERROR(VLOOKUP(A581,New!A:F,4,0),"لا يوجد مواعيد")</f>
        <v>بسمة حسني</v>
      </c>
      <c r="H581" s="29" t="str">
        <f>IFERROR(VLOOKUP(A581,New!A:G,3,0),"لا يوجد مواعيد")</f>
        <v>فيصل</v>
      </c>
      <c r="I581" s="29" t="str">
        <f>IFERROR(VLOOKUP(A581,New!A:H,2,0),"لا يوجد مواعيد")</f>
        <v>الابيض</v>
      </c>
    </row>
    <row r="582" spans="1:9">
      <c r="A582" s="29">
        <v>10343278</v>
      </c>
      <c r="B582" s="29" t="s">
        <v>2474</v>
      </c>
      <c r="C582" s="32" t="s">
        <v>1937</v>
      </c>
      <c r="D582" s="32" t="s">
        <v>1937</v>
      </c>
      <c r="E582" s="29">
        <f>IFERROR(VLOOKUP(A582,New!A:E,5,0),"لا يوجد مواعيد")</f>
        <v>1142822210</v>
      </c>
      <c r="F582" s="29">
        <f>IFERROR(VLOOKUP(A582,New!A:E,1,0),"لا يوجد مواعيد")</f>
        <v>10343278</v>
      </c>
      <c r="G582" s="29" t="str">
        <f>IFERROR(VLOOKUP(A582,New!A:F,4,0),"لا يوجد مواعيد")</f>
        <v>احمد خالد</v>
      </c>
      <c r="H582" s="29" t="str">
        <f>IFERROR(VLOOKUP(A582,New!A:G,3,0),"لا يوجد مواعيد")</f>
        <v>و - مدينتي</v>
      </c>
      <c r="I582" s="29" t="str">
        <f>IFERROR(VLOOKUP(A582,New!A:H,2,0),"لا يوجد مواعيد")</f>
        <v>بوابة 1</v>
      </c>
    </row>
    <row r="583" spans="1:9">
      <c r="A583" s="29">
        <v>10343286</v>
      </c>
      <c r="B583" s="29" t="s">
        <v>2475</v>
      </c>
      <c r="C583" s="32">
        <v>0.375</v>
      </c>
      <c r="D583" s="32">
        <v>0.75</v>
      </c>
      <c r="E583" s="29">
        <f>IFERROR(VLOOKUP(A583,New!A:E,5,0),"لا يوجد مواعيد")</f>
        <v>1005729091</v>
      </c>
      <c r="F583" s="29">
        <f>IFERROR(VLOOKUP(A583,New!A:E,1,0),"لا يوجد مواعيد")</f>
        <v>10343286</v>
      </c>
      <c r="G583" s="29" t="str">
        <f>IFERROR(VLOOKUP(A583,New!A:F,4,0),"لا يوجد مواعيد")</f>
        <v>رغد محمد</v>
      </c>
      <c r="H583" s="29" t="str">
        <f>IFERROR(VLOOKUP(A583,New!A:G,3,0),"لا يوجد مواعيد")</f>
        <v>و - مدينتي</v>
      </c>
      <c r="I583" s="29" t="str">
        <f>IFERROR(VLOOKUP(A583,New!A:H,2,0),"لا يوجد مواعيد")</f>
        <v>بوابة 1</v>
      </c>
    </row>
    <row r="584" spans="1:9">
      <c r="A584" s="29">
        <v>10343287</v>
      </c>
      <c r="B584" s="29" t="s">
        <v>2476</v>
      </c>
      <c r="C584" s="32">
        <v>0.375</v>
      </c>
      <c r="D584" s="32">
        <v>0.75</v>
      </c>
      <c r="E584" s="29">
        <f>IFERROR(VLOOKUP(A584,New!A:E,5,0),"لا يوجد مواعيد")</f>
        <v>1090500604</v>
      </c>
      <c r="F584" s="29">
        <f>IFERROR(VLOOKUP(A584,New!A:E,1,0),"لا يوجد مواعيد")</f>
        <v>10343287</v>
      </c>
      <c r="G584" s="29" t="str">
        <f>IFERROR(VLOOKUP(A584,New!A:F,4,0),"لا يوجد مواعيد")</f>
        <v>ندى عبد المعز</v>
      </c>
      <c r="H584" s="29" t="str">
        <f>IFERROR(VLOOKUP(A584,New!A:G,3,0),"لا يوجد مواعيد")</f>
        <v>حدائق الاهرام</v>
      </c>
      <c r="I584" s="29" t="str">
        <f>IFERROR(VLOOKUP(A584,New!A:H,2,0),"لا يوجد مواعيد")</f>
        <v>بوابة 1</v>
      </c>
    </row>
    <row r="585" spans="1:9">
      <c r="A585" s="29">
        <v>10332448</v>
      </c>
      <c r="B585" s="29" t="s">
        <v>2477</v>
      </c>
      <c r="C585" s="32">
        <v>0.333333333333333</v>
      </c>
      <c r="D585" s="32">
        <v>0.708333333333333</v>
      </c>
      <c r="E585" s="29">
        <f>IFERROR(VLOOKUP(A585,New!A:E,5,0),"لا يوجد مواعيد")</f>
        <v>1115300028</v>
      </c>
      <c r="F585" s="29">
        <f>IFERROR(VLOOKUP(A585,New!A:E,1,0),"لا يوجد مواعيد")</f>
        <v>10332448</v>
      </c>
      <c r="G585" s="29" t="str">
        <f>IFERROR(VLOOKUP(A585,New!A:F,4,0),"لا يوجد مواعيد")</f>
        <v>عبد الرحمن مصطفى</v>
      </c>
      <c r="H585" s="29" t="str">
        <f>IFERROR(VLOOKUP(A585,New!A:G,3,0),"لا يوجد مواعيد")</f>
        <v>م - الرحاب و التجمع</v>
      </c>
      <c r="I585" s="29" t="str">
        <f>IFERROR(VLOOKUP(A585,New!A:H,2,0),"لا يوجد مواعيد")</f>
        <v>وتر واي</v>
      </c>
    </row>
    <row r="586" spans="1:9">
      <c r="A586" s="29">
        <v>10332650</v>
      </c>
      <c r="B586" s="29" t="s">
        <v>2478</v>
      </c>
      <c r="C586" s="32">
        <v>0.5</v>
      </c>
      <c r="D586" s="32">
        <v>0.875</v>
      </c>
      <c r="E586" s="29">
        <f>IFERROR(VLOOKUP(A586,New!A:E,5,0),"لا يوجد مواعيد")</f>
        <v>1557944746</v>
      </c>
      <c r="F586" s="29">
        <f>IFERROR(VLOOKUP(A586,New!A:E,1,0),"لا يوجد مواعيد")</f>
        <v>10332650</v>
      </c>
      <c r="G586" s="29" t="str">
        <f>IFERROR(VLOOKUP(A586,New!A:F,4,0),"لا يوجد مواعيد")</f>
        <v>ايثار عزام</v>
      </c>
      <c r="H586" s="29" t="str">
        <f>IFERROR(VLOOKUP(A586,New!A:G,3,0),"لا يوجد مواعيد")</f>
        <v>المهندسين</v>
      </c>
      <c r="I586" s="29" t="str">
        <f>IFERROR(VLOOKUP(A586,New!A:H,2,0),"لا يوجد مواعيد")</f>
        <v>عمر افندي</v>
      </c>
    </row>
    <row r="587" spans="1:9">
      <c r="A587" s="29">
        <v>10331588</v>
      </c>
      <c r="B587" s="29" t="s">
        <v>2479</v>
      </c>
      <c r="C587" s="32">
        <v>0.375</v>
      </c>
      <c r="D587" s="32">
        <v>0.75</v>
      </c>
      <c r="E587" s="29" t="str">
        <f>IFERROR(VLOOKUP(A587,New!A:E,5,0),"لا يوجد مواعيد")</f>
        <v>1272733362/1276099442</v>
      </c>
      <c r="F587" s="29">
        <f>IFERROR(VLOOKUP(A587,New!A:E,1,0),"لا يوجد مواعيد")</f>
        <v>10331588</v>
      </c>
      <c r="G587" s="29" t="str">
        <f>IFERROR(VLOOKUP(A587,New!A:F,4,0),"لا يوجد مواعيد")</f>
        <v>فرح ماجد</v>
      </c>
      <c r="H587" s="29" t="str">
        <f>IFERROR(VLOOKUP(A587,New!A:G,3,0),"لا يوجد مواعيد")</f>
        <v>م - الرحاب و التجمع</v>
      </c>
      <c r="I587" s="29" t="str">
        <f>IFERROR(VLOOKUP(A587,New!A:H,2,0),"لا يوجد مواعيد")</f>
        <v>الغاز</v>
      </c>
    </row>
    <row r="588" spans="1:9">
      <c r="A588" s="29">
        <v>10332446</v>
      </c>
      <c r="B588" s="29" t="s">
        <v>2480</v>
      </c>
      <c r="C588" s="32" t="s">
        <v>1937</v>
      </c>
      <c r="D588" s="32" t="s">
        <v>1937</v>
      </c>
      <c r="E588" s="29" t="str">
        <f>IFERROR(VLOOKUP(A588,New!A:E,5,0),"لا يوجد مواعيد")</f>
        <v>1005599833 / 1555217461</v>
      </c>
      <c r="F588" s="29">
        <f>IFERROR(VLOOKUP(A588,New!A:E,1,0),"لا يوجد مواعيد")</f>
        <v>10332446</v>
      </c>
      <c r="G588" s="29" t="str">
        <f>IFERROR(VLOOKUP(A588,New!A:F,4,0),"لا يوجد مواعيد")</f>
        <v>فاطمة محمد ابوبكر</v>
      </c>
      <c r="H588" s="29" t="str">
        <f>IFERROR(VLOOKUP(A588,New!A:G,3,0),"لا يوجد مواعيد")</f>
        <v>ي - المعادي</v>
      </c>
      <c r="I588" s="29" t="str">
        <f>IFERROR(VLOOKUP(A588,New!A:H,2,0),"لا يوجد مواعيد")</f>
        <v>شمال طره كورنيش المعادي</v>
      </c>
    </row>
    <row r="589" spans="1:9">
      <c r="A589" s="29">
        <v>10310370</v>
      </c>
      <c r="B589" s="29" t="s">
        <v>2481</v>
      </c>
      <c r="C589" s="32">
        <v>0.5</v>
      </c>
      <c r="D589" s="32">
        <v>0.875</v>
      </c>
      <c r="E589" s="29">
        <f>IFERROR(VLOOKUP(A589,New!A:E,5,0),"لا يوجد مواعيد")</f>
        <v>1279771880</v>
      </c>
      <c r="F589" s="29">
        <f>IFERROR(VLOOKUP(A589,New!A:E,1,0),"لا يوجد مواعيد")</f>
        <v>10310370</v>
      </c>
      <c r="G589" s="29" t="str">
        <f>IFERROR(VLOOKUP(A589,New!A:F,4,0),"لا يوجد مواعيد")</f>
        <v>ميرنا سلامة</v>
      </c>
      <c r="H589" s="29" t="str">
        <f>IFERROR(VLOOKUP(A589,New!A:G,3,0),"لا يوجد مواعيد")</f>
        <v>م - الرحاب و التجمع</v>
      </c>
      <c r="I589" s="29" t="str">
        <f>IFERROR(VLOOKUP(A589,New!A:H,2,0),"لا يوجد مواعيد")</f>
        <v>بوابة 6</v>
      </c>
    </row>
    <row r="590" spans="1:9">
      <c r="A590" s="29">
        <v>10334731</v>
      </c>
      <c r="B590" s="29" t="s">
        <v>2482</v>
      </c>
      <c r="C590" s="32">
        <v>0.375</v>
      </c>
      <c r="D590" s="32">
        <v>0.75</v>
      </c>
      <c r="E590" s="29">
        <f>IFERROR(VLOOKUP(A590,New!A:E,5,0),"لا يوجد مواعيد")</f>
        <v>1005854438</v>
      </c>
      <c r="F590" s="29">
        <f>IFERROR(VLOOKUP(A590,New!A:E,1,0),"لا يوجد مواعيد")</f>
        <v>10334731</v>
      </c>
      <c r="G590" s="29" t="str">
        <f>IFERROR(VLOOKUP(A590,New!A:F,4,0),"لا يوجد مواعيد")</f>
        <v>محمد ربيع</v>
      </c>
      <c r="H590" s="29" t="str">
        <f>IFERROR(VLOOKUP(A590,New!A:G,3,0),"لا يوجد مواعيد")</f>
        <v>فيصل</v>
      </c>
      <c r="I590" s="29" t="str">
        <f>IFERROR(VLOOKUP(A590,New!A:H,2,0),"لا يوجد مواعيد")</f>
        <v>العروبة</v>
      </c>
    </row>
    <row r="591" spans="1:9">
      <c r="A591" s="29">
        <v>10331615</v>
      </c>
      <c r="B591" s="29" t="s">
        <v>2483</v>
      </c>
      <c r="C591" s="32">
        <v>0.333333333333333</v>
      </c>
      <c r="D591" s="32">
        <v>0.541666666666667</v>
      </c>
      <c r="E591" s="29">
        <f>IFERROR(VLOOKUP(A591,New!A:E,5,0),"لا يوجد مواعيد")</f>
        <v>1115383753</v>
      </c>
      <c r="F591" s="29">
        <f>IFERROR(VLOOKUP(A591,New!A:E,1,0),"لا يوجد مواعيد")</f>
        <v>10331615</v>
      </c>
      <c r="G591" s="29" t="str">
        <f>IFERROR(VLOOKUP(A591,New!A:F,4,0),"لا يوجد مواعيد")</f>
        <v>محمد الليثي</v>
      </c>
      <c r="H591" s="29" t="str">
        <f>IFERROR(VLOOKUP(A591,New!A:G,3,0),"لا يوجد مواعيد")</f>
        <v>م - الرحاب و التجمع</v>
      </c>
      <c r="I591" s="29" t="str">
        <f>IFERROR(VLOOKUP(A591,New!A:H,2,0),"لا يوجد مواعيد")</f>
        <v>بوابة 24</v>
      </c>
    </row>
    <row r="592" spans="1:9">
      <c r="A592" s="29">
        <v>10332451</v>
      </c>
      <c r="B592" s="29" t="s">
        <v>2484</v>
      </c>
      <c r="C592" s="32">
        <v>0.5</v>
      </c>
      <c r="D592" s="32">
        <v>0.875</v>
      </c>
      <c r="E592" s="29">
        <f>IFERROR(VLOOKUP(A592,New!A:E,5,0),"لا يوجد مواعيد")</f>
        <v>1557236176</v>
      </c>
      <c r="F592" s="29">
        <f>IFERROR(VLOOKUP(A592,New!A:E,1,0),"لا يوجد مواعيد")</f>
        <v>10332451</v>
      </c>
      <c r="G592" s="29" t="str">
        <f>IFERROR(VLOOKUP(A592,New!A:F,4,0),"لا يوجد مواعيد")</f>
        <v>نور ياسر</v>
      </c>
      <c r="H592" s="29" t="str">
        <f>IFERROR(VLOOKUP(A592,New!A:G,3,0),"لا يوجد مواعيد")</f>
        <v>م - الرحاب و التجمع</v>
      </c>
      <c r="I592" s="29" t="str">
        <f>IFERROR(VLOOKUP(A592,New!A:H,2,0),"لا يوجد مواعيد")</f>
        <v>بوابة 6</v>
      </c>
    </row>
    <row r="593" spans="1:9">
      <c r="A593" s="29">
        <v>10334730</v>
      </c>
      <c r="B593" s="29" t="s">
        <v>2485</v>
      </c>
      <c r="C593" s="32">
        <v>0.375</v>
      </c>
      <c r="D593" s="32">
        <v>0.75</v>
      </c>
      <c r="E593" s="29">
        <f>IFERROR(VLOOKUP(A593,New!A:E,5,0),"لا يوجد مواعيد")</f>
        <v>1274119194</v>
      </c>
      <c r="F593" s="29">
        <f>IFERROR(VLOOKUP(A593,New!A:E,1,0),"لا يوجد مواعيد")</f>
        <v>10334730</v>
      </c>
      <c r="G593" s="29" t="str">
        <f>IFERROR(VLOOKUP(A593,New!A:F,4,0),"لا يوجد مواعيد")</f>
        <v>عمر أسامة</v>
      </c>
      <c r="H593" s="29" t="str">
        <f>IFERROR(VLOOKUP(A593,New!A:G,3,0),"لا يوجد مواعيد")</f>
        <v>مدينة نصر</v>
      </c>
      <c r="I593" s="29" t="str">
        <f>IFERROR(VLOOKUP(A593,New!A:H,2,0),"لا يوجد مواعيد")</f>
        <v>مسجد السلام</v>
      </c>
    </row>
    <row r="594" spans="1:9">
      <c r="A594" s="29">
        <v>10331633</v>
      </c>
      <c r="B594" s="29" t="s">
        <v>2486</v>
      </c>
      <c r="C594" s="32">
        <v>0.375</v>
      </c>
      <c r="D594" s="32">
        <v>0.75</v>
      </c>
      <c r="E594" s="29">
        <f>IFERROR(VLOOKUP(A594,New!A:E,5,0),"لا يوجد مواعيد")</f>
        <v>1091393303</v>
      </c>
      <c r="F594" s="29">
        <f>IFERROR(VLOOKUP(A594,New!A:E,1,0),"لا يوجد مواعيد")</f>
        <v>10331633</v>
      </c>
      <c r="G594" s="29" t="str">
        <f>IFERROR(VLOOKUP(A594,New!A:F,4,0),"لا يوجد مواعيد")</f>
        <v>شيرين سامح</v>
      </c>
      <c r="H594" s="29" t="str">
        <f>IFERROR(VLOOKUP(A594,New!A:G,3,0),"لا يوجد مواعيد")</f>
        <v>و - الشروق</v>
      </c>
      <c r="I594" s="29" t="str">
        <f>IFERROR(VLOOKUP(A594,New!A:H,2,0),"لا يوجد مواعيد")</f>
        <v>كشك اللحمة</v>
      </c>
    </row>
    <row r="595" spans="1:9">
      <c r="A595" s="29">
        <v>10347537</v>
      </c>
      <c r="B595" s="29" t="s">
        <v>2487</v>
      </c>
      <c r="C595" s="32" t="s">
        <v>1937</v>
      </c>
      <c r="D595" s="32" t="s">
        <v>1937</v>
      </c>
      <c r="E595" s="29" t="str">
        <f>IFERROR(VLOOKUP(A595,New!A:E,5,0),"لا يوجد مواعيد")</f>
        <v>1507289885 / 249998331555</v>
      </c>
      <c r="F595" s="29">
        <f>IFERROR(VLOOKUP(A595,New!A:E,1,0),"لا يوجد مواعيد")</f>
        <v>10347537</v>
      </c>
      <c r="G595" s="29" t="str">
        <f>IFERROR(VLOOKUP(A595,New!A:F,4,0),"لا يوجد مواعيد")</f>
        <v>رزان اسماعيل</v>
      </c>
      <c r="H595" s="29" t="str">
        <f>IFERROR(VLOOKUP(A595,New!A:G,3,0),"لا يوجد مواعيد")</f>
        <v>الزيتون و مصر الجديدة</v>
      </c>
      <c r="I595" s="29" t="str">
        <f>IFERROR(VLOOKUP(A595,New!A:H,2,0),"لا يوجد مواعيد")</f>
        <v>روكسي العبودي</v>
      </c>
    </row>
    <row r="596" spans="1:9">
      <c r="A596" s="29">
        <v>10347270</v>
      </c>
      <c r="B596" s="29" t="s">
        <v>2488</v>
      </c>
      <c r="C596" s="32" t="s">
        <v>1937</v>
      </c>
      <c r="D596" s="32" t="s">
        <v>1937</v>
      </c>
      <c r="E596" s="29">
        <f>IFERROR(VLOOKUP(A596,New!A:E,5,0),"لا يوجد مواعيد")</f>
        <v>1032874133</v>
      </c>
      <c r="F596" s="29">
        <f>IFERROR(VLOOKUP(A596,New!A:E,1,0),"لا يوجد مواعيد")</f>
        <v>10347270</v>
      </c>
      <c r="G596" s="29" t="str">
        <f>IFERROR(VLOOKUP(A596,New!A:F,4,0),"لا يوجد مواعيد")</f>
        <v>يارا السيد</v>
      </c>
      <c r="H596" s="29" t="str">
        <f>IFERROR(VLOOKUP(A596,New!A:G,3,0),"لا يوجد مواعيد")</f>
        <v>م - الرحاب و التجمع</v>
      </c>
      <c r="I596" s="29" t="str">
        <f>IFERROR(VLOOKUP(A596,New!A:H,2,0),"لا يوجد مواعيد")</f>
        <v>الجزيرة</v>
      </c>
    </row>
    <row r="597" spans="1:9">
      <c r="A597" s="29">
        <v>10347357</v>
      </c>
      <c r="B597" s="29" t="s">
        <v>2489</v>
      </c>
      <c r="C597" s="32">
        <v>0.375</v>
      </c>
      <c r="D597" s="32">
        <v>0.75</v>
      </c>
      <c r="E597" s="29" t="str">
        <f>IFERROR(VLOOKUP(A597,New!A:E,5,0),"لا يوجد مواعيد")</f>
        <v>1283179991/905301856788</v>
      </c>
      <c r="F597" s="29">
        <f>IFERROR(VLOOKUP(A597,New!A:E,1,0),"لا يوجد مواعيد")</f>
        <v>10347357</v>
      </c>
      <c r="G597" s="29" t="str">
        <f>IFERROR(VLOOKUP(A597,New!A:F,4,0),"لا يوجد مواعيد")</f>
        <v>نوران سامي أحمد</v>
      </c>
      <c r="H597" s="29" t="str">
        <f>IFERROR(VLOOKUP(A597,New!A:G,3,0),"لا يوجد مواعيد")</f>
        <v>و - مدينتي</v>
      </c>
      <c r="I597" s="29" t="str">
        <f>IFERROR(VLOOKUP(A597,New!A:H,2,0),"لا يوجد مواعيد")</f>
        <v>بوابة 1</v>
      </c>
    </row>
    <row r="598" spans="1:9">
      <c r="A598" s="29">
        <v>10347274</v>
      </c>
      <c r="B598" s="29" t="s">
        <v>2490</v>
      </c>
      <c r="C598" s="32">
        <v>0.375</v>
      </c>
      <c r="D598" s="32">
        <v>0.75</v>
      </c>
      <c r="E598" s="29">
        <f>IFERROR(VLOOKUP(A598,New!A:E,5,0),"لا يوجد مواعيد")</f>
        <v>1108718978</v>
      </c>
      <c r="F598" s="29">
        <f>IFERROR(VLOOKUP(A598,New!A:E,1,0),"لا يوجد مواعيد")</f>
        <v>10347274</v>
      </c>
      <c r="G598" s="29" t="str">
        <f>IFERROR(VLOOKUP(A598,New!A:F,4,0),"لا يوجد مواعيد")</f>
        <v>رحيق اسماعيل</v>
      </c>
      <c r="H598" s="29" t="str">
        <f>IFERROR(VLOOKUP(A598,New!A:G,3,0),"لا يوجد مواعيد")</f>
        <v>مدينة نصر</v>
      </c>
      <c r="I598" s="29" t="str">
        <f>IFERROR(VLOOKUP(A598,New!A:H,2,0),"لا يوجد مواعيد")</f>
        <v>اول عباس</v>
      </c>
    </row>
    <row r="599" spans="1:9">
      <c r="A599" s="29">
        <v>10347319</v>
      </c>
      <c r="B599" s="29" t="s">
        <v>2491</v>
      </c>
      <c r="C599" s="32">
        <v>0.375</v>
      </c>
      <c r="D599" s="32">
        <v>0.75</v>
      </c>
      <c r="E599" s="29">
        <f>IFERROR(VLOOKUP(A599,New!A:E,5,0),"لا يوجد مواعيد")</f>
        <v>1117297939</v>
      </c>
      <c r="F599" s="29">
        <f>IFERROR(VLOOKUP(A599,New!A:E,1,0),"لا يوجد مواعيد")</f>
        <v>10347319</v>
      </c>
      <c r="G599" s="29" t="str">
        <f>IFERROR(VLOOKUP(A599,New!A:F,4,0),"لا يوجد مواعيد")</f>
        <v>ديانا طارق</v>
      </c>
      <c r="H599" s="29" t="str">
        <f>IFERROR(VLOOKUP(A599,New!A:G,3,0),"لا يوجد مواعيد")</f>
        <v>العبور</v>
      </c>
      <c r="I599" s="29" t="str">
        <f>IFERROR(VLOOKUP(A599,New!A:H,2,0),"لا يوجد مواعيد")</f>
        <v>كارفور العبور</v>
      </c>
    </row>
    <row r="600" spans="1:9">
      <c r="A600" s="29">
        <v>10347299</v>
      </c>
      <c r="B600" s="29" t="s">
        <v>2492</v>
      </c>
      <c r="C600" s="32">
        <v>0.5</v>
      </c>
      <c r="D600" s="32">
        <v>0.875</v>
      </c>
      <c r="E600" s="29">
        <f>IFERROR(VLOOKUP(A600,New!A:E,5,0),"لا يوجد مواعيد")</f>
        <v>1200050553</v>
      </c>
      <c r="F600" s="29">
        <f>IFERROR(VLOOKUP(A600,New!A:E,1,0),"لا يوجد مواعيد")</f>
        <v>10347299</v>
      </c>
      <c r="G600" s="29" t="str">
        <f>IFERROR(VLOOKUP(A600,New!A:F,4,0),"لا يوجد مواعيد")</f>
        <v>ندى مندور</v>
      </c>
      <c r="H600" s="29" t="str">
        <f>IFERROR(VLOOKUP(A600,New!A:G,3,0),"لا يوجد مواعيد")</f>
        <v>الزيتون و مصر الجديدة</v>
      </c>
      <c r="I600" s="29" t="str">
        <f>IFERROR(VLOOKUP(A600,New!A:H,2,0),"لا يوجد مواعيد")</f>
        <v>روكسي العبودي</v>
      </c>
    </row>
    <row r="601" spans="1:9">
      <c r="A601" s="29">
        <v>10347380</v>
      </c>
      <c r="B601" s="29" t="s">
        <v>2493</v>
      </c>
      <c r="C601" s="32">
        <v>0.5</v>
      </c>
      <c r="D601" s="32">
        <v>0.875</v>
      </c>
      <c r="E601" s="29">
        <f>IFERROR(VLOOKUP(A601,New!A:E,5,0),"لا يوجد مواعيد")</f>
        <v>1001473220</v>
      </c>
      <c r="F601" s="29">
        <f>IFERROR(VLOOKUP(A601,New!A:E,1,0),"لا يوجد مواعيد")</f>
        <v>10347380</v>
      </c>
      <c r="G601" s="29" t="str">
        <f>IFERROR(VLOOKUP(A601,New!A:F,4,0),"لا يوجد مواعيد")</f>
        <v>ياسمين ايهاب</v>
      </c>
      <c r="H601" s="29" t="str">
        <f>IFERROR(VLOOKUP(A601,New!A:G,3,0),"لا يوجد مواعيد")</f>
        <v>م - المقطم</v>
      </c>
      <c r="I601" s="29" t="str">
        <f>IFERROR(VLOOKUP(A601,New!A:H,2,0),"لا يوجد مواعيد")</f>
        <v>كريم بنونة</v>
      </c>
    </row>
    <row r="602" spans="1:9">
      <c r="A602" s="29">
        <v>10285489</v>
      </c>
      <c r="B602" s="29" t="s">
        <v>2494</v>
      </c>
      <c r="C602" s="32">
        <v>0.5</v>
      </c>
      <c r="D602" s="32">
        <v>0.875</v>
      </c>
      <c r="E602" s="29">
        <f>IFERROR(VLOOKUP(A602,New!A:E,5,0),"لا يوجد مواعيد")</f>
        <v>1026740215</v>
      </c>
      <c r="F602" s="29">
        <f>IFERROR(VLOOKUP(A602,New!A:E,1,0),"لا يوجد مواعيد")</f>
        <v>10285489</v>
      </c>
      <c r="G602" s="29" t="str">
        <f>IFERROR(VLOOKUP(A602,New!A:F,4,0),"لا يوجد مواعيد")</f>
        <v>ميار ايمن علي</v>
      </c>
      <c r="H602" s="29" t="str">
        <f>IFERROR(VLOOKUP(A602,New!A:G,3,0),"لا يوجد مواعيد")</f>
        <v>فيصل</v>
      </c>
      <c r="I602" s="29" t="str">
        <f>IFERROR(VLOOKUP(A602,New!A:H,2,0),"لا يوجد مواعيد")</f>
        <v>الابيض</v>
      </c>
    </row>
    <row r="603" spans="1:9">
      <c r="A603" s="29">
        <v>10334246</v>
      </c>
      <c r="B603" s="29" t="s">
        <v>2495</v>
      </c>
      <c r="C603" s="32" t="s">
        <v>1937</v>
      </c>
      <c r="D603" s="32" t="s">
        <v>1937</v>
      </c>
      <c r="E603" s="29">
        <f>IFERROR(VLOOKUP(A603,New!A:E,5,0),"لا يوجد مواعيد")</f>
        <v>1211337764</v>
      </c>
      <c r="F603" s="29">
        <f>IFERROR(VLOOKUP(A603,New!A:E,1,0),"لا يوجد مواعيد")</f>
        <v>10334246</v>
      </c>
      <c r="G603" s="29" t="str">
        <f>IFERROR(VLOOKUP(A603,New!A:F,4,0),"لا يوجد مواعيد")</f>
        <v>آنا جورج</v>
      </c>
      <c r="H603" s="29" t="str">
        <f>IFERROR(VLOOKUP(A603,New!A:G,3,0),"لا يوجد مواعيد")</f>
        <v>شبرا</v>
      </c>
      <c r="I603" s="29" t="str">
        <f>IFERROR(VLOOKUP(A603,New!A:H,2,0),"لا يوجد مواعيد")</f>
        <v>التوحيد و النور</v>
      </c>
    </row>
    <row r="604" spans="1:9">
      <c r="A604" s="29">
        <v>10334247</v>
      </c>
      <c r="B604" s="29" t="s">
        <v>2496</v>
      </c>
      <c r="C604" s="32">
        <v>0.5</v>
      </c>
      <c r="D604" s="32">
        <v>0.875</v>
      </c>
      <c r="E604" s="29">
        <f>IFERROR(VLOOKUP(A604,New!A:E,5,0),"لا يوجد مواعيد")</f>
        <v>1276707977</v>
      </c>
      <c r="F604" s="29">
        <f>IFERROR(VLOOKUP(A604,New!A:E,1,0),"لا يوجد مواعيد")</f>
        <v>10334247</v>
      </c>
      <c r="G604" s="29" t="str">
        <f>IFERROR(VLOOKUP(A604,New!A:F,4,0),"لا يوجد مواعيد")</f>
        <v>حبيبة نصار</v>
      </c>
      <c r="H604" s="29" t="str">
        <f>IFERROR(VLOOKUP(A604,New!A:G,3,0),"لا يوجد مواعيد")</f>
        <v>العبور</v>
      </c>
      <c r="I604" s="29" t="str">
        <f>IFERROR(VLOOKUP(A604,New!A:H,2,0),"لا يوجد مواعيد")</f>
        <v>كارفور العبور</v>
      </c>
    </row>
    <row r="605" spans="1:9">
      <c r="A605" s="29">
        <v>10334245</v>
      </c>
      <c r="B605" s="29" t="s">
        <v>2497</v>
      </c>
      <c r="C605" s="32" t="s">
        <v>1937</v>
      </c>
      <c r="D605" s="32" t="s">
        <v>1937</v>
      </c>
      <c r="E605" s="29">
        <f>IFERROR(VLOOKUP(A605,New!A:E,5,0),"لا يوجد مواعيد")</f>
        <v>1003219481</v>
      </c>
      <c r="F605" s="29">
        <f>IFERROR(VLOOKUP(A605,New!A:E,1,0),"لا يوجد مواعيد")</f>
        <v>10334245</v>
      </c>
      <c r="G605" s="29" t="str">
        <f>IFERROR(VLOOKUP(A605,New!A:F,4,0),"لا يوجد مواعيد")</f>
        <v>ميار أشرف</v>
      </c>
      <c r="H605" s="29" t="str">
        <f>IFERROR(VLOOKUP(A605,New!A:G,3,0),"لا يوجد مواعيد")</f>
        <v>الزيتون و مصر الجديدة</v>
      </c>
      <c r="I605" s="29" t="str">
        <f>IFERROR(VLOOKUP(A605,New!A:H,2,0),"لا يوجد مواعيد")</f>
        <v>الجراج</v>
      </c>
    </row>
    <row r="606" spans="1:9">
      <c r="A606" s="29">
        <v>10334248</v>
      </c>
      <c r="B606" s="29" t="s">
        <v>2498</v>
      </c>
      <c r="C606" s="32">
        <v>0.333333333333333</v>
      </c>
      <c r="D606" s="32">
        <v>0.708333333333333</v>
      </c>
      <c r="E606" s="29">
        <f>IFERROR(VLOOKUP(A606,New!A:E,5,0),"لا يوجد مواعيد")</f>
        <v>1116487479</v>
      </c>
      <c r="F606" s="29">
        <f>IFERROR(VLOOKUP(A606,New!A:E,1,0),"لا يوجد مواعيد")</f>
        <v>10334248</v>
      </c>
      <c r="G606" s="29" t="str">
        <f>IFERROR(VLOOKUP(A606,New!A:F,4,0),"لا يوجد مواعيد")</f>
        <v>ياسمين سيد</v>
      </c>
      <c r="H606" s="29" t="str">
        <f>IFERROR(VLOOKUP(A606,New!A:G,3,0),"لا يوجد مواعيد")</f>
        <v>العبور</v>
      </c>
      <c r="I606" s="29" t="str">
        <f>IFERROR(VLOOKUP(A606,New!A:H,2,0),"لا يوجد مواعيد")</f>
        <v>كارفور العبور</v>
      </c>
    </row>
    <row r="607" spans="1:9">
      <c r="A607" s="29">
        <v>10347285</v>
      </c>
      <c r="B607" s="29" t="s">
        <v>2499</v>
      </c>
      <c r="C607" s="32" t="s">
        <v>1937</v>
      </c>
      <c r="D607" s="32" t="s">
        <v>1937</v>
      </c>
      <c r="E607" s="29">
        <f>IFERROR(VLOOKUP(A607,New!A:E,5,0),"لا يوجد مواعيد")</f>
        <v>1286209830</v>
      </c>
      <c r="F607" s="29">
        <f>IFERROR(VLOOKUP(A607,New!A:E,1,0),"لا يوجد مواعيد")</f>
        <v>10347285</v>
      </c>
      <c r="G607" s="29" t="str">
        <f>IFERROR(VLOOKUP(A607,New!A:F,4,0),"لا يوجد مواعيد")</f>
        <v>شيرين هشام</v>
      </c>
      <c r="H607" s="29" t="str">
        <f>IFERROR(VLOOKUP(A607,New!A:G,3,0),"لا يوجد مواعيد")</f>
        <v>م - الرحاب و التجمع</v>
      </c>
      <c r="I607" s="29" t="str">
        <f>IFERROR(VLOOKUP(A607,New!A:H,2,0),"لا يوجد مواعيد")</f>
        <v>بوابة 24</v>
      </c>
    </row>
    <row r="608" spans="1:9">
      <c r="A608" s="29">
        <v>10347283</v>
      </c>
      <c r="B608" s="29" t="s">
        <v>2500</v>
      </c>
      <c r="C608" s="32" t="s">
        <v>1937</v>
      </c>
      <c r="D608" s="32" t="s">
        <v>1937</v>
      </c>
      <c r="E608" s="29">
        <f>IFERROR(VLOOKUP(A608,New!A:E,5,0),"لا يوجد مواعيد")</f>
        <v>1016826235</v>
      </c>
      <c r="F608" s="29">
        <f>IFERROR(VLOOKUP(A608,New!A:E,1,0),"لا يوجد مواعيد")</f>
        <v>10347283</v>
      </c>
      <c r="G608" s="29" t="str">
        <f>IFERROR(VLOOKUP(A608,New!A:F,4,0),"لا يوجد مواعيد")</f>
        <v>روني ماثيو</v>
      </c>
      <c r="H608" s="29" t="str">
        <f>IFERROR(VLOOKUP(A608,New!A:G,3,0),"لا يوجد مواعيد")</f>
        <v>مدينة نصر</v>
      </c>
      <c r="I608" s="29" t="str">
        <f>IFERROR(VLOOKUP(A608,New!A:H,2,0),"لا يوجد مواعيد")</f>
        <v>كشري هند الحي العاشر</v>
      </c>
    </row>
    <row r="609" spans="1:9">
      <c r="A609" s="29">
        <v>10347312</v>
      </c>
      <c r="B609" s="29" t="s">
        <v>2501</v>
      </c>
      <c r="C609" s="32" t="s">
        <v>1937</v>
      </c>
      <c r="D609" s="32" t="s">
        <v>1937</v>
      </c>
      <c r="E609" s="29">
        <f>IFERROR(VLOOKUP(A609,New!A:E,5,0),"لا يوجد مواعيد")</f>
        <v>1222544740</v>
      </c>
      <c r="F609" s="29">
        <f>IFERROR(VLOOKUP(A609,New!A:E,1,0),"لا يوجد مواعيد")</f>
        <v>10347312</v>
      </c>
      <c r="G609" s="29" t="str">
        <f>IFERROR(VLOOKUP(A609,New!A:F,4,0),"لا يوجد مواعيد")</f>
        <v>بهاء محمد</v>
      </c>
      <c r="H609" s="29" t="str">
        <f>IFERROR(VLOOKUP(A609,New!A:G,3,0),"لا يوجد مواعيد")</f>
        <v>م - الرحاب و التجمع</v>
      </c>
      <c r="I609" s="29" t="str">
        <f>IFERROR(VLOOKUP(A609,New!A:H,2,0),"لا يوجد مواعيد")</f>
        <v>الجزيرة</v>
      </c>
    </row>
    <row r="610" spans="1:9">
      <c r="A610" s="29">
        <v>10347346</v>
      </c>
      <c r="B610" s="29" t="s">
        <v>2502</v>
      </c>
      <c r="C610" s="32">
        <v>0.5</v>
      </c>
      <c r="D610" s="32">
        <v>0.875</v>
      </c>
      <c r="E610" s="29">
        <f>IFERROR(VLOOKUP(A610,New!A:E,5,0),"لا يوجد مواعيد")</f>
        <v>1002498107</v>
      </c>
      <c r="F610" s="29">
        <f>IFERROR(VLOOKUP(A610,New!A:E,1,0),"لا يوجد مواعيد")</f>
        <v>10347346</v>
      </c>
      <c r="G610" s="29" t="str">
        <f>IFERROR(VLOOKUP(A610,New!A:F,4,0),"لا يوجد مواعيد")</f>
        <v>احمد سمير</v>
      </c>
      <c r="H610" s="29" t="str">
        <f>IFERROR(VLOOKUP(A610,New!A:G,3,0),"لا يوجد مواعيد")</f>
        <v>م - الرحاب و التجمع</v>
      </c>
      <c r="I610" s="29" t="str">
        <f>IFERROR(VLOOKUP(A610,New!A:H,2,0),"لا يوجد مواعيد")</f>
        <v>بوابة 24</v>
      </c>
    </row>
    <row r="611" spans="1:9">
      <c r="A611" s="29">
        <v>10347318</v>
      </c>
      <c r="B611" s="29" t="s">
        <v>2503</v>
      </c>
      <c r="C611" s="32">
        <v>0.333333333333333</v>
      </c>
      <c r="D611" s="32">
        <v>0.708333333333333</v>
      </c>
      <c r="E611" s="29">
        <f>IFERROR(VLOOKUP(A611,New!A:E,5,0),"لا يوجد مواعيد")</f>
        <v>1012805735</v>
      </c>
      <c r="F611" s="29">
        <f>IFERROR(VLOOKUP(A611,New!A:E,1,0),"لا يوجد مواعيد")</f>
        <v>10347318</v>
      </c>
      <c r="G611" s="29" t="str">
        <f>IFERROR(VLOOKUP(A611,New!A:F,4,0),"لا يوجد مواعيد")</f>
        <v>ماريشيا جورج</v>
      </c>
      <c r="H611" s="29" t="str">
        <f>IFERROR(VLOOKUP(A611,New!A:G,3,0),"لا يوجد مواعيد")</f>
        <v>ي - المعادي</v>
      </c>
      <c r="I611" s="29" t="str">
        <f>IFERROR(VLOOKUP(A611,New!A:H,2,0),"لا يوجد مواعيد")</f>
        <v>اكاديمية السادات</v>
      </c>
    </row>
    <row r="612" spans="1:9">
      <c r="A612" s="29">
        <v>10347267</v>
      </c>
      <c r="B612" s="29" t="s">
        <v>2504</v>
      </c>
      <c r="C612" s="32">
        <v>0.5</v>
      </c>
      <c r="D612" s="32">
        <v>0.875</v>
      </c>
      <c r="E612" s="29" t="str">
        <f>IFERROR(VLOOKUP(A612,New!A:E,5,0),"لا يوجد مواعيد")</f>
        <v>1004868050 / 1223400410</v>
      </c>
      <c r="F612" s="29">
        <f>IFERROR(VLOOKUP(A612,New!A:E,1,0),"لا يوجد مواعيد")</f>
        <v>10347267</v>
      </c>
      <c r="G612" s="29" t="str">
        <f>IFERROR(VLOOKUP(A612,New!A:F,4,0),"لا يوجد مواعيد")</f>
        <v>دينا عادل</v>
      </c>
      <c r="H612" s="29" t="str">
        <f>IFERROR(VLOOKUP(A612,New!A:G,3,0),"لا يوجد مواعيد")</f>
        <v>الزيتون و مصر الجديدة</v>
      </c>
      <c r="I612" s="29" t="str">
        <f>IFERROR(VLOOKUP(A612,New!A:H,2,0),"لا يوجد مواعيد")</f>
        <v>روكسي العبودي</v>
      </c>
    </row>
    <row r="613" spans="1:9">
      <c r="A613" s="29">
        <v>10317520</v>
      </c>
      <c r="B613" s="29" t="s">
        <v>2505</v>
      </c>
      <c r="C613" s="32">
        <v>0.375</v>
      </c>
      <c r="D613" s="32">
        <v>0.75</v>
      </c>
      <c r="E613" s="29">
        <f>IFERROR(VLOOKUP(A613,New!A:E,5,0),"لا يوجد مواعيد")</f>
        <v>1014483395</v>
      </c>
      <c r="F613" s="29">
        <f>IFERROR(VLOOKUP(A613,New!A:E,1,0),"لا يوجد مواعيد")</f>
        <v>10317520</v>
      </c>
      <c r="G613" s="29" t="str">
        <f>IFERROR(VLOOKUP(A613,New!A:F,4,0),"لا يوجد مواعيد")</f>
        <v>فريدة محمد جادالكريم</v>
      </c>
      <c r="H613" s="29" t="str">
        <f>IFERROR(VLOOKUP(A613,New!A:G,3,0),"لا يوجد مواعيد")</f>
        <v>و - الشروق</v>
      </c>
      <c r="I613" s="29" t="str">
        <f>IFERROR(VLOOKUP(A613,New!A:H,2,0),"لا يوجد مواعيد")</f>
        <v>كشك اللحمة</v>
      </c>
    </row>
    <row r="614" spans="1:9">
      <c r="A614" s="29">
        <v>10316650</v>
      </c>
      <c r="B614" s="29" t="s">
        <v>2506</v>
      </c>
      <c r="C614" s="32">
        <v>0.375</v>
      </c>
      <c r="D614" s="32">
        <v>0.75</v>
      </c>
      <c r="E614" s="29">
        <f>IFERROR(VLOOKUP(A614,New!A:E,5,0),"لا يوجد مواعيد")</f>
        <v>1145210040</v>
      </c>
      <c r="F614" s="29">
        <f>IFERROR(VLOOKUP(A614,New!A:E,1,0),"لا يوجد مواعيد")</f>
        <v>10316650</v>
      </c>
      <c r="G614" s="29" t="str">
        <f>IFERROR(VLOOKUP(A614,New!A:F,4,0),"لا يوجد مواعيد")</f>
        <v>هنا محمد عفيفي</v>
      </c>
      <c r="H614" s="29" t="str">
        <f>IFERROR(VLOOKUP(A614,New!A:G,3,0),"لا يوجد مواعيد")</f>
        <v>مدينة نصر</v>
      </c>
      <c r="I614" s="29" t="str">
        <f>IFERROR(VLOOKUP(A614,New!A:H,2,0),"لا يوجد مواعيد")</f>
        <v>كشري هند الحي العاشر</v>
      </c>
    </row>
    <row r="615" spans="1:9">
      <c r="A615" s="29">
        <v>10317521</v>
      </c>
      <c r="B615" s="29" t="s">
        <v>2507</v>
      </c>
      <c r="C615" s="32">
        <v>0.375</v>
      </c>
      <c r="D615" s="32">
        <v>0.75</v>
      </c>
      <c r="E615" s="29">
        <f>IFERROR(VLOOKUP(A615,New!A:E,5,0),"لا يوجد مواعيد")</f>
        <v>1005722377</v>
      </c>
      <c r="F615" s="29">
        <f>IFERROR(VLOOKUP(A615,New!A:E,1,0),"لا يوجد مواعيد")</f>
        <v>10317521</v>
      </c>
      <c r="G615" s="29" t="str">
        <f>IFERROR(VLOOKUP(A615,New!A:F,4,0),"لا يوجد مواعيد")</f>
        <v>مريم محمد جدالكريم</v>
      </c>
      <c r="H615" s="29" t="str">
        <f>IFERROR(VLOOKUP(A615,New!A:G,3,0),"لا يوجد مواعيد")</f>
        <v>و - الشروق</v>
      </c>
      <c r="I615" s="29" t="str">
        <f>IFERROR(VLOOKUP(A615,New!A:H,2,0),"لا يوجد مواعيد")</f>
        <v>كشك اللحمة</v>
      </c>
    </row>
    <row r="616" spans="1:9">
      <c r="A616" s="29">
        <v>10252106</v>
      </c>
      <c r="B616" s="29" t="s">
        <v>2508</v>
      </c>
      <c r="C616" s="32">
        <v>0.375</v>
      </c>
      <c r="D616" s="32">
        <v>0.75</v>
      </c>
      <c r="E616" s="29">
        <f>IFERROR(VLOOKUP(A616,New!A:E,5,0),"لا يوجد مواعيد")</f>
        <v>1206785647</v>
      </c>
      <c r="F616" s="29">
        <f>IFERROR(VLOOKUP(A616,New!A:E,1,0),"لا يوجد مواعيد")</f>
        <v>10252106</v>
      </c>
      <c r="G616" s="29" t="str">
        <f>IFERROR(VLOOKUP(A616,New!A:F,4,0),"لا يوجد مواعيد")</f>
        <v>ماريناس الحسيني</v>
      </c>
      <c r="H616" s="29" t="str">
        <f>IFERROR(VLOOKUP(A616,New!A:G,3,0),"لا يوجد مواعيد")</f>
        <v>م - الرحاب و التجمع</v>
      </c>
      <c r="I616" s="29" t="str">
        <f>IFERROR(VLOOKUP(A616,New!A:H,2,0),"لا يوجد مواعيد")</f>
        <v>بوابة 24</v>
      </c>
    </row>
    <row r="617" spans="1:9">
      <c r="A617" s="29">
        <v>10293607</v>
      </c>
      <c r="B617" s="29" t="s">
        <v>2509</v>
      </c>
      <c r="C617" s="32">
        <v>0.375</v>
      </c>
      <c r="D617" s="32">
        <v>0.75</v>
      </c>
      <c r="E617" s="29">
        <f>IFERROR(VLOOKUP(A617,New!A:E,5,0),"لا يوجد مواعيد")</f>
        <v>1277423380</v>
      </c>
      <c r="F617" s="29">
        <f>IFERROR(VLOOKUP(A617,New!A:E,1,0),"لا يوجد مواعيد")</f>
        <v>10293607</v>
      </c>
      <c r="G617" s="29" t="str">
        <f>IFERROR(VLOOKUP(A617,New!A:F,4,0),"لا يوجد مواعيد")</f>
        <v>محمد عماد حسن</v>
      </c>
      <c r="H617" s="29" t="str">
        <f>IFERROR(VLOOKUP(A617,New!A:G,3,0),"لا يوجد مواعيد")</f>
        <v>م - الرحاب و التجمع</v>
      </c>
      <c r="I617" s="29" t="str">
        <f>IFERROR(VLOOKUP(A617,New!A:H,2,0),"لا يوجد مواعيد")</f>
        <v>بوابة 13</v>
      </c>
    </row>
    <row r="618" spans="1:9">
      <c r="A618" s="29">
        <v>10331521</v>
      </c>
      <c r="B618" s="29" t="s">
        <v>2510</v>
      </c>
      <c r="C618" s="32">
        <v>0.375</v>
      </c>
      <c r="D618" s="32">
        <v>0.75</v>
      </c>
      <c r="E618" s="29">
        <f>IFERROR(VLOOKUP(A618,New!A:E,5,0),"لا يوجد مواعيد")</f>
        <v>1060286972</v>
      </c>
      <c r="F618" s="29">
        <f>IFERROR(VLOOKUP(A618,New!A:E,1,0),"لا يوجد مواعيد")</f>
        <v>10331521</v>
      </c>
      <c r="G618" s="29" t="str">
        <f>IFERROR(VLOOKUP(A618,New!A:F,4,0),"لا يوجد مواعيد")</f>
        <v>سلمى مصطفى</v>
      </c>
      <c r="H618" s="29" t="str">
        <f>IFERROR(VLOOKUP(A618,New!A:G,3,0),"لا يوجد مواعيد")</f>
        <v>حلوان و زهراء المعادي</v>
      </c>
      <c r="I618" s="29" t="str">
        <f>IFERROR(VLOOKUP(A618,New!A:H,2,0),"لا يوجد مواعيد")</f>
        <v>التوحيد و النور</v>
      </c>
    </row>
    <row r="619" spans="1:9">
      <c r="A619" s="29">
        <v>10327299</v>
      </c>
      <c r="B619" s="29" t="s">
        <v>2511</v>
      </c>
      <c r="C619" s="32">
        <v>0.375</v>
      </c>
      <c r="D619" s="32">
        <v>0.75</v>
      </c>
      <c r="E619" s="29">
        <f>IFERROR(VLOOKUP(A619,New!A:E,5,0),"لا يوجد مواعيد")</f>
        <v>1273242707</v>
      </c>
      <c r="F619" s="29">
        <f>IFERROR(VLOOKUP(A619,New!A:E,1,0),"لا يوجد مواعيد")</f>
        <v>10327299</v>
      </c>
      <c r="G619" s="29" t="str">
        <f>IFERROR(VLOOKUP(A619,New!A:F,4,0),"لا يوجد مواعيد")</f>
        <v>عبد الرحمن محمد</v>
      </c>
      <c r="H619" s="29" t="str">
        <f>IFERROR(VLOOKUP(A619,New!A:G,3,0),"لا يوجد مواعيد")</f>
        <v>مدينة نصر</v>
      </c>
      <c r="I619" s="29" t="str">
        <f>IFERROR(VLOOKUP(A619,New!A:H,2,0),"لا يوجد مواعيد")</f>
        <v>كشري هند الحي العاشر</v>
      </c>
    </row>
    <row r="620" spans="1:9">
      <c r="A620" s="29">
        <v>10320413</v>
      </c>
      <c r="B620" s="29" t="s">
        <v>2512</v>
      </c>
      <c r="C620" s="32">
        <v>0.375</v>
      </c>
      <c r="D620" s="32">
        <v>0.75</v>
      </c>
      <c r="E620" s="29" t="str">
        <f>IFERROR(VLOOKUP(A620,New!A:E,5,0),"لا يوجد مواعيد")</f>
        <v>‪1144135983</v>
      </c>
      <c r="F620" s="29">
        <f>IFERROR(VLOOKUP(A620,New!A:E,1,0),"لا يوجد مواعيد")</f>
        <v>10320413</v>
      </c>
      <c r="G620" s="29" t="str">
        <f>IFERROR(VLOOKUP(A620,New!A:F,4,0),"لا يوجد مواعيد")</f>
        <v>علاء أسامة</v>
      </c>
      <c r="H620" s="29" t="str">
        <f>IFERROR(VLOOKUP(A620,New!A:G,3,0),"لا يوجد مواعيد")</f>
        <v>فيصل</v>
      </c>
      <c r="I620" s="29" t="str">
        <f>IFERROR(VLOOKUP(A620,New!A:H,2,0),"لا يوجد مواعيد")</f>
        <v>الابيض</v>
      </c>
    </row>
    <row r="621" spans="1:9">
      <c r="A621" s="29">
        <v>10331625</v>
      </c>
      <c r="B621" s="29" t="s">
        <v>2513</v>
      </c>
      <c r="C621" s="32">
        <v>0.375</v>
      </c>
      <c r="D621" s="32">
        <v>0.75</v>
      </c>
      <c r="E621" s="29">
        <f>IFERROR(VLOOKUP(A621,New!A:E,5,0),"لا يوجد مواعيد")</f>
        <v>1278222833</v>
      </c>
      <c r="F621" s="29">
        <f>IFERROR(VLOOKUP(A621,New!A:E,1,0),"لا يوجد مواعيد")</f>
        <v>10331625</v>
      </c>
      <c r="G621" s="29" t="str">
        <f>IFERROR(VLOOKUP(A621,New!A:F,4,0),"لا يوجد مواعيد")</f>
        <v>سامح ابو زيد</v>
      </c>
      <c r="H621" s="29" t="str">
        <f>IFERROR(VLOOKUP(A621,New!A:G,3,0),"لا يوجد مواعيد")</f>
        <v>م - الرحاب و التجمع</v>
      </c>
      <c r="I621" s="29" t="str">
        <f>IFERROR(VLOOKUP(A621,New!A:H,2,0),"لا يوجد مواعيد")</f>
        <v>بوابة 6</v>
      </c>
    </row>
    <row r="622" spans="1:9">
      <c r="A622" s="29">
        <v>10327356</v>
      </c>
      <c r="B622" s="29" t="s">
        <v>2514</v>
      </c>
      <c r="C622" s="32">
        <v>0.375</v>
      </c>
      <c r="D622" s="32">
        <v>0.75</v>
      </c>
      <c r="E622" s="29">
        <f>IFERROR(VLOOKUP(A622,New!A:E,5,0),"لا يوجد مواعيد")</f>
        <v>1070686887</v>
      </c>
      <c r="F622" s="29">
        <f>IFERROR(VLOOKUP(A622,New!A:E,1,0),"لا يوجد مواعيد")</f>
        <v>10327356</v>
      </c>
      <c r="G622" s="29" t="str">
        <f>IFERROR(VLOOKUP(A622,New!A:F,4,0),"لا يوجد مواعيد")</f>
        <v>صفاء جمعة</v>
      </c>
      <c r="H622" s="29" t="str">
        <f>IFERROR(VLOOKUP(A622,New!A:G,3,0),"لا يوجد مواعيد")</f>
        <v>و - الشروق</v>
      </c>
      <c r="I622" s="29" t="str">
        <f>IFERROR(VLOOKUP(A622,New!A:H,2,0),"لا يوجد مواعيد")</f>
        <v>كشك اللحمة</v>
      </c>
    </row>
    <row r="623" spans="1:9">
      <c r="A623" s="29">
        <v>10316618</v>
      </c>
      <c r="B623" s="29" t="s">
        <v>2515</v>
      </c>
      <c r="C623" s="32">
        <v>0.375</v>
      </c>
      <c r="D623" s="32">
        <v>0.75</v>
      </c>
      <c r="E623" s="29">
        <f>IFERROR(VLOOKUP(A623,New!A:E,5,0),"لا يوجد مواعيد")</f>
        <v>1278276206</v>
      </c>
      <c r="F623" s="29">
        <f>IFERROR(VLOOKUP(A623,New!A:E,1,0),"لا يوجد مواعيد")</f>
        <v>10316618</v>
      </c>
      <c r="G623" s="29" t="str">
        <f>IFERROR(VLOOKUP(A623,New!A:F,4,0),"لا يوجد مواعيد")</f>
        <v>كارين محروس لاوندي</v>
      </c>
      <c r="H623" s="29" t="str">
        <f>IFERROR(VLOOKUP(A623,New!A:G,3,0),"لا يوجد مواعيد")</f>
        <v>حدائق القبة</v>
      </c>
      <c r="I623" s="29" t="str">
        <f>IFERROR(VLOOKUP(A623,New!A:H,2,0),"لا يوجد مواعيد")</f>
        <v>ولي العهد</v>
      </c>
    </row>
    <row r="624" spans="1:9">
      <c r="A624" s="29">
        <v>10316545</v>
      </c>
      <c r="B624" s="29" t="s">
        <v>2516</v>
      </c>
      <c r="C624" s="32">
        <v>0.375</v>
      </c>
      <c r="D624" s="32">
        <v>0.75</v>
      </c>
      <c r="E624" s="29">
        <f>IFERROR(VLOOKUP(A624,New!A:E,5,0),"لا يوجد مواعيد")</f>
        <v>1093599893</v>
      </c>
      <c r="F624" s="29">
        <f>IFERROR(VLOOKUP(A624,New!A:E,1,0),"لا يوجد مواعيد")</f>
        <v>10316545</v>
      </c>
      <c r="G624" s="29" t="str">
        <f>IFERROR(VLOOKUP(A624,New!A:F,4,0),"لا يوجد مواعيد")</f>
        <v>ندى مصباح</v>
      </c>
      <c r="H624" s="29" t="str">
        <f>IFERROR(VLOOKUP(A624,New!A:G,3,0),"لا يوجد مواعيد")</f>
        <v>حلوان و زهراء المعادي</v>
      </c>
      <c r="I624" s="29" t="str">
        <f>IFERROR(VLOOKUP(A624,New!A:H,2,0),"لا يوجد مواعيد")</f>
        <v>المعصرة الاتوستراد</v>
      </c>
    </row>
    <row r="625" spans="1:9">
      <c r="A625" s="29">
        <v>10316683</v>
      </c>
      <c r="B625" s="29" t="s">
        <v>2517</v>
      </c>
      <c r="C625" s="32">
        <v>0.375</v>
      </c>
      <c r="D625" s="32">
        <v>0.75</v>
      </c>
      <c r="E625" s="29">
        <f>IFERROR(VLOOKUP(A625,New!A:E,5,0),"لا يوجد مواعيد")</f>
        <v>1007139007</v>
      </c>
      <c r="F625" s="29">
        <f>IFERROR(VLOOKUP(A625,New!A:E,1,0),"لا يوجد مواعيد")</f>
        <v>10316683</v>
      </c>
      <c r="G625" s="29" t="str">
        <f>IFERROR(VLOOKUP(A625,New!A:F,4,0),"لا يوجد مواعيد")</f>
        <v>شهد باسم سميح عبد العزيز</v>
      </c>
      <c r="H625" s="29" t="str">
        <f>IFERROR(VLOOKUP(A625,New!A:G,3,0),"لا يوجد مواعيد")</f>
        <v>حلوان و زهراء المعادي</v>
      </c>
      <c r="I625" s="29" t="str">
        <f>IFERROR(VLOOKUP(A625,New!A:H,2,0),"لا يوجد مواعيد")</f>
        <v>سلم البارون</v>
      </c>
    </row>
    <row r="626" spans="1:9">
      <c r="A626" s="29">
        <v>10316681</v>
      </c>
      <c r="B626" s="29" t="s">
        <v>2518</v>
      </c>
      <c r="C626" s="32">
        <v>0.375</v>
      </c>
      <c r="D626" s="32">
        <v>0.75</v>
      </c>
      <c r="E626" s="29">
        <f>IFERROR(VLOOKUP(A626,New!A:E,5,0),"لا يوجد مواعيد")</f>
        <v>1127772858</v>
      </c>
      <c r="F626" s="29">
        <f>IFERROR(VLOOKUP(A626,New!A:E,1,0),"لا يوجد مواعيد")</f>
        <v>10316681</v>
      </c>
      <c r="G626" s="29" t="str">
        <f>IFERROR(VLOOKUP(A626,New!A:F,4,0),"لا يوجد مواعيد")</f>
        <v>حبيبة محمد</v>
      </c>
      <c r="H626" s="29" t="str">
        <f>IFERROR(VLOOKUP(A626,New!A:G,3,0),"لا يوجد مواعيد")</f>
        <v>فيصل</v>
      </c>
      <c r="I626" s="29" t="str">
        <f>IFERROR(VLOOKUP(A626,New!A:H,2,0),"لا يوجد مواعيد")</f>
        <v>طوابق</v>
      </c>
    </row>
    <row r="627" spans="1:9">
      <c r="A627" s="29">
        <v>10316543</v>
      </c>
      <c r="B627" s="29" t="s">
        <v>2519</v>
      </c>
      <c r="C627" s="32">
        <v>0.375</v>
      </c>
      <c r="D627" s="32">
        <v>0.75</v>
      </c>
      <c r="E627" s="29">
        <f>IFERROR(VLOOKUP(A627,New!A:E,5,0),"لا يوجد مواعيد")</f>
        <v>1007280599</v>
      </c>
      <c r="F627" s="29">
        <f>IFERROR(VLOOKUP(A627,New!A:E,1,0),"لا يوجد مواعيد")</f>
        <v>10316543</v>
      </c>
      <c r="G627" s="29" t="str">
        <f>IFERROR(VLOOKUP(A627,New!A:F,4,0),"لا يوجد مواعيد")</f>
        <v>خالد حاتم الزعفراني</v>
      </c>
      <c r="H627" s="29" t="str">
        <f>IFERROR(VLOOKUP(A627,New!A:G,3,0),"لا يوجد مواعيد")</f>
        <v>الزيتون و مصر الجديدة</v>
      </c>
      <c r="I627" s="29" t="str">
        <f>IFERROR(VLOOKUP(A627,New!A:H,2,0),"لا يوجد مواعيد")</f>
        <v>الف مسكن</v>
      </c>
    </row>
    <row r="628" spans="1:9">
      <c r="A628" s="29">
        <v>10272463</v>
      </c>
      <c r="B628" s="29" t="s">
        <v>2520</v>
      </c>
      <c r="C628" s="32" t="s">
        <v>286</v>
      </c>
      <c r="D628" s="32" t="s">
        <v>286</v>
      </c>
      <c r="E628" s="29">
        <f>IFERROR(VLOOKUP(A628,New!A:E,5,0),"لا يوجد مواعيد")</f>
        <v>1120804953</v>
      </c>
      <c r="F628" s="29">
        <f>IFERROR(VLOOKUP(A628,New!A:E,1,0),"لا يوجد مواعيد")</f>
        <v>10272463</v>
      </c>
      <c r="G628" s="29" t="str">
        <f>IFERROR(VLOOKUP(A628,New!A:F,4,0),"لا يوجد مواعيد")</f>
        <v>تيم ليدر - محمد سعيد</v>
      </c>
      <c r="H628" s="29" t="str">
        <f>IFERROR(VLOOKUP(A628,New!A:G,3,0),"لا يوجد مواعيد")</f>
        <v>فيصل</v>
      </c>
      <c r="I628" s="29" t="str">
        <f>IFERROR(VLOOKUP(A628,New!A:H,2,0),"لا يوجد مواعيد")</f>
        <v>التعاون</v>
      </c>
    </row>
    <row r="629" spans="1:9">
      <c r="A629" s="29">
        <v>10282174</v>
      </c>
      <c r="B629" s="29" t="s">
        <v>2521</v>
      </c>
      <c r="C629" s="32" t="s">
        <v>286</v>
      </c>
      <c r="D629" s="32" t="s">
        <v>286</v>
      </c>
      <c r="E629" s="29">
        <f>IFERROR(VLOOKUP(A629,New!A:E,5,0),"لا يوجد مواعيد")</f>
        <v>1117622582</v>
      </c>
      <c r="F629" s="29">
        <f>IFERROR(VLOOKUP(A629,New!A:E,1,0),"لا يوجد مواعيد")</f>
        <v>10282174</v>
      </c>
      <c r="G629" s="29" t="str">
        <f>IFERROR(VLOOKUP(A629,New!A:F,4,0),"لا يوجد مواعيد")</f>
        <v>ضحى محمد علي</v>
      </c>
      <c r="H629" s="29" t="str">
        <f>IFERROR(VLOOKUP(A629,New!A:G,3,0),"لا يوجد مواعيد")</f>
        <v>دائري</v>
      </c>
      <c r="I629" s="29" t="str">
        <f>IFERROR(VLOOKUP(A629,New!A:H,2,0),"لا يوجد مواعيد")</f>
        <v>دائري المرج</v>
      </c>
    </row>
    <row r="630" spans="1:9">
      <c r="A630" s="29">
        <v>10304633</v>
      </c>
      <c r="B630" s="29" t="s">
        <v>2522</v>
      </c>
      <c r="C630" s="32" t="s">
        <v>286</v>
      </c>
      <c r="D630" s="32" t="s">
        <v>286</v>
      </c>
      <c r="E630" s="29">
        <f>IFERROR(VLOOKUP(A630,New!A:E,5,0),"لا يوجد مواعيد")</f>
        <v>1223250740</v>
      </c>
      <c r="F630" s="29">
        <f>IFERROR(VLOOKUP(A630,New!A:E,1,0),"لا يوجد مواعيد")</f>
        <v>10304633</v>
      </c>
      <c r="G630" s="29" t="str">
        <f>IFERROR(VLOOKUP(A630,New!A:F,4,0),"لا يوجد مواعيد")</f>
        <v>مارينا ثروت</v>
      </c>
      <c r="H630" s="29" t="str">
        <f>IFERROR(VLOOKUP(A630,New!A:G,3,0),"لا يوجد مواعيد")</f>
        <v>اكتوبر و زايد</v>
      </c>
      <c r="I630" s="29" t="str">
        <f>IFERROR(VLOOKUP(A630,New!A:H,2,0),"لا يوجد مواعيد")</f>
        <v>هايبر 1</v>
      </c>
    </row>
    <row r="631" spans="1:9">
      <c r="A631" s="29">
        <v>10304628</v>
      </c>
      <c r="B631" s="29" t="s">
        <v>2523</v>
      </c>
      <c r="C631" s="32">
        <v>0.416666666666667</v>
      </c>
      <c r="D631" s="32">
        <v>0.791666666666667</v>
      </c>
      <c r="E631" s="29">
        <f>IFERROR(VLOOKUP(A631,New!A:E,5,0),"لا يوجد مواعيد")</f>
        <v>1016620399</v>
      </c>
      <c r="F631" s="29">
        <f>IFERROR(VLOOKUP(A631,New!A:E,1,0),"لا يوجد مواعيد")</f>
        <v>10304628</v>
      </c>
      <c r="G631" s="29" t="str">
        <f>IFERROR(VLOOKUP(A631,New!A:F,4,0),"لا يوجد مواعيد")</f>
        <v>سارة احمد</v>
      </c>
      <c r="H631" s="29" t="str">
        <f>IFERROR(VLOOKUP(A631,New!A:G,3,0),"لا يوجد مواعيد")</f>
        <v>حلوان و زهراء المعادي</v>
      </c>
      <c r="I631" s="29" t="str">
        <f>IFERROR(VLOOKUP(A631,New!A:H,2,0),"لا يوجد مواعيد")</f>
        <v>التوحيد و النور</v>
      </c>
    </row>
    <row r="632" spans="1:9">
      <c r="A632" s="29">
        <v>10325072</v>
      </c>
      <c r="B632" s="29" t="s">
        <v>2524</v>
      </c>
      <c r="C632" s="32">
        <v>0.458333333333333</v>
      </c>
      <c r="D632" s="32">
        <v>0.833333333333333</v>
      </c>
      <c r="E632" s="29">
        <f>IFERROR(VLOOKUP(A632,New!A:E,5,0),"لا يوجد مواعيد")</f>
        <v>1110676565</v>
      </c>
      <c r="F632" s="29">
        <f>IFERROR(VLOOKUP(A632,New!A:E,1,0),"لا يوجد مواعيد")</f>
        <v>10325072</v>
      </c>
      <c r="G632" s="29" t="str">
        <f>IFERROR(VLOOKUP(A632,New!A:F,4,0),"لا يوجد مواعيد")</f>
        <v>كريم هندي</v>
      </c>
      <c r="H632" s="29" t="str">
        <f>IFERROR(VLOOKUP(A632,New!A:G,3,0),"لا يوجد مواعيد")</f>
        <v>حلوان و زهراء المعادي</v>
      </c>
      <c r="I632" s="29" t="str">
        <f>IFERROR(VLOOKUP(A632,New!A:H,2,0),"لا يوجد مواعيد")</f>
        <v>سلم صقر قريش</v>
      </c>
    </row>
    <row r="633" spans="1:9">
      <c r="A633" s="29">
        <v>10323545</v>
      </c>
      <c r="B633" s="29" t="s">
        <v>2525</v>
      </c>
      <c r="C633" s="32">
        <v>0.416666666666667</v>
      </c>
      <c r="D633" s="32">
        <v>0.791666666666667</v>
      </c>
      <c r="E633" s="29">
        <f>IFERROR(VLOOKUP(A633,New!A:E,5,0),"لا يوجد مواعيد")</f>
        <v>1111299309</v>
      </c>
      <c r="F633" s="29">
        <f>IFERROR(VLOOKUP(A633,New!A:E,1,0),"لا يوجد مواعيد")</f>
        <v>10323545</v>
      </c>
      <c r="G633" s="29" t="str">
        <f>IFERROR(VLOOKUP(A633,New!A:F,4,0),"لا يوجد مواعيد")</f>
        <v>رنا امير</v>
      </c>
      <c r="H633" s="29" t="str">
        <f>IFERROR(VLOOKUP(A633,New!A:G,3,0),"لا يوجد مواعيد")</f>
        <v>مدينة نصر</v>
      </c>
      <c r="I633" s="29" t="str">
        <f>IFERROR(VLOOKUP(A633,New!A:H,2,0),"لا يوجد مواعيد")</f>
        <v>كشري هند الحي العاشر</v>
      </c>
    </row>
    <row r="634" spans="1:9">
      <c r="A634" s="29">
        <v>10326471</v>
      </c>
      <c r="B634" s="29" t="s">
        <v>2526</v>
      </c>
      <c r="C634" s="32" t="s">
        <v>2087</v>
      </c>
      <c r="D634" s="32" t="s">
        <v>2087</v>
      </c>
      <c r="E634" s="29">
        <f>IFERROR(VLOOKUP(A634,New!A:E,5,0),"لا يوجد مواعيد")</f>
        <v>1500131177</v>
      </c>
      <c r="F634" s="29">
        <f>IFERROR(VLOOKUP(A634,New!A:E,1,0),"لا يوجد مواعيد")</f>
        <v>10326471</v>
      </c>
      <c r="G634" s="29" t="str">
        <f>IFERROR(VLOOKUP(A634,New!A:F,4,0),"لا يوجد مواعيد")</f>
        <v>رزان محمد</v>
      </c>
      <c r="H634" s="29" t="str">
        <f>IFERROR(VLOOKUP(A634,New!A:G,3,0),"لا يوجد مواعيد")</f>
        <v>و - مدينتي</v>
      </c>
      <c r="I634" s="29" t="str">
        <f>IFERROR(VLOOKUP(A634,New!A:H,2,0),"لا يوجد مواعيد")</f>
        <v>بوابة 1</v>
      </c>
    </row>
    <row r="635" spans="1:9">
      <c r="A635" s="29">
        <v>10295541</v>
      </c>
      <c r="B635" s="29" t="s">
        <v>2527</v>
      </c>
      <c r="C635" s="32">
        <v>0.458333333333333</v>
      </c>
      <c r="D635" s="32">
        <v>0.833333333333333</v>
      </c>
      <c r="E635" s="29">
        <f>IFERROR(VLOOKUP(A635,New!A:E,5,0),"لا يوجد مواعيد")</f>
        <v>1156617485</v>
      </c>
      <c r="F635" s="29">
        <f>IFERROR(VLOOKUP(A635,New!A:E,1,0),"لا يوجد مواعيد")</f>
        <v>10295541</v>
      </c>
      <c r="G635" s="29" t="str">
        <f>IFERROR(VLOOKUP(A635,New!A:F,4,0),"لا يوجد مواعيد")</f>
        <v>فاطمة احمد</v>
      </c>
      <c r="H635" s="29" t="str">
        <f>IFERROR(VLOOKUP(A635,New!A:G,3,0),"لا يوجد مواعيد")</f>
        <v>حلوان و زهراء المعادي</v>
      </c>
      <c r="I635" s="29" t="str">
        <f>IFERROR(VLOOKUP(A635,New!A:H,2,0),"لا يوجد مواعيد")</f>
        <v>سلم صقر قريش</v>
      </c>
    </row>
    <row r="636" spans="1:9">
      <c r="A636" s="29">
        <v>10299940</v>
      </c>
      <c r="B636" s="29" t="s">
        <v>2528</v>
      </c>
      <c r="C636" s="32" t="s">
        <v>286</v>
      </c>
      <c r="D636" s="32" t="s">
        <v>286</v>
      </c>
      <c r="E636" s="29" t="str">
        <f>IFERROR(VLOOKUP(A636,New!A:E,5,0),"لا يوجد مواعيد")</f>
        <v>1069220414 - 1558070338</v>
      </c>
      <c r="F636" s="29">
        <f>IFERROR(VLOOKUP(A636,New!A:E,1,0),"لا يوجد مواعيد")</f>
        <v>10299940</v>
      </c>
      <c r="G636" s="29" t="str">
        <f>IFERROR(VLOOKUP(A636,New!A:F,4,0),"لا يوجد مواعيد")</f>
        <v>مهند أحمد عبد الحكيم</v>
      </c>
      <c r="H636" s="29" t="str">
        <f>IFERROR(VLOOKUP(A636,New!A:G,3,0),"لا يوجد مواعيد")</f>
        <v>حلوان و زهراء المعادي</v>
      </c>
      <c r="I636" s="29" t="str">
        <f>IFERROR(VLOOKUP(A636,New!A:H,2,0),"لا يوجد مواعيد")</f>
        <v>صالح صبحي</v>
      </c>
    </row>
    <row r="637" spans="1:9">
      <c r="A637" s="29">
        <v>10295542</v>
      </c>
      <c r="B637" s="29" t="s">
        <v>2529</v>
      </c>
      <c r="C637" s="32" t="s">
        <v>2087</v>
      </c>
      <c r="D637" s="32" t="s">
        <v>2087</v>
      </c>
      <c r="E637" s="29">
        <f>IFERROR(VLOOKUP(A637,New!A:E,5,0),"لا يوجد مواعيد")</f>
        <v>1092081930</v>
      </c>
      <c r="F637" s="29">
        <f>IFERROR(VLOOKUP(A637,New!A:E,1,0),"لا يوجد مواعيد")</f>
        <v>10295542</v>
      </c>
      <c r="G637" s="29" t="str">
        <f>IFERROR(VLOOKUP(A637,New!A:F,4,0),"لا يوجد مواعيد")</f>
        <v>فاطمة بهاء محمد</v>
      </c>
      <c r="H637" s="29" t="str">
        <f>IFERROR(VLOOKUP(A637,New!A:G,3,0),"لا يوجد مواعيد")</f>
        <v>الزيتون و مصر الجديدة</v>
      </c>
      <c r="I637" s="29" t="str">
        <f>IFERROR(VLOOKUP(A637,New!A:H,2,0),"لا يوجد مواعيد")</f>
        <v>الجراج</v>
      </c>
    </row>
    <row r="638" spans="1:9">
      <c r="A638" s="29">
        <v>10281254</v>
      </c>
      <c r="B638" s="29" t="s">
        <v>2530</v>
      </c>
      <c r="C638" s="32">
        <v>0.625</v>
      </c>
      <c r="D638" s="32">
        <v>0</v>
      </c>
      <c r="E638" s="29">
        <f>IFERROR(VLOOKUP(A638,New!A:E,5,0),"لا يوجد مواعيد")</f>
        <v>1551378712</v>
      </c>
      <c r="F638" s="29">
        <f>IFERROR(VLOOKUP(A638,New!A:E,1,0),"لا يوجد مواعيد")</f>
        <v>10281254</v>
      </c>
      <c r="G638" s="29" t="str">
        <f>IFERROR(VLOOKUP(A638,New!A:F,4,0),"لا يوجد مواعيد")</f>
        <v>عبد السلام هشام</v>
      </c>
      <c r="H638" s="29" t="str">
        <f>IFERROR(VLOOKUP(A638,New!A:G,3,0),"لا يوجد مواعيد")</f>
        <v>المهندسين</v>
      </c>
      <c r="I638" s="29" t="str">
        <f>IFERROR(VLOOKUP(A638,New!A:H,2,0),"لا يوجد مواعيد")</f>
        <v>عمر افندي</v>
      </c>
    </row>
    <row r="639" spans="1:9">
      <c r="A639" s="29">
        <v>10299936</v>
      </c>
      <c r="B639" s="29" t="s">
        <v>2074</v>
      </c>
      <c r="C639" s="32" t="s">
        <v>1898</v>
      </c>
      <c r="D639" s="32" t="s">
        <v>1898</v>
      </c>
      <c r="E639" s="29">
        <f>IFERROR(VLOOKUP(A639,New!A:E,5,0),"لا يوجد مواعيد")</f>
        <v>1559178988</v>
      </c>
      <c r="F639" s="29">
        <f>IFERROR(VLOOKUP(A639,New!A:E,1,0),"لا يوجد مواعيد")</f>
        <v>10299936</v>
      </c>
      <c r="G639" s="29" t="str">
        <f>IFERROR(VLOOKUP(A639,New!A:F,4,0),"لا يوجد مواعيد")</f>
        <v>حسن اسامة</v>
      </c>
      <c r="H639" s="29" t="str">
        <f>IFERROR(VLOOKUP(A639,New!A:G,3,0),"لا يوجد مواعيد")</f>
        <v>فيصل</v>
      </c>
      <c r="I639" s="29" t="str">
        <f>IFERROR(VLOOKUP(A639,New!A:H,2,0),"لا يوجد مواعيد")</f>
        <v>مريوطية</v>
      </c>
    </row>
    <row r="640" spans="1:9">
      <c r="A640" s="29">
        <v>10314789</v>
      </c>
      <c r="B640" s="29" t="s">
        <v>2531</v>
      </c>
      <c r="C640" s="32" t="s">
        <v>1898</v>
      </c>
      <c r="D640" s="32" t="s">
        <v>1898</v>
      </c>
      <c r="E640" s="29">
        <f>IFERROR(VLOOKUP(A640,New!A:E,5,0),"لا يوجد مواعيد")</f>
        <v>1091643089</v>
      </c>
      <c r="F640" s="29">
        <f>IFERROR(VLOOKUP(A640,New!A:E,1,0),"لا يوجد مواعيد")</f>
        <v>10314789</v>
      </c>
      <c r="G640" s="29" t="str">
        <f>IFERROR(VLOOKUP(A640,New!A:F,4,0),"لا يوجد مواعيد")</f>
        <v>محمد عارف عزام</v>
      </c>
      <c r="H640" s="29" t="str">
        <f>IFERROR(VLOOKUP(A640,New!A:G,3,0),"لا يوجد مواعيد")</f>
        <v>و - الشروق</v>
      </c>
      <c r="I640" s="29" t="str">
        <f>IFERROR(VLOOKUP(A640,New!A:H,2,0),"لا يوجد مواعيد")</f>
        <v>كشك اللحمة</v>
      </c>
    </row>
    <row r="641" spans="1:9">
      <c r="A641" s="29">
        <v>10320445</v>
      </c>
      <c r="B641" s="29" t="s">
        <v>2532</v>
      </c>
      <c r="C641" s="32">
        <v>0.833333333333333</v>
      </c>
      <c r="D641" s="32">
        <v>0.208333333333333</v>
      </c>
      <c r="E641" s="29">
        <f>IFERROR(VLOOKUP(A641,New!A:E,5,0),"لا يوجد مواعيد")</f>
        <v>1000065945</v>
      </c>
      <c r="F641" s="29">
        <f>IFERROR(VLOOKUP(A641,New!A:E,1,0),"لا يوجد مواعيد")</f>
        <v>10320445</v>
      </c>
      <c r="G641" s="29" t="str">
        <f>IFERROR(VLOOKUP(A641,New!A:F,4,0),"لا يوجد مواعيد")</f>
        <v>جودي موسى</v>
      </c>
      <c r="H641" s="29" t="str">
        <f>IFERROR(VLOOKUP(A641,New!A:G,3,0),"لا يوجد مواعيد")</f>
        <v>حلوان و زهراء المعادي</v>
      </c>
      <c r="I641" s="29" t="str">
        <f>IFERROR(VLOOKUP(A641,New!A:H,2,0),"لا يوجد مواعيد")</f>
        <v>سلم البارون</v>
      </c>
    </row>
    <row r="642" spans="1:9">
      <c r="A642" s="29">
        <v>10312258</v>
      </c>
      <c r="B642" s="29" t="s">
        <v>2502</v>
      </c>
      <c r="C642" s="32">
        <v>0.291666666666667</v>
      </c>
      <c r="D642" s="32">
        <v>0.666666666666667</v>
      </c>
      <c r="E642" s="29">
        <f>IFERROR(VLOOKUP(A642,New!A:E,5,0),"لا يوجد مواعيد")</f>
        <v>1090188323</v>
      </c>
      <c r="F642" s="29">
        <f>IFERROR(VLOOKUP(A642,New!A:E,1,0),"لا يوجد مواعيد")</f>
        <v>10312258</v>
      </c>
      <c r="G642" s="29" t="str">
        <f>IFERROR(VLOOKUP(A642,New!A:F,4,0),"لا يوجد مواعيد")</f>
        <v>أحمد محمد سمير محمد</v>
      </c>
      <c r="H642" s="29" t="str">
        <f>IFERROR(VLOOKUP(A642,New!A:G,3,0),"لا يوجد مواعيد")</f>
        <v>مدينة نصر</v>
      </c>
      <c r="I642" s="29" t="str">
        <f>IFERROR(VLOOKUP(A642,New!A:H,2,0),"لا يوجد مواعيد")</f>
        <v>مسجد السلام</v>
      </c>
    </row>
    <row r="643" spans="1:9">
      <c r="A643" s="29">
        <v>10245223</v>
      </c>
      <c r="B643" s="29" t="s">
        <v>2533</v>
      </c>
      <c r="C643" s="32">
        <v>0.583333333333333</v>
      </c>
      <c r="D643" s="32">
        <v>0.958333333333333</v>
      </c>
      <c r="E643" s="29">
        <f>IFERROR(VLOOKUP(A643,New!A:E,5,0),"لا يوجد مواعيد")</f>
        <v>1210009552</v>
      </c>
      <c r="F643" s="29">
        <f>IFERROR(VLOOKUP(A643,New!A:E,1,0),"لا يوجد مواعيد")</f>
        <v>10245223</v>
      </c>
      <c r="G643" s="29" t="str">
        <f>IFERROR(VLOOKUP(A643,New!A:F,4,0),"لا يوجد مواعيد")</f>
        <v>يوسف عامر</v>
      </c>
      <c r="H643" s="29" t="str">
        <f>IFERROR(VLOOKUP(A643,New!A:G,3,0),"لا يوجد مواعيد")</f>
        <v>حلوان و زهراء المعادي</v>
      </c>
      <c r="I643" s="29" t="str">
        <f>IFERROR(VLOOKUP(A643,New!A:H,2,0),"لا يوجد مواعيد")</f>
        <v>التوحيد و النور</v>
      </c>
    </row>
    <row r="644" spans="1:9">
      <c r="A644" s="29">
        <v>10304619</v>
      </c>
      <c r="B644" s="29" t="s">
        <v>2534</v>
      </c>
      <c r="C644" s="32">
        <v>0.916666666666667</v>
      </c>
      <c r="D644" s="32">
        <v>0.291666666666667</v>
      </c>
      <c r="E644" s="29">
        <f>IFERROR(VLOOKUP(A644,New!A:E,5,0),"لا يوجد مواعيد")</f>
        <v>1204888981</v>
      </c>
      <c r="F644" s="29">
        <f>IFERROR(VLOOKUP(A644,New!A:E,1,0),"لا يوجد مواعيد")</f>
        <v>10304619</v>
      </c>
      <c r="G644" s="29" t="str">
        <f>IFERROR(VLOOKUP(A644,New!A:F,4,0),"لا يوجد مواعيد")</f>
        <v>آية شهاب الدين</v>
      </c>
      <c r="H644" s="29" t="str">
        <f>IFERROR(VLOOKUP(A644,New!A:G,3,0),"لا يوجد مواعيد")</f>
        <v>المهندسين</v>
      </c>
      <c r="I644" s="29" t="str">
        <f>IFERROR(VLOOKUP(A644,New!A:H,2,0),"لا يوجد مواعيد")</f>
        <v>كوبري الدقي</v>
      </c>
    </row>
    <row r="645" spans="1:9">
      <c r="A645" s="29">
        <v>10303751</v>
      </c>
      <c r="B645" s="29" t="s">
        <v>2535</v>
      </c>
      <c r="C645" s="32" t="s">
        <v>1937</v>
      </c>
      <c r="D645" s="32" t="s">
        <v>1937</v>
      </c>
      <c r="E645" s="29">
        <f>IFERROR(VLOOKUP(A645,New!A:E,5,0),"لا يوجد مواعيد")</f>
        <v>0</v>
      </c>
      <c r="F645" s="29">
        <f>IFERROR(VLOOKUP(A645,New!A:E,1,0),"لا يوجد مواعيد")</f>
        <v>10303751</v>
      </c>
      <c r="G645" s="29" t="str">
        <f>IFERROR(VLOOKUP(A645,New!A:F,4,0),"لا يوجد مواعيد")</f>
        <v>احمد فهمى</v>
      </c>
      <c r="H645" s="29" t="str">
        <f>IFERROR(VLOOKUP(A645,New!A:G,3,0),"لا يوجد مواعيد")</f>
        <v>حلوان و زهراء المعادي</v>
      </c>
      <c r="I645" s="29" t="str">
        <f>IFERROR(VLOOKUP(A645,New!A:H,2,0),"لا يوجد مواعيد")</f>
        <v>التوحيد و النور</v>
      </c>
    </row>
    <row r="646" spans="1:9">
      <c r="A646" s="29">
        <v>10299512</v>
      </c>
      <c r="B646" s="29" t="s">
        <v>2536</v>
      </c>
      <c r="C646" s="32">
        <v>0.291666666666667</v>
      </c>
      <c r="D646" s="32">
        <v>0.666666666666667</v>
      </c>
      <c r="E646" s="29">
        <f>IFERROR(VLOOKUP(A646,New!A:E,5,0),"لا يوجد مواعيد")</f>
        <v>1143336949</v>
      </c>
      <c r="F646" s="29">
        <f>IFERROR(VLOOKUP(A646,New!A:E,1,0),"لا يوجد مواعيد")</f>
        <v>10299512</v>
      </c>
      <c r="G646" s="29" t="str">
        <f>IFERROR(VLOOKUP(A646,New!A:F,4,0),"لا يوجد مواعيد")</f>
        <v>المعتز بالله سليمان</v>
      </c>
      <c r="H646" s="29" t="str">
        <f>IFERROR(VLOOKUP(A646,New!A:G,3,0),"لا يوجد مواعيد")</f>
        <v>العبور</v>
      </c>
      <c r="I646" s="29" t="str">
        <f>IFERROR(VLOOKUP(A646,New!A:H,2,0),"لا يوجد مواعيد")</f>
        <v>كارفور العبور</v>
      </c>
    </row>
    <row r="647" spans="1:9">
      <c r="A647" s="29">
        <v>10330639</v>
      </c>
      <c r="B647" s="29" t="s">
        <v>2537</v>
      </c>
      <c r="C647" s="32">
        <v>0.458333333333333</v>
      </c>
      <c r="D647" s="32">
        <v>0.833333333333333</v>
      </c>
      <c r="E647" s="29" t="str">
        <f>IFERROR(VLOOKUP(A647,New!A:E,5,0),"لا يوجد مواعيد")</f>
        <v>1129958902/2499907987651</v>
      </c>
      <c r="F647" s="29">
        <f>IFERROR(VLOOKUP(A647,New!A:E,1,0),"لا يوجد مواعيد")</f>
        <v>10330639</v>
      </c>
      <c r="G647" s="29" t="str">
        <f>IFERROR(VLOOKUP(A647,New!A:F,4,0),"لا يوجد مواعيد")</f>
        <v>وندي داوود</v>
      </c>
      <c r="H647" s="29" t="str">
        <f>IFERROR(VLOOKUP(A647,New!A:G,3,0),"لا يوجد مواعيد")</f>
        <v>الزيتون و مصر الجديدة</v>
      </c>
      <c r="I647" s="29" t="str">
        <f>IFERROR(VLOOKUP(A647,New!A:H,2,0),"لا يوجد مواعيد")</f>
        <v>الف مسكن</v>
      </c>
    </row>
    <row r="648" spans="1:9">
      <c r="A648" s="29">
        <v>10280906</v>
      </c>
      <c r="B648" s="29" t="s">
        <v>2538</v>
      </c>
      <c r="C648" s="32">
        <v>0.541666666666667</v>
      </c>
      <c r="D648" s="32">
        <v>0.916666666666667</v>
      </c>
      <c r="E648" s="29">
        <f>IFERROR(VLOOKUP(A648,New!A:E,5,0),"لا يوجد مواعيد")</f>
        <v>1550563697</v>
      </c>
      <c r="F648" s="29">
        <f>IFERROR(VLOOKUP(A648,New!A:E,1,0),"لا يوجد مواعيد")</f>
        <v>10280906</v>
      </c>
      <c r="G648" s="29" t="str">
        <f>IFERROR(VLOOKUP(A648,New!A:F,4,0),"لا يوجد مواعيد")</f>
        <v>ديفيد مايكل</v>
      </c>
      <c r="H648" s="29" t="str">
        <f>IFERROR(VLOOKUP(A648,New!A:G,3,0),"لا يوجد مواعيد")</f>
        <v>ي - المعادي</v>
      </c>
      <c r="I648" s="29" t="str">
        <f>IFERROR(VLOOKUP(A648,New!A:H,2,0),"لا يوجد مواعيد")</f>
        <v>شمال طره كورنيش المعادي</v>
      </c>
    </row>
    <row r="649" spans="1:9">
      <c r="A649" s="29">
        <v>10324438</v>
      </c>
      <c r="B649" s="29" t="s">
        <v>2539</v>
      </c>
      <c r="C649" s="32">
        <v>0.583333333333333</v>
      </c>
      <c r="D649" s="32">
        <v>0.958333333333333</v>
      </c>
      <c r="E649" s="29">
        <f>IFERROR(VLOOKUP(A649,New!A:E,5,0),"لا يوجد مواعيد")</f>
        <v>1149166330</v>
      </c>
      <c r="F649" s="29">
        <f>IFERROR(VLOOKUP(A649,New!A:E,1,0),"لا يوجد مواعيد")</f>
        <v>10324438</v>
      </c>
      <c r="G649" s="29" t="str">
        <f>IFERROR(VLOOKUP(A649,New!A:F,4,0),"لا يوجد مواعيد")</f>
        <v>عمر احمد</v>
      </c>
      <c r="H649" s="29" t="str">
        <f>IFERROR(VLOOKUP(A649,New!A:G,3,0),"لا يوجد مواعيد")</f>
        <v>فيصل</v>
      </c>
      <c r="I649" s="29" t="str">
        <f>IFERROR(VLOOKUP(A649,New!A:H,2,0),"لا يوجد مواعيد")</f>
        <v>مريوطية</v>
      </c>
    </row>
    <row r="650" spans="1:9">
      <c r="A650" s="29">
        <v>10335050</v>
      </c>
      <c r="B650" s="29" t="s">
        <v>2540</v>
      </c>
      <c r="C650" s="32">
        <v>0.75</v>
      </c>
      <c r="D650" s="32">
        <v>0.125</v>
      </c>
      <c r="E650" s="29">
        <f>IFERROR(VLOOKUP(A650,New!A:E,5,0),"لا يوجد مواعيد")</f>
        <v>1012348684</v>
      </c>
      <c r="F650" s="29">
        <f>IFERROR(VLOOKUP(A650,New!A:E,1,0),"لا يوجد مواعيد")</f>
        <v>10335050</v>
      </c>
      <c r="G650" s="29" t="str">
        <f>IFERROR(VLOOKUP(A650,New!A:F,4,0),"لا يوجد مواعيد")</f>
        <v>روان عيسى</v>
      </c>
      <c r="H650" s="29" t="str">
        <f>IFERROR(VLOOKUP(A650,New!A:G,3,0),"لا يوجد مواعيد")</f>
        <v>المهندسين</v>
      </c>
      <c r="I650" s="29" t="str">
        <f>IFERROR(VLOOKUP(A650,New!A:H,2,0),"لا يوجد مواعيد")</f>
        <v>كوبري الدقي</v>
      </c>
    </row>
    <row r="651" spans="1:9">
      <c r="A651" s="29">
        <v>10295622</v>
      </c>
      <c r="B651" s="29" t="s">
        <v>2541</v>
      </c>
      <c r="C651" s="32">
        <v>0.916666666666667</v>
      </c>
      <c r="D651" s="32">
        <v>0.291666666666667</v>
      </c>
      <c r="E651" s="29">
        <f>IFERROR(VLOOKUP(A651,New!A:E,5,0),"لا يوجد مواعيد")</f>
        <v>1126050575</v>
      </c>
      <c r="F651" s="29">
        <f>IFERROR(VLOOKUP(A651,New!A:E,1,0),"لا يوجد مواعيد")</f>
        <v>10295622</v>
      </c>
      <c r="G651" s="29" t="str">
        <f>IFERROR(VLOOKUP(A651,New!A:F,4,0),"لا يوجد مواعيد")</f>
        <v>زياد شريف</v>
      </c>
      <c r="H651" s="29" t="str">
        <f>IFERROR(VLOOKUP(A651,New!A:G,3,0),"لا يوجد مواعيد")</f>
        <v>حلوان و زهراء المعادي</v>
      </c>
      <c r="I651" s="29" t="str">
        <f>IFERROR(VLOOKUP(A651,New!A:H,2,0),"لا يوجد مواعيد")</f>
        <v>سلم صقر قريش</v>
      </c>
    </row>
    <row r="652" spans="1:9">
      <c r="A652" s="29">
        <v>10251309</v>
      </c>
      <c r="B652" s="29" t="s">
        <v>2542</v>
      </c>
      <c r="C652" s="32">
        <v>0.291666666666667</v>
      </c>
      <c r="D652" s="32">
        <v>0.666666666666667</v>
      </c>
      <c r="E652" s="29">
        <f>IFERROR(VLOOKUP(A652,New!A:E,5,0),"لا يوجد مواعيد")</f>
        <v>1090878414</v>
      </c>
      <c r="F652" s="29">
        <f>IFERROR(VLOOKUP(A652,New!A:E,1,0),"لا يوجد مواعيد")</f>
        <v>10251309</v>
      </c>
      <c r="G652" s="29" t="str">
        <f>IFERROR(VLOOKUP(A652,New!A:F,4,0),"لا يوجد مواعيد")</f>
        <v>آية اشرف</v>
      </c>
      <c r="H652" s="29" t="str">
        <f>IFERROR(VLOOKUP(A652,New!A:G,3,0),"لا يوجد مواعيد")</f>
        <v>م - الرحاب و التجمع</v>
      </c>
      <c r="I652" s="29" t="str">
        <f>IFERROR(VLOOKUP(A652,New!A:H,2,0),"لا يوجد مواعيد")</f>
        <v>الجزيرة</v>
      </c>
    </row>
    <row r="653" spans="1:9">
      <c r="A653" s="29">
        <v>10327586</v>
      </c>
      <c r="B653" s="29" t="s">
        <v>2543</v>
      </c>
      <c r="C653" s="32">
        <v>0.291666666666667</v>
      </c>
      <c r="D653" s="32">
        <v>0.666666666666667</v>
      </c>
      <c r="E653" s="29">
        <f>IFERROR(VLOOKUP(A653,New!A:E,5,0),"لا يوجد مواعيد")</f>
        <v>1024424852</v>
      </c>
      <c r="F653" s="29">
        <f>IFERROR(VLOOKUP(A653,New!A:E,1,0),"لا يوجد مواعيد")</f>
        <v>10327586</v>
      </c>
      <c r="G653" s="29" t="str">
        <f>IFERROR(VLOOKUP(A653,New!A:F,4,0),"لا يوجد مواعيد")</f>
        <v>شهد محمود</v>
      </c>
      <c r="H653" s="29" t="str">
        <f>IFERROR(VLOOKUP(A653,New!A:G,3,0),"لا يوجد مواعيد")</f>
        <v>الزيتون و مصر الجديدة</v>
      </c>
      <c r="I653" s="29" t="str">
        <f>IFERROR(VLOOKUP(A653,New!A:H,2,0),"لا يوجد مواعيد")</f>
        <v>المحكمة</v>
      </c>
    </row>
    <row r="654" spans="1:9">
      <c r="A654" s="29">
        <v>10331082</v>
      </c>
      <c r="B654" s="29" t="s">
        <v>2213</v>
      </c>
      <c r="C654" s="32">
        <v>0.291666666666667</v>
      </c>
      <c r="D654" s="32">
        <v>0.666666666666667</v>
      </c>
      <c r="E654" s="29">
        <f>IFERROR(VLOOKUP(A654,New!A:E,5,0),"لا يوجد مواعيد")</f>
        <v>1108958950</v>
      </c>
      <c r="F654" s="29">
        <f>IFERROR(VLOOKUP(A654,New!A:E,1,0),"لا يوجد مواعيد")</f>
        <v>10331082</v>
      </c>
      <c r="G654" s="29" t="str">
        <f>IFERROR(VLOOKUP(A654,New!A:F,4,0),"لا يوجد مواعيد")</f>
        <v>مريم محمد</v>
      </c>
      <c r="H654" s="29" t="str">
        <f>IFERROR(VLOOKUP(A654,New!A:G,3,0),"لا يوجد مواعيد")</f>
        <v>و - مدينتي</v>
      </c>
      <c r="I654" s="29" t="str">
        <f>IFERROR(VLOOKUP(A654,New!A:H,2,0),"لا يوجد مواعيد")</f>
        <v>بوابة 1</v>
      </c>
    </row>
    <row r="655" spans="1:9">
      <c r="A655" s="29">
        <v>10311333</v>
      </c>
      <c r="B655" s="29" t="s">
        <v>2544</v>
      </c>
      <c r="C655" s="32">
        <v>0.291666666666667</v>
      </c>
      <c r="D655" s="32">
        <v>0.666666666666667</v>
      </c>
      <c r="E655" s="29">
        <f>IFERROR(VLOOKUP(A655,New!A:E,5,0),"لا يوجد مواعيد")</f>
        <v>1095882923</v>
      </c>
      <c r="F655" s="29">
        <f>IFERROR(VLOOKUP(A655,New!A:E,1,0),"لا يوجد مواعيد")</f>
        <v>10311333</v>
      </c>
      <c r="G655" s="29" t="str">
        <f>IFERROR(VLOOKUP(A655,New!A:F,4,0),"لا يوجد مواعيد")</f>
        <v>مها زكي سالم فاروق</v>
      </c>
      <c r="H655" s="29" t="str">
        <f>IFERROR(VLOOKUP(A655,New!A:G,3,0),"لا يوجد مواعيد")</f>
        <v>و - الشروق</v>
      </c>
      <c r="I655" s="29" t="str">
        <f>IFERROR(VLOOKUP(A655,New!A:H,2,0),"لا يوجد مواعيد")</f>
        <v>كشك اللحمة</v>
      </c>
    </row>
    <row r="656" spans="1:9">
      <c r="A656" s="29">
        <v>10331809</v>
      </c>
      <c r="B656" s="29" t="s">
        <v>2545</v>
      </c>
      <c r="C656" s="32">
        <v>0.291666666666667</v>
      </c>
      <c r="D656" s="32">
        <v>0.666666666666667</v>
      </c>
      <c r="E656" s="29">
        <f>IFERROR(VLOOKUP(A656,New!A:E,5,0),"لا يوجد مواعيد")</f>
        <v>1556244127</v>
      </c>
      <c r="F656" s="29">
        <f>IFERROR(VLOOKUP(A656,New!A:E,1,0),"لا يوجد مواعيد")</f>
        <v>10331809</v>
      </c>
      <c r="G656" s="29" t="str">
        <f>IFERROR(VLOOKUP(A656,New!A:F,4,0),"لا يوجد مواعيد")</f>
        <v>مٍينا سعدالله</v>
      </c>
      <c r="H656" s="29" t="str">
        <f>IFERROR(VLOOKUP(A656,New!A:G,3,0),"لا يوجد مواعيد")</f>
        <v>شبرا</v>
      </c>
      <c r="I656" s="29" t="str">
        <f>IFERROR(VLOOKUP(A656,New!A:H,2,0),"لا يوجد مواعيد")</f>
        <v>قسم الزاوية</v>
      </c>
    </row>
    <row r="657" spans="1:9">
      <c r="A657" s="29">
        <v>10332555</v>
      </c>
      <c r="B657" s="29" t="s">
        <v>2546</v>
      </c>
      <c r="C657" s="32">
        <v>0.291666666666667</v>
      </c>
      <c r="D657" s="32">
        <v>0.666666666666667</v>
      </c>
      <c r="E657" s="29">
        <f>IFERROR(VLOOKUP(A657,New!A:E,5,0),"لا يوجد مواعيد")</f>
        <v>1122819199</v>
      </c>
      <c r="F657" s="29">
        <f>IFERROR(VLOOKUP(A657,New!A:E,1,0),"لا يوجد مواعيد")</f>
        <v>10332555</v>
      </c>
      <c r="G657" s="29" t="str">
        <f>IFERROR(VLOOKUP(A657,New!A:F,4,0),"لا يوجد مواعيد")</f>
        <v>هادي عادل</v>
      </c>
      <c r="H657" s="29" t="str">
        <f>IFERROR(VLOOKUP(A657,New!A:G,3,0),"لا يوجد مواعيد")</f>
        <v>و - مدينتي</v>
      </c>
      <c r="I657" s="29" t="str">
        <f>IFERROR(VLOOKUP(A657,New!A:H,2,0),"لا يوجد مواعيد")</f>
        <v>بوابة 1</v>
      </c>
    </row>
    <row r="658" spans="1:9">
      <c r="A658" s="29">
        <v>10332515</v>
      </c>
      <c r="B658" s="29" t="s">
        <v>2547</v>
      </c>
      <c r="C658" s="32">
        <v>0.291666666666667</v>
      </c>
      <c r="D658" s="32">
        <v>0.666666666666667</v>
      </c>
      <c r="E658" s="29">
        <f>IFERROR(VLOOKUP(A658,New!A:E,5,0),"لا يوجد مواعيد")</f>
        <v>1013260200</v>
      </c>
      <c r="F658" s="29">
        <f>IFERROR(VLOOKUP(A658,New!A:E,1,0),"لا يوجد مواعيد")</f>
        <v>10332515</v>
      </c>
      <c r="G658" s="29" t="str">
        <f>IFERROR(VLOOKUP(A658,New!A:F,4,0),"لا يوجد مواعيد")</f>
        <v>زكي الرفاعي</v>
      </c>
      <c r="H658" s="29" t="str">
        <f>IFERROR(VLOOKUP(A658,New!A:G,3,0),"لا يوجد مواعيد")</f>
        <v>و - مدينتي</v>
      </c>
      <c r="I658" s="29" t="str">
        <f>IFERROR(VLOOKUP(A658,New!A:H,2,0),"لا يوجد مواعيد")</f>
        <v>بوابة 1</v>
      </c>
    </row>
    <row r="659" spans="1:9">
      <c r="A659" s="29">
        <v>10334401</v>
      </c>
      <c r="B659" s="29" t="s">
        <v>2548</v>
      </c>
      <c r="C659" s="32">
        <v>0.291666666666667</v>
      </c>
      <c r="D659" s="32">
        <v>0.666666666666667</v>
      </c>
      <c r="E659" s="29">
        <f>IFERROR(VLOOKUP(A659,New!A:E,5,0),"لا يوجد مواعيد")</f>
        <v>0</v>
      </c>
      <c r="F659" s="29">
        <f>IFERROR(VLOOKUP(A659,New!A:E,1,0),"لا يوجد مواعيد")</f>
        <v>10334401</v>
      </c>
      <c r="G659" s="29" t="str">
        <f>IFERROR(VLOOKUP(A659,New!A:F,4,0),"لا يوجد مواعيد")</f>
        <v>نادين طارق</v>
      </c>
      <c r="H659" s="29" t="str">
        <f>IFERROR(VLOOKUP(A659,New!A:G,3,0),"لا يوجد مواعيد")</f>
        <v>؟</v>
      </c>
      <c r="I659" s="29" t="str">
        <f>IFERROR(VLOOKUP(A659,New!A:H,2,0),"لا يوجد مواعيد")</f>
        <v>؟</v>
      </c>
    </row>
    <row r="660" spans="1:9">
      <c r="A660" s="29">
        <v>10335052</v>
      </c>
      <c r="B660" s="29" t="s">
        <v>2549</v>
      </c>
      <c r="C660" s="32">
        <v>0.291666666666667</v>
      </c>
      <c r="D660" s="32">
        <v>0.666666666666667</v>
      </c>
      <c r="E660" s="29">
        <f>IFERROR(VLOOKUP(A660,New!A:E,5,0),"لا يوجد مواعيد")</f>
        <v>1017405291</v>
      </c>
      <c r="F660" s="29">
        <f>IFERROR(VLOOKUP(A660,New!A:E,1,0),"لا يوجد مواعيد")</f>
        <v>10335052</v>
      </c>
      <c r="G660" s="29" t="str">
        <f>IFERROR(VLOOKUP(A660,New!A:F,4,0),"لا يوجد مواعيد")</f>
        <v>سهيلة هاني</v>
      </c>
      <c r="H660" s="29" t="str">
        <f>IFERROR(VLOOKUP(A660,New!A:G,3,0),"لا يوجد مواعيد")</f>
        <v>م - الرحاب و التجمع</v>
      </c>
      <c r="I660" s="29" t="str">
        <f>IFERROR(VLOOKUP(A660,New!A:H,2,0),"لا يوجد مواعيد")</f>
        <v>ارابيلا</v>
      </c>
    </row>
    <row r="661" spans="1:9">
      <c r="A661" s="29">
        <v>10328665</v>
      </c>
      <c r="B661" s="29" t="s">
        <v>2550</v>
      </c>
      <c r="C661" s="32">
        <v>0.333333333333333</v>
      </c>
      <c r="D661" s="32">
        <v>0.708333333333333</v>
      </c>
      <c r="E661" s="29">
        <f>IFERROR(VLOOKUP(A661,New!A:E,5,0),"لا يوجد مواعيد")</f>
        <v>1010288732</v>
      </c>
      <c r="F661" s="29">
        <f>IFERROR(VLOOKUP(A661,New!A:E,1,0),"لا يوجد مواعيد")</f>
        <v>10328665</v>
      </c>
      <c r="G661" s="29" t="str">
        <f>IFERROR(VLOOKUP(A661,New!A:F,4,0),"لا يوجد مواعيد")</f>
        <v>اميرة دعشوش</v>
      </c>
      <c r="H661" s="29" t="str">
        <f>IFERROR(VLOOKUP(A661,New!A:G,3,0),"لا يوجد مواعيد")</f>
        <v>م - الرحاب و التجمع</v>
      </c>
      <c r="I661" s="29" t="str">
        <f>IFERROR(VLOOKUP(A661,New!A:H,2,0),"لا يوجد مواعيد")</f>
        <v>الجزيرة</v>
      </c>
    </row>
    <row r="662" spans="1:9">
      <c r="A662" s="29">
        <v>10326498</v>
      </c>
      <c r="B662" s="29" t="s">
        <v>2551</v>
      </c>
      <c r="C662" s="32">
        <v>0.375</v>
      </c>
      <c r="D662" s="32">
        <v>0.75</v>
      </c>
      <c r="E662" s="29">
        <f>IFERROR(VLOOKUP(A662,New!A:E,5,0),"لا يوجد مواعيد")</f>
        <v>1097762201</v>
      </c>
      <c r="F662" s="29">
        <f>IFERROR(VLOOKUP(A662,New!A:E,1,0),"لا يوجد مواعيد")</f>
        <v>10326498</v>
      </c>
      <c r="G662" s="29" t="str">
        <f>IFERROR(VLOOKUP(A662,New!A:F,4,0),"لا يوجد مواعيد")</f>
        <v>اسلام وسام</v>
      </c>
      <c r="H662" s="29" t="str">
        <f>IFERROR(VLOOKUP(A662,New!A:G,3,0),"لا يوجد مواعيد")</f>
        <v>حدائق الاهرام</v>
      </c>
      <c r="I662" s="29" t="str">
        <f>IFERROR(VLOOKUP(A662,New!A:H,2,0),"لا يوجد مواعيد")</f>
        <v>الفردوس</v>
      </c>
    </row>
    <row r="663" spans="1:9">
      <c r="A663" s="29">
        <v>10332544</v>
      </c>
      <c r="B663" s="29" t="s">
        <v>2552</v>
      </c>
      <c r="C663" s="32">
        <v>0.416666666666667</v>
      </c>
      <c r="D663" s="32">
        <v>0.791666666666667</v>
      </c>
      <c r="E663" s="29">
        <f>IFERROR(VLOOKUP(A663,New!A:E,5,0),"لا يوجد مواعيد")</f>
        <v>1500537534</v>
      </c>
      <c r="F663" s="29">
        <f>IFERROR(VLOOKUP(A663,New!A:E,1,0),"لا يوجد مواعيد")</f>
        <v>10332544</v>
      </c>
      <c r="G663" s="29" t="str">
        <f>IFERROR(VLOOKUP(A663,New!A:F,4,0),"لا يوجد مواعيد")</f>
        <v>وليام جلادا</v>
      </c>
      <c r="H663" s="29" t="str">
        <f>IFERROR(VLOOKUP(A663,New!A:G,3,0),"لا يوجد مواعيد")</f>
        <v>مدينة نصر</v>
      </c>
      <c r="I663" s="29" t="str">
        <f>IFERROR(VLOOKUP(A663,New!A:H,2,0),"لا يوجد مواعيد")</f>
        <v>كشري هند الحي العاشر</v>
      </c>
    </row>
    <row r="664" spans="1:9">
      <c r="A664" s="29">
        <v>10332517</v>
      </c>
      <c r="B664" s="29" t="s">
        <v>2553</v>
      </c>
      <c r="C664" s="32">
        <v>0.416666666666667</v>
      </c>
      <c r="D664" s="32">
        <v>0.791666666666667</v>
      </c>
      <c r="E664" s="29">
        <f>IFERROR(VLOOKUP(A664,New!A:E,5,0),"لا يوجد مواعيد")</f>
        <v>1090712285</v>
      </c>
      <c r="F664" s="29">
        <f>IFERROR(VLOOKUP(A664,New!A:E,1,0),"لا يوجد مواعيد")</f>
        <v>10332517</v>
      </c>
      <c r="G664" s="29" t="str">
        <f>IFERROR(VLOOKUP(A664,New!A:F,4,0),"لا يوجد مواعيد")</f>
        <v>عبدالله هارون</v>
      </c>
      <c r="H664" s="29" t="str">
        <f>IFERROR(VLOOKUP(A664,New!A:G,3,0),"لا يوجد مواعيد")</f>
        <v>العبور</v>
      </c>
      <c r="I664" s="29" t="str">
        <f>IFERROR(VLOOKUP(A664,New!A:H,2,0),"لا يوجد مواعيد")</f>
        <v>كارفور العبور</v>
      </c>
    </row>
    <row r="665" spans="1:9">
      <c r="A665" s="29">
        <v>10332513</v>
      </c>
      <c r="B665" s="29" t="s">
        <v>2554</v>
      </c>
      <c r="C665" s="32">
        <v>0.416666666666667</v>
      </c>
      <c r="D665" s="32">
        <v>0.791666666666667</v>
      </c>
      <c r="E665" s="29" t="str">
        <f>IFERROR(VLOOKUP(A665,New!A:E,5,0),"لا يوجد مواعيد")</f>
        <v>1151026668/1143304133</v>
      </c>
      <c r="F665" s="29">
        <f>IFERROR(VLOOKUP(A665,New!A:E,1,0),"لا يوجد مواعيد")</f>
        <v>10332513</v>
      </c>
      <c r="G665" s="29" t="str">
        <f>IFERROR(VLOOKUP(A665,New!A:F,4,0),"لا يوجد مواعيد")</f>
        <v>إدموند نيكولا علي</v>
      </c>
      <c r="H665" s="29" t="str">
        <f>IFERROR(VLOOKUP(A665,New!A:G,3,0),"لا يوجد مواعيد")</f>
        <v>ي - المعادي</v>
      </c>
      <c r="I665" s="29" t="str">
        <f>IFERROR(VLOOKUP(A665,New!A:H,2,0),"لا يوجد مواعيد")</f>
        <v>اكاديمية السادات</v>
      </c>
    </row>
    <row r="666" spans="1:9">
      <c r="A666" s="29">
        <v>10334790</v>
      </c>
      <c r="B666" s="29" t="s">
        <v>2555</v>
      </c>
      <c r="C666" s="32">
        <v>0.416666666666667</v>
      </c>
      <c r="D666" s="32">
        <v>0.791666666666667</v>
      </c>
      <c r="E666" s="29" t="str">
        <f>IFERROR(VLOOKUP(A666,New!A:E,5,0),"لا يوجد مواعيد")</f>
        <v>1024658740 / 1017211279</v>
      </c>
      <c r="F666" s="29">
        <f>IFERROR(VLOOKUP(A666,New!A:E,1,0),"لا يوجد مواعيد")</f>
        <v>10334790</v>
      </c>
      <c r="G666" s="29" t="str">
        <f>IFERROR(VLOOKUP(A666,New!A:F,4,0),"لا يوجد مواعيد")</f>
        <v>احمد جوبه</v>
      </c>
      <c r="H666" s="29" t="str">
        <f>IFERROR(VLOOKUP(A666,New!A:G,3,0),"لا يوجد مواعيد")</f>
        <v>المهندسين</v>
      </c>
      <c r="I666" s="29" t="str">
        <f>IFERROR(VLOOKUP(A666,New!A:H,2,0),"لا يوجد مواعيد")</f>
        <v>كوبري الدقي</v>
      </c>
    </row>
    <row r="667" spans="1:9">
      <c r="A667" s="29">
        <v>10309111</v>
      </c>
      <c r="B667" s="29" t="s">
        <v>2556</v>
      </c>
      <c r="C667" s="32">
        <v>0.416666666666667</v>
      </c>
      <c r="D667" s="32">
        <v>0.791666666666667</v>
      </c>
      <c r="E667" s="29">
        <f>IFERROR(VLOOKUP(A667,New!A:E,5,0),"لا يوجد مواعيد")</f>
        <v>1062805678</v>
      </c>
      <c r="F667" s="29">
        <f>IFERROR(VLOOKUP(A667,New!A:E,1,0),"لا يوجد مواعيد")</f>
        <v>10309111</v>
      </c>
      <c r="G667" s="29" t="str">
        <f>IFERROR(VLOOKUP(A667,New!A:F,4,0),"لا يوجد مواعيد")</f>
        <v>احمد صلاح</v>
      </c>
      <c r="H667" s="29" t="str">
        <f>IFERROR(VLOOKUP(A667,New!A:G,3,0),"لا يوجد مواعيد")</f>
        <v>فيصل</v>
      </c>
      <c r="I667" s="29" t="str">
        <f>IFERROR(VLOOKUP(A667,New!A:H,2,0),"لا يوجد مواعيد")</f>
        <v>العشرين</v>
      </c>
    </row>
    <row r="668" spans="1:9">
      <c r="A668" s="29">
        <v>10327594</v>
      </c>
      <c r="B668" s="29" t="s">
        <v>2557</v>
      </c>
      <c r="C668" s="32">
        <v>0.416666666666667</v>
      </c>
      <c r="D668" s="32">
        <v>0.416666666666667</v>
      </c>
      <c r="E668" s="29" t="str">
        <f>IFERROR(VLOOKUP(A668,New!A:E,5,0),"لا يوجد مواعيد")</f>
        <v>1144409850 / 1221111275</v>
      </c>
      <c r="F668" s="29">
        <f>IFERROR(VLOOKUP(A668,New!A:E,1,0),"لا يوجد مواعيد")</f>
        <v>10327594</v>
      </c>
      <c r="G668" s="29" t="str">
        <f>IFERROR(VLOOKUP(A668,New!A:F,4,0),"لا يوجد مواعيد")</f>
        <v>يوسف خالد</v>
      </c>
      <c r="H668" s="29" t="str">
        <f>IFERROR(VLOOKUP(A668,New!A:G,3,0),"لا يوجد مواعيد")</f>
        <v>حلوان و زهراء المعادي</v>
      </c>
      <c r="I668" s="29" t="str">
        <f>IFERROR(VLOOKUP(A668,New!A:H,2,0),"لا يوجد مواعيد")</f>
        <v>سلم صقر قريش</v>
      </c>
    </row>
    <row r="669" spans="1:9">
      <c r="A669" s="29">
        <v>10316242</v>
      </c>
      <c r="B669" s="29" t="s">
        <v>2558</v>
      </c>
      <c r="C669" s="32">
        <v>0.458333333333333</v>
      </c>
      <c r="D669" s="32">
        <v>0.833333333333333</v>
      </c>
      <c r="E669" s="29">
        <f>IFERROR(VLOOKUP(A669,New!A:E,5,0),"لا يوجد مواعيد")</f>
        <v>1207828449</v>
      </c>
      <c r="F669" s="29">
        <f>IFERROR(VLOOKUP(A669,New!A:E,1,0),"لا يوجد مواعيد")</f>
        <v>10316242</v>
      </c>
      <c r="G669" s="29" t="str">
        <f>IFERROR(VLOOKUP(A669,New!A:F,4,0),"لا يوجد مواعيد")</f>
        <v>يمنى صلاح</v>
      </c>
      <c r="H669" s="29" t="str">
        <f>IFERROR(VLOOKUP(A669,New!A:G,3,0),"لا يوجد مواعيد")</f>
        <v>و - الشروق</v>
      </c>
      <c r="I669" s="29" t="str">
        <f>IFERROR(VLOOKUP(A669,New!A:H,2,0),"لا يوجد مواعيد")</f>
        <v>كشك اللحمة</v>
      </c>
    </row>
    <row r="670" spans="1:9">
      <c r="A670" s="29">
        <v>10323570</v>
      </c>
      <c r="B670" s="29" t="s">
        <v>2559</v>
      </c>
      <c r="C670" s="32">
        <v>0.458333333333333</v>
      </c>
      <c r="D670" s="32">
        <v>0.833333333333333</v>
      </c>
      <c r="E670" s="29" t="str">
        <f>IFERROR(VLOOKUP(A670,New!A:E,5,0),"لا يوجد مواعيد")</f>
        <v>1120810080 / 1013547828</v>
      </c>
      <c r="F670" s="29">
        <f>IFERROR(VLOOKUP(A670,New!A:E,1,0),"لا يوجد مواعيد")</f>
        <v>10323570</v>
      </c>
      <c r="G670" s="29" t="str">
        <f>IFERROR(VLOOKUP(A670,New!A:F,4,0),"لا يوجد مواعيد")</f>
        <v>بهيجة محمد فياض</v>
      </c>
      <c r="H670" s="29" t="str">
        <f>IFERROR(VLOOKUP(A670,New!A:G,3,0),"لا يوجد مواعيد")</f>
        <v>و - الشروق</v>
      </c>
      <c r="I670" s="29" t="str">
        <f>IFERROR(VLOOKUP(A670,New!A:H,2,0),"لا يوجد مواعيد")</f>
        <v>كشك اللحمة</v>
      </c>
    </row>
    <row r="671" spans="1:9">
      <c r="A671" s="29">
        <v>10326463</v>
      </c>
      <c r="B671" s="29" t="s">
        <v>2560</v>
      </c>
      <c r="C671" s="32">
        <v>0.458333333333333</v>
      </c>
      <c r="D671" s="32">
        <v>0.833333333333333</v>
      </c>
      <c r="E671" s="29">
        <f>IFERROR(VLOOKUP(A671,New!A:E,5,0),"لا يوجد مواعيد")</f>
        <v>1001519732</v>
      </c>
      <c r="F671" s="29">
        <f>IFERROR(VLOOKUP(A671,New!A:E,1,0),"لا يوجد مواعيد")</f>
        <v>10326463</v>
      </c>
      <c r="G671" s="29" t="str">
        <f>IFERROR(VLOOKUP(A671,New!A:F,4,0),"لا يوجد مواعيد")</f>
        <v>عبد الرحمن ابراهيم</v>
      </c>
      <c r="H671" s="29" t="str">
        <f>IFERROR(VLOOKUP(A671,New!A:G,3,0),"لا يوجد مواعيد")</f>
        <v>حلوان و زهراء المعادي</v>
      </c>
      <c r="I671" s="29" t="str">
        <f>IFERROR(VLOOKUP(A671,New!A:H,2,0),"لا يوجد مواعيد")</f>
        <v>التوحيد و النور</v>
      </c>
    </row>
    <row r="672" spans="1:9">
      <c r="A672" s="29">
        <v>10326484</v>
      </c>
      <c r="B672" s="29" t="s">
        <v>2561</v>
      </c>
      <c r="C672" s="32">
        <v>0.458333333333333</v>
      </c>
      <c r="D672" s="32">
        <v>0.833333333333333</v>
      </c>
      <c r="E672" s="29">
        <f>IFERROR(VLOOKUP(A672,New!A:E,5,0),"لا يوجد مواعيد")</f>
        <v>1115946198</v>
      </c>
      <c r="F672" s="29">
        <f>IFERROR(VLOOKUP(A672,New!A:E,1,0),"لا يوجد مواعيد")</f>
        <v>10326484</v>
      </c>
      <c r="G672" s="29" t="str">
        <f>IFERROR(VLOOKUP(A672,New!A:F,4,0),"لا يوجد مواعيد")</f>
        <v>اكرم محمد حسن</v>
      </c>
      <c r="H672" s="29" t="str">
        <f>IFERROR(VLOOKUP(A672,New!A:G,3,0),"لا يوجد مواعيد")</f>
        <v>م - الرحاب و التجمع</v>
      </c>
      <c r="I672" s="29" t="str">
        <f>IFERROR(VLOOKUP(A672,New!A:H,2,0),"لا يوجد مواعيد")</f>
        <v>بوابة 6</v>
      </c>
    </row>
    <row r="673" spans="1:9">
      <c r="A673" s="29">
        <v>10331785</v>
      </c>
      <c r="B673" s="29" t="s">
        <v>2562</v>
      </c>
      <c r="C673" s="32">
        <v>0.458333333333333</v>
      </c>
      <c r="D673" s="32">
        <v>0.833333333333333</v>
      </c>
      <c r="E673" s="29">
        <f>IFERROR(VLOOKUP(A673,New!A:E,5,0),"لا يوجد مواعيد")</f>
        <v>1093218929</v>
      </c>
      <c r="F673" s="29">
        <f>IFERROR(VLOOKUP(A673,New!A:E,1,0),"لا يوجد مواعيد")</f>
        <v>10331785</v>
      </c>
      <c r="G673" s="29" t="str">
        <f>IFERROR(VLOOKUP(A673,New!A:F,4,0),"لا يوجد مواعيد")</f>
        <v>هادية وحيد</v>
      </c>
      <c r="H673" s="29" t="str">
        <f>IFERROR(VLOOKUP(A673,New!A:G,3,0),"لا يوجد مواعيد")</f>
        <v>العبور</v>
      </c>
      <c r="I673" s="29" t="str">
        <f>IFERROR(VLOOKUP(A673,New!A:H,2,0),"لا يوجد مواعيد")</f>
        <v>كارفور العبور</v>
      </c>
    </row>
    <row r="674" spans="1:9">
      <c r="A674" s="29">
        <v>10334395</v>
      </c>
      <c r="B674" s="29" t="s">
        <v>2563</v>
      </c>
      <c r="C674" s="32">
        <v>0.458333333333333</v>
      </c>
      <c r="D674" s="32">
        <v>0.833333333333333</v>
      </c>
      <c r="E674" s="29">
        <f>IFERROR(VLOOKUP(A674,New!A:E,5,0),"لا يوجد مواعيد")</f>
        <v>1553553976</v>
      </c>
      <c r="F674" s="29">
        <f>IFERROR(VLOOKUP(A674,New!A:E,1,0),"لا يوجد مواعيد")</f>
        <v>10334395</v>
      </c>
      <c r="G674" s="29" t="str">
        <f>IFERROR(VLOOKUP(A674,New!A:F,4,0),"لا يوجد مواعيد")</f>
        <v>زياد احمد</v>
      </c>
      <c r="H674" s="29" t="str">
        <f>IFERROR(VLOOKUP(A674,New!A:G,3,0),"لا يوجد مواعيد")</f>
        <v>ي - بدر</v>
      </c>
      <c r="I674" s="29" t="str">
        <f>IFERROR(VLOOKUP(A674,New!A:H,2,0),"لا يوجد مواعيد")</f>
        <v>مدخل بدر</v>
      </c>
    </row>
    <row r="675" spans="1:9">
      <c r="A675" s="29">
        <v>10334469</v>
      </c>
      <c r="B675" s="29" t="s">
        <v>2564</v>
      </c>
      <c r="C675" s="32">
        <v>0.458333333333333</v>
      </c>
      <c r="D675" s="32">
        <v>0.833333333333333</v>
      </c>
      <c r="E675" s="29">
        <f>IFERROR(VLOOKUP(A675,New!A:E,5,0),"لا يوجد مواعيد")</f>
        <v>1147359910</v>
      </c>
      <c r="F675" s="29">
        <f>IFERROR(VLOOKUP(A675,New!A:E,1,0),"لا يوجد مواعيد")</f>
        <v>10334469</v>
      </c>
      <c r="G675" s="29" t="str">
        <f>IFERROR(VLOOKUP(A675,New!A:F,4,0),"لا يوجد مواعيد")</f>
        <v>مريم احمد</v>
      </c>
      <c r="H675" s="29" t="str">
        <f>IFERROR(VLOOKUP(A675,New!A:G,3,0),"لا يوجد مواعيد")</f>
        <v>حدائق القبة</v>
      </c>
      <c r="I675" s="29" t="str">
        <f>IFERROR(VLOOKUP(A675,New!A:H,2,0),"لا يوجد مواعيد")</f>
        <v>ميدان الحدائق</v>
      </c>
    </row>
    <row r="676" spans="1:9">
      <c r="A676" s="29">
        <v>10330637</v>
      </c>
      <c r="B676" s="29" t="s">
        <v>2565</v>
      </c>
      <c r="C676" s="32">
        <v>0.458333333333333</v>
      </c>
      <c r="D676" s="32">
        <v>0.833333333333333</v>
      </c>
      <c r="E676" s="29">
        <f>IFERROR(VLOOKUP(A676,New!A:E,5,0),"لا يوجد مواعيد")</f>
        <v>1069956703</v>
      </c>
      <c r="F676" s="29">
        <f>IFERROR(VLOOKUP(A676,New!A:E,1,0),"لا يوجد مواعيد")</f>
        <v>10330637</v>
      </c>
      <c r="G676" s="29" t="str">
        <f>IFERROR(VLOOKUP(A676,New!A:F,4,0),"لا يوجد مواعيد")</f>
        <v>عمر الصادق الفاضل</v>
      </c>
      <c r="H676" s="29" t="str">
        <f>IFERROR(VLOOKUP(A676,New!A:G,3,0),"لا يوجد مواعيد")</f>
        <v>مدينة نصر</v>
      </c>
      <c r="I676" s="29" t="str">
        <f>IFERROR(VLOOKUP(A676,New!A:H,2,0),"لا يوجد مواعيد")</f>
        <v>مسجد السلام</v>
      </c>
    </row>
    <row r="677" spans="1:9">
      <c r="A677" s="29">
        <v>10330510</v>
      </c>
      <c r="B677" s="29" t="s">
        <v>2566</v>
      </c>
      <c r="C677" s="32">
        <v>0.541666666666667</v>
      </c>
      <c r="D677" s="32">
        <v>0.916666666666667</v>
      </c>
      <c r="E677" s="29">
        <f>IFERROR(VLOOKUP(A677,New!A:E,5,0),"لا يوجد مواعيد")</f>
        <v>1123022074</v>
      </c>
      <c r="F677" s="29">
        <f>IFERROR(VLOOKUP(A677,New!A:E,1,0),"لا يوجد مواعيد")</f>
        <v>10330510</v>
      </c>
      <c r="G677" s="29" t="str">
        <f>IFERROR(VLOOKUP(A677,New!A:F,4,0),"لا يوجد مواعيد")</f>
        <v>عدنان فؤاد</v>
      </c>
      <c r="H677" s="29" t="str">
        <f>IFERROR(VLOOKUP(A677,New!A:G,3,0),"لا يوجد مواعيد")</f>
        <v>حلوان و زهراء المعادي</v>
      </c>
      <c r="I677" s="29" t="str">
        <f>IFERROR(VLOOKUP(A677,New!A:H,2,0),"لا يوجد مواعيد")</f>
        <v>التوحيد و النور</v>
      </c>
    </row>
    <row r="678" spans="1:9">
      <c r="A678" s="29">
        <v>10333432</v>
      </c>
      <c r="B678" s="29" t="s">
        <v>2567</v>
      </c>
      <c r="C678" s="32">
        <v>0.541666666666667</v>
      </c>
      <c r="D678" s="32">
        <v>0.916666666666667</v>
      </c>
      <c r="E678" s="29">
        <f>IFERROR(VLOOKUP(A678,New!A:E,5,0),"لا يوجد مواعيد")</f>
        <v>1091247732</v>
      </c>
      <c r="F678" s="29">
        <f>IFERROR(VLOOKUP(A678,New!A:E,1,0),"لا يوجد مواعيد")</f>
        <v>10333432</v>
      </c>
      <c r="G678" s="29" t="str">
        <f>IFERROR(VLOOKUP(A678,New!A:F,4,0),"لا يوجد مواعيد")</f>
        <v>مصطفى محمد</v>
      </c>
      <c r="H678" s="29" t="str">
        <f>IFERROR(VLOOKUP(A678,New!A:G,3,0),"لا يوجد مواعيد")</f>
        <v>التحرير</v>
      </c>
      <c r="I678" s="29" t="str">
        <f>IFERROR(VLOOKUP(A678,New!A:H,2,0),"لا يوجد مواعيد")</f>
        <v>مستشفى احمد ماهر</v>
      </c>
    </row>
    <row r="679" spans="1:9">
      <c r="A679" s="29">
        <v>10320448</v>
      </c>
      <c r="B679" s="29" t="s">
        <v>2568</v>
      </c>
      <c r="C679" s="32">
        <v>0.666666666666667</v>
      </c>
      <c r="D679" s="32">
        <v>0.0416666666666667</v>
      </c>
      <c r="E679" s="29">
        <f>IFERROR(VLOOKUP(A679,New!A:E,5,0),"لا يوجد مواعيد")</f>
        <v>1148677126</v>
      </c>
      <c r="F679" s="29">
        <f>IFERROR(VLOOKUP(A679,New!A:E,1,0),"لا يوجد مواعيد")</f>
        <v>10320448</v>
      </c>
      <c r="G679" s="29" t="str">
        <f>IFERROR(VLOOKUP(A679,New!A:F,4,0),"لا يوجد مواعيد")</f>
        <v>دنيا سمير</v>
      </c>
      <c r="H679" s="29" t="str">
        <f>IFERROR(VLOOKUP(A679,New!A:G,3,0),"لا يوجد مواعيد")</f>
        <v>حلوان و زهراء المعادي</v>
      </c>
      <c r="I679" s="29" t="str">
        <f>IFERROR(VLOOKUP(A679,New!A:H,2,0),"لا يوجد مواعيد")</f>
        <v>المعصرة الاتوستراد</v>
      </c>
    </row>
    <row r="680" spans="1:9">
      <c r="A680" s="29">
        <v>10323547</v>
      </c>
      <c r="B680" s="29" t="s">
        <v>2569</v>
      </c>
      <c r="C680" s="32">
        <v>0.666666666666667</v>
      </c>
      <c r="D680" s="32">
        <v>0.0416666666666667</v>
      </c>
      <c r="E680" s="29">
        <f>IFERROR(VLOOKUP(A680,New!A:E,5,0),"لا يوجد مواعيد")</f>
        <v>1026128069</v>
      </c>
      <c r="F680" s="29">
        <f>IFERROR(VLOOKUP(A680,New!A:E,1,0),"لا يوجد مواعيد")</f>
        <v>10323547</v>
      </c>
      <c r="G680" s="29" t="str">
        <f>IFERROR(VLOOKUP(A680,New!A:F,4,0),"لا يوجد مواعيد")</f>
        <v>بلال كرم فوزي</v>
      </c>
      <c r="H680" s="29" t="str">
        <f>IFERROR(VLOOKUP(A680,New!A:G,3,0),"لا يوجد مواعيد")</f>
        <v>ي - المعادي</v>
      </c>
      <c r="I680" s="29" t="str">
        <f>IFERROR(VLOOKUP(A680,New!A:H,2,0),"لا يوجد مواعيد")</f>
        <v>المحكمة الدستورية</v>
      </c>
    </row>
    <row r="681" spans="1:9">
      <c r="A681" s="29">
        <v>10330597</v>
      </c>
      <c r="B681" s="29" t="s">
        <v>2570</v>
      </c>
      <c r="C681" s="32">
        <v>0.666666666666667</v>
      </c>
      <c r="D681" s="32">
        <v>0.0416666666666667</v>
      </c>
      <c r="E681" s="29">
        <f>IFERROR(VLOOKUP(A681,New!A:E,5,0),"لا يوجد مواعيد")</f>
        <v>1002924890</v>
      </c>
      <c r="F681" s="29">
        <f>IFERROR(VLOOKUP(A681,New!A:E,1,0),"لا يوجد مواعيد")</f>
        <v>10330597</v>
      </c>
      <c r="G681" s="29" t="str">
        <f>IFERROR(VLOOKUP(A681,New!A:F,4,0),"لا يوجد مواعيد")</f>
        <v>نور الدين</v>
      </c>
      <c r="H681" s="29" t="str">
        <f>IFERROR(VLOOKUP(A681,New!A:G,3,0),"لا يوجد مواعيد")</f>
        <v>م - الرحاب و التجمع</v>
      </c>
      <c r="I681" s="29" t="str">
        <f>IFERROR(VLOOKUP(A681,New!A:H,2,0),"لا يوجد مواعيد")</f>
        <v>الجزيرة</v>
      </c>
    </row>
    <row r="682" spans="1:9">
      <c r="A682" s="29">
        <v>10332548</v>
      </c>
      <c r="B682" s="29" t="s">
        <v>2571</v>
      </c>
      <c r="C682" s="32">
        <v>0.666666666666667</v>
      </c>
      <c r="D682" s="32">
        <v>0.0416666666666667</v>
      </c>
      <c r="E682" s="29">
        <f>IFERROR(VLOOKUP(A682,New!A:E,5,0),"لا يوجد مواعيد")</f>
        <v>1283104485</v>
      </c>
      <c r="F682" s="29">
        <f>IFERROR(VLOOKUP(A682,New!A:E,1,0),"لا يوجد مواعيد")</f>
        <v>10332548</v>
      </c>
      <c r="G682" s="29" t="str">
        <f>IFERROR(VLOOKUP(A682,New!A:F,4,0),"لا يوجد مواعيد")</f>
        <v>هدى عز</v>
      </c>
      <c r="H682" s="29" t="str">
        <f>IFERROR(VLOOKUP(A682,New!A:G,3,0),"لا يوجد مواعيد")</f>
        <v>فيصل</v>
      </c>
      <c r="I682" s="29" t="str">
        <f>IFERROR(VLOOKUP(A682,New!A:H,2,0),"لا يوجد مواعيد")</f>
        <v>العروبة</v>
      </c>
    </row>
    <row r="683" spans="1:9">
      <c r="A683" s="29">
        <v>10333416</v>
      </c>
      <c r="B683" s="29" t="s">
        <v>2572</v>
      </c>
      <c r="C683" s="32">
        <v>0.666666666666667</v>
      </c>
      <c r="D683" s="32">
        <v>0.0416666666666667</v>
      </c>
      <c r="E683" s="29">
        <f>IFERROR(VLOOKUP(A683,New!A:E,5,0),"لا يوجد مواعيد")</f>
        <v>1270058439</v>
      </c>
      <c r="F683" s="29">
        <f>IFERROR(VLOOKUP(A683,New!A:E,1,0),"لا يوجد مواعيد")</f>
        <v>10333416</v>
      </c>
      <c r="G683" s="29" t="str">
        <f>IFERROR(VLOOKUP(A683,New!A:F,4,0),"لا يوجد مواعيد")</f>
        <v>بسنت أحمد سمير</v>
      </c>
      <c r="H683" s="29" t="str">
        <f>IFERROR(VLOOKUP(A683,New!A:G,3,0),"لا يوجد مواعيد")</f>
        <v>العباسية و الضاهر</v>
      </c>
      <c r="I683" s="29" t="str">
        <f>IFERROR(VLOOKUP(A683,New!A:H,2,0),"لا يوجد مواعيد")</f>
        <v>قسم الوايلي</v>
      </c>
    </row>
    <row r="684" spans="1:9">
      <c r="A684" s="29">
        <v>10333417</v>
      </c>
      <c r="B684" s="29" t="s">
        <v>2573</v>
      </c>
      <c r="C684" s="32">
        <v>0.666666666666667</v>
      </c>
      <c r="D684" s="32">
        <v>0.0416666666666667</v>
      </c>
      <c r="E684" s="29">
        <f>IFERROR(VLOOKUP(A684,New!A:E,5,0),"لا يوجد مواعيد")</f>
        <v>1019687588</v>
      </c>
      <c r="F684" s="29">
        <f>IFERROR(VLOOKUP(A684,New!A:E,1,0),"لا يوجد مواعيد")</f>
        <v>10333417</v>
      </c>
      <c r="G684" s="29" t="str">
        <f>IFERROR(VLOOKUP(A684,New!A:F,4,0),"لا يوجد مواعيد")</f>
        <v>مريم ابو بكر</v>
      </c>
      <c r="H684" s="29" t="str">
        <f>IFERROR(VLOOKUP(A684,New!A:G,3,0),"لا يوجد مواعيد")</f>
        <v>العبور</v>
      </c>
      <c r="I684" s="29" t="str">
        <f>IFERROR(VLOOKUP(A684,New!A:H,2,0),"لا يوجد مواعيد")</f>
        <v>كارفور العبور</v>
      </c>
    </row>
    <row r="685" spans="1:9">
      <c r="A685" s="29">
        <v>10334359</v>
      </c>
      <c r="B685" s="29" t="s">
        <v>2574</v>
      </c>
      <c r="C685" s="32">
        <v>0.666666666666667</v>
      </c>
      <c r="D685" s="32">
        <v>0.0416666666666667</v>
      </c>
      <c r="E685" s="29">
        <f>IFERROR(VLOOKUP(A685,New!A:E,5,0),"لا يوجد مواعيد")</f>
        <v>0</v>
      </c>
      <c r="F685" s="29">
        <f>IFERROR(VLOOKUP(A685,New!A:E,1,0),"لا يوجد مواعيد")</f>
        <v>10334359</v>
      </c>
      <c r="G685" s="29" t="str">
        <f>IFERROR(VLOOKUP(A685,New!A:F,4,0),"لا يوجد مواعيد")</f>
        <v>رضوى المصري</v>
      </c>
      <c r="H685" s="29" t="str">
        <f>IFERROR(VLOOKUP(A685,New!A:G,3,0),"لا يوجد مواعيد")</f>
        <v>م - الرحاب و التجمع</v>
      </c>
      <c r="I685" s="29" t="str">
        <f>IFERROR(VLOOKUP(A685,New!A:H,2,0),"لا يوجد مواعيد")</f>
        <v>بوابة 6</v>
      </c>
    </row>
    <row r="686" spans="1:9">
      <c r="A686" s="29">
        <v>10334214</v>
      </c>
      <c r="B686" s="29" t="s">
        <v>2575</v>
      </c>
      <c r="C686" s="32">
        <v>0.666666666666667</v>
      </c>
      <c r="D686" s="32">
        <v>0.0416666666666667</v>
      </c>
      <c r="E686" s="29">
        <f>IFERROR(VLOOKUP(A686,New!A:E,5,0),"لا يوجد مواعيد")</f>
        <v>0</v>
      </c>
      <c r="F686" s="29">
        <f>IFERROR(VLOOKUP(A686,New!A:E,1,0),"لا يوجد مواعيد")</f>
        <v>10334214</v>
      </c>
      <c r="G686" s="29" t="str">
        <f>IFERROR(VLOOKUP(A686,New!A:F,4,0),"لا يوجد مواعيد")</f>
        <v>احمد داوود</v>
      </c>
      <c r="H686" s="29" t="str">
        <f>IFERROR(VLOOKUP(A686,New!A:G,3,0),"لا يوجد مواعيد")</f>
        <v>ي - بدر</v>
      </c>
      <c r="I686" s="29" t="str">
        <f>IFERROR(VLOOKUP(A686,New!A:H,2,0),"لا يوجد مواعيد")</f>
        <v>مدخل بدر</v>
      </c>
    </row>
    <row r="687" spans="1:9">
      <c r="A687" s="29">
        <v>10334828</v>
      </c>
      <c r="B687" s="29" t="s">
        <v>2576</v>
      </c>
      <c r="C687" s="32">
        <v>0.666666666666667</v>
      </c>
      <c r="D687" s="32">
        <v>0.0416666666666667</v>
      </c>
      <c r="E687" s="29">
        <f>IFERROR(VLOOKUP(A687,New!A:E,5,0),"لا يوجد مواعيد")</f>
        <v>1204716664</v>
      </c>
      <c r="F687" s="29">
        <f>IFERROR(VLOOKUP(A687,New!A:E,1,0),"لا يوجد مواعيد")</f>
        <v>10334828</v>
      </c>
      <c r="G687" s="29" t="str">
        <f>IFERROR(VLOOKUP(A687,New!A:F,4,0),"لا يوجد مواعيد")</f>
        <v>تيموثي مودي</v>
      </c>
      <c r="H687" s="29" t="str">
        <f>IFERROR(VLOOKUP(A687,New!A:G,3,0),"لا يوجد مواعيد")</f>
        <v>الزيتون و مصر الجديدة</v>
      </c>
      <c r="I687" s="29" t="str">
        <f>IFERROR(VLOOKUP(A687,New!A:H,2,0),"لا يوجد مواعيد")</f>
        <v>الف مسكن</v>
      </c>
    </row>
    <row r="688" spans="1:9">
      <c r="A688" s="29">
        <v>10335120</v>
      </c>
      <c r="B688" s="29" t="s">
        <v>2577</v>
      </c>
      <c r="C688" s="32">
        <v>0.666666666666667</v>
      </c>
      <c r="D688" s="32">
        <v>0.0416666666666667</v>
      </c>
      <c r="E688" s="29">
        <f>IFERROR(VLOOKUP(A688,New!A:E,5,0),"لا يوجد مواعيد")</f>
        <v>1553989783</v>
      </c>
      <c r="F688" s="29">
        <f>IFERROR(VLOOKUP(A688,New!A:E,1,0),"لا يوجد مواعيد")</f>
        <v>10335120</v>
      </c>
      <c r="G688" s="29" t="str">
        <f>IFERROR(VLOOKUP(A688,New!A:F,4,0),"لا يوجد مواعيد")</f>
        <v>كريم محمد علي عبد الجواد</v>
      </c>
      <c r="H688" s="29" t="str">
        <f>IFERROR(VLOOKUP(A688,New!A:G,3,0),"لا يوجد مواعيد")</f>
        <v>و - مدينتي</v>
      </c>
      <c r="I688" s="29" t="str">
        <f>IFERROR(VLOOKUP(A688,New!A:H,2,0),"لا يوجد مواعيد")</f>
        <v>بوابة 1</v>
      </c>
    </row>
    <row r="689" spans="1:9">
      <c r="A689" s="29">
        <v>10335024</v>
      </c>
      <c r="B689" s="29" t="s">
        <v>2578</v>
      </c>
      <c r="C689" s="32">
        <v>0.666666666666667</v>
      </c>
      <c r="D689" s="32">
        <v>0.0416666666666667</v>
      </c>
      <c r="E689" s="29">
        <f>IFERROR(VLOOKUP(A689,New!A:E,5,0),"لا يوجد مواعيد")</f>
        <v>1016789685</v>
      </c>
      <c r="F689" s="29">
        <f>IFERROR(VLOOKUP(A689,New!A:E,1,0),"لا يوجد مواعيد")</f>
        <v>10335024</v>
      </c>
      <c r="G689" s="29" t="str">
        <f>IFERROR(VLOOKUP(A689,New!A:F,4,0),"لا يوجد مواعيد")</f>
        <v>سهيلة عاطف</v>
      </c>
      <c r="H689" s="29" t="str">
        <f>IFERROR(VLOOKUP(A689,New!A:G,3,0),"لا يوجد مواعيد")</f>
        <v>و - مدينتي</v>
      </c>
      <c r="I689" s="29" t="str">
        <f>IFERROR(VLOOKUP(A689,New!A:H,2,0),"لا يوجد مواعيد")</f>
        <v>بوابة 1</v>
      </c>
    </row>
    <row r="690" spans="1:9">
      <c r="A690" s="29">
        <v>10335056</v>
      </c>
      <c r="B690" s="29" t="s">
        <v>2579</v>
      </c>
      <c r="C690" s="32">
        <v>0.666666666666667</v>
      </c>
      <c r="D690" s="32">
        <v>0.0416666666666667</v>
      </c>
      <c r="E690" s="29">
        <f>IFERROR(VLOOKUP(A690,New!A:E,5,0),"لا يوجد مواعيد")</f>
        <v>1110081480</v>
      </c>
      <c r="F690" s="29">
        <f>IFERROR(VLOOKUP(A690,New!A:E,1,0),"لا يوجد مواعيد")</f>
        <v>10335056</v>
      </c>
      <c r="G690" s="29" t="str">
        <f>IFERROR(VLOOKUP(A690,New!A:F,4,0),"لا يوجد مواعيد")</f>
        <v>محمد احمد اسماعيل</v>
      </c>
      <c r="H690" s="29" t="str">
        <f>IFERROR(VLOOKUP(A690,New!A:G,3,0),"لا يوجد مواعيد")</f>
        <v>الزيتون و مصر الجديدة</v>
      </c>
      <c r="I690" s="29" t="str">
        <f>IFERROR(VLOOKUP(A690,New!A:H,2,0),"لا يوجد مواعيد")</f>
        <v>الف مسكن</v>
      </c>
    </row>
    <row r="691" spans="1:9">
      <c r="A691" s="29">
        <v>10282852</v>
      </c>
      <c r="B691" s="29" t="s">
        <v>2580</v>
      </c>
      <c r="C691" s="32">
        <v>0.666666666666667</v>
      </c>
      <c r="D691" s="32">
        <v>0.0416666666666667</v>
      </c>
      <c r="E691" s="29">
        <f>IFERROR(VLOOKUP(A691,New!A:E,5,0),"لا يوجد مواعيد")</f>
        <v>1156350683</v>
      </c>
      <c r="F691" s="29">
        <f>IFERROR(VLOOKUP(A691,New!A:E,1,0),"لا يوجد مواعيد")</f>
        <v>10282852</v>
      </c>
      <c r="G691" s="29" t="str">
        <f>IFERROR(VLOOKUP(A691,New!A:F,4,0),"لا يوجد مواعيد")</f>
        <v>ابو العور</v>
      </c>
      <c r="H691" s="29" t="str">
        <f>IFERROR(VLOOKUP(A691,New!A:G,3,0),"لا يوجد مواعيد")</f>
        <v>الزيتون و مصر الجديدة</v>
      </c>
      <c r="I691" s="29" t="str">
        <f>IFERROR(VLOOKUP(A691,New!A:H,2,0),"لا يوجد مواعيد")</f>
        <v>الف مسكن</v>
      </c>
    </row>
    <row r="692" spans="1:9">
      <c r="A692" s="29">
        <v>10316245</v>
      </c>
      <c r="B692" s="29" t="s">
        <v>2581</v>
      </c>
      <c r="C692" s="32">
        <v>0.75</v>
      </c>
      <c r="D692" s="32">
        <v>0.125</v>
      </c>
      <c r="E692" s="29">
        <f>IFERROR(VLOOKUP(A692,New!A:E,5,0),"لا يوجد مواعيد")</f>
        <v>1156255534</v>
      </c>
      <c r="F692" s="29">
        <f>IFERROR(VLOOKUP(A692,New!A:E,1,0),"لا يوجد مواعيد")</f>
        <v>10316245</v>
      </c>
      <c r="G692" s="29" t="str">
        <f>IFERROR(VLOOKUP(A692,New!A:F,4,0),"لا يوجد مواعيد")</f>
        <v>اميره احمد</v>
      </c>
      <c r="H692" s="29" t="str">
        <f>IFERROR(VLOOKUP(A692,New!A:G,3,0),"لا يوجد مواعيد")</f>
        <v>م - الرحاب و التجمع</v>
      </c>
      <c r="I692" s="29" t="str">
        <f>IFERROR(VLOOKUP(A692,New!A:H,2,0),"لا يوجد مواعيد")</f>
        <v>بوابة 13</v>
      </c>
    </row>
    <row r="693" spans="1:9">
      <c r="A693" s="29">
        <v>10333435</v>
      </c>
      <c r="B693" s="29" t="s">
        <v>2582</v>
      </c>
      <c r="C693" s="32">
        <v>0.833333333333333</v>
      </c>
      <c r="D693" s="32">
        <v>0.208333333333333</v>
      </c>
      <c r="E693" s="29" t="str">
        <f>IFERROR(VLOOKUP(A693,New!A:E,5,0),"لا يوجد مواعيد")</f>
        <v>1212874368 / 967777756816</v>
      </c>
      <c r="F693" s="29">
        <f>IFERROR(VLOOKUP(A693,New!A:E,1,0),"لا يوجد مواعيد")</f>
        <v>10333435</v>
      </c>
      <c r="G693" s="29" t="str">
        <f>IFERROR(VLOOKUP(A693,New!A:F,4,0),"لا يوجد مواعيد")</f>
        <v>ماهر علي دهب</v>
      </c>
      <c r="H693" s="29" t="str">
        <f>IFERROR(VLOOKUP(A693,New!A:G,3,0),"لا يوجد مواعيد")</f>
        <v>مدينة نصر</v>
      </c>
      <c r="I693" s="29" t="str">
        <f>IFERROR(VLOOKUP(A693,New!A:H,2,0),"لا يوجد مواعيد")</f>
        <v>مسجد السلام</v>
      </c>
    </row>
    <row r="694" spans="1:9">
      <c r="A694" s="29">
        <v>10333845</v>
      </c>
      <c r="B694" s="29" t="s">
        <v>2583</v>
      </c>
      <c r="C694" s="32">
        <v>0.833333333333333</v>
      </c>
      <c r="D694" s="32">
        <v>0.208333333333333</v>
      </c>
      <c r="E694" s="29">
        <f>IFERROR(VLOOKUP(A694,New!A:E,5,0),"لا يوجد مواعيد")</f>
        <v>1505499876</v>
      </c>
      <c r="F694" s="29">
        <f>IFERROR(VLOOKUP(A694,New!A:E,1,0),"لا يوجد مواعيد")</f>
        <v>10333845</v>
      </c>
      <c r="G694" s="29" t="str">
        <f>IFERROR(VLOOKUP(A694,New!A:F,4,0),"لا يوجد مواعيد")</f>
        <v>هتون ناجي</v>
      </c>
      <c r="H694" s="29" t="str">
        <f>IFERROR(VLOOKUP(A694,New!A:G,3,0),"لا يوجد مواعيد")</f>
        <v>و - مدينتي</v>
      </c>
      <c r="I694" s="29" t="str">
        <f>IFERROR(VLOOKUP(A694,New!A:H,2,0),"لا يوجد مواعيد")</f>
        <v>بوابة 1</v>
      </c>
    </row>
    <row r="695" spans="1:9">
      <c r="A695" s="29">
        <v>10314762</v>
      </c>
      <c r="B695" s="29" t="s">
        <v>2584</v>
      </c>
      <c r="C695" s="32">
        <v>0.916666666666667</v>
      </c>
      <c r="D695" s="32">
        <v>0.291666666666667</v>
      </c>
      <c r="E695" s="29">
        <f>IFERROR(VLOOKUP(A695,New!A:E,5,0),"لا يوجد مواعيد")</f>
        <v>1552408293</v>
      </c>
      <c r="F695" s="29">
        <f>IFERROR(VLOOKUP(A695,New!A:E,1,0),"لا يوجد مواعيد")</f>
        <v>10314762</v>
      </c>
      <c r="G695" s="29" t="str">
        <f>IFERROR(VLOOKUP(A695,New!A:F,4,0),"لا يوجد مواعيد")</f>
        <v>الاء كرم</v>
      </c>
      <c r="H695" s="29" t="str">
        <f>IFERROR(VLOOKUP(A695,New!A:G,3,0),"لا يوجد مواعيد")</f>
        <v>و - مدينتي</v>
      </c>
      <c r="I695" s="29" t="str">
        <f>IFERROR(VLOOKUP(A695,New!A:H,2,0),"لا يوجد مواعيد")</f>
        <v>بوابة 1</v>
      </c>
    </row>
    <row r="696" spans="1:9">
      <c r="A696" s="29">
        <v>10330150</v>
      </c>
      <c r="B696" s="29" t="s">
        <v>2585</v>
      </c>
      <c r="C696" s="32">
        <v>0.916666666666667</v>
      </c>
      <c r="D696" s="32">
        <v>0.291666666666667</v>
      </c>
      <c r="E696" s="29">
        <f>IFERROR(VLOOKUP(A696,New!A:E,5,0),"لا يوجد مواعيد")</f>
        <v>1000136922</v>
      </c>
      <c r="F696" s="29">
        <f>IFERROR(VLOOKUP(A696,New!A:E,1,0),"لا يوجد مواعيد")</f>
        <v>10330150</v>
      </c>
      <c r="G696" s="29" t="str">
        <f>IFERROR(VLOOKUP(A696,New!A:F,4,0),"لا يوجد مواعيد")</f>
        <v>حسام الامين</v>
      </c>
      <c r="H696" s="29" t="str">
        <f>IFERROR(VLOOKUP(A696,New!A:G,3,0),"لا يوجد مواعيد")</f>
        <v>حلوان و زهراء المعادي</v>
      </c>
      <c r="I696" s="29" t="str">
        <f>IFERROR(VLOOKUP(A696,New!A:H,2,0),"لا يوجد مواعيد")</f>
        <v>التوحيد و النور</v>
      </c>
    </row>
    <row r="697" spans="1:9">
      <c r="A697" s="29">
        <v>10331818</v>
      </c>
      <c r="B697" s="29" t="s">
        <v>2586</v>
      </c>
      <c r="C697" s="32">
        <v>0.916666666666667</v>
      </c>
      <c r="D697" s="32">
        <v>0.291666666666667</v>
      </c>
      <c r="E697" s="29">
        <f>IFERROR(VLOOKUP(A697,New!A:E,5,0),"لا يوجد مواعيد")</f>
        <v>1112544706</v>
      </c>
      <c r="F697" s="29">
        <f>IFERROR(VLOOKUP(A697,New!A:E,1,0),"لا يوجد مواعيد")</f>
        <v>10331818</v>
      </c>
      <c r="G697" s="29" t="str">
        <f>IFERROR(VLOOKUP(A697,New!A:F,4,0),"لا يوجد مواعيد")</f>
        <v>نور ربيع</v>
      </c>
      <c r="H697" s="29" t="str">
        <f>IFERROR(VLOOKUP(A697,New!A:G,3,0),"لا يوجد مواعيد")</f>
        <v>اكتوبر و زايد</v>
      </c>
      <c r="I697" s="29" t="str">
        <f>IFERROR(VLOOKUP(A697,New!A:H,2,0),"لا يوجد مواعيد")</f>
        <v>الحصري</v>
      </c>
    </row>
    <row r="698" spans="1:9">
      <c r="A698" s="29">
        <v>10334381</v>
      </c>
      <c r="B698" s="29" t="s">
        <v>2587</v>
      </c>
      <c r="C698" s="32">
        <v>0.916666666666667</v>
      </c>
      <c r="D698" s="32">
        <v>0.291666666666667</v>
      </c>
      <c r="E698" s="29">
        <f>IFERROR(VLOOKUP(A698,New!A:E,5,0),"لا يوجد مواعيد")</f>
        <v>1070869955</v>
      </c>
      <c r="F698" s="29">
        <f>IFERROR(VLOOKUP(A698,New!A:E,1,0),"لا يوجد مواعيد")</f>
        <v>10334381</v>
      </c>
      <c r="G698" s="29" t="str">
        <f>IFERROR(VLOOKUP(A698,New!A:F,4,0),"لا يوجد مواعيد")</f>
        <v>باسل هشام</v>
      </c>
      <c r="H698" s="29" t="str">
        <f>IFERROR(VLOOKUP(A698,New!A:G,3,0),"لا يوجد مواعيد")</f>
        <v>دائري</v>
      </c>
      <c r="I698" s="29" t="str">
        <f>IFERROR(VLOOKUP(A698,New!A:H,2,0),"لا يوجد مواعيد")</f>
        <v>السلام</v>
      </c>
    </row>
    <row r="699" spans="1:9">
      <c r="A699" s="29">
        <v>10348746</v>
      </c>
      <c r="C699" s="32">
        <v>0.708333333333333</v>
      </c>
      <c r="D699" s="32">
        <v>1.08333333333333</v>
      </c>
      <c r="E699" s="29" t="str">
        <f>IFERROR(VLOOKUP(A699,New!A:E,5,0),"لا يوجد مواعيد")</f>
        <v>1515945067/249966155689</v>
      </c>
      <c r="F699" s="29">
        <f>IFERROR(VLOOKUP(A699,New!A:E,1,0),"لا يوجد مواعيد")</f>
        <v>10348746</v>
      </c>
      <c r="G699" s="29" t="str">
        <f>IFERROR(VLOOKUP(A699,New!A:F,4,0),"لا يوجد مواعيد")</f>
        <v>عمر شيجلا</v>
      </c>
      <c r="H699" s="29" t="str">
        <f>IFERROR(VLOOKUP(A699,New!A:G,3,0),"لا يوجد مواعيد")</f>
        <v>مدينة نصر</v>
      </c>
      <c r="I699" s="29" t="str">
        <f>IFERROR(VLOOKUP(A699,New!A:H,2,0),"لا يوجد مواعيد")</f>
        <v>ميدان رابعة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</sheetData>
  <autoFilter xmlns:etc="http://www.wps.cn/officeDocument/2017/etCustomData" ref="A1:I1075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5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769"/>
  <sheetViews>
    <sheetView zoomScale="90" zoomScaleNormal="90" workbookViewId="0">
      <pane ySplit="1" topLeftCell="A2" activePane="bottomLeft" state="frozen"/>
      <selection/>
      <selection pane="bottomLeft" activeCell="B769" sqref="B2:H769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1893</v>
      </c>
      <c r="C1" s="30" t="s">
        <v>1894</v>
      </c>
      <c r="D1" s="29" t="s">
        <v>4</v>
      </c>
      <c r="E1" s="29" t="s">
        <v>1895</v>
      </c>
      <c r="F1" s="29" t="s">
        <v>3</v>
      </c>
      <c r="G1" s="29" t="s">
        <v>1896</v>
      </c>
      <c r="H1" s="29" t="s">
        <v>1</v>
      </c>
    </row>
    <row r="2" hidden="1" spans="2:8">
      <c r="B2" s="30">
        <v>0.416666666666667</v>
      </c>
      <c r="C2" s="30">
        <v>0.791666666666667</v>
      </c>
      <c r="D2" s="29">
        <v>1113296805</v>
      </c>
      <c r="E2" s="29" t="s">
        <v>2588</v>
      </c>
      <c r="F2" s="29" t="s">
        <v>1735</v>
      </c>
      <c r="G2" s="29" t="s">
        <v>2589</v>
      </c>
      <c r="H2" s="29" t="s">
        <v>2589</v>
      </c>
    </row>
    <row r="3" hidden="1" spans="2:8">
      <c r="B3" s="30">
        <v>0.416666666666667</v>
      </c>
      <c r="C3" s="30">
        <v>0.791666666666667</v>
      </c>
      <c r="D3" s="29">
        <v>1559009369</v>
      </c>
      <c r="E3" s="29" t="s">
        <v>2588</v>
      </c>
      <c r="F3" s="29" t="s">
        <v>2590</v>
      </c>
      <c r="G3" s="29" t="s">
        <v>2589</v>
      </c>
      <c r="H3" s="29" t="s">
        <v>2589</v>
      </c>
    </row>
    <row r="4" hidden="1" spans="2:8">
      <c r="B4" s="30">
        <v>0.416666666666667</v>
      </c>
      <c r="C4" s="30">
        <v>0.791666666666667</v>
      </c>
      <c r="D4" s="29">
        <v>1555337019</v>
      </c>
      <c r="E4" s="29" t="s">
        <v>2588</v>
      </c>
      <c r="F4" s="29" t="s">
        <v>2591</v>
      </c>
      <c r="G4" s="29" t="s">
        <v>2589</v>
      </c>
      <c r="H4" s="29" t="s">
        <v>2589</v>
      </c>
    </row>
    <row r="5" hidden="1" spans="2:8">
      <c r="B5" s="30">
        <v>0.416666666666667</v>
      </c>
      <c r="C5" s="30">
        <v>0.791666666666667</v>
      </c>
      <c r="D5" s="29">
        <v>1225586725</v>
      </c>
      <c r="E5" s="29" t="s">
        <v>2588</v>
      </c>
      <c r="F5" s="29" t="s">
        <v>2592</v>
      </c>
      <c r="G5" s="29" t="s">
        <v>2589</v>
      </c>
      <c r="H5" s="29" t="s">
        <v>2589</v>
      </c>
    </row>
    <row r="6" hidden="1" spans="2:8">
      <c r="B6" s="30">
        <v>0.416666666666667</v>
      </c>
      <c r="C6" s="30">
        <v>0.791666666666667</v>
      </c>
      <c r="D6" s="29">
        <v>1004906883</v>
      </c>
      <c r="E6" s="29" t="s">
        <v>2588</v>
      </c>
      <c r="F6" s="29" t="s">
        <v>2593</v>
      </c>
      <c r="G6" s="29" t="s">
        <v>2589</v>
      </c>
      <c r="H6" s="29" t="s">
        <v>2589</v>
      </c>
    </row>
    <row r="7" hidden="1" spans="2:8">
      <c r="B7" s="30">
        <v>0.375</v>
      </c>
      <c r="C7" s="30">
        <v>0.75</v>
      </c>
      <c r="D7" s="29">
        <v>0</v>
      </c>
      <c r="E7" s="29">
        <v>10337807</v>
      </c>
      <c r="F7" s="29" t="s">
        <v>1159</v>
      </c>
      <c r="G7" s="29" t="s">
        <v>434</v>
      </c>
      <c r="H7" s="29" t="s">
        <v>434</v>
      </c>
    </row>
    <row r="8" hidden="1" spans="2:8">
      <c r="B8" s="30">
        <v>0.458333333333333</v>
      </c>
      <c r="C8" s="30">
        <v>0.833333333333333</v>
      </c>
      <c r="D8" s="29">
        <v>0</v>
      </c>
      <c r="E8" s="29">
        <v>10338641</v>
      </c>
      <c r="F8" s="29" t="s">
        <v>1194</v>
      </c>
      <c r="G8" s="29" t="s">
        <v>434</v>
      </c>
      <c r="H8" s="29" t="s">
        <v>434</v>
      </c>
    </row>
    <row r="9" hidden="1" spans="2:8">
      <c r="B9" s="30">
        <v>0.583333333333333</v>
      </c>
      <c r="C9" s="30">
        <v>0.958333333333333</v>
      </c>
      <c r="D9" s="29" t="s">
        <v>1551</v>
      </c>
      <c r="E9" s="29">
        <v>10346118</v>
      </c>
      <c r="F9" s="29" t="s">
        <v>1550</v>
      </c>
      <c r="G9" s="29" t="s">
        <v>434</v>
      </c>
      <c r="H9" s="29" t="s">
        <v>434</v>
      </c>
    </row>
    <row r="10" spans="2:8">
      <c r="B10" s="30">
        <v>0.958333333333333</v>
      </c>
      <c r="C10" s="30">
        <v>0.333333333333333</v>
      </c>
      <c r="D10" s="29">
        <v>1005018561</v>
      </c>
      <c r="E10" s="29">
        <v>10347014</v>
      </c>
      <c r="F10" s="29" t="s">
        <v>1641</v>
      </c>
      <c r="G10" s="29" t="s">
        <v>434</v>
      </c>
      <c r="H10" s="29" t="s">
        <v>434</v>
      </c>
    </row>
    <row r="11" hidden="1" spans="2:8">
      <c r="B11" s="30">
        <v>0.916666666666667</v>
      </c>
      <c r="C11" s="30">
        <v>1.29166666666667</v>
      </c>
      <c r="D11" s="29">
        <v>0</v>
      </c>
      <c r="E11" s="29">
        <v>10347347</v>
      </c>
      <c r="F11" s="29" t="s">
        <v>1643</v>
      </c>
      <c r="G11" s="29" t="s">
        <v>434</v>
      </c>
      <c r="H11" s="29" t="s">
        <v>434</v>
      </c>
    </row>
    <row r="12" hidden="1" spans="2:8">
      <c r="B12" s="30">
        <v>0.458333333333333</v>
      </c>
      <c r="C12" s="30">
        <v>0.833333333333333</v>
      </c>
      <c r="D12" s="29">
        <v>1002105332</v>
      </c>
      <c r="E12" s="29">
        <v>10347639</v>
      </c>
      <c r="F12" s="29" t="s">
        <v>1726</v>
      </c>
      <c r="G12" s="29" t="s">
        <v>434</v>
      </c>
      <c r="H12" s="29" t="s">
        <v>434</v>
      </c>
    </row>
    <row r="13" hidden="1" spans="2:8">
      <c r="B13" s="30">
        <v>0.458333333333333</v>
      </c>
      <c r="C13" s="30">
        <v>0.833333333333333</v>
      </c>
      <c r="D13" s="29">
        <v>1508397610</v>
      </c>
      <c r="E13" s="29">
        <v>10347643</v>
      </c>
      <c r="F13" s="29" t="s">
        <v>1727</v>
      </c>
      <c r="G13" s="29" t="s">
        <v>434</v>
      </c>
      <c r="H13" s="29" t="s">
        <v>434</v>
      </c>
    </row>
    <row r="14" hidden="1" spans="2:8">
      <c r="B14" s="30">
        <v>0.458333333333333</v>
      </c>
      <c r="C14" s="30">
        <v>0.833333333333333</v>
      </c>
      <c r="D14" s="29">
        <v>1023151819</v>
      </c>
      <c r="E14" s="29">
        <v>10347623</v>
      </c>
      <c r="F14" s="29" t="s">
        <v>1728</v>
      </c>
      <c r="G14" s="29" t="s">
        <v>434</v>
      </c>
      <c r="H14" s="29" t="s">
        <v>434</v>
      </c>
    </row>
    <row r="15" hidden="1" spans="2:8">
      <c r="B15" s="30">
        <v>0.458333333333333</v>
      </c>
      <c r="C15" s="30">
        <v>0.833333333333333</v>
      </c>
      <c r="D15" s="29">
        <v>1014383050</v>
      </c>
      <c r="E15" s="29">
        <v>10347770</v>
      </c>
      <c r="F15" s="29" t="s">
        <v>1729</v>
      </c>
      <c r="G15" s="29" t="s">
        <v>434</v>
      </c>
      <c r="H15" s="29" t="s">
        <v>434</v>
      </c>
    </row>
    <row r="16" hidden="1" spans="2:8">
      <c r="B16" s="30">
        <v>0.458333333333333</v>
      </c>
      <c r="C16" s="30">
        <v>0.833333333333333</v>
      </c>
      <c r="D16" s="29">
        <v>1091400410</v>
      </c>
      <c r="E16" s="29">
        <v>10347762</v>
      </c>
      <c r="F16" s="29" t="s">
        <v>1730</v>
      </c>
      <c r="G16" s="29" t="s">
        <v>434</v>
      </c>
      <c r="H16" s="29" t="s">
        <v>434</v>
      </c>
    </row>
    <row r="17" hidden="1" spans="2:8">
      <c r="B17" s="30">
        <v>0.458333333333333</v>
      </c>
      <c r="C17" s="30">
        <v>0.833333333333333</v>
      </c>
      <c r="D17" s="29">
        <v>1158808766</v>
      </c>
      <c r="E17" s="29">
        <v>10347756</v>
      </c>
      <c r="F17" s="29" t="s">
        <v>1731</v>
      </c>
      <c r="G17" s="29" t="s">
        <v>434</v>
      </c>
      <c r="H17" s="29" t="s">
        <v>434</v>
      </c>
    </row>
    <row r="18" hidden="1" spans="2:8">
      <c r="B18" s="30">
        <v>0.458333333333333</v>
      </c>
      <c r="C18" s="30">
        <v>0.833333333333333</v>
      </c>
      <c r="D18" s="29">
        <v>1063790715</v>
      </c>
      <c r="E18" s="29">
        <v>10347768</v>
      </c>
      <c r="F18" s="29" t="s">
        <v>1732</v>
      </c>
      <c r="G18" s="29" t="s">
        <v>434</v>
      </c>
      <c r="H18" s="29" t="s">
        <v>434</v>
      </c>
    </row>
    <row r="19" hidden="1" spans="2:8">
      <c r="B19" s="30">
        <v>0.291666666666667</v>
      </c>
      <c r="C19" s="30">
        <v>0.666666666666667</v>
      </c>
      <c r="D19" s="29">
        <v>0</v>
      </c>
      <c r="E19" s="29">
        <v>10334401</v>
      </c>
      <c r="F19" s="29" t="s">
        <v>749</v>
      </c>
      <c r="G19" s="29" t="s">
        <v>434</v>
      </c>
      <c r="H19" s="29" t="s">
        <v>434</v>
      </c>
    </row>
    <row r="20" hidden="1" spans="2:8">
      <c r="B20" s="30">
        <v>0.583333333333333</v>
      </c>
      <c r="C20" s="30">
        <v>1.16666666666667</v>
      </c>
      <c r="D20" s="29">
        <v>1270041241</v>
      </c>
      <c r="E20" s="29">
        <v>10348215</v>
      </c>
      <c r="F20" s="29" t="s">
        <v>1701</v>
      </c>
      <c r="G20" s="29" t="s">
        <v>1700</v>
      </c>
      <c r="H20" s="29" t="s">
        <v>1700</v>
      </c>
    </row>
    <row r="21" hidden="1" spans="2:8">
      <c r="B21" s="30">
        <v>0.75</v>
      </c>
      <c r="C21" s="30">
        <v>1.125</v>
      </c>
      <c r="D21" s="29">
        <v>1556278711</v>
      </c>
      <c r="E21" s="29">
        <v>10348308</v>
      </c>
      <c r="F21" s="29" t="s">
        <v>1716</v>
      </c>
      <c r="G21" s="29" t="s">
        <v>1700</v>
      </c>
      <c r="H21" s="29" t="s">
        <v>1700</v>
      </c>
    </row>
    <row r="22" spans="2:8">
      <c r="B22" s="30">
        <v>0.958333333333333</v>
      </c>
      <c r="C22" s="30">
        <v>0.333333333333333</v>
      </c>
      <c r="D22" s="29">
        <v>1092831999</v>
      </c>
      <c r="E22" s="29">
        <v>10344167</v>
      </c>
      <c r="F22" s="29" t="s">
        <v>1413</v>
      </c>
      <c r="G22" s="29" t="s">
        <v>286</v>
      </c>
      <c r="H22" s="29" t="s">
        <v>286</v>
      </c>
    </row>
    <row r="23" hidden="1" spans="2:8">
      <c r="B23" s="30">
        <v>0.416666666666667</v>
      </c>
      <c r="C23" s="30">
        <v>0.791666666666667</v>
      </c>
      <c r="D23" s="29">
        <v>1029828096</v>
      </c>
      <c r="E23" s="29" t="s">
        <v>2588</v>
      </c>
      <c r="F23" s="29" t="s">
        <v>2594</v>
      </c>
      <c r="G23" s="29" t="s">
        <v>2595</v>
      </c>
      <c r="H23" s="29" t="s">
        <v>2595</v>
      </c>
    </row>
    <row r="24" hidden="1" spans="2:8">
      <c r="B24" s="30">
        <v>0.416666666666667</v>
      </c>
      <c r="C24" s="30">
        <v>0.791666666666667</v>
      </c>
      <c r="D24" s="29">
        <v>1285911945</v>
      </c>
      <c r="E24" s="29" t="s">
        <v>2588</v>
      </c>
      <c r="F24" s="29" t="s">
        <v>2596</v>
      </c>
      <c r="G24" s="29" t="s">
        <v>2595</v>
      </c>
      <c r="H24" s="29" t="s">
        <v>2595</v>
      </c>
    </row>
    <row r="25" hidden="1" spans="2:8">
      <c r="B25" s="30">
        <v>0.416666666666667</v>
      </c>
      <c r="C25" s="30">
        <v>0.791666666666667</v>
      </c>
      <c r="D25" s="29">
        <v>1142026904</v>
      </c>
      <c r="E25" s="29" t="s">
        <v>2588</v>
      </c>
      <c r="F25" s="29" t="s">
        <v>2597</v>
      </c>
      <c r="G25" s="29" t="s">
        <v>67</v>
      </c>
      <c r="H25" s="29" t="s">
        <v>146</v>
      </c>
    </row>
    <row r="26" hidden="1" spans="2:8">
      <c r="B26" s="30">
        <v>0.416666666666667</v>
      </c>
      <c r="C26" s="30">
        <v>0.791666666666667</v>
      </c>
      <c r="D26" s="29">
        <v>1156524915</v>
      </c>
      <c r="E26" s="29" t="s">
        <v>2588</v>
      </c>
      <c r="F26" s="29" t="s">
        <v>2598</v>
      </c>
      <c r="G26" s="29" t="s">
        <v>67</v>
      </c>
      <c r="H26" s="29" t="s">
        <v>2599</v>
      </c>
    </row>
    <row r="27" hidden="1" spans="2:8">
      <c r="B27" s="30" t="s">
        <v>1924</v>
      </c>
      <c r="C27" s="30" t="s">
        <v>1924</v>
      </c>
      <c r="D27" s="29">
        <v>1090955605</v>
      </c>
      <c r="E27" s="29">
        <v>10318869</v>
      </c>
      <c r="F27" s="29" t="s">
        <v>124</v>
      </c>
      <c r="G27" s="29" t="s">
        <v>67</v>
      </c>
      <c r="H27" s="29" t="s">
        <v>123</v>
      </c>
    </row>
    <row r="28" hidden="1" spans="2:8">
      <c r="B28" s="30">
        <v>0.416666666666667</v>
      </c>
      <c r="C28" s="30">
        <v>0.791666666666667</v>
      </c>
      <c r="D28" s="29">
        <v>1001393434</v>
      </c>
      <c r="E28" s="29">
        <v>10292084</v>
      </c>
      <c r="F28" s="29" t="s">
        <v>239</v>
      </c>
      <c r="G28" s="29" t="s">
        <v>67</v>
      </c>
      <c r="H28" s="29" t="s">
        <v>146</v>
      </c>
    </row>
    <row r="29" hidden="1" spans="2:8">
      <c r="B29" s="30">
        <v>0.625</v>
      </c>
      <c r="C29" s="30">
        <v>0</v>
      </c>
      <c r="D29" s="29">
        <v>0</v>
      </c>
      <c r="E29" s="29">
        <v>10269201</v>
      </c>
      <c r="F29" s="29" t="s">
        <v>1244</v>
      </c>
      <c r="G29" s="29" t="s">
        <v>67</v>
      </c>
      <c r="H29" s="29" t="s">
        <v>66</v>
      </c>
    </row>
    <row r="30" hidden="1" spans="2:8">
      <c r="B30" s="30" t="s">
        <v>1937</v>
      </c>
      <c r="C30" s="30" t="s">
        <v>1937</v>
      </c>
      <c r="D30" s="29">
        <v>1557058135</v>
      </c>
      <c r="E30" s="29">
        <v>10342605</v>
      </c>
      <c r="F30" s="29" t="s">
        <v>395</v>
      </c>
      <c r="G30" s="29" t="s">
        <v>67</v>
      </c>
      <c r="H30" s="29" t="s">
        <v>123</v>
      </c>
    </row>
    <row r="31" hidden="1" spans="2:8">
      <c r="B31" s="30" t="s">
        <v>1937</v>
      </c>
      <c r="C31" s="30" t="s">
        <v>1937</v>
      </c>
      <c r="D31" s="29">
        <v>1550908996</v>
      </c>
      <c r="E31" s="29">
        <v>10338564</v>
      </c>
      <c r="F31" s="29" t="s">
        <v>1192</v>
      </c>
      <c r="G31" s="29" t="s">
        <v>67</v>
      </c>
      <c r="H31" s="29" t="s">
        <v>66</v>
      </c>
    </row>
    <row r="32" hidden="1" spans="2:8">
      <c r="B32" s="30">
        <v>0.5</v>
      </c>
      <c r="C32" s="30">
        <v>0.875</v>
      </c>
      <c r="D32" s="29">
        <v>1145086624</v>
      </c>
      <c r="E32" s="29">
        <v>10325649</v>
      </c>
      <c r="F32" s="29" t="s">
        <v>1408</v>
      </c>
      <c r="G32" s="29" t="s">
        <v>67</v>
      </c>
      <c r="H32" s="29" t="s">
        <v>146</v>
      </c>
    </row>
    <row r="33" hidden="1" spans="2:8">
      <c r="B33" s="30">
        <v>0.916666666666667</v>
      </c>
      <c r="C33" s="30">
        <v>0.333333333333333</v>
      </c>
      <c r="D33" s="29">
        <v>1044067902</v>
      </c>
      <c r="E33" s="29">
        <v>10335502</v>
      </c>
      <c r="F33" s="29" t="s">
        <v>1855</v>
      </c>
      <c r="G33" s="29" t="s">
        <v>67</v>
      </c>
      <c r="H33" s="29" t="s">
        <v>123</v>
      </c>
    </row>
    <row r="34" hidden="1" spans="2:8">
      <c r="B34" s="30">
        <v>0.75</v>
      </c>
      <c r="C34" s="30">
        <v>1.25</v>
      </c>
      <c r="D34" s="29">
        <v>1017467206</v>
      </c>
      <c r="E34" s="29">
        <v>10270497</v>
      </c>
      <c r="F34" s="29" t="s">
        <v>1736</v>
      </c>
      <c r="G34" s="29" t="s">
        <v>67</v>
      </c>
      <c r="H34" s="29" t="s">
        <v>66</v>
      </c>
    </row>
    <row r="35" hidden="1" spans="2:8">
      <c r="B35" s="30">
        <v>0.583333333333333</v>
      </c>
      <c r="C35" s="30">
        <v>0.958333333333333</v>
      </c>
      <c r="D35" s="29">
        <v>1019633118</v>
      </c>
      <c r="E35" s="29">
        <v>10266290</v>
      </c>
      <c r="F35" s="29" t="s">
        <v>432</v>
      </c>
      <c r="G35" s="29" t="s">
        <v>67</v>
      </c>
      <c r="H35" s="29" t="s">
        <v>146</v>
      </c>
    </row>
    <row r="36" hidden="1" spans="2:8">
      <c r="B36" s="30">
        <v>0.416666666666667</v>
      </c>
      <c r="C36" s="30">
        <v>0.791666666666667</v>
      </c>
      <c r="D36" s="29">
        <v>1141799206</v>
      </c>
      <c r="E36" s="29">
        <v>10349490</v>
      </c>
      <c r="F36" s="29" t="s">
        <v>1854</v>
      </c>
      <c r="G36" s="29" t="s">
        <v>67</v>
      </c>
      <c r="H36" s="29" t="s">
        <v>146</v>
      </c>
    </row>
    <row r="37" hidden="1" spans="2:8">
      <c r="B37" s="30">
        <v>0.416666666666667</v>
      </c>
      <c r="C37" s="30">
        <v>0.791666666666667</v>
      </c>
      <c r="D37" s="29">
        <v>1095599069</v>
      </c>
      <c r="E37" s="29">
        <v>10306591</v>
      </c>
      <c r="F37" s="29" t="s">
        <v>167</v>
      </c>
      <c r="G37" s="29" t="s">
        <v>67</v>
      </c>
      <c r="H37" s="29" t="s">
        <v>123</v>
      </c>
    </row>
    <row r="38" hidden="1" spans="2:8">
      <c r="B38" s="30" t="s">
        <v>286</v>
      </c>
      <c r="C38" s="30" t="s">
        <v>286</v>
      </c>
      <c r="D38" s="29">
        <v>1223250740</v>
      </c>
      <c r="E38" s="29">
        <v>10304633</v>
      </c>
      <c r="F38" s="29" t="s">
        <v>736</v>
      </c>
      <c r="G38" s="29" t="s">
        <v>67</v>
      </c>
      <c r="H38" s="29" t="s">
        <v>66</v>
      </c>
    </row>
    <row r="39" hidden="1" spans="2:8">
      <c r="B39" s="30">
        <v>0.916666666666667</v>
      </c>
      <c r="C39" s="30">
        <v>0.291666666666667</v>
      </c>
      <c r="D39" s="29">
        <v>1112544706</v>
      </c>
      <c r="E39" s="29">
        <v>10331818</v>
      </c>
      <c r="F39" s="29" t="s">
        <v>1141</v>
      </c>
      <c r="G39" s="29" t="s">
        <v>67</v>
      </c>
      <c r="H39" s="29" t="s">
        <v>146</v>
      </c>
    </row>
    <row r="40" hidden="1" spans="2:8">
      <c r="B40" s="30">
        <v>0.375</v>
      </c>
      <c r="C40" s="30">
        <v>0.75</v>
      </c>
      <c r="D40" s="29">
        <v>1010368141</v>
      </c>
      <c r="E40" s="29">
        <v>10341138</v>
      </c>
      <c r="F40" s="29" t="s">
        <v>1372</v>
      </c>
      <c r="G40" s="29" t="s">
        <v>221</v>
      </c>
      <c r="H40" s="29" t="s">
        <v>220</v>
      </c>
    </row>
    <row r="41" hidden="1" spans="2:8">
      <c r="B41" s="30">
        <v>0.583333333333333</v>
      </c>
      <c r="C41" s="30">
        <v>0.958333333333333</v>
      </c>
      <c r="D41" s="29">
        <v>1556527721</v>
      </c>
      <c r="E41" s="29">
        <v>10282243</v>
      </c>
      <c r="F41" s="29" t="s">
        <v>1738</v>
      </c>
      <c r="G41" s="29" t="s">
        <v>221</v>
      </c>
      <c r="H41" s="29" t="s">
        <v>1737</v>
      </c>
    </row>
    <row r="42" hidden="1" spans="2:8">
      <c r="B42" s="30">
        <v>0.541666666666667</v>
      </c>
      <c r="C42" s="30">
        <v>0.916666666666667</v>
      </c>
      <c r="D42" s="29">
        <v>1091247732</v>
      </c>
      <c r="E42" s="29">
        <v>10333432</v>
      </c>
      <c r="F42" s="29" t="s">
        <v>558</v>
      </c>
      <c r="G42" s="29" t="s">
        <v>221</v>
      </c>
      <c r="H42" s="29" t="s">
        <v>220</v>
      </c>
    </row>
    <row r="43" hidden="1" spans="2:8">
      <c r="B43" s="30">
        <v>0.416666666666667</v>
      </c>
      <c r="C43" s="30">
        <v>0.791666666666667</v>
      </c>
      <c r="D43" s="29">
        <v>1224558156</v>
      </c>
      <c r="E43" s="29" t="s">
        <v>2588</v>
      </c>
      <c r="F43" s="29" t="s">
        <v>2600</v>
      </c>
      <c r="G43" s="29" t="s">
        <v>16</v>
      </c>
      <c r="H43" s="29" t="s">
        <v>1704</v>
      </c>
    </row>
    <row r="44" hidden="1" spans="2:8">
      <c r="B44" s="30">
        <v>0.416666666666667</v>
      </c>
      <c r="C44" s="30">
        <v>0.791666666666667</v>
      </c>
      <c r="D44" s="29">
        <v>1121213223</v>
      </c>
      <c r="E44" s="29" t="s">
        <v>2588</v>
      </c>
      <c r="F44" s="29" t="s">
        <v>2601</v>
      </c>
      <c r="G44" s="29" t="s">
        <v>16</v>
      </c>
      <c r="H44" s="29" t="s">
        <v>178</v>
      </c>
    </row>
    <row r="45" hidden="1" spans="2:8">
      <c r="B45" s="30">
        <v>0.416666666666667</v>
      </c>
      <c r="C45" s="30">
        <v>0.791666666666667</v>
      </c>
      <c r="D45" s="29" t="s">
        <v>2602</v>
      </c>
      <c r="E45" s="29" t="s">
        <v>2588</v>
      </c>
      <c r="F45" s="29" t="s">
        <v>2603</v>
      </c>
      <c r="G45" s="29" t="s">
        <v>16</v>
      </c>
      <c r="H45" s="29" t="s">
        <v>126</v>
      </c>
    </row>
    <row r="46" hidden="1" spans="2:8">
      <c r="B46" s="30">
        <v>0.416666666666667</v>
      </c>
      <c r="C46" s="30">
        <v>0.791666666666667</v>
      </c>
      <c r="D46" s="29">
        <v>1508397610</v>
      </c>
      <c r="E46" s="29" t="s">
        <v>2604</v>
      </c>
      <c r="F46" s="29" t="s">
        <v>624</v>
      </c>
      <c r="G46" s="29" t="s">
        <v>16</v>
      </c>
      <c r="H46" s="29" t="s">
        <v>126</v>
      </c>
    </row>
    <row r="47" hidden="1" spans="2:8">
      <c r="B47" s="30">
        <v>0.375</v>
      </c>
      <c r="C47" s="30">
        <v>0.75</v>
      </c>
      <c r="D47" s="29">
        <v>1068635749</v>
      </c>
      <c r="E47" s="29">
        <v>10318430</v>
      </c>
      <c r="F47" s="29" t="s">
        <v>169</v>
      </c>
      <c r="G47" s="29" t="s">
        <v>16</v>
      </c>
      <c r="H47" s="29" t="s">
        <v>34</v>
      </c>
    </row>
    <row r="48" hidden="1" spans="2:8">
      <c r="B48" s="30">
        <v>0.416666666666667</v>
      </c>
      <c r="C48" s="30">
        <v>0.791666666666667</v>
      </c>
      <c r="D48" s="29">
        <v>1068673636</v>
      </c>
      <c r="E48" s="29">
        <v>10323634</v>
      </c>
      <c r="F48" s="29" t="s">
        <v>90</v>
      </c>
      <c r="G48" s="29" t="s">
        <v>16</v>
      </c>
      <c r="H48" s="29" t="s">
        <v>34</v>
      </c>
    </row>
    <row r="49" hidden="1" spans="2:8">
      <c r="B49" s="30">
        <v>0.375</v>
      </c>
      <c r="C49" s="30">
        <v>0.75</v>
      </c>
      <c r="D49" s="29">
        <v>1554240173</v>
      </c>
      <c r="E49" s="29">
        <v>10330125</v>
      </c>
      <c r="F49" s="29" t="s">
        <v>476</v>
      </c>
      <c r="G49" s="29" t="s">
        <v>16</v>
      </c>
      <c r="H49" s="29" t="s">
        <v>34</v>
      </c>
    </row>
    <row r="50" hidden="1" spans="2:8">
      <c r="B50" s="30">
        <v>0.375</v>
      </c>
      <c r="C50" s="30">
        <v>0.75</v>
      </c>
      <c r="D50" s="29">
        <v>1128444730</v>
      </c>
      <c r="E50" s="29">
        <v>10323632</v>
      </c>
      <c r="F50" s="29" t="s">
        <v>160</v>
      </c>
      <c r="G50" s="29" t="s">
        <v>16</v>
      </c>
      <c r="H50" s="29" t="s">
        <v>34</v>
      </c>
    </row>
    <row r="51" hidden="1" spans="2:8">
      <c r="B51" s="30">
        <v>0.416666666666667</v>
      </c>
      <c r="C51" s="30">
        <v>0.791666666666667</v>
      </c>
      <c r="D51" s="29">
        <v>1022061360</v>
      </c>
      <c r="E51" s="29">
        <v>10329246</v>
      </c>
      <c r="F51" s="29" t="s">
        <v>394</v>
      </c>
      <c r="G51" s="29" t="s">
        <v>16</v>
      </c>
      <c r="H51" s="29" t="s">
        <v>34</v>
      </c>
    </row>
    <row r="52" hidden="1" spans="2:8">
      <c r="B52" s="30">
        <v>0.375</v>
      </c>
      <c r="C52" s="30">
        <v>0.75</v>
      </c>
      <c r="D52" s="29" t="s">
        <v>1374</v>
      </c>
      <c r="E52" s="29">
        <v>10341134</v>
      </c>
      <c r="F52" s="29" t="s">
        <v>1373</v>
      </c>
      <c r="G52" s="29" t="s">
        <v>16</v>
      </c>
      <c r="H52" s="29" t="s">
        <v>126</v>
      </c>
    </row>
    <row r="53" hidden="1" spans="2:8">
      <c r="B53" s="30" t="s">
        <v>1952</v>
      </c>
      <c r="C53" s="30" t="s">
        <v>1952</v>
      </c>
      <c r="D53" s="29">
        <v>1123878834</v>
      </c>
      <c r="E53" s="29">
        <v>10326135</v>
      </c>
      <c r="F53" s="29" t="s">
        <v>51</v>
      </c>
      <c r="G53" s="29" t="s">
        <v>16</v>
      </c>
      <c r="H53" s="29" t="s">
        <v>20</v>
      </c>
    </row>
    <row r="54" hidden="1" spans="2:8">
      <c r="B54" s="30">
        <v>0.375</v>
      </c>
      <c r="C54" s="30">
        <v>0.75</v>
      </c>
      <c r="D54" s="29">
        <v>1066477377</v>
      </c>
      <c r="E54" s="29">
        <v>10331653</v>
      </c>
      <c r="F54" s="29" t="s">
        <v>473</v>
      </c>
      <c r="G54" s="29" t="s">
        <v>16</v>
      </c>
      <c r="H54" s="29" t="s">
        <v>126</v>
      </c>
    </row>
    <row r="55" hidden="1" spans="2:8">
      <c r="B55" s="30">
        <v>0.375</v>
      </c>
      <c r="C55" s="30">
        <v>0.75</v>
      </c>
      <c r="D55" s="29">
        <v>1113730869</v>
      </c>
      <c r="E55" s="29">
        <v>10326124</v>
      </c>
      <c r="F55" s="29" t="s">
        <v>207</v>
      </c>
      <c r="G55" s="29" t="s">
        <v>16</v>
      </c>
      <c r="H55" s="29" t="s">
        <v>126</v>
      </c>
    </row>
    <row r="56" hidden="1" spans="2:8">
      <c r="B56" s="30">
        <v>0.375</v>
      </c>
      <c r="C56" s="30">
        <v>0.75</v>
      </c>
      <c r="D56" s="29">
        <v>1148690354</v>
      </c>
      <c r="E56" s="29">
        <v>10331623</v>
      </c>
      <c r="F56" s="29" t="s">
        <v>468</v>
      </c>
      <c r="G56" s="29" t="s">
        <v>16</v>
      </c>
      <c r="H56" s="29" t="s">
        <v>34</v>
      </c>
    </row>
    <row r="57" hidden="1" spans="2:8">
      <c r="B57" s="30">
        <v>0.416666666666667</v>
      </c>
      <c r="C57" s="30">
        <v>0.791666666666667</v>
      </c>
      <c r="D57" s="29" t="s">
        <v>1163</v>
      </c>
      <c r="E57" s="29">
        <v>10337707</v>
      </c>
      <c r="F57" s="29" t="s">
        <v>1162</v>
      </c>
      <c r="G57" s="29" t="s">
        <v>16</v>
      </c>
      <c r="H57" s="29" t="s">
        <v>15</v>
      </c>
    </row>
    <row r="58" hidden="1" spans="2:8">
      <c r="B58" s="30">
        <v>0.5</v>
      </c>
      <c r="C58" s="30">
        <v>0.875</v>
      </c>
      <c r="D58" s="29">
        <v>1221459041</v>
      </c>
      <c r="E58" s="29">
        <v>10334713</v>
      </c>
      <c r="F58" s="29" t="s">
        <v>700</v>
      </c>
      <c r="G58" s="29" t="s">
        <v>16</v>
      </c>
      <c r="H58" s="29" t="s">
        <v>34</v>
      </c>
    </row>
    <row r="59" hidden="1" spans="2:8">
      <c r="B59" s="30">
        <v>0.5</v>
      </c>
      <c r="C59" s="30">
        <v>0.875</v>
      </c>
      <c r="D59" s="29">
        <v>1021824170</v>
      </c>
      <c r="E59" s="29">
        <v>10333976</v>
      </c>
      <c r="F59" s="29" t="s">
        <v>589</v>
      </c>
      <c r="G59" s="29" t="s">
        <v>16</v>
      </c>
      <c r="H59" s="29" t="s">
        <v>15</v>
      </c>
    </row>
    <row r="60" hidden="1" spans="2:8">
      <c r="B60" s="30">
        <v>0.458333333333333</v>
      </c>
      <c r="C60" s="30">
        <v>0.833333333333333</v>
      </c>
      <c r="D60" s="29">
        <v>1006296446</v>
      </c>
      <c r="E60" s="29">
        <v>10335613</v>
      </c>
      <c r="F60" s="29" t="s">
        <v>756</v>
      </c>
      <c r="G60" s="29" t="s">
        <v>16</v>
      </c>
      <c r="H60" s="29" t="s">
        <v>15</v>
      </c>
    </row>
    <row r="61" hidden="1" spans="2:8">
      <c r="B61" s="30">
        <v>0.5</v>
      </c>
      <c r="C61" s="30">
        <v>0.875</v>
      </c>
      <c r="D61" s="29">
        <v>1117063589</v>
      </c>
      <c r="E61" s="29" t="s">
        <v>1188</v>
      </c>
      <c r="F61" s="29" t="s">
        <v>1189</v>
      </c>
      <c r="G61" s="29" t="s">
        <v>16</v>
      </c>
      <c r="H61" s="29" t="s">
        <v>20</v>
      </c>
    </row>
    <row r="62" hidden="1" spans="2:8">
      <c r="B62" s="30">
        <v>0.708333333333333</v>
      </c>
      <c r="C62" s="30">
        <v>0.0833333333333333</v>
      </c>
      <c r="D62" s="29">
        <v>1276895693</v>
      </c>
      <c r="E62" s="29">
        <v>10279718</v>
      </c>
      <c r="F62" s="29" t="s">
        <v>1404</v>
      </c>
      <c r="G62" s="29" t="s">
        <v>16</v>
      </c>
      <c r="H62" s="29" t="s">
        <v>15</v>
      </c>
    </row>
    <row r="63" hidden="1" spans="2:8">
      <c r="B63" s="30">
        <v>0.416666666666667</v>
      </c>
      <c r="C63" s="30">
        <v>0.791666666666667</v>
      </c>
      <c r="D63" s="29">
        <v>1094007876</v>
      </c>
      <c r="E63" s="29">
        <v>10304876</v>
      </c>
      <c r="F63" s="29" t="s">
        <v>255</v>
      </c>
      <c r="G63" s="29" t="s">
        <v>16</v>
      </c>
      <c r="H63" s="29" t="s">
        <v>126</v>
      </c>
    </row>
    <row r="64" hidden="1" spans="2:8">
      <c r="B64" s="30">
        <v>0.458333333333333</v>
      </c>
      <c r="C64" s="30">
        <v>0.833333333333333</v>
      </c>
      <c r="D64" s="29">
        <v>0</v>
      </c>
      <c r="E64" s="29">
        <v>10336162</v>
      </c>
      <c r="F64" s="29" t="s">
        <v>1135</v>
      </c>
      <c r="G64" s="29" t="s">
        <v>16</v>
      </c>
      <c r="H64" s="29" t="s">
        <v>20</v>
      </c>
    </row>
    <row r="65" hidden="1" spans="2:8">
      <c r="B65" s="30">
        <v>0.458333333333333</v>
      </c>
      <c r="C65" s="30">
        <v>0.833333333333333</v>
      </c>
      <c r="D65" s="29">
        <v>1065039320</v>
      </c>
      <c r="E65" s="29">
        <v>10339433</v>
      </c>
      <c r="F65" s="29" t="s">
        <v>1237</v>
      </c>
      <c r="G65" s="29" t="s">
        <v>16</v>
      </c>
      <c r="H65" s="29" t="s">
        <v>178</v>
      </c>
    </row>
    <row r="66" hidden="1" spans="2:8">
      <c r="B66" s="30">
        <v>0.458333333333333</v>
      </c>
      <c r="C66" s="30">
        <v>0.833333333333333</v>
      </c>
      <c r="D66" s="29">
        <v>1116015770</v>
      </c>
      <c r="E66" s="29">
        <v>10317390</v>
      </c>
      <c r="F66" s="29" t="s">
        <v>420</v>
      </c>
      <c r="G66" s="29" t="s">
        <v>16</v>
      </c>
      <c r="H66" s="29" t="s">
        <v>34</v>
      </c>
    </row>
    <row r="67" hidden="1" spans="2:8">
      <c r="B67" s="30" t="s">
        <v>1937</v>
      </c>
      <c r="C67" s="30" t="s">
        <v>1937</v>
      </c>
      <c r="D67" s="29">
        <v>1094846872</v>
      </c>
      <c r="E67" s="29">
        <v>10322691</v>
      </c>
      <c r="F67" s="29" t="s">
        <v>457</v>
      </c>
      <c r="G67" s="29" t="s">
        <v>16</v>
      </c>
      <c r="H67" s="29" t="s">
        <v>126</v>
      </c>
    </row>
    <row r="68" hidden="1" spans="2:8">
      <c r="B68" s="30" t="s">
        <v>1937</v>
      </c>
      <c r="C68" s="30" t="s">
        <v>1937</v>
      </c>
      <c r="D68" s="29">
        <v>1024295852</v>
      </c>
      <c r="E68" s="29">
        <v>10335553</v>
      </c>
      <c r="F68" s="29" t="s">
        <v>758</v>
      </c>
      <c r="G68" s="29" t="s">
        <v>16</v>
      </c>
      <c r="H68" s="29" t="s">
        <v>34</v>
      </c>
    </row>
    <row r="69" hidden="1" spans="2:8">
      <c r="B69" s="30">
        <v>0.5</v>
      </c>
      <c r="C69" s="30">
        <v>0.875</v>
      </c>
      <c r="D69" s="29">
        <v>1032446401</v>
      </c>
      <c r="E69" s="29">
        <v>10335700</v>
      </c>
      <c r="F69" s="29" t="s">
        <v>763</v>
      </c>
      <c r="G69" s="29" t="s">
        <v>16</v>
      </c>
      <c r="H69" s="29" t="s">
        <v>20</v>
      </c>
    </row>
    <row r="70" hidden="1" spans="2:8">
      <c r="B70" s="30">
        <v>0.625</v>
      </c>
      <c r="C70" s="30">
        <v>0</v>
      </c>
      <c r="D70" s="29">
        <v>1126055226</v>
      </c>
      <c r="E70" s="29">
        <v>10337709</v>
      </c>
      <c r="F70" s="29" t="s">
        <v>1102</v>
      </c>
      <c r="G70" s="29" t="s">
        <v>16</v>
      </c>
      <c r="H70" s="29" t="s">
        <v>20</v>
      </c>
    </row>
    <row r="71" hidden="1" spans="2:8">
      <c r="B71" s="30">
        <v>0.625</v>
      </c>
      <c r="C71" s="30">
        <v>0</v>
      </c>
      <c r="D71" s="29">
        <v>1125925881</v>
      </c>
      <c r="E71" s="29">
        <v>10337715</v>
      </c>
      <c r="F71" s="29" t="s">
        <v>1126</v>
      </c>
      <c r="G71" s="29" t="s">
        <v>16</v>
      </c>
      <c r="H71" s="29" t="s">
        <v>60</v>
      </c>
    </row>
    <row r="72" hidden="1" spans="2:8">
      <c r="B72" s="30" t="s">
        <v>1937</v>
      </c>
      <c r="C72" s="30" t="s">
        <v>1937</v>
      </c>
      <c r="D72" s="29">
        <v>1104749534</v>
      </c>
      <c r="E72" s="29">
        <v>10341792</v>
      </c>
      <c r="F72" s="29" t="s">
        <v>1327</v>
      </c>
      <c r="G72" s="29" t="s">
        <v>16</v>
      </c>
      <c r="H72" s="29" t="s">
        <v>126</v>
      </c>
    </row>
    <row r="73" hidden="1" spans="2:8">
      <c r="B73" s="30">
        <v>0.625</v>
      </c>
      <c r="C73" s="30">
        <v>0</v>
      </c>
      <c r="D73" s="29">
        <v>1153387787</v>
      </c>
      <c r="E73" s="29">
        <v>10338986</v>
      </c>
      <c r="F73" s="29" t="s">
        <v>1213</v>
      </c>
      <c r="G73" s="29" t="s">
        <v>16</v>
      </c>
      <c r="H73" s="29" t="s">
        <v>20</v>
      </c>
    </row>
    <row r="74" hidden="1" spans="2:8">
      <c r="B74" s="30" t="s">
        <v>1937</v>
      </c>
      <c r="C74" s="30" t="s">
        <v>1937</v>
      </c>
      <c r="D74" s="29">
        <v>1147658749</v>
      </c>
      <c r="E74" s="29">
        <v>10338975</v>
      </c>
      <c r="F74" s="29" t="s">
        <v>1209</v>
      </c>
      <c r="G74" s="29" t="s">
        <v>16</v>
      </c>
      <c r="H74" s="29" t="s">
        <v>126</v>
      </c>
    </row>
    <row r="75" hidden="1" spans="2:8">
      <c r="B75" s="30" t="s">
        <v>2087</v>
      </c>
      <c r="C75" s="30" t="s">
        <v>2087</v>
      </c>
      <c r="D75" s="29">
        <v>1285888728</v>
      </c>
      <c r="E75" s="29">
        <v>10335027</v>
      </c>
      <c r="F75" s="29" t="s">
        <v>735</v>
      </c>
      <c r="G75" s="29" t="s">
        <v>16</v>
      </c>
      <c r="H75" s="29" t="s">
        <v>34</v>
      </c>
    </row>
    <row r="76" hidden="1" spans="2:8">
      <c r="B76" s="30">
        <v>0.5</v>
      </c>
      <c r="C76" s="30">
        <v>0.875</v>
      </c>
      <c r="D76" s="29">
        <v>1094442317</v>
      </c>
      <c r="E76" s="29">
        <v>10343996</v>
      </c>
      <c r="F76" s="29" t="s">
        <v>1453</v>
      </c>
      <c r="G76" s="29" t="s">
        <v>16</v>
      </c>
      <c r="H76" s="29" t="s">
        <v>126</v>
      </c>
    </row>
    <row r="77" hidden="1" spans="2:8">
      <c r="B77" s="30">
        <v>0.625</v>
      </c>
      <c r="C77" s="30">
        <v>0</v>
      </c>
      <c r="D77" s="29" t="s">
        <v>1255</v>
      </c>
      <c r="E77" s="29">
        <v>10339930</v>
      </c>
      <c r="F77" s="29" t="s">
        <v>1254</v>
      </c>
      <c r="G77" s="29" t="s">
        <v>16</v>
      </c>
      <c r="H77" s="29" t="s">
        <v>34</v>
      </c>
    </row>
    <row r="78" hidden="1" spans="2:8">
      <c r="B78" s="30">
        <v>0.5</v>
      </c>
      <c r="C78" s="30">
        <v>0.875</v>
      </c>
      <c r="D78" s="29" t="s">
        <v>1285</v>
      </c>
      <c r="E78" s="29">
        <v>10340656</v>
      </c>
      <c r="F78" s="29" t="s">
        <v>1284</v>
      </c>
      <c r="G78" s="29" t="s">
        <v>16</v>
      </c>
      <c r="H78" s="29" t="s">
        <v>34</v>
      </c>
    </row>
    <row r="79" hidden="1" spans="2:8">
      <c r="B79" s="30">
        <v>0.625</v>
      </c>
      <c r="C79" s="30">
        <v>0</v>
      </c>
      <c r="D79" s="29">
        <v>1110071185</v>
      </c>
      <c r="E79" s="29">
        <v>10331422</v>
      </c>
      <c r="F79" s="29" t="s">
        <v>552</v>
      </c>
      <c r="G79" s="29" t="s">
        <v>16</v>
      </c>
      <c r="H79" s="29" t="s">
        <v>126</v>
      </c>
    </row>
    <row r="80" hidden="1" spans="2:8">
      <c r="B80" s="30">
        <v>0.583333333333333</v>
      </c>
      <c r="C80" s="30">
        <v>0.958333333333333</v>
      </c>
      <c r="D80" s="29">
        <v>1019142214</v>
      </c>
      <c r="E80" s="29">
        <v>10299519</v>
      </c>
      <c r="F80" s="29" t="s">
        <v>1857</v>
      </c>
      <c r="G80" s="29" t="s">
        <v>16</v>
      </c>
      <c r="H80" s="29" t="s">
        <v>1856</v>
      </c>
    </row>
    <row r="81" hidden="1" spans="2:8">
      <c r="B81" s="30">
        <v>0.75</v>
      </c>
      <c r="C81" s="30">
        <v>0.333333333333333</v>
      </c>
      <c r="D81" s="29">
        <v>1008135243</v>
      </c>
      <c r="E81" s="29">
        <v>10340418</v>
      </c>
      <c r="F81" s="29" t="s">
        <v>1815</v>
      </c>
      <c r="G81" s="29" t="s">
        <v>16</v>
      </c>
      <c r="H81" s="29" t="s">
        <v>15</v>
      </c>
    </row>
    <row r="82" hidden="1" spans="2:8">
      <c r="B82" s="30">
        <v>0.625</v>
      </c>
      <c r="C82" s="30">
        <v>1</v>
      </c>
      <c r="D82" s="29">
        <v>1125491114</v>
      </c>
      <c r="E82" s="29">
        <v>10342463</v>
      </c>
      <c r="F82" s="29" t="s">
        <v>1858</v>
      </c>
      <c r="G82" s="29" t="s">
        <v>16</v>
      </c>
      <c r="H82" s="29" t="s">
        <v>178</v>
      </c>
    </row>
    <row r="83" hidden="1" spans="2:8">
      <c r="B83" s="30">
        <v>0.583333333333333</v>
      </c>
      <c r="C83" s="30">
        <v>1.08333333333333</v>
      </c>
      <c r="D83" s="29" t="s">
        <v>1860</v>
      </c>
      <c r="E83" s="29">
        <v>10348410</v>
      </c>
      <c r="F83" s="29" t="s">
        <v>1859</v>
      </c>
      <c r="G83" s="29" t="s">
        <v>16</v>
      </c>
      <c r="H83" s="29" t="s">
        <v>1856</v>
      </c>
    </row>
    <row r="84" spans="2:8">
      <c r="B84" s="30">
        <v>0.958333333333333</v>
      </c>
      <c r="C84" s="30">
        <v>0.333333333333333</v>
      </c>
      <c r="D84" s="29" t="s">
        <v>1741</v>
      </c>
      <c r="E84" s="29">
        <v>10319795</v>
      </c>
      <c r="F84" s="29" t="s">
        <v>1740</v>
      </c>
      <c r="G84" s="29" t="s">
        <v>16</v>
      </c>
      <c r="H84" s="29" t="s">
        <v>126</v>
      </c>
    </row>
    <row r="85" hidden="1" spans="2:8">
      <c r="B85" s="30">
        <v>0.583333333333333</v>
      </c>
      <c r="C85" s="30">
        <v>0.958333333333333</v>
      </c>
      <c r="D85" s="29" t="s">
        <v>1739</v>
      </c>
      <c r="E85" s="29">
        <v>10324535</v>
      </c>
      <c r="F85" s="29" t="s">
        <v>33</v>
      </c>
      <c r="G85" s="29" t="s">
        <v>16</v>
      </c>
      <c r="H85" s="29" t="s">
        <v>34</v>
      </c>
    </row>
    <row r="86" hidden="1" spans="2:8">
      <c r="B86" s="30">
        <v>0.75</v>
      </c>
      <c r="C86" s="30">
        <v>1.16666666666667</v>
      </c>
      <c r="D86" s="29" t="s">
        <v>1419</v>
      </c>
      <c r="E86" s="29">
        <v>10344169</v>
      </c>
      <c r="F86" s="29" t="s">
        <v>1418</v>
      </c>
      <c r="G86" s="29" t="s">
        <v>16</v>
      </c>
      <c r="H86" s="29" t="s">
        <v>126</v>
      </c>
    </row>
    <row r="87" hidden="1" spans="2:8">
      <c r="B87" s="30">
        <v>0.583333333333333</v>
      </c>
      <c r="C87" s="30">
        <v>0.958333333333333</v>
      </c>
      <c r="D87" s="29">
        <v>1117301562</v>
      </c>
      <c r="E87" s="29">
        <v>10344173</v>
      </c>
      <c r="F87" s="29" t="s">
        <v>1420</v>
      </c>
      <c r="G87" s="29" t="s">
        <v>16</v>
      </c>
      <c r="H87" s="29" t="s">
        <v>178</v>
      </c>
    </row>
    <row r="88" hidden="1" spans="2:8">
      <c r="B88" s="30">
        <v>0.916666666666667</v>
      </c>
      <c r="C88" s="30">
        <v>1.29166666666667</v>
      </c>
      <c r="D88" s="29">
        <v>1004402706</v>
      </c>
      <c r="E88" s="29">
        <v>10344755</v>
      </c>
      <c r="F88" s="29" t="s">
        <v>1499</v>
      </c>
      <c r="G88" s="29" t="s">
        <v>16</v>
      </c>
      <c r="H88" s="29" t="s">
        <v>15</v>
      </c>
    </row>
    <row r="89" hidden="1" spans="2:8">
      <c r="B89" s="30">
        <v>0.916666666666667</v>
      </c>
      <c r="C89" s="30">
        <v>1.29166666666667</v>
      </c>
      <c r="D89" s="29">
        <v>1024731489</v>
      </c>
      <c r="E89" s="29">
        <v>10344861</v>
      </c>
      <c r="F89" s="29" t="s">
        <v>1525</v>
      </c>
      <c r="G89" s="29" t="s">
        <v>16</v>
      </c>
      <c r="H89" s="29" t="s">
        <v>126</v>
      </c>
    </row>
    <row r="90" hidden="1" spans="2:8">
      <c r="B90" s="30">
        <v>0.625</v>
      </c>
      <c r="C90" s="30">
        <v>1</v>
      </c>
      <c r="D90" s="29" t="s">
        <v>1557</v>
      </c>
      <c r="E90" s="29">
        <v>10346150</v>
      </c>
      <c r="F90" s="29" t="s">
        <v>1556</v>
      </c>
      <c r="G90" s="29" t="s">
        <v>16</v>
      </c>
      <c r="H90" s="29" t="s">
        <v>126</v>
      </c>
    </row>
    <row r="91" hidden="1" spans="2:8">
      <c r="B91" s="30">
        <v>0.916666666666666</v>
      </c>
      <c r="C91" s="30">
        <v>0.291666666666666</v>
      </c>
      <c r="D91" s="29">
        <v>1277749159</v>
      </c>
      <c r="E91" s="29">
        <v>10346382</v>
      </c>
      <c r="F91" s="29" t="s">
        <v>1569</v>
      </c>
      <c r="G91" s="29" t="s">
        <v>16</v>
      </c>
      <c r="H91" s="29" t="s">
        <v>178</v>
      </c>
    </row>
    <row r="92" spans="2:8">
      <c r="B92" s="30">
        <v>0.958333333333333</v>
      </c>
      <c r="C92" s="30">
        <v>0.333333333333333</v>
      </c>
      <c r="D92" s="29">
        <v>1280325265</v>
      </c>
      <c r="E92" s="29">
        <v>10346556</v>
      </c>
      <c r="F92" s="29" t="s">
        <v>1571</v>
      </c>
      <c r="G92" s="29" t="s">
        <v>16</v>
      </c>
      <c r="H92" s="29" t="s">
        <v>34</v>
      </c>
    </row>
    <row r="93" hidden="1" spans="2:8">
      <c r="B93" s="30">
        <v>0.583333333333333</v>
      </c>
      <c r="C93" s="30">
        <v>0.958333333333333</v>
      </c>
      <c r="D93" s="29">
        <v>1126257048</v>
      </c>
      <c r="E93" s="29">
        <v>10346778</v>
      </c>
      <c r="F93" s="29" t="s">
        <v>1572</v>
      </c>
      <c r="G93" s="29" t="s">
        <v>16</v>
      </c>
      <c r="H93" s="29" t="s">
        <v>126</v>
      </c>
    </row>
    <row r="94" hidden="1" spans="2:8">
      <c r="B94" s="30">
        <v>0.916666666666667</v>
      </c>
      <c r="C94" s="30">
        <v>1.29166666666667</v>
      </c>
      <c r="D94" s="29">
        <v>1281239426</v>
      </c>
      <c r="E94" s="29">
        <v>10347530</v>
      </c>
      <c r="F94" s="29" t="s">
        <v>1628</v>
      </c>
      <c r="G94" s="29" t="s">
        <v>16</v>
      </c>
      <c r="H94" s="29" t="s">
        <v>34</v>
      </c>
    </row>
    <row r="95" hidden="1" spans="2:8">
      <c r="B95" s="30">
        <v>0.875</v>
      </c>
      <c r="C95" s="30">
        <v>0.333333333333333</v>
      </c>
      <c r="D95" s="29">
        <v>1091172333</v>
      </c>
      <c r="E95" s="29">
        <v>10347609</v>
      </c>
      <c r="F95" s="29" t="s">
        <v>1658</v>
      </c>
      <c r="G95" s="29" t="s">
        <v>16</v>
      </c>
      <c r="H95" s="29" t="s">
        <v>20</v>
      </c>
    </row>
    <row r="96" hidden="1" spans="2:8">
      <c r="B96" s="30">
        <v>0.875</v>
      </c>
      <c r="C96" s="30">
        <v>1.25</v>
      </c>
      <c r="D96" s="29">
        <v>1020340671</v>
      </c>
      <c r="E96" s="29">
        <v>10347646</v>
      </c>
      <c r="F96" s="29" t="s">
        <v>1661</v>
      </c>
      <c r="G96" s="29" t="s">
        <v>16</v>
      </c>
      <c r="H96" s="29" t="s">
        <v>126</v>
      </c>
    </row>
    <row r="97" hidden="1" spans="2:8">
      <c r="B97" s="30">
        <v>0.875</v>
      </c>
      <c r="C97" s="30">
        <v>1.25</v>
      </c>
      <c r="D97" s="29" t="s">
        <v>1694</v>
      </c>
      <c r="E97" s="29">
        <v>10348044</v>
      </c>
      <c r="F97" s="29" t="s">
        <v>1693</v>
      </c>
      <c r="G97" s="29" t="s">
        <v>16</v>
      </c>
      <c r="H97" s="29" t="s">
        <v>126</v>
      </c>
    </row>
    <row r="98" hidden="1" spans="2:8">
      <c r="B98" s="30">
        <v>0.625</v>
      </c>
      <c r="C98" s="30">
        <v>1</v>
      </c>
      <c r="D98" s="29">
        <v>1070199150</v>
      </c>
      <c r="E98" s="29">
        <v>10348249</v>
      </c>
      <c r="F98" s="29" t="s">
        <v>985</v>
      </c>
      <c r="G98" s="29" t="s">
        <v>16</v>
      </c>
      <c r="H98" s="29" t="s">
        <v>126</v>
      </c>
    </row>
    <row r="99" hidden="1" spans="2:8">
      <c r="B99" s="30">
        <v>0.625</v>
      </c>
      <c r="C99" s="30">
        <v>1</v>
      </c>
      <c r="D99" s="29">
        <v>1205310663</v>
      </c>
      <c r="E99" s="29">
        <v>10348485</v>
      </c>
      <c r="F99" s="29" t="s">
        <v>1783</v>
      </c>
      <c r="G99" s="29" t="s">
        <v>16</v>
      </c>
      <c r="H99" s="29" t="s">
        <v>126</v>
      </c>
    </row>
    <row r="100" hidden="1" spans="2:8">
      <c r="B100" s="30">
        <v>0.708333333333333</v>
      </c>
      <c r="C100" s="30">
        <v>0.0833333333333333</v>
      </c>
      <c r="D100" s="29" t="s">
        <v>1888</v>
      </c>
      <c r="E100" s="29">
        <v>10348793</v>
      </c>
      <c r="F100" s="29" t="s">
        <v>1887</v>
      </c>
      <c r="G100" s="29" t="s">
        <v>16</v>
      </c>
      <c r="H100" s="29" t="s">
        <v>1856</v>
      </c>
    </row>
    <row r="101" hidden="1" spans="2:8">
      <c r="B101" s="30">
        <v>0.708333333333333</v>
      </c>
      <c r="C101" s="30">
        <v>0.0833333333333333</v>
      </c>
      <c r="D101" s="29">
        <v>1141915010</v>
      </c>
      <c r="E101" s="29">
        <v>10276557</v>
      </c>
      <c r="F101" s="29" t="s">
        <v>1410</v>
      </c>
      <c r="G101" s="29" t="s">
        <v>16</v>
      </c>
      <c r="H101" s="29" t="s">
        <v>15</v>
      </c>
    </row>
    <row r="102" hidden="1" spans="2:8">
      <c r="B102" s="30">
        <v>0.625</v>
      </c>
      <c r="C102" s="30">
        <v>0.208333333333333</v>
      </c>
      <c r="D102" s="29">
        <v>1200090832</v>
      </c>
      <c r="E102" s="29">
        <v>10291155</v>
      </c>
      <c r="F102" s="29" t="s">
        <v>1477</v>
      </c>
      <c r="G102" s="29" t="s">
        <v>16</v>
      </c>
      <c r="H102" s="29" t="s">
        <v>20</v>
      </c>
    </row>
    <row r="103" hidden="1" spans="2:8">
      <c r="B103" s="30">
        <v>0.583333333333333</v>
      </c>
      <c r="C103" s="30">
        <v>0.958333333333333</v>
      </c>
      <c r="D103" s="29">
        <v>1008448127</v>
      </c>
      <c r="E103" s="29">
        <v>10299384</v>
      </c>
      <c r="F103" s="29" t="s">
        <v>1478</v>
      </c>
      <c r="G103" s="29" t="s">
        <v>16</v>
      </c>
      <c r="H103" s="29" t="s">
        <v>15</v>
      </c>
    </row>
    <row r="104" hidden="1" spans="2:8">
      <c r="B104" s="30">
        <v>0.75</v>
      </c>
      <c r="C104" s="30">
        <v>0.125</v>
      </c>
      <c r="D104" s="29">
        <v>1121378981</v>
      </c>
      <c r="E104" s="29">
        <v>10308019</v>
      </c>
      <c r="F104" s="29" t="s">
        <v>1782</v>
      </c>
      <c r="G104" s="29" t="s">
        <v>16</v>
      </c>
      <c r="H104" s="29" t="s">
        <v>126</v>
      </c>
    </row>
    <row r="105" hidden="1" spans="2:8">
      <c r="B105" s="30">
        <v>0.666666666666667</v>
      </c>
      <c r="C105" s="30">
        <v>0.0416666666666667</v>
      </c>
      <c r="D105" s="29">
        <v>1278809178</v>
      </c>
      <c r="E105" s="29">
        <v>10298710</v>
      </c>
      <c r="F105" s="29" t="s">
        <v>1516</v>
      </c>
      <c r="G105" s="29" t="s">
        <v>16</v>
      </c>
      <c r="H105" s="29" t="s">
        <v>15</v>
      </c>
    </row>
    <row r="106" hidden="1" spans="2:8">
      <c r="B106" s="30">
        <v>0.416666666666667</v>
      </c>
      <c r="C106" s="30">
        <v>0.791666666666667</v>
      </c>
      <c r="D106" s="29">
        <v>1555795564</v>
      </c>
      <c r="E106" s="29">
        <v>10349407</v>
      </c>
      <c r="F106" s="29" t="s">
        <v>1853</v>
      </c>
      <c r="G106" s="29" t="s">
        <v>16</v>
      </c>
      <c r="H106" s="29" t="s">
        <v>126</v>
      </c>
    </row>
    <row r="107" hidden="1" spans="2:8">
      <c r="B107" s="30">
        <v>0.333333333333333</v>
      </c>
      <c r="C107" s="30">
        <v>0.666666666666667</v>
      </c>
      <c r="D107" s="29">
        <v>1275539822</v>
      </c>
      <c r="E107" s="29">
        <v>10303306</v>
      </c>
      <c r="F107" s="29" t="s">
        <v>165</v>
      </c>
      <c r="G107" s="29" t="s">
        <v>16</v>
      </c>
      <c r="H107" s="29" t="s">
        <v>15</v>
      </c>
    </row>
    <row r="108" hidden="1" spans="2:8">
      <c r="B108" s="30">
        <v>0.625</v>
      </c>
      <c r="C108" s="30">
        <v>0</v>
      </c>
      <c r="D108" s="29">
        <v>0</v>
      </c>
      <c r="E108" s="29">
        <v>10324909</v>
      </c>
      <c r="F108" s="29" t="s">
        <v>764</v>
      </c>
      <c r="G108" s="29" t="s">
        <v>16</v>
      </c>
      <c r="H108" s="29" t="s">
        <v>20</v>
      </c>
    </row>
    <row r="109" hidden="1" spans="2:8">
      <c r="B109" s="30">
        <v>0.333333333333333</v>
      </c>
      <c r="C109" s="30">
        <v>0.708333333333333</v>
      </c>
      <c r="D109" s="29">
        <v>0</v>
      </c>
      <c r="E109" s="29">
        <v>10340710</v>
      </c>
      <c r="F109" s="29" t="s">
        <v>1604</v>
      </c>
      <c r="G109" s="29" t="s">
        <v>16</v>
      </c>
      <c r="H109" s="29" t="s">
        <v>126</v>
      </c>
    </row>
    <row r="110" hidden="1" spans="2:8">
      <c r="B110" s="30">
        <v>0.5</v>
      </c>
      <c r="C110" s="30">
        <v>0.875</v>
      </c>
      <c r="D110" s="29">
        <v>1012900031</v>
      </c>
      <c r="E110" s="29">
        <v>10316538</v>
      </c>
      <c r="F110" s="29" t="s">
        <v>179</v>
      </c>
      <c r="G110" s="29" t="s">
        <v>16</v>
      </c>
      <c r="H110" s="29" t="s">
        <v>178</v>
      </c>
    </row>
    <row r="111" hidden="1" spans="2:8">
      <c r="B111" s="30">
        <v>0.375</v>
      </c>
      <c r="C111" s="30">
        <v>0.75</v>
      </c>
      <c r="D111" s="29">
        <v>1018580780</v>
      </c>
      <c r="E111" s="29">
        <v>10320435</v>
      </c>
      <c r="F111" s="29" t="s">
        <v>127</v>
      </c>
      <c r="G111" s="29" t="s">
        <v>16</v>
      </c>
      <c r="H111" s="29" t="s">
        <v>126</v>
      </c>
    </row>
    <row r="112" hidden="1" spans="2:8">
      <c r="B112" s="30">
        <v>0.5</v>
      </c>
      <c r="C112" s="30">
        <v>0.875</v>
      </c>
      <c r="D112" s="29">
        <v>1096289176</v>
      </c>
      <c r="E112" s="29">
        <v>10320412</v>
      </c>
      <c r="F112" s="29" t="s">
        <v>61</v>
      </c>
      <c r="G112" s="29" t="s">
        <v>16</v>
      </c>
      <c r="H112" s="29" t="s">
        <v>60</v>
      </c>
    </row>
    <row r="113" hidden="1" spans="2:8">
      <c r="B113" s="30">
        <v>0.375</v>
      </c>
      <c r="C113" s="30">
        <v>0.75</v>
      </c>
      <c r="D113" s="29">
        <v>1055483869</v>
      </c>
      <c r="E113" s="29">
        <v>10331708</v>
      </c>
      <c r="F113" s="29" t="s">
        <v>448</v>
      </c>
      <c r="G113" s="29" t="s">
        <v>16</v>
      </c>
      <c r="H113" s="29" t="s">
        <v>126</v>
      </c>
    </row>
    <row r="114" hidden="1" spans="2:8">
      <c r="B114" s="30">
        <v>0.333333333333333</v>
      </c>
      <c r="C114" s="30">
        <v>0.708333333333333</v>
      </c>
      <c r="D114" s="29">
        <v>1019247490</v>
      </c>
      <c r="E114" s="29">
        <v>10343408</v>
      </c>
      <c r="F114" s="29" t="s">
        <v>1389</v>
      </c>
      <c r="G114" s="29" t="s">
        <v>16</v>
      </c>
      <c r="H114" s="29" t="s">
        <v>178</v>
      </c>
    </row>
    <row r="115" hidden="1" spans="2:8">
      <c r="B115" s="30">
        <v>0.375</v>
      </c>
      <c r="C115" s="30">
        <v>0.75</v>
      </c>
      <c r="D115" s="29">
        <v>1118082037</v>
      </c>
      <c r="E115" s="29">
        <v>10343276</v>
      </c>
      <c r="F115" s="29" t="s">
        <v>1393</v>
      </c>
      <c r="G115" s="29" t="s">
        <v>16</v>
      </c>
      <c r="H115" s="29" t="s">
        <v>34</v>
      </c>
    </row>
    <row r="116" hidden="1" spans="2:8">
      <c r="B116" s="30" t="s">
        <v>1937</v>
      </c>
      <c r="C116" s="30" t="s">
        <v>1937</v>
      </c>
      <c r="D116" s="29" t="s">
        <v>1617</v>
      </c>
      <c r="E116" s="29">
        <v>10347537</v>
      </c>
      <c r="F116" s="29" t="s">
        <v>1616</v>
      </c>
      <c r="G116" s="29" t="s">
        <v>16</v>
      </c>
      <c r="H116" s="29" t="s">
        <v>20</v>
      </c>
    </row>
    <row r="117" hidden="1" spans="2:8">
      <c r="B117" s="30">
        <v>0.5</v>
      </c>
      <c r="C117" s="30">
        <v>0.875</v>
      </c>
      <c r="D117" s="29">
        <v>1200050553</v>
      </c>
      <c r="E117" s="29">
        <v>10347299</v>
      </c>
      <c r="F117" s="29" t="s">
        <v>1612</v>
      </c>
      <c r="G117" s="29" t="s">
        <v>16</v>
      </c>
      <c r="H117" s="29" t="s">
        <v>20</v>
      </c>
    </row>
    <row r="118" hidden="1" spans="2:8">
      <c r="B118" s="30" t="s">
        <v>1937</v>
      </c>
      <c r="C118" s="30" t="s">
        <v>1937</v>
      </c>
      <c r="D118" s="29">
        <v>1003219481</v>
      </c>
      <c r="E118" s="29">
        <v>10334245</v>
      </c>
      <c r="F118" s="29" t="s">
        <v>610</v>
      </c>
      <c r="G118" s="29" t="s">
        <v>16</v>
      </c>
      <c r="H118" s="29" t="s">
        <v>126</v>
      </c>
    </row>
    <row r="119" hidden="1" spans="2:8">
      <c r="B119" s="30">
        <v>0.5</v>
      </c>
      <c r="C119" s="30">
        <v>0.875</v>
      </c>
      <c r="D119" s="29" t="s">
        <v>1609</v>
      </c>
      <c r="E119" s="29">
        <v>10347267</v>
      </c>
      <c r="F119" s="29" t="s">
        <v>1608</v>
      </c>
      <c r="G119" s="29" t="s">
        <v>16</v>
      </c>
      <c r="H119" s="29" t="s">
        <v>20</v>
      </c>
    </row>
    <row r="120" hidden="1" spans="2:8">
      <c r="B120" s="30">
        <v>0.375</v>
      </c>
      <c r="C120" s="30">
        <v>0.75</v>
      </c>
      <c r="D120" s="29">
        <v>1007280599</v>
      </c>
      <c r="E120" s="29">
        <v>10316543</v>
      </c>
      <c r="F120" s="29" t="s">
        <v>93</v>
      </c>
      <c r="G120" s="29" t="s">
        <v>16</v>
      </c>
      <c r="H120" s="29" t="s">
        <v>34</v>
      </c>
    </row>
    <row r="121" hidden="1" spans="2:8">
      <c r="B121" s="30" t="s">
        <v>2087</v>
      </c>
      <c r="C121" s="30" t="s">
        <v>2087</v>
      </c>
      <c r="D121" s="29">
        <v>1092081930</v>
      </c>
      <c r="E121" s="29">
        <v>10295542</v>
      </c>
      <c r="F121" s="29" t="s">
        <v>349</v>
      </c>
      <c r="G121" s="29" t="s">
        <v>16</v>
      </c>
      <c r="H121" s="29" t="s">
        <v>126</v>
      </c>
    </row>
    <row r="122" hidden="1" spans="2:8">
      <c r="B122" s="30">
        <v>0.458333333333333</v>
      </c>
      <c r="C122" s="30">
        <v>0.833333333333333</v>
      </c>
      <c r="D122" s="29" t="s">
        <v>1207</v>
      </c>
      <c r="E122" s="29">
        <v>10330639</v>
      </c>
      <c r="F122" s="29" t="s">
        <v>1206</v>
      </c>
      <c r="G122" s="29" t="s">
        <v>16</v>
      </c>
      <c r="H122" s="29" t="s">
        <v>34</v>
      </c>
    </row>
    <row r="123" hidden="1" spans="2:8">
      <c r="B123" s="30">
        <v>0.291666666666667</v>
      </c>
      <c r="C123" s="30">
        <v>0.666666666666667</v>
      </c>
      <c r="D123" s="29">
        <v>1024424852</v>
      </c>
      <c r="E123" s="29">
        <v>10327586</v>
      </c>
      <c r="F123" s="29" t="s">
        <v>358</v>
      </c>
      <c r="G123" s="29" t="s">
        <v>16</v>
      </c>
      <c r="H123" s="29" t="s">
        <v>178</v>
      </c>
    </row>
    <row r="124" hidden="1" spans="2:8">
      <c r="B124" s="30">
        <v>0.666666666666667</v>
      </c>
      <c r="C124" s="30">
        <v>0.0416666666666667</v>
      </c>
      <c r="D124" s="29">
        <v>1204716664</v>
      </c>
      <c r="E124" s="29">
        <v>10334828</v>
      </c>
      <c r="F124" s="29" t="s">
        <v>665</v>
      </c>
      <c r="G124" s="29" t="s">
        <v>16</v>
      </c>
      <c r="H124" s="29" t="s">
        <v>34</v>
      </c>
    </row>
    <row r="125" hidden="1" spans="2:8">
      <c r="B125" s="30">
        <v>0.666666666666667</v>
      </c>
      <c r="C125" s="30">
        <v>0.0416666666666667</v>
      </c>
      <c r="D125" s="29">
        <v>1110081480</v>
      </c>
      <c r="E125" s="29">
        <v>10335056</v>
      </c>
      <c r="F125" s="29" t="s">
        <v>731</v>
      </c>
      <c r="G125" s="29" t="s">
        <v>16</v>
      </c>
      <c r="H125" s="29" t="s">
        <v>34</v>
      </c>
    </row>
    <row r="126" hidden="1" spans="2:8">
      <c r="B126" s="30">
        <v>0.666666666666667</v>
      </c>
      <c r="C126" s="30">
        <v>0.0416666666666667</v>
      </c>
      <c r="D126" s="29">
        <v>1156350683</v>
      </c>
      <c r="E126" s="29">
        <v>10282852</v>
      </c>
      <c r="F126" s="29" t="s">
        <v>248</v>
      </c>
      <c r="G126" s="29" t="s">
        <v>16</v>
      </c>
      <c r="H126" s="29" t="s">
        <v>34</v>
      </c>
    </row>
    <row r="127" hidden="1" spans="2:8">
      <c r="B127" s="30">
        <v>0.458333333333333</v>
      </c>
      <c r="C127" s="30">
        <v>0.791666666666667</v>
      </c>
      <c r="D127" s="29">
        <v>1002979193</v>
      </c>
      <c r="E127" s="29">
        <v>10214464</v>
      </c>
      <c r="F127" s="29" t="s">
        <v>360</v>
      </c>
      <c r="G127" s="29" t="s">
        <v>30</v>
      </c>
      <c r="H127" s="29" t="s">
        <v>29</v>
      </c>
    </row>
    <row r="128" hidden="1" spans="2:8">
      <c r="B128" s="30">
        <v>0.375</v>
      </c>
      <c r="C128" s="30">
        <v>0.75</v>
      </c>
      <c r="D128" s="29">
        <v>1113294520</v>
      </c>
      <c r="E128" s="29">
        <v>10329245</v>
      </c>
      <c r="F128" s="29" t="s">
        <v>372</v>
      </c>
      <c r="G128" s="29" t="s">
        <v>30</v>
      </c>
      <c r="H128" s="29" t="s">
        <v>29</v>
      </c>
    </row>
    <row r="129" hidden="1" spans="2:8">
      <c r="B129" s="30">
        <v>0.458333333333333</v>
      </c>
      <c r="C129" s="30">
        <v>0.833333333333333</v>
      </c>
      <c r="D129" s="29" t="s">
        <v>640</v>
      </c>
      <c r="E129" s="29">
        <v>10287526</v>
      </c>
      <c r="F129" s="29" t="s">
        <v>639</v>
      </c>
      <c r="G129" s="29" t="s">
        <v>30</v>
      </c>
      <c r="H129" s="29" t="s">
        <v>29</v>
      </c>
    </row>
    <row r="130" hidden="1" spans="2:8">
      <c r="B130" s="30">
        <v>0.5</v>
      </c>
      <c r="C130" s="30">
        <v>0.875</v>
      </c>
      <c r="D130" s="29">
        <v>1201035557</v>
      </c>
      <c r="E130" s="29">
        <v>10339919</v>
      </c>
      <c r="F130" s="29" t="s">
        <v>1346</v>
      </c>
      <c r="G130" s="29" t="s">
        <v>30</v>
      </c>
      <c r="H130" s="29" t="s">
        <v>29</v>
      </c>
    </row>
    <row r="131" hidden="1" spans="2:8">
      <c r="B131" s="30">
        <v>0.5</v>
      </c>
      <c r="C131" s="30">
        <v>0.875</v>
      </c>
      <c r="D131" s="29">
        <v>1201433368</v>
      </c>
      <c r="E131" s="29">
        <v>10335592</v>
      </c>
      <c r="F131" s="29" t="s">
        <v>760</v>
      </c>
      <c r="G131" s="29" t="s">
        <v>30</v>
      </c>
      <c r="H131" s="29" t="s">
        <v>29</v>
      </c>
    </row>
    <row r="132" hidden="1" spans="2:8">
      <c r="B132" s="30">
        <v>0.625</v>
      </c>
      <c r="C132" s="30">
        <v>0</v>
      </c>
      <c r="D132" s="29">
        <v>1069323958</v>
      </c>
      <c r="E132" s="29">
        <v>10342602</v>
      </c>
      <c r="F132" s="29" t="s">
        <v>1367</v>
      </c>
      <c r="G132" s="29" t="s">
        <v>30</v>
      </c>
      <c r="H132" s="29" t="s">
        <v>1091</v>
      </c>
    </row>
    <row r="133" hidden="1" spans="2:8">
      <c r="B133" s="30">
        <v>0.5</v>
      </c>
      <c r="C133" s="30">
        <v>0.875</v>
      </c>
      <c r="D133" s="29">
        <v>1020842747</v>
      </c>
      <c r="E133" s="29">
        <v>10343869</v>
      </c>
      <c r="F133" s="29" t="s">
        <v>1455</v>
      </c>
      <c r="G133" s="29" t="s">
        <v>30</v>
      </c>
      <c r="H133" s="29" t="s">
        <v>381</v>
      </c>
    </row>
    <row r="134" hidden="1" spans="2:8">
      <c r="B134" s="30">
        <v>0.5</v>
      </c>
      <c r="C134" s="30">
        <v>0.875</v>
      </c>
      <c r="D134" s="29" t="s">
        <v>1257</v>
      </c>
      <c r="E134" s="29">
        <v>10339931</v>
      </c>
      <c r="F134" s="29" t="s">
        <v>1256</v>
      </c>
      <c r="G134" s="29" t="s">
        <v>30</v>
      </c>
      <c r="H134" s="29" t="s">
        <v>29</v>
      </c>
    </row>
    <row r="135" hidden="1" spans="2:8">
      <c r="B135" s="30">
        <v>0.625</v>
      </c>
      <c r="C135" s="30">
        <v>0</v>
      </c>
      <c r="D135" s="29">
        <v>1155027161</v>
      </c>
      <c r="E135" s="29">
        <v>10339936</v>
      </c>
      <c r="F135" s="29" t="s">
        <v>620</v>
      </c>
      <c r="G135" s="29" t="s">
        <v>30</v>
      </c>
      <c r="H135" s="29" t="s">
        <v>381</v>
      </c>
    </row>
    <row r="136" spans="2:8">
      <c r="B136" s="30">
        <v>0.958333333333333</v>
      </c>
      <c r="C136" s="30">
        <v>0.333333333333333</v>
      </c>
      <c r="D136" s="29">
        <v>1145153164</v>
      </c>
      <c r="E136" s="29">
        <v>10319094</v>
      </c>
      <c r="F136" s="29" t="s">
        <v>1742</v>
      </c>
      <c r="G136" s="29" t="s">
        <v>30</v>
      </c>
      <c r="H136" s="29" t="s">
        <v>381</v>
      </c>
    </row>
    <row r="137" hidden="1" spans="2:8">
      <c r="B137" s="30">
        <v>0.666666666666667</v>
      </c>
      <c r="C137" s="30">
        <v>0.0416666666666667</v>
      </c>
      <c r="D137" s="29">
        <v>1270058439</v>
      </c>
      <c r="E137" s="29">
        <v>10333416</v>
      </c>
      <c r="F137" s="29" t="s">
        <v>555</v>
      </c>
      <c r="G137" s="29" t="s">
        <v>30</v>
      </c>
      <c r="H137" s="29" t="s">
        <v>381</v>
      </c>
    </row>
    <row r="138" hidden="1" spans="2:8">
      <c r="B138" s="30">
        <v>0.416666666666667</v>
      </c>
      <c r="C138" s="30">
        <v>0.791666666666667</v>
      </c>
      <c r="D138" s="29">
        <v>1141894870</v>
      </c>
      <c r="E138" s="29" t="s">
        <v>2588</v>
      </c>
      <c r="F138" s="29" t="s">
        <v>2605</v>
      </c>
      <c r="G138" s="29" t="s">
        <v>2606</v>
      </c>
      <c r="H138" s="29" t="s">
        <v>381</v>
      </c>
    </row>
    <row r="139" hidden="1" spans="2:8">
      <c r="B139" s="30">
        <v>0.375</v>
      </c>
      <c r="C139" s="30">
        <v>0.75</v>
      </c>
      <c r="D139" s="29">
        <v>1206043573</v>
      </c>
      <c r="E139" s="29" t="s">
        <v>2607</v>
      </c>
      <c r="F139" s="29" t="s">
        <v>2608</v>
      </c>
      <c r="G139" s="29" t="s">
        <v>58</v>
      </c>
      <c r="H139" s="29" t="s">
        <v>57</v>
      </c>
    </row>
    <row r="140" hidden="1" spans="2:8">
      <c r="B140" s="30">
        <v>0.416666666666667</v>
      </c>
      <c r="C140" s="30">
        <v>0.791666666666667</v>
      </c>
      <c r="D140" s="29">
        <v>1552461288</v>
      </c>
      <c r="E140" s="29" t="s">
        <v>2588</v>
      </c>
      <c r="F140" s="29" t="s">
        <v>2609</v>
      </c>
      <c r="G140" s="29" t="s">
        <v>58</v>
      </c>
      <c r="H140" s="29" t="s">
        <v>57</v>
      </c>
    </row>
    <row r="141" hidden="1" spans="2:8">
      <c r="B141" s="30">
        <v>0.416666666666667</v>
      </c>
      <c r="C141" s="30">
        <v>0.791666666666667</v>
      </c>
      <c r="D141" s="29">
        <v>1022522135</v>
      </c>
      <c r="E141" s="29" t="s">
        <v>2588</v>
      </c>
      <c r="F141" s="29" t="s">
        <v>154</v>
      </c>
      <c r="G141" s="29" t="s">
        <v>58</v>
      </c>
      <c r="H141" s="29" t="s">
        <v>57</v>
      </c>
    </row>
    <row r="142" hidden="1" spans="2:8">
      <c r="B142" s="30">
        <v>0.416666666666667</v>
      </c>
      <c r="C142" s="30">
        <v>0.791666666666667</v>
      </c>
      <c r="D142" s="29">
        <v>1007497277</v>
      </c>
      <c r="E142" s="29">
        <v>10326133</v>
      </c>
      <c r="F142" s="29" t="s">
        <v>59</v>
      </c>
      <c r="G142" s="29" t="s">
        <v>58</v>
      </c>
      <c r="H142" s="29" t="s">
        <v>57</v>
      </c>
    </row>
    <row r="143" hidden="1" spans="2:8">
      <c r="B143" s="30">
        <v>0.75</v>
      </c>
      <c r="C143" s="30">
        <v>0.125</v>
      </c>
      <c r="D143" s="29" t="s">
        <v>399</v>
      </c>
      <c r="E143" s="29">
        <v>10329910</v>
      </c>
      <c r="F143" s="29" t="s">
        <v>398</v>
      </c>
      <c r="G143" s="29" t="s">
        <v>58</v>
      </c>
      <c r="H143" s="29" t="s">
        <v>57</v>
      </c>
    </row>
    <row r="144" hidden="1" spans="2:8">
      <c r="B144" s="30" t="s">
        <v>1952</v>
      </c>
      <c r="C144" s="30" t="s">
        <v>1952</v>
      </c>
      <c r="D144" s="29">
        <v>1152645175</v>
      </c>
      <c r="E144" s="29">
        <v>10337720</v>
      </c>
      <c r="F144" s="29" t="s">
        <v>1166</v>
      </c>
      <c r="G144" s="29" t="s">
        <v>58</v>
      </c>
      <c r="H144" s="29" t="s">
        <v>57</v>
      </c>
    </row>
    <row r="145" hidden="1" spans="2:8">
      <c r="B145" s="30">
        <v>0.416666666666667</v>
      </c>
      <c r="C145" s="30">
        <v>0.791666666666667</v>
      </c>
      <c r="D145" s="29">
        <v>1142047308</v>
      </c>
      <c r="E145" s="29">
        <v>10329290</v>
      </c>
      <c r="F145" s="29" t="s">
        <v>375</v>
      </c>
      <c r="G145" s="29" t="s">
        <v>58</v>
      </c>
      <c r="H145" s="29" t="s">
        <v>57</v>
      </c>
    </row>
    <row r="146" hidden="1" spans="2:8">
      <c r="B146" s="30">
        <v>0.416666666666667</v>
      </c>
      <c r="C146" s="30">
        <v>0.791666666666667</v>
      </c>
      <c r="D146" s="29">
        <v>1123518604</v>
      </c>
      <c r="E146" s="29">
        <v>10341126</v>
      </c>
      <c r="F146" s="29" t="s">
        <v>1343</v>
      </c>
      <c r="G146" s="29" t="s">
        <v>58</v>
      </c>
      <c r="H146" s="29" t="s">
        <v>57</v>
      </c>
    </row>
    <row r="147" hidden="1" spans="2:8">
      <c r="B147" s="30">
        <v>0.375</v>
      </c>
      <c r="C147" s="30">
        <v>0.75</v>
      </c>
      <c r="D147" s="29">
        <v>0</v>
      </c>
      <c r="E147" s="29">
        <v>10338143</v>
      </c>
      <c r="F147" s="29" t="s">
        <v>1248</v>
      </c>
      <c r="G147" s="29" t="s">
        <v>58</v>
      </c>
      <c r="H147" s="29" t="s">
        <v>57</v>
      </c>
    </row>
    <row r="148" hidden="1" spans="2:8">
      <c r="B148" s="30">
        <v>0.375</v>
      </c>
      <c r="C148" s="30">
        <v>0.75</v>
      </c>
      <c r="D148" s="29">
        <v>1001240626</v>
      </c>
      <c r="E148" s="29">
        <v>10335545</v>
      </c>
      <c r="F148" s="29" t="s">
        <v>753</v>
      </c>
      <c r="G148" s="29" t="s">
        <v>58</v>
      </c>
      <c r="H148" s="29" t="s">
        <v>57</v>
      </c>
    </row>
    <row r="149" hidden="1" spans="2:8">
      <c r="B149" s="30">
        <v>0.416666666666667</v>
      </c>
      <c r="C149" s="30">
        <v>0.791666666666667</v>
      </c>
      <c r="D149" s="29">
        <v>1125914954</v>
      </c>
      <c r="E149" s="29">
        <v>10293907</v>
      </c>
      <c r="F149" s="29" t="s">
        <v>254</v>
      </c>
      <c r="G149" s="29" t="s">
        <v>58</v>
      </c>
      <c r="H149" s="29" t="s">
        <v>57</v>
      </c>
    </row>
    <row r="150" hidden="1" spans="2:8">
      <c r="B150" s="30" t="s">
        <v>2087</v>
      </c>
      <c r="C150" s="30" t="s">
        <v>2087</v>
      </c>
      <c r="D150" s="29">
        <v>1012097623</v>
      </c>
      <c r="E150" s="29">
        <v>10337716</v>
      </c>
      <c r="F150" s="29" t="s">
        <v>1124</v>
      </c>
      <c r="G150" s="29" t="s">
        <v>58</v>
      </c>
      <c r="H150" s="29" t="s">
        <v>57</v>
      </c>
    </row>
    <row r="151" hidden="1" spans="2:8">
      <c r="B151" s="30">
        <v>0.625</v>
      </c>
      <c r="C151" s="30">
        <v>0</v>
      </c>
      <c r="D151" s="29">
        <v>1207058893</v>
      </c>
      <c r="E151" s="29">
        <v>10339037</v>
      </c>
      <c r="F151" s="29" t="s">
        <v>1215</v>
      </c>
      <c r="G151" s="29" t="s">
        <v>58</v>
      </c>
      <c r="H151" s="29" t="s">
        <v>57</v>
      </c>
    </row>
    <row r="152" hidden="1" spans="2:8">
      <c r="B152" s="30" t="s">
        <v>1937</v>
      </c>
      <c r="C152" s="30" t="s">
        <v>1937</v>
      </c>
      <c r="D152" s="29">
        <v>1557048892</v>
      </c>
      <c r="E152" s="29">
        <v>10344704</v>
      </c>
      <c r="F152" s="29" t="s">
        <v>1509</v>
      </c>
      <c r="G152" s="29" t="s">
        <v>58</v>
      </c>
      <c r="H152" s="29" t="s">
        <v>57</v>
      </c>
    </row>
    <row r="153" hidden="1" spans="2:8">
      <c r="B153" s="30">
        <v>0.625</v>
      </c>
      <c r="C153" s="30">
        <v>0</v>
      </c>
      <c r="D153" s="29">
        <v>1148102330</v>
      </c>
      <c r="E153" s="29">
        <v>10340036</v>
      </c>
      <c r="F153" s="29" t="s">
        <v>1258</v>
      </c>
      <c r="G153" s="29" t="s">
        <v>58</v>
      </c>
      <c r="H153" s="29" t="s">
        <v>57</v>
      </c>
    </row>
    <row r="154" hidden="1" spans="2:8">
      <c r="B154" s="30" t="s">
        <v>1937</v>
      </c>
      <c r="C154" s="30" t="s">
        <v>1937</v>
      </c>
      <c r="D154" s="29">
        <v>1145031243</v>
      </c>
      <c r="E154" s="29">
        <v>10338571</v>
      </c>
      <c r="F154" s="29" t="s">
        <v>1191</v>
      </c>
      <c r="G154" s="29" t="s">
        <v>58</v>
      </c>
      <c r="H154" s="29" t="s">
        <v>57</v>
      </c>
    </row>
    <row r="155" hidden="1" spans="2:8">
      <c r="B155" s="30" t="s">
        <v>1937</v>
      </c>
      <c r="C155" s="30" t="s">
        <v>1937</v>
      </c>
      <c r="D155" s="29">
        <v>1061060042</v>
      </c>
      <c r="E155" s="29">
        <v>10338961</v>
      </c>
      <c r="F155" s="29" t="s">
        <v>1216</v>
      </c>
      <c r="G155" s="29" t="s">
        <v>58</v>
      </c>
      <c r="H155" s="29" t="s">
        <v>57</v>
      </c>
    </row>
    <row r="156" hidden="1" spans="2:8">
      <c r="B156" s="30">
        <v>0.625</v>
      </c>
      <c r="C156" s="30">
        <v>1</v>
      </c>
      <c r="D156" s="29">
        <v>1226167723</v>
      </c>
      <c r="E156" s="29">
        <v>10344857</v>
      </c>
      <c r="F156" s="29" t="s">
        <v>1522</v>
      </c>
      <c r="G156" s="29" t="s">
        <v>58</v>
      </c>
      <c r="H156" s="29" t="s">
        <v>57</v>
      </c>
    </row>
    <row r="157" hidden="1" spans="2:8">
      <c r="B157" s="30">
        <v>0.916666666666667</v>
      </c>
      <c r="C157" s="30">
        <v>1.29166666666667</v>
      </c>
      <c r="D157" s="29">
        <v>1148282927</v>
      </c>
      <c r="E157" s="29">
        <v>10347589</v>
      </c>
      <c r="F157" s="29" t="s">
        <v>1652</v>
      </c>
      <c r="G157" s="29" t="s">
        <v>58</v>
      </c>
      <c r="H157" s="29" t="s">
        <v>57</v>
      </c>
    </row>
    <row r="158" hidden="1" spans="2:8">
      <c r="B158" s="30">
        <v>0.416666666666667</v>
      </c>
      <c r="C158" s="30">
        <v>0.791666666666667</v>
      </c>
      <c r="D158" s="29">
        <v>1070454217</v>
      </c>
      <c r="E158" s="29">
        <v>10349026</v>
      </c>
      <c r="F158" s="29" t="s">
        <v>1787</v>
      </c>
      <c r="G158" s="29" t="s">
        <v>58</v>
      </c>
      <c r="H158" s="29" t="s">
        <v>57</v>
      </c>
    </row>
    <row r="159" hidden="1" spans="2:8">
      <c r="B159" s="30">
        <v>0.416666666666667</v>
      </c>
      <c r="C159" s="30">
        <v>0.791666666666667</v>
      </c>
      <c r="D159" s="29">
        <v>1129849493</v>
      </c>
      <c r="E159" s="29">
        <v>10349404</v>
      </c>
      <c r="F159" s="29" t="s">
        <v>1844</v>
      </c>
      <c r="G159" s="29" t="s">
        <v>58</v>
      </c>
      <c r="H159" s="29" t="s">
        <v>57</v>
      </c>
    </row>
    <row r="160" hidden="1" spans="2:8">
      <c r="B160" s="30">
        <v>0.375</v>
      </c>
      <c r="C160" s="30">
        <v>0.75</v>
      </c>
      <c r="D160" s="29">
        <v>1117297939</v>
      </c>
      <c r="E160" s="29">
        <v>10347319</v>
      </c>
      <c r="F160" s="29" t="s">
        <v>1607</v>
      </c>
      <c r="G160" s="29" t="s">
        <v>58</v>
      </c>
      <c r="H160" s="29" t="s">
        <v>57</v>
      </c>
    </row>
    <row r="161" hidden="1" spans="2:8">
      <c r="B161" s="30">
        <v>0.5</v>
      </c>
      <c r="C161" s="30">
        <v>0.875</v>
      </c>
      <c r="D161" s="29">
        <v>1276707977</v>
      </c>
      <c r="E161" s="29">
        <v>10334247</v>
      </c>
      <c r="F161" s="29" t="s">
        <v>613</v>
      </c>
      <c r="G161" s="29" t="s">
        <v>58</v>
      </c>
      <c r="H161" s="29" t="s">
        <v>57</v>
      </c>
    </row>
    <row r="162" hidden="1" spans="2:8">
      <c r="B162" s="30">
        <v>0.333333333333333</v>
      </c>
      <c r="C162" s="30">
        <v>0.708333333333333</v>
      </c>
      <c r="D162" s="29">
        <v>1116487479</v>
      </c>
      <c r="E162" s="29">
        <v>10334248</v>
      </c>
      <c r="F162" s="29" t="s">
        <v>612</v>
      </c>
      <c r="G162" s="29" t="s">
        <v>58</v>
      </c>
      <c r="H162" s="29" t="s">
        <v>57</v>
      </c>
    </row>
    <row r="163" hidden="1" spans="2:8">
      <c r="B163" s="30">
        <v>0.291666666666667</v>
      </c>
      <c r="C163" s="30">
        <v>0.666666666666667</v>
      </c>
      <c r="D163" s="29">
        <v>1143336949</v>
      </c>
      <c r="E163" s="29">
        <v>10299512</v>
      </c>
      <c r="F163" s="29" t="s">
        <v>312</v>
      </c>
      <c r="G163" s="29" t="s">
        <v>58</v>
      </c>
      <c r="H163" s="29" t="s">
        <v>57</v>
      </c>
    </row>
    <row r="164" hidden="1" spans="2:8">
      <c r="B164" s="30">
        <v>0.416666666666667</v>
      </c>
      <c r="C164" s="30">
        <v>0.791666666666667</v>
      </c>
      <c r="D164" s="29">
        <v>1090712285</v>
      </c>
      <c r="E164" s="29">
        <v>10332517</v>
      </c>
      <c r="F164" s="29" t="s">
        <v>518</v>
      </c>
      <c r="G164" s="29" t="s">
        <v>58</v>
      </c>
      <c r="H164" s="29" t="s">
        <v>57</v>
      </c>
    </row>
    <row r="165" hidden="1" spans="2:8">
      <c r="B165" s="30">
        <v>0.458333333333333</v>
      </c>
      <c r="C165" s="30">
        <v>0.833333333333333</v>
      </c>
      <c r="D165" s="29">
        <v>1093218929</v>
      </c>
      <c r="E165" s="29">
        <v>10331785</v>
      </c>
      <c r="F165" s="29" t="s">
        <v>580</v>
      </c>
      <c r="G165" s="29" t="s">
        <v>58</v>
      </c>
      <c r="H165" s="29" t="s">
        <v>57</v>
      </c>
    </row>
    <row r="166" hidden="1" spans="2:8">
      <c r="B166" s="30">
        <v>0.666666666666667</v>
      </c>
      <c r="C166" s="30">
        <v>0.0416666666666667</v>
      </c>
      <c r="D166" s="29">
        <v>1019687588</v>
      </c>
      <c r="E166" s="29">
        <v>10333417</v>
      </c>
      <c r="F166" s="29" t="s">
        <v>556</v>
      </c>
      <c r="G166" s="29" t="s">
        <v>58</v>
      </c>
      <c r="H166" s="29" t="s">
        <v>57</v>
      </c>
    </row>
    <row r="167" hidden="1" spans="2:8">
      <c r="B167" s="30">
        <v>0.416666666666667</v>
      </c>
      <c r="C167" s="30">
        <v>0.791666666666667</v>
      </c>
      <c r="D167" s="29">
        <v>1008393750</v>
      </c>
      <c r="E167" s="29" t="s">
        <v>2588</v>
      </c>
      <c r="F167" s="29" t="s">
        <v>917</v>
      </c>
      <c r="G167" s="29" t="s">
        <v>85</v>
      </c>
      <c r="H167" s="29" t="s">
        <v>162</v>
      </c>
    </row>
    <row r="168" hidden="1" spans="2:8">
      <c r="B168" s="30">
        <v>0.416666666666667</v>
      </c>
      <c r="C168" s="30">
        <v>0.791666666666667</v>
      </c>
      <c r="D168" s="29">
        <v>1151390803</v>
      </c>
      <c r="E168" s="29" t="s">
        <v>2588</v>
      </c>
      <c r="F168" s="29" t="s">
        <v>2610</v>
      </c>
      <c r="G168" s="29" t="s">
        <v>85</v>
      </c>
      <c r="H168" s="29" t="s">
        <v>84</v>
      </c>
    </row>
    <row r="169" hidden="1" spans="2:8">
      <c r="B169" s="30">
        <v>0.416666666666667</v>
      </c>
      <c r="C169" s="30">
        <v>0.791666666666667</v>
      </c>
      <c r="D169" s="29">
        <v>1104840764</v>
      </c>
      <c r="E169" s="29" t="s">
        <v>2588</v>
      </c>
      <c r="F169" s="29" t="s">
        <v>2611</v>
      </c>
      <c r="G169" s="29" t="s">
        <v>85</v>
      </c>
      <c r="H169" s="29" t="s">
        <v>84</v>
      </c>
    </row>
    <row r="170" hidden="1" spans="2:8">
      <c r="B170" s="30">
        <v>0.416666666666667</v>
      </c>
      <c r="C170" s="30">
        <v>0.791666666666667</v>
      </c>
      <c r="D170" s="29" t="s">
        <v>2612</v>
      </c>
      <c r="E170" s="29" t="s">
        <v>2588</v>
      </c>
      <c r="F170" s="29" t="s">
        <v>2613</v>
      </c>
      <c r="G170" s="29" t="s">
        <v>85</v>
      </c>
      <c r="H170" s="29" t="s">
        <v>162</v>
      </c>
    </row>
    <row r="171" hidden="1" spans="2:8">
      <c r="B171" s="30">
        <v>0.375</v>
      </c>
      <c r="C171" s="30">
        <v>0.75</v>
      </c>
      <c r="D171" s="29">
        <v>1113186476</v>
      </c>
      <c r="E171" s="29">
        <v>10323640</v>
      </c>
      <c r="F171" s="29" t="s">
        <v>100</v>
      </c>
      <c r="G171" s="29" t="s">
        <v>85</v>
      </c>
      <c r="H171" s="29" t="s">
        <v>84</v>
      </c>
    </row>
    <row r="172" hidden="1" spans="2:8">
      <c r="B172" s="30">
        <v>0.375</v>
      </c>
      <c r="C172" s="30">
        <v>0.875</v>
      </c>
      <c r="D172" s="29">
        <v>1200406865</v>
      </c>
      <c r="E172" s="29">
        <v>10316835</v>
      </c>
      <c r="F172" s="29" t="s">
        <v>212</v>
      </c>
      <c r="G172" s="29" t="s">
        <v>85</v>
      </c>
      <c r="H172" s="29" t="s">
        <v>84</v>
      </c>
    </row>
    <row r="173" hidden="1" spans="2:8">
      <c r="B173" s="30">
        <v>0.416666666666667</v>
      </c>
      <c r="C173" s="30">
        <v>0.791666666666667</v>
      </c>
      <c r="D173" s="29">
        <v>1116087247</v>
      </c>
      <c r="E173" s="29">
        <v>10318429</v>
      </c>
      <c r="F173" s="29" t="s">
        <v>186</v>
      </c>
      <c r="G173" s="29" t="s">
        <v>85</v>
      </c>
      <c r="H173" s="29" t="s">
        <v>84</v>
      </c>
    </row>
    <row r="174" hidden="1" spans="2:8">
      <c r="B174" s="30">
        <v>0.416666666666667</v>
      </c>
      <c r="C174" s="30">
        <v>0.791666666666667</v>
      </c>
      <c r="D174" s="29">
        <v>1201639339</v>
      </c>
      <c r="E174" s="29">
        <v>10329272</v>
      </c>
      <c r="F174" s="29" t="s">
        <v>374</v>
      </c>
      <c r="G174" s="29" t="s">
        <v>85</v>
      </c>
      <c r="H174" s="29" t="s">
        <v>162</v>
      </c>
    </row>
    <row r="175" hidden="1" spans="2:8">
      <c r="B175" s="30" t="s">
        <v>1937</v>
      </c>
      <c r="C175" s="30" t="s">
        <v>1937</v>
      </c>
      <c r="D175" s="29">
        <v>1147318485</v>
      </c>
      <c r="E175" s="29">
        <v>10333398</v>
      </c>
      <c r="F175" s="29" t="s">
        <v>489</v>
      </c>
      <c r="G175" s="29" t="s">
        <v>85</v>
      </c>
      <c r="H175" s="29" t="s">
        <v>84</v>
      </c>
    </row>
    <row r="176" hidden="1" spans="2:8">
      <c r="B176" s="30">
        <v>0.75</v>
      </c>
      <c r="C176" s="30">
        <v>0.125</v>
      </c>
      <c r="D176" s="29">
        <v>1003336191</v>
      </c>
      <c r="E176" s="29">
        <v>10347418</v>
      </c>
      <c r="F176" s="29" t="s">
        <v>1718</v>
      </c>
      <c r="G176" s="29" t="s">
        <v>85</v>
      </c>
      <c r="H176" s="29" t="s">
        <v>162</v>
      </c>
    </row>
    <row r="177" hidden="1" spans="2:8">
      <c r="B177" s="30">
        <v>0.375</v>
      </c>
      <c r="C177" s="30">
        <v>0.75</v>
      </c>
      <c r="D177" s="29">
        <v>1102330947</v>
      </c>
      <c r="E177" s="29">
        <v>10329571</v>
      </c>
      <c r="F177" s="29" t="s">
        <v>389</v>
      </c>
      <c r="G177" s="29" t="s">
        <v>85</v>
      </c>
      <c r="H177" s="29" t="s">
        <v>84</v>
      </c>
    </row>
    <row r="178" hidden="1" spans="2:8">
      <c r="B178" s="30">
        <v>0.416666666666667</v>
      </c>
      <c r="C178" s="30">
        <v>0.791666666666667</v>
      </c>
      <c r="D178" s="29">
        <v>1007879704</v>
      </c>
      <c r="E178" s="29">
        <v>10337473</v>
      </c>
      <c r="F178" s="29" t="s">
        <v>1160</v>
      </c>
      <c r="G178" s="29" t="s">
        <v>85</v>
      </c>
      <c r="H178" s="29" t="s">
        <v>328</v>
      </c>
    </row>
    <row r="179" hidden="1" spans="2:8">
      <c r="B179" s="30">
        <v>0.375</v>
      </c>
      <c r="C179" s="30">
        <v>0.791666666666667</v>
      </c>
      <c r="D179" s="29">
        <v>1064855780</v>
      </c>
      <c r="E179" s="29">
        <v>10341132</v>
      </c>
      <c r="F179" s="29" t="s">
        <v>1376</v>
      </c>
      <c r="G179" s="29" t="s">
        <v>85</v>
      </c>
      <c r="H179" s="29" t="s">
        <v>162</v>
      </c>
    </row>
    <row r="180" hidden="1" spans="2:8">
      <c r="B180" s="30">
        <v>0.375</v>
      </c>
      <c r="C180" s="30">
        <v>0.75</v>
      </c>
      <c r="D180" s="29">
        <v>1093228623</v>
      </c>
      <c r="E180" s="29">
        <v>10331587</v>
      </c>
      <c r="F180" s="29" t="s">
        <v>461</v>
      </c>
      <c r="G180" s="29" t="s">
        <v>85</v>
      </c>
      <c r="H180" s="29" t="s">
        <v>328</v>
      </c>
    </row>
    <row r="181" hidden="1" spans="2:8">
      <c r="B181" s="30">
        <v>0.375</v>
      </c>
      <c r="C181" s="30">
        <v>0.791666666666667</v>
      </c>
      <c r="D181" s="29">
        <v>1067109725</v>
      </c>
      <c r="E181" s="29">
        <v>10331605</v>
      </c>
      <c r="F181" s="29" t="s">
        <v>463</v>
      </c>
      <c r="G181" s="29" t="s">
        <v>85</v>
      </c>
      <c r="H181" s="29" t="s">
        <v>328</v>
      </c>
    </row>
    <row r="182" hidden="1" spans="2:8">
      <c r="B182" s="30">
        <v>0.416666666666667</v>
      </c>
      <c r="C182" s="30">
        <v>0.791666666666667</v>
      </c>
      <c r="D182" s="29">
        <v>1146739976</v>
      </c>
      <c r="E182" s="29">
        <v>10348091</v>
      </c>
      <c r="F182" s="29" t="s">
        <v>1811</v>
      </c>
      <c r="G182" s="29" t="s">
        <v>85</v>
      </c>
      <c r="H182" s="29" t="s">
        <v>84</v>
      </c>
    </row>
    <row r="183" hidden="1" spans="2:8">
      <c r="B183" s="30">
        <v>0.416666666666667</v>
      </c>
      <c r="C183" s="30">
        <v>0.75</v>
      </c>
      <c r="D183" s="29">
        <v>0</v>
      </c>
      <c r="E183" s="29" t="s">
        <v>1148</v>
      </c>
      <c r="F183" s="29" t="s">
        <v>1149</v>
      </c>
      <c r="G183" s="29" t="s">
        <v>85</v>
      </c>
      <c r="H183" s="29" t="s">
        <v>162</v>
      </c>
    </row>
    <row r="184" hidden="1" spans="2:8">
      <c r="B184" s="30" t="s">
        <v>1898</v>
      </c>
      <c r="C184" s="30" t="s">
        <v>1898</v>
      </c>
      <c r="D184" s="29">
        <v>1115517660</v>
      </c>
      <c r="E184" s="29">
        <v>10278362</v>
      </c>
      <c r="F184" s="29" t="s">
        <v>1402</v>
      </c>
      <c r="G184" s="29" t="s">
        <v>85</v>
      </c>
      <c r="H184" s="29" t="s">
        <v>84</v>
      </c>
    </row>
    <row r="185" hidden="1" spans="2:8">
      <c r="B185" s="30">
        <v>0.458333333333333</v>
      </c>
      <c r="C185" s="30">
        <v>0.833333333333333</v>
      </c>
      <c r="D185" s="29">
        <v>1124118982</v>
      </c>
      <c r="E185" s="29">
        <v>10298155</v>
      </c>
      <c r="F185" s="29" t="s">
        <v>852</v>
      </c>
      <c r="G185" s="29" t="s">
        <v>85</v>
      </c>
      <c r="H185" s="29" t="s">
        <v>84</v>
      </c>
    </row>
    <row r="186" hidden="1" spans="2:8">
      <c r="B186" s="30" t="s">
        <v>1937</v>
      </c>
      <c r="C186" s="30" t="s">
        <v>1937</v>
      </c>
      <c r="D186" s="29">
        <v>1016236987</v>
      </c>
      <c r="E186" s="29">
        <v>10277655</v>
      </c>
      <c r="F186" s="29" t="s">
        <v>858</v>
      </c>
      <c r="G186" s="29" t="s">
        <v>85</v>
      </c>
      <c r="H186" s="29" t="s">
        <v>328</v>
      </c>
    </row>
    <row r="187" hidden="1" spans="2:8">
      <c r="B187" s="30" t="s">
        <v>1937</v>
      </c>
      <c r="C187" s="30" t="s">
        <v>1937</v>
      </c>
      <c r="D187" s="29">
        <v>1505369674</v>
      </c>
      <c r="E187" s="29">
        <v>10341782</v>
      </c>
      <c r="F187" s="29" t="s">
        <v>1349</v>
      </c>
      <c r="G187" s="29" t="s">
        <v>85</v>
      </c>
      <c r="H187" s="29" t="s">
        <v>328</v>
      </c>
    </row>
    <row r="188" hidden="1" spans="2:8">
      <c r="B188" s="30">
        <v>0.5</v>
      </c>
      <c r="C188" s="30">
        <v>0.875</v>
      </c>
      <c r="D188" s="29">
        <v>1147521823</v>
      </c>
      <c r="E188" s="29">
        <v>10339002</v>
      </c>
      <c r="F188" s="29" t="s">
        <v>1217</v>
      </c>
      <c r="G188" s="29" t="s">
        <v>85</v>
      </c>
      <c r="H188" s="29" t="s">
        <v>84</v>
      </c>
    </row>
    <row r="189" hidden="1" spans="2:8">
      <c r="B189" s="30">
        <v>0.5</v>
      </c>
      <c r="C189" s="30">
        <v>0.875</v>
      </c>
      <c r="D189" s="29">
        <v>1000511380</v>
      </c>
      <c r="E189" s="29">
        <v>10339927</v>
      </c>
      <c r="F189" s="29" t="s">
        <v>1260</v>
      </c>
      <c r="G189" s="29" t="s">
        <v>85</v>
      </c>
      <c r="H189" s="29" t="s">
        <v>162</v>
      </c>
    </row>
    <row r="190" hidden="1" spans="2:8">
      <c r="B190" s="30" t="s">
        <v>1937</v>
      </c>
      <c r="C190" s="30" t="s">
        <v>1937</v>
      </c>
      <c r="D190" s="29" t="s">
        <v>1289</v>
      </c>
      <c r="E190" s="29">
        <v>10340564</v>
      </c>
      <c r="F190" s="29" t="s">
        <v>1288</v>
      </c>
      <c r="G190" s="29" t="s">
        <v>85</v>
      </c>
      <c r="H190" s="29" t="s">
        <v>328</v>
      </c>
    </row>
    <row r="191" hidden="1" spans="2:8">
      <c r="B191" s="30">
        <v>0.708333333333333</v>
      </c>
      <c r="C191" s="30">
        <v>1.29166666666667</v>
      </c>
      <c r="D191" s="29" t="s">
        <v>1862</v>
      </c>
      <c r="E191" s="29">
        <v>10348733</v>
      </c>
      <c r="F191" s="29" t="s">
        <v>1861</v>
      </c>
      <c r="G191" s="29" t="s">
        <v>85</v>
      </c>
      <c r="H191" s="29" t="s">
        <v>328</v>
      </c>
    </row>
    <row r="192" hidden="1" spans="2:8">
      <c r="B192" s="30">
        <v>0.416666666666667</v>
      </c>
      <c r="C192" s="30">
        <v>0.791666666666667</v>
      </c>
      <c r="D192" s="29">
        <v>1061473372</v>
      </c>
      <c r="E192" s="29">
        <v>10349402</v>
      </c>
      <c r="F192" s="29" t="s">
        <v>1845</v>
      </c>
      <c r="G192" s="29" t="s">
        <v>85</v>
      </c>
      <c r="H192" s="29" t="s">
        <v>328</v>
      </c>
    </row>
    <row r="193" hidden="1" spans="2:8">
      <c r="B193" s="30">
        <v>0.625</v>
      </c>
      <c r="C193" s="30">
        <v>0</v>
      </c>
      <c r="D193" s="29">
        <v>1550752064</v>
      </c>
      <c r="E193" s="29">
        <v>10260539</v>
      </c>
      <c r="F193" s="29" t="s">
        <v>1560</v>
      </c>
      <c r="G193" s="29" t="s">
        <v>85</v>
      </c>
      <c r="H193" s="29" t="s">
        <v>162</v>
      </c>
    </row>
    <row r="194" hidden="1" spans="2:8">
      <c r="B194" s="30">
        <v>0.375</v>
      </c>
      <c r="C194" s="30">
        <v>0.75</v>
      </c>
      <c r="D194" s="29">
        <v>1029557588</v>
      </c>
      <c r="E194" s="29">
        <v>10337038</v>
      </c>
      <c r="F194" s="29" t="s">
        <v>1073</v>
      </c>
      <c r="G194" s="29" t="s">
        <v>85</v>
      </c>
      <c r="H194" s="29" t="s">
        <v>84</v>
      </c>
    </row>
    <row r="195" hidden="1" spans="2:8">
      <c r="B195" s="30">
        <v>0.333333333333333</v>
      </c>
      <c r="C195" s="30">
        <v>0.708333333333333</v>
      </c>
      <c r="D195" s="29">
        <v>1012997137</v>
      </c>
      <c r="E195" s="29">
        <v>10343271</v>
      </c>
      <c r="F195" s="29" t="s">
        <v>1392</v>
      </c>
      <c r="G195" s="29" t="s">
        <v>85</v>
      </c>
      <c r="H195" s="29" t="s">
        <v>328</v>
      </c>
    </row>
    <row r="196" hidden="1" spans="2:8">
      <c r="B196" s="30">
        <v>0.5</v>
      </c>
      <c r="C196" s="30">
        <v>0.875</v>
      </c>
      <c r="D196" s="29">
        <v>1557944746</v>
      </c>
      <c r="E196" s="29">
        <v>10332650</v>
      </c>
      <c r="F196" s="29" t="s">
        <v>503</v>
      </c>
      <c r="G196" s="29" t="s">
        <v>85</v>
      </c>
      <c r="H196" s="29" t="s">
        <v>328</v>
      </c>
    </row>
    <row r="197" hidden="1" spans="2:8">
      <c r="B197" s="30">
        <v>0.625</v>
      </c>
      <c r="C197" s="30">
        <v>0</v>
      </c>
      <c r="D197" s="29">
        <v>1551378712</v>
      </c>
      <c r="E197" s="29">
        <v>10281254</v>
      </c>
      <c r="F197" s="29" t="s">
        <v>645</v>
      </c>
      <c r="G197" s="29" t="s">
        <v>85</v>
      </c>
      <c r="H197" s="29" t="s">
        <v>328</v>
      </c>
    </row>
    <row r="198" hidden="1" spans="2:8">
      <c r="B198" s="30">
        <v>0.916666666666667</v>
      </c>
      <c r="C198" s="30">
        <v>0.291666666666667</v>
      </c>
      <c r="D198" s="29">
        <v>1204888981</v>
      </c>
      <c r="E198" s="29">
        <v>10304619</v>
      </c>
      <c r="F198" s="29" t="s">
        <v>341</v>
      </c>
      <c r="G198" s="29" t="s">
        <v>85</v>
      </c>
      <c r="H198" s="29" t="s">
        <v>162</v>
      </c>
    </row>
    <row r="199" hidden="1" spans="2:8">
      <c r="B199" s="30">
        <v>0.75</v>
      </c>
      <c r="C199" s="30">
        <v>0.125</v>
      </c>
      <c r="D199" s="29">
        <v>1012348684</v>
      </c>
      <c r="E199" s="29">
        <v>10335050</v>
      </c>
      <c r="F199" s="29" t="s">
        <v>728</v>
      </c>
      <c r="G199" s="29" t="s">
        <v>85</v>
      </c>
      <c r="H199" s="29" t="s">
        <v>162</v>
      </c>
    </row>
    <row r="200" hidden="1" spans="2:8">
      <c r="B200" s="30">
        <v>0.416666666666667</v>
      </c>
      <c r="C200" s="30">
        <v>0.791666666666667</v>
      </c>
      <c r="D200" s="29" t="s">
        <v>667</v>
      </c>
      <c r="E200" s="29">
        <v>10334790</v>
      </c>
      <c r="F200" s="29" t="s">
        <v>666</v>
      </c>
      <c r="G200" s="29" t="s">
        <v>85</v>
      </c>
      <c r="H200" s="29" t="s">
        <v>162</v>
      </c>
    </row>
    <row r="201" hidden="1" spans="2:8">
      <c r="B201" s="30">
        <v>0.416666666666667</v>
      </c>
      <c r="C201" s="30">
        <v>0.791666666666667</v>
      </c>
      <c r="D201" s="29" t="s">
        <v>2614</v>
      </c>
      <c r="E201" s="29" t="s">
        <v>2588</v>
      </c>
      <c r="F201" s="29" t="s">
        <v>2615</v>
      </c>
      <c r="G201" s="29" t="s">
        <v>53</v>
      </c>
      <c r="H201" s="29" t="s">
        <v>236</v>
      </c>
    </row>
    <row r="202" hidden="1" spans="2:8">
      <c r="B202" s="30" t="s">
        <v>1937</v>
      </c>
      <c r="C202" s="30" t="s">
        <v>1937</v>
      </c>
      <c r="D202" s="29">
        <v>0</v>
      </c>
      <c r="E202" s="29">
        <v>10324552</v>
      </c>
      <c r="F202" s="29" t="s">
        <v>1645</v>
      </c>
      <c r="G202" s="29" t="s">
        <v>53</v>
      </c>
      <c r="H202" s="29" t="s">
        <v>1644</v>
      </c>
    </row>
    <row r="203" hidden="1" spans="2:8">
      <c r="B203" s="30">
        <v>0.583333333333333</v>
      </c>
      <c r="C203" s="30">
        <v>0.958333333333333</v>
      </c>
      <c r="D203" s="29">
        <v>1127261406</v>
      </c>
      <c r="E203" s="29">
        <v>10238619</v>
      </c>
      <c r="F203" s="29" t="s">
        <v>1479</v>
      </c>
      <c r="G203" s="29" t="s">
        <v>53</v>
      </c>
      <c r="H203" s="29" t="s">
        <v>236</v>
      </c>
    </row>
    <row r="204" hidden="1" spans="2:8">
      <c r="B204" s="30">
        <v>0.416666666666667</v>
      </c>
      <c r="C204" s="30">
        <v>0.791666666666667</v>
      </c>
      <c r="D204" s="29">
        <v>1122363238</v>
      </c>
      <c r="E204" s="29" t="s">
        <v>2588</v>
      </c>
      <c r="F204" s="29" t="s">
        <v>2616</v>
      </c>
      <c r="G204" s="29" t="s">
        <v>314</v>
      </c>
      <c r="H204" s="29" t="s">
        <v>2617</v>
      </c>
    </row>
    <row r="205" hidden="1" spans="2:8">
      <c r="B205" s="30">
        <v>0.416666666666667</v>
      </c>
      <c r="C205" s="30">
        <v>0.791666666666667</v>
      </c>
      <c r="D205" s="29">
        <v>1122834118</v>
      </c>
      <c r="E205" s="29" t="s">
        <v>2588</v>
      </c>
      <c r="F205" s="29" t="s">
        <v>2618</v>
      </c>
      <c r="G205" s="29" t="s">
        <v>314</v>
      </c>
      <c r="H205" s="29" t="s">
        <v>2617</v>
      </c>
    </row>
    <row r="206" hidden="1" spans="2:8">
      <c r="B206" s="30">
        <v>0.375</v>
      </c>
      <c r="C206" s="30">
        <v>0.75</v>
      </c>
      <c r="D206" s="29">
        <v>1001481649</v>
      </c>
      <c r="E206" s="29">
        <v>10337729</v>
      </c>
      <c r="F206" s="29" t="s">
        <v>1169</v>
      </c>
      <c r="G206" s="29" t="s">
        <v>314</v>
      </c>
      <c r="H206" s="29" t="s">
        <v>345</v>
      </c>
    </row>
    <row r="207" hidden="1" spans="2:8">
      <c r="B207" s="30">
        <v>0.375</v>
      </c>
      <c r="C207" s="30">
        <v>0.75</v>
      </c>
      <c r="D207" s="29">
        <v>1118007363</v>
      </c>
      <c r="E207" s="29">
        <v>10335548</v>
      </c>
      <c r="F207" s="29" t="s">
        <v>754</v>
      </c>
      <c r="G207" s="29" t="s">
        <v>314</v>
      </c>
      <c r="H207" s="29" t="s">
        <v>313</v>
      </c>
    </row>
    <row r="208" hidden="1" spans="2:8">
      <c r="B208" s="30">
        <v>0.5</v>
      </c>
      <c r="C208" s="30">
        <v>0.875</v>
      </c>
      <c r="D208" s="29">
        <v>1099042665</v>
      </c>
      <c r="E208" s="29">
        <v>10210885</v>
      </c>
      <c r="F208" s="29" t="s">
        <v>449</v>
      </c>
      <c r="G208" s="29" t="s">
        <v>314</v>
      </c>
      <c r="H208" s="29" t="s">
        <v>313</v>
      </c>
    </row>
    <row r="209" hidden="1" spans="2:8">
      <c r="B209" s="30">
        <v>0.666666666666667</v>
      </c>
      <c r="C209" s="30">
        <v>0.0416666666666667</v>
      </c>
      <c r="D209" s="29">
        <v>1277779066</v>
      </c>
      <c r="E209" s="29">
        <v>10282876</v>
      </c>
      <c r="F209" s="29" t="s">
        <v>1517</v>
      </c>
      <c r="G209" s="29" t="s">
        <v>314</v>
      </c>
      <c r="H209" s="29" t="s">
        <v>345</v>
      </c>
    </row>
    <row r="210" hidden="1" spans="2:8">
      <c r="B210" s="30">
        <v>0.416666666666667</v>
      </c>
      <c r="C210" s="30">
        <v>0.791666666666667</v>
      </c>
      <c r="D210" s="29">
        <v>1157389205</v>
      </c>
      <c r="E210" s="29" t="s">
        <v>2588</v>
      </c>
      <c r="F210" s="29" t="s">
        <v>2619</v>
      </c>
      <c r="G210" s="29" t="s">
        <v>151</v>
      </c>
      <c r="H210" s="29" t="s">
        <v>264</v>
      </c>
    </row>
    <row r="211" hidden="1" spans="2:8">
      <c r="B211" s="30">
        <v>0.416666666666667</v>
      </c>
      <c r="C211" s="30">
        <v>0.791666666666667</v>
      </c>
      <c r="D211" s="29">
        <v>1505627413</v>
      </c>
      <c r="E211" s="29" t="s">
        <v>2588</v>
      </c>
      <c r="F211" s="29" t="s">
        <v>2620</v>
      </c>
      <c r="G211" s="29" t="s">
        <v>151</v>
      </c>
      <c r="H211" s="29" t="s">
        <v>6</v>
      </c>
    </row>
    <row r="212" hidden="1" spans="2:8">
      <c r="B212" s="30">
        <v>0.375</v>
      </c>
      <c r="C212" s="30">
        <v>0.75</v>
      </c>
      <c r="D212" s="29">
        <v>1151226848</v>
      </c>
      <c r="E212" s="29">
        <v>10318866</v>
      </c>
      <c r="F212" s="29" t="s">
        <v>197</v>
      </c>
      <c r="G212" s="29" t="s">
        <v>151</v>
      </c>
      <c r="H212" s="29" t="s">
        <v>6</v>
      </c>
    </row>
    <row r="213" hidden="1" spans="2:8">
      <c r="B213" s="30">
        <v>0.375</v>
      </c>
      <c r="C213" s="30">
        <v>0.75</v>
      </c>
      <c r="D213" s="29">
        <v>1018950953</v>
      </c>
      <c r="E213" s="29">
        <v>10341128</v>
      </c>
      <c r="F213" s="29" t="s">
        <v>1377</v>
      </c>
      <c r="G213" s="29" t="s">
        <v>151</v>
      </c>
      <c r="H213" s="29" t="s">
        <v>6</v>
      </c>
    </row>
    <row r="214" hidden="1" spans="2:8">
      <c r="B214" s="30">
        <v>0.5</v>
      </c>
      <c r="C214" s="30">
        <v>0.875</v>
      </c>
      <c r="D214" s="29">
        <v>1280438382</v>
      </c>
      <c r="E214" s="29">
        <v>28711298</v>
      </c>
      <c r="F214" s="29" t="s">
        <v>1059</v>
      </c>
      <c r="G214" s="29" t="s">
        <v>151</v>
      </c>
      <c r="H214" s="29" t="s">
        <v>264</v>
      </c>
    </row>
    <row r="215" hidden="1" spans="2:8">
      <c r="B215" s="30">
        <v>0.458333333333333</v>
      </c>
      <c r="C215" s="30">
        <v>0.833333333333333</v>
      </c>
      <c r="D215" s="29">
        <v>1220100184</v>
      </c>
      <c r="E215" s="29">
        <v>10273655</v>
      </c>
      <c r="F215" s="29" t="s">
        <v>638</v>
      </c>
      <c r="G215" s="29" t="s">
        <v>151</v>
      </c>
      <c r="H215" s="29" t="s">
        <v>6</v>
      </c>
    </row>
    <row r="216" hidden="1" spans="2:8">
      <c r="B216" s="30">
        <v>0.458333333333333</v>
      </c>
      <c r="C216" s="30">
        <v>0.833333333333333</v>
      </c>
      <c r="D216" s="29">
        <v>1023627600</v>
      </c>
      <c r="E216" s="29">
        <v>10335593</v>
      </c>
      <c r="F216" s="29" t="s">
        <v>757</v>
      </c>
      <c r="G216" s="29" t="s">
        <v>151</v>
      </c>
      <c r="H216" s="29" t="s">
        <v>455</v>
      </c>
    </row>
    <row r="217" hidden="1" spans="2:8">
      <c r="B217" s="30">
        <v>0.416666666666667</v>
      </c>
      <c r="C217" s="30">
        <v>0.791666666666667</v>
      </c>
      <c r="D217" s="29" t="s">
        <v>452</v>
      </c>
      <c r="E217" s="29">
        <v>10216711</v>
      </c>
      <c r="F217" s="29" t="s">
        <v>451</v>
      </c>
      <c r="G217" s="29" t="s">
        <v>151</v>
      </c>
      <c r="H217" s="29" t="s">
        <v>6</v>
      </c>
    </row>
    <row r="218" hidden="1" spans="2:8">
      <c r="B218" s="30">
        <v>0.708333333333333</v>
      </c>
      <c r="C218" s="30">
        <v>0.0833333333333333</v>
      </c>
      <c r="D218" s="29">
        <v>1557759476</v>
      </c>
      <c r="E218" s="29">
        <v>10282873</v>
      </c>
      <c r="F218" s="29" t="s">
        <v>1814</v>
      </c>
      <c r="G218" s="29" t="s">
        <v>151</v>
      </c>
      <c r="H218" s="29" t="s">
        <v>264</v>
      </c>
    </row>
    <row r="219" hidden="1" spans="2:8">
      <c r="B219" s="30">
        <v>0.416666666666667</v>
      </c>
      <c r="C219" s="30">
        <v>0.791666666666667</v>
      </c>
      <c r="D219" s="29">
        <v>1018413338</v>
      </c>
      <c r="E219" s="29">
        <v>10268661</v>
      </c>
      <c r="F219" s="29" t="s">
        <v>1403</v>
      </c>
      <c r="G219" s="29" t="s">
        <v>151</v>
      </c>
      <c r="H219" s="29" t="s">
        <v>264</v>
      </c>
    </row>
    <row r="220" hidden="1" spans="2:8">
      <c r="B220" s="30">
        <v>0.5</v>
      </c>
      <c r="C220" s="30">
        <v>0.875</v>
      </c>
      <c r="D220" s="29">
        <v>1159449690</v>
      </c>
      <c r="E220" s="29">
        <v>10292112</v>
      </c>
      <c r="F220" s="29" t="s">
        <v>456</v>
      </c>
      <c r="G220" s="29" t="s">
        <v>151</v>
      </c>
      <c r="H220" s="29" t="s">
        <v>455</v>
      </c>
    </row>
    <row r="221" hidden="1" spans="2:8">
      <c r="B221" s="30">
        <v>0.5</v>
      </c>
      <c r="C221" s="30">
        <v>0.875</v>
      </c>
      <c r="D221" s="29" t="s">
        <v>1330</v>
      </c>
      <c r="E221" s="29">
        <v>10341883</v>
      </c>
      <c r="F221" s="29" t="s">
        <v>1329</v>
      </c>
      <c r="G221" s="29" t="s">
        <v>151</v>
      </c>
      <c r="H221" s="29" t="s">
        <v>6</v>
      </c>
    </row>
    <row r="222" hidden="1" spans="2:8">
      <c r="B222" s="30">
        <v>0.5</v>
      </c>
      <c r="C222" s="30">
        <v>0.875</v>
      </c>
      <c r="D222" s="29">
        <v>1152061157</v>
      </c>
      <c r="E222" s="29">
        <v>10341880</v>
      </c>
      <c r="F222" s="29" t="s">
        <v>1328</v>
      </c>
      <c r="G222" s="29" t="s">
        <v>151</v>
      </c>
      <c r="H222" s="29" t="s">
        <v>800</v>
      </c>
    </row>
    <row r="223" hidden="1" spans="2:8">
      <c r="B223" s="30">
        <v>0.625</v>
      </c>
      <c r="C223" s="30">
        <v>0</v>
      </c>
      <c r="D223" s="29">
        <v>1271920902</v>
      </c>
      <c r="E223" s="29">
        <v>10341837</v>
      </c>
      <c r="F223" s="29" t="s">
        <v>994</v>
      </c>
      <c r="G223" s="29" t="s">
        <v>151</v>
      </c>
      <c r="H223" s="29" t="s">
        <v>264</v>
      </c>
    </row>
    <row r="224" hidden="1" spans="2:8">
      <c r="B224" s="30">
        <v>0.5</v>
      </c>
      <c r="C224" s="30">
        <v>0.875</v>
      </c>
      <c r="D224" s="29">
        <v>1129654772</v>
      </c>
      <c r="E224" s="29">
        <v>10334788</v>
      </c>
      <c r="F224" s="29" t="s">
        <v>693</v>
      </c>
      <c r="G224" s="29" t="s">
        <v>151</v>
      </c>
      <c r="H224" s="29" t="s">
        <v>409</v>
      </c>
    </row>
    <row r="225" spans="2:8">
      <c r="B225" s="30">
        <v>0.958333333333333</v>
      </c>
      <c r="C225" s="30">
        <v>0.333333333333333</v>
      </c>
      <c r="D225" s="29">
        <v>1070874137</v>
      </c>
      <c r="E225" s="29">
        <v>10334215</v>
      </c>
      <c r="F225" s="29" t="s">
        <v>1743</v>
      </c>
      <c r="G225" s="29" t="s">
        <v>151</v>
      </c>
      <c r="H225" s="29" t="s">
        <v>264</v>
      </c>
    </row>
    <row r="226" hidden="1" spans="2:8">
      <c r="B226" s="30">
        <v>0.416666666666667</v>
      </c>
      <c r="C226" s="30">
        <v>0.791666666666667</v>
      </c>
      <c r="D226" s="29">
        <v>1121670258</v>
      </c>
      <c r="E226" s="29">
        <v>10336631</v>
      </c>
      <c r="F226" s="29" t="s">
        <v>1791</v>
      </c>
      <c r="G226" s="29" t="s">
        <v>151</v>
      </c>
      <c r="H226" s="29" t="s">
        <v>1790</v>
      </c>
    </row>
    <row r="227" hidden="1" spans="2:8">
      <c r="B227" s="30">
        <v>0.625</v>
      </c>
      <c r="C227" s="30">
        <v>0</v>
      </c>
      <c r="D227" s="29">
        <v>1551182622</v>
      </c>
      <c r="E227" s="29">
        <v>10296219</v>
      </c>
      <c r="F227" s="29" t="s">
        <v>1665</v>
      </c>
      <c r="G227" s="29" t="s">
        <v>151</v>
      </c>
      <c r="H227" s="29" t="s">
        <v>264</v>
      </c>
    </row>
    <row r="228" hidden="1" spans="2:8">
      <c r="B228" s="30">
        <v>0.416666666666667</v>
      </c>
      <c r="C228" s="30">
        <v>0.791666666666667</v>
      </c>
      <c r="D228" s="29">
        <v>1009100931</v>
      </c>
      <c r="E228" s="29">
        <v>10259973</v>
      </c>
      <c r="F228" s="29" t="s">
        <v>152</v>
      </c>
      <c r="G228" s="29" t="s">
        <v>151</v>
      </c>
      <c r="H228" s="29" t="s">
        <v>150</v>
      </c>
    </row>
    <row r="229" hidden="1" spans="2:8">
      <c r="B229" s="30">
        <v>0.458333333333333</v>
      </c>
      <c r="C229" s="30">
        <v>0.833333333333333</v>
      </c>
      <c r="D229" s="29">
        <v>0</v>
      </c>
      <c r="E229" s="29">
        <v>10225640</v>
      </c>
      <c r="F229" s="29" t="s">
        <v>187</v>
      </c>
      <c r="G229" s="29" t="s">
        <v>151</v>
      </c>
      <c r="H229" s="29" t="s">
        <v>6</v>
      </c>
    </row>
    <row r="230" hidden="1" spans="2:8">
      <c r="B230" s="30">
        <v>0.375</v>
      </c>
      <c r="C230" s="30">
        <v>0.75</v>
      </c>
      <c r="D230" s="29">
        <v>1090500604</v>
      </c>
      <c r="E230" s="29">
        <v>10343287</v>
      </c>
      <c r="F230" s="29" t="s">
        <v>1396</v>
      </c>
      <c r="G230" s="29" t="s">
        <v>151</v>
      </c>
      <c r="H230" s="29" t="s">
        <v>6</v>
      </c>
    </row>
    <row r="231" hidden="1" spans="2:8">
      <c r="B231" s="30">
        <v>0.375</v>
      </c>
      <c r="C231" s="30">
        <v>0.75</v>
      </c>
      <c r="D231" s="29">
        <v>1097762201</v>
      </c>
      <c r="E231" s="29">
        <v>10326498</v>
      </c>
      <c r="F231" s="29" t="s">
        <v>1087</v>
      </c>
      <c r="G231" s="29" t="s">
        <v>151</v>
      </c>
      <c r="H231" s="29" t="s">
        <v>409</v>
      </c>
    </row>
    <row r="232" hidden="1" spans="2:8">
      <c r="B232" s="30">
        <v>0</v>
      </c>
      <c r="C232" s="30">
        <v>0.375</v>
      </c>
      <c r="D232" s="29">
        <v>1126665095</v>
      </c>
      <c r="E232" s="29" t="s">
        <v>2607</v>
      </c>
      <c r="F232" s="29" t="s">
        <v>2621</v>
      </c>
      <c r="G232" s="29" t="s">
        <v>76</v>
      </c>
      <c r="H232" s="29" t="s">
        <v>2622</v>
      </c>
    </row>
    <row r="233" hidden="1" spans="2:8">
      <c r="B233" s="30">
        <v>0.375</v>
      </c>
      <c r="C233" s="30">
        <v>0.666666666666667</v>
      </c>
      <c r="D233" s="29">
        <v>0</v>
      </c>
      <c r="E233" s="29" t="s">
        <v>2607</v>
      </c>
      <c r="F233" s="29" t="s">
        <v>2623</v>
      </c>
      <c r="G233" s="29" t="s">
        <v>76</v>
      </c>
      <c r="H233" s="29" t="s">
        <v>599</v>
      </c>
    </row>
    <row r="234" hidden="1" spans="2:8">
      <c r="B234" s="30" t="s">
        <v>1898</v>
      </c>
      <c r="C234" s="30" t="s">
        <v>1898</v>
      </c>
      <c r="D234" s="29">
        <v>1100186943</v>
      </c>
      <c r="E234" s="29">
        <v>10293660</v>
      </c>
      <c r="F234" s="29" t="s">
        <v>99</v>
      </c>
      <c r="G234" s="29" t="s">
        <v>76</v>
      </c>
      <c r="H234" s="29" t="s">
        <v>98</v>
      </c>
    </row>
    <row r="235" hidden="1" spans="2:8">
      <c r="B235" s="30">
        <v>0.375</v>
      </c>
      <c r="C235" s="30">
        <v>0.791666666666667</v>
      </c>
      <c r="D235" s="29">
        <v>1024995760</v>
      </c>
      <c r="E235" s="29">
        <v>10337746</v>
      </c>
      <c r="F235" s="29" t="s">
        <v>1172</v>
      </c>
      <c r="G235" s="29" t="s">
        <v>76</v>
      </c>
      <c r="H235" s="29" t="s">
        <v>599</v>
      </c>
    </row>
    <row r="236" hidden="1" spans="2:8">
      <c r="B236" s="30">
        <v>0.375</v>
      </c>
      <c r="C236" s="30">
        <v>0.75</v>
      </c>
      <c r="D236" s="29">
        <v>1208531938</v>
      </c>
      <c r="E236" s="29">
        <v>10326136</v>
      </c>
      <c r="F236" s="29" t="s">
        <v>77</v>
      </c>
      <c r="G236" s="29" t="s">
        <v>76</v>
      </c>
      <c r="H236" s="29" t="s">
        <v>75</v>
      </c>
    </row>
    <row r="237" hidden="1" spans="2:8">
      <c r="B237" s="30">
        <v>0.375</v>
      </c>
      <c r="C237" s="30">
        <v>0.75</v>
      </c>
      <c r="D237" s="29">
        <v>1123940404</v>
      </c>
      <c r="E237" s="29">
        <v>10334497</v>
      </c>
      <c r="F237" s="29" t="s">
        <v>641</v>
      </c>
      <c r="G237" s="29" t="s">
        <v>76</v>
      </c>
      <c r="H237" s="29" t="s">
        <v>599</v>
      </c>
    </row>
    <row r="238" hidden="1" spans="2:8">
      <c r="B238" s="30">
        <v>0.375</v>
      </c>
      <c r="C238" s="30">
        <v>0.75</v>
      </c>
      <c r="D238" s="29">
        <v>1009067536</v>
      </c>
      <c r="E238" s="29">
        <v>10335547</v>
      </c>
      <c r="F238" s="29" t="s">
        <v>751</v>
      </c>
      <c r="G238" s="29" t="s">
        <v>76</v>
      </c>
      <c r="H238" s="29" t="s">
        <v>75</v>
      </c>
    </row>
    <row r="239" hidden="1" spans="2:8">
      <c r="B239" s="30">
        <v>0.375</v>
      </c>
      <c r="C239" s="30">
        <v>0.75</v>
      </c>
      <c r="D239" s="29">
        <v>1066748788</v>
      </c>
      <c r="E239" s="29">
        <v>10335696</v>
      </c>
      <c r="F239" s="29" t="s">
        <v>755</v>
      </c>
      <c r="G239" s="29" t="s">
        <v>76</v>
      </c>
      <c r="H239" s="29" t="s">
        <v>98</v>
      </c>
    </row>
    <row r="240" hidden="1" spans="2:8">
      <c r="B240" s="30">
        <v>0.625</v>
      </c>
      <c r="C240" s="30">
        <v>0</v>
      </c>
      <c r="D240" s="29">
        <v>0</v>
      </c>
      <c r="E240" s="29">
        <v>10322837</v>
      </c>
      <c r="F240" s="29" t="s">
        <v>495</v>
      </c>
      <c r="G240" s="29" t="s">
        <v>76</v>
      </c>
      <c r="H240" s="29" t="s">
        <v>98</v>
      </c>
    </row>
    <row r="241" hidden="1" spans="2:8">
      <c r="B241" s="30">
        <v>0.625</v>
      </c>
      <c r="C241" s="30">
        <v>0</v>
      </c>
      <c r="D241" s="29">
        <v>1091530766</v>
      </c>
      <c r="E241" s="29">
        <v>10343863</v>
      </c>
      <c r="F241" s="29" t="s">
        <v>1459</v>
      </c>
      <c r="G241" s="29" t="s">
        <v>76</v>
      </c>
      <c r="H241" s="29" t="s">
        <v>98</v>
      </c>
    </row>
    <row r="242" hidden="1" spans="2:8">
      <c r="B242" s="30">
        <v>0.5</v>
      </c>
      <c r="C242" s="30">
        <v>0.875</v>
      </c>
      <c r="D242" s="29">
        <v>1090653293</v>
      </c>
      <c r="E242" s="29">
        <v>10340061</v>
      </c>
      <c r="F242" s="29" t="s">
        <v>1263</v>
      </c>
      <c r="G242" s="29" t="s">
        <v>76</v>
      </c>
      <c r="H242" s="29" t="s">
        <v>599</v>
      </c>
    </row>
    <row r="243" hidden="1" spans="2:8">
      <c r="B243" s="30" t="s">
        <v>1937</v>
      </c>
      <c r="C243" s="30" t="s">
        <v>1937</v>
      </c>
      <c r="D243" s="29">
        <v>1015592867</v>
      </c>
      <c r="E243" s="29">
        <v>10346770</v>
      </c>
      <c r="F243" s="29" t="s">
        <v>1577</v>
      </c>
      <c r="G243" s="29" t="s">
        <v>76</v>
      </c>
      <c r="H243" s="29" t="s">
        <v>75</v>
      </c>
    </row>
    <row r="244" hidden="1" spans="2:8">
      <c r="B244" s="30">
        <v>0.875</v>
      </c>
      <c r="C244" s="30">
        <v>1.25</v>
      </c>
      <c r="D244" s="29">
        <v>1104380295</v>
      </c>
      <c r="E244" s="29">
        <v>10347991</v>
      </c>
      <c r="F244" s="29" t="s">
        <v>1682</v>
      </c>
      <c r="G244" s="29" t="s">
        <v>76</v>
      </c>
      <c r="H244" s="29" t="s">
        <v>98</v>
      </c>
    </row>
    <row r="245" hidden="1" spans="2:8">
      <c r="B245" s="30">
        <v>0.375</v>
      </c>
      <c r="C245" s="30">
        <v>0.75</v>
      </c>
      <c r="D245" s="29" t="s">
        <v>203</v>
      </c>
      <c r="E245" s="29">
        <v>10316685</v>
      </c>
      <c r="F245" s="29" t="s">
        <v>202</v>
      </c>
      <c r="G245" s="29" t="s">
        <v>76</v>
      </c>
      <c r="H245" s="29" t="s">
        <v>75</v>
      </c>
    </row>
    <row r="246" hidden="1" spans="2:8">
      <c r="B246" s="30">
        <v>0.375</v>
      </c>
      <c r="C246" s="30">
        <v>0.75</v>
      </c>
      <c r="D246" s="29">
        <v>1278276206</v>
      </c>
      <c r="E246" s="29">
        <v>10316618</v>
      </c>
      <c r="F246" s="29" t="s">
        <v>166</v>
      </c>
      <c r="G246" s="29" t="s">
        <v>76</v>
      </c>
      <c r="H246" s="29" t="s">
        <v>98</v>
      </c>
    </row>
    <row r="247" hidden="1" spans="2:8">
      <c r="B247" s="30">
        <v>0.458333333333333</v>
      </c>
      <c r="C247" s="30">
        <v>0.833333333333333</v>
      </c>
      <c r="D247" s="29">
        <v>1147359910</v>
      </c>
      <c r="E247" s="29">
        <v>10334469</v>
      </c>
      <c r="F247" s="29" t="s">
        <v>747</v>
      </c>
      <c r="G247" s="29" t="s">
        <v>76</v>
      </c>
      <c r="H247" s="29" t="s">
        <v>599</v>
      </c>
    </row>
    <row r="248" hidden="1" spans="2:8">
      <c r="B248" s="30">
        <v>0.666666666666667</v>
      </c>
      <c r="C248" s="30">
        <v>0</v>
      </c>
      <c r="D248" s="29" t="s">
        <v>2624</v>
      </c>
      <c r="E248" s="29" t="s">
        <v>2607</v>
      </c>
      <c r="F248" s="29" t="s">
        <v>2625</v>
      </c>
      <c r="G248" s="29" t="s">
        <v>95</v>
      </c>
      <c r="H248" s="29" t="s">
        <v>1792</v>
      </c>
    </row>
    <row r="249" hidden="1" spans="2:8">
      <c r="B249" s="30">
        <v>0.416666666666667</v>
      </c>
      <c r="C249" s="30">
        <v>0.791666666666667</v>
      </c>
      <c r="D249" s="29">
        <v>1288271110</v>
      </c>
      <c r="E249" s="29" t="s">
        <v>2588</v>
      </c>
      <c r="F249" s="29" t="s">
        <v>2626</v>
      </c>
      <c r="G249" s="29" t="s">
        <v>95</v>
      </c>
      <c r="H249" s="29" t="s">
        <v>94</v>
      </c>
    </row>
    <row r="250" hidden="1" spans="2:8">
      <c r="B250" s="30">
        <v>0.416666666666667</v>
      </c>
      <c r="C250" s="30">
        <v>0.791666666666667</v>
      </c>
      <c r="D250" s="29">
        <v>1277498727</v>
      </c>
      <c r="E250" s="29" t="s">
        <v>2588</v>
      </c>
      <c r="F250" s="29" t="s">
        <v>2627</v>
      </c>
      <c r="G250" s="29" t="s">
        <v>95</v>
      </c>
      <c r="H250" s="29" t="s">
        <v>108</v>
      </c>
    </row>
    <row r="251" hidden="1" spans="2:8">
      <c r="B251" s="30">
        <v>0.416666666666667</v>
      </c>
      <c r="C251" s="30">
        <v>0.791666666666667</v>
      </c>
      <c r="D251" s="29">
        <v>1143175687</v>
      </c>
      <c r="E251" s="29" t="s">
        <v>2588</v>
      </c>
      <c r="F251" s="29" t="s">
        <v>2628</v>
      </c>
      <c r="G251" s="29" t="s">
        <v>95</v>
      </c>
      <c r="H251" s="29" t="s">
        <v>343</v>
      </c>
    </row>
    <row r="252" hidden="1" spans="2:8">
      <c r="B252" s="30">
        <v>0.416666666666667</v>
      </c>
      <c r="C252" s="30">
        <v>0.791666666666667</v>
      </c>
      <c r="D252" s="29">
        <v>1026026750</v>
      </c>
      <c r="E252" s="29" t="s">
        <v>2588</v>
      </c>
      <c r="F252" s="29" t="s">
        <v>2629</v>
      </c>
      <c r="G252" s="29" t="s">
        <v>95</v>
      </c>
      <c r="H252" s="29" t="s">
        <v>108</v>
      </c>
    </row>
    <row r="253" hidden="1" spans="2:8">
      <c r="B253" s="30">
        <v>0.416666666666667</v>
      </c>
      <c r="C253" s="30">
        <v>0.791666666666667</v>
      </c>
      <c r="D253" s="29" t="s">
        <v>2630</v>
      </c>
      <c r="E253" s="29" t="s">
        <v>2588</v>
      </c>
      <c r="F253" s="29" t="s">
        <v>2631</v>
      </c>
      <c r="G253" s="29" t="s">
        <v>95</v>
      </c>
      <c r="H253" s="29" t="s">
        <v>228</v>
      </c>
    </row>
    <row r="254" hidden="1" spans="2:8">
      <c r="B254" s="30">
        <v>0.416666666666667</v>
      </c>
      <c r="C254" s="30">
        <v>0.791666666666667</v>
      </c>
      <c r="D254" s="29">
        <v>1002105332</v>
      </c>
      <c r="E254" s="29" t="s">
        <v>2604</v>
      </c>
      <c r="F254" s="29" t="s">
        <v>1726</v>
      </c>
      <c r="G254" s="29" t="s">
        <v>95</v>
      </c>
      <c r="H254" s="29" t="s">
        <v>2632</v>
      </c>
    </row>
    <row r="255" hidden="1" spans="2:8">
      <c r="B255" s="30">
        <v>0.416666666666667</v>
      </c>
      <c r="C255" s="30">
        <v>0.791666666666667</v>
      </c>
      <c r="D255" s="29">
        <v>1158808766</v>
      </c>
      <c r="E255" s="29" t="s">
        <v>2604</v>
      </c>
      <c r="F255" s="29" t="s">
        <v>1731</v>
      </c>
      <c r="G255" s="29" t="s">
        <v>95</v>
      </c>
      <c r="H255" s="29" t="s">
        <v>2633</v>
      </c>
    </row>
    <row r="256" hidden="1" spans="2:8">
      <c r="B256" s="30">
        <v>0.416666666666667</v>
      </c>
      <c r="C256" s="30">
        <v>0.791666666666667</v>
      </c>
      <c r="D256" s="29">
        <v>1014383050</v>
      </c>
      <c r="E256" s="29" t="s">
        <v>2604</v>
      </c>
      <c r="F256" s="29" t="s">
        <v>1729</v>
      </c>
      <c r="G256" s="29" t="s">
        <v>95</v>
      </c>
      <c r="H256" s="29" t="s">
        <v>2633</v>
      </c>
    </row>
    <row r="257" hidden="1" spans="2:8">
      <c r="B257" s="30">
        <v>0.416666666666667</v>
      </c>
      <c r="C257" s="30">
        <v>0.791666666666667</v>
      </c>
      <c r="D257" s="29">
        <v>1063790715</v>
      </c>
      <c r="E257" s="29" t="s">
        <v>2604</v>
      </c>
      <c r="F257" s="29" t="s">
        <v>1732</v>
      </c>
      <c r="G257" s="29" t="s">
        <v>95</v>
      </c>
      <c r="H257" s="29" t="s">
        <v>2633</v>
      </c>
    </row>
    <row r="258" hidden="1" spans="2:8">
      <c r="B258" s="30">
        <v>0.625</v>
      </c>
      <c r="C258" s="30">
        <v>0</v>
      </c>
      <c r="D258" s="29">
        <v>1090527572</v>
      </c>
      <c r="E258" s="29">
        <v>10318910</v>
      </c>
      <c r="F258" s="29" t="s">
        <v>185</v>
      </c>
      <c r="G258" s="29" t="s">
        <v>95</v>
      </c>
      <c r="H258" s="29" t="s">
        <v>108</v>
      </c>
    </row>
    <row r="259" hidden="1" spans="2:8">
      <c r="B259" s="30">
        <v>0.375</v>
      </c>
      <c r="C259" s="30">
        <v>0.791666666666667</v>
      </c>
      <c r="D259" s="29">
        <v>1028837891</v>
      </c>
      <c r="E259" s="29">
        <v>10318880</v>
      </c>
      <c r="F259" s="29" t="s">
        <v>136</v>
      </c>
      <c r="G259" s="29" t="s">
        <v>95</v>
      </c>
      <c r="H259" s="29" t="s">
        <v>108</v>
      </c>
    </row>
    <row r="260" hidden="1" spans="2:8">
      <c r="B260" s="30">
        <v>0.375</v>
      </c>
      <c r="C260" s="30">
        <v>0.75</v>
      </c>
      <c r="D260" s="29">
        <v>1151866144</v>
      </c>
      <c r="E260" s="29">
        <v>10329238</v>
      </c>
      <c r="F260" s="29" t="s">
        <v>392</v>
      </c>
      <c r="G260" s="29" t="s">
        <v>95</v>
      </c>
      <c r="H260" s="29" t="s">
        <v>113</v>
      </c>
    </row>
    <row r="261" hidden="1" spans="2:8">
      <c r="B261" s="30">
        <v>0.625</v>
      </c>
      <c r="C261" s="30">
        <v>0</v>
      </c>
      <c r="D261" s="29">
        <v>1145600669</v>
      </c>
      <c r="E261" s="29">
        <v>10324742</v>
      </c>
      <c r="F261" s="29" t="s">
        <v>219</v>
      </c>
      <c r="G261" s="29" t="s">
        <v>95</v>
      </c>
      <c r="H261" s="29" t="s">
        <v>137</v>
      </c>
    </row>
    <row r="262" hidden="1" spans="2:8">
      <c r="B262" s="30">
        <v>0.375</v>
      </c>
      <c r="C262" s="30">
        <v>0.791666666666667</v>
      </c>
      <c r="D262" s="29">
        <v>1025851539</v>
      </c>
      <c r="E262" s="29">
        <v>10329211</v>
      </c>
      <c r="F262" s="29" t="s">
        <v>383</v>
      </c>
      <c r="G262" s="29" t="s">
        <v>95</v>
      </c>
      <c r="H262" s="29" t="s">
        <v>113</v>
      </c>
    </row>
    <row r="263" hidden="1" spans="2:8">
      <c r="B263" s="30">
        <v>0.416666666666667</v>
      </c>
      <c r="C263" s="30">
        <v>0.791666666666667</v>
      </c>
      <c r="D263" s="29">
        <v>1223548165</v>
      </c>
      <c r="E263" s="29">
        <v>10331630</v>
      </c>
      <c r="F263" s="29" t="s">
        <v>465</v>
      </c>
      <c r="G263" s="29" t="s">
        <v>95</v>
      </c>
      <c r="H263" s="29" t="s">
        <v>108</v>
      </c>
    </row>
    <row r="264" hidden="1" spans="2:8">
      <c r="B264" s="30">
        <v>0.375</v>
      </c>
      <c r="C264" s="30">
        <v>0.75</v>
      </c>
      <c r="D264" s="29">
        <v>1116915333</v>
      </c>
      <c r="E264" s="29">
        <v>10319940</v>
      </c>
      <c r="F264" s="29" t="s">
        <v>961</v>
      </c>
      <c r="G264" s="29" t="s">
        <v>95</v>
      </c>
      <c r="H264" s="29" t="s">
        <v>343</v>
      </c>
    </row>
    <row r="265" hidden="1" spans="2:8">
      <c r="B265" s="30">
        <v>0.375</v>
      </c>
      <c r="C265" s="30">
        <v>0.75</v>
      </c>
      <c r="D265" s="29">
        <v>0</v>
      </c>
      <c r="E265" s="29">
        <v>10337806</v>
      </c>
      <c r="F265" s="29" t="s">
        <v>1155</v>
      </c>
      <c r="G265" s="29" t="s">
        <v>95</v>
      </c>
      <c r="H265" s="29" t="s">
        <v>108</v>
      </c>
    </row>
    <row r="266" hidden="1" spans="2:8">
      <c r="B266" s="30">
        <v>0.416666666666667</v>
      </c>
      <c r="C266" s="30">
        <v>0.791666666666667</v>
      </c>
      <c r="D266" s="29">
        <v>1158607339</v>
      </c>
      <c r="E266" s="29">
        <v>10348085</v>
      </c>
      <c r="F266" s="29" t="s">
        <v>1810</v>
      </c>
      <c r="G266" s="29" t="s">
        <v>95</v>
      </c>
      <c r="H266" s="29" t="s">
        <v>1809</v>
      </c>
    </row>
    <row r="267" hidden="1" spans="2:8">
      <c r="B267" s="30">
        <v>0.5</v>
      </c>
      <c r="C267" s="30">
        <v>0.875</v>
      </c>
      <c r="D267" s="29">
        <v>1094405645</v>
      </c>
      <c r="E267" s="29">
        <v>29901310</v>
      </c>
      <c r="F267" s="29" t="s">
        <v>1058</v>
      </c>
      <c r="G267" s="29" t="s">
        <v>95</v>
      </c>
      <c r="H267" s="29" t="s">
        <v>94</v>
      </c>
    </row>
    <row r="268" hidden="1" spans="2:8">
      <c r="B268" s="30">
        <v>0.5</v>
      </c>
      <c r="C268" s="30">
        <v>0.875</v>
      </c>
      <c r="D268" s="29">
        <v>1095680472</v>
      </c>
      <c r="E268" s="29">
        <v>29408200</v>
      </c>
      <c r="F268" s="29" t="s">
        <v>1060</v>
      </c>
      <c r="G268" s="29" t="s">
        <v>95</v>
      </c>
      <c r="H268" s="29" t="s">
        <v>94</v>
      </c>
    </row>
    <row r="269" hidden="1" spans="2:8">
      <c r="B269" s="30">
        <v>0.5</v>
      </c>
      <c r="C269" s="30">
        <v>0.875</v>
      </c>
      <c r="D269" s="29">
        <v>1158665484</v>
      </c>
      <c r="E269" s="29">
        <v>10334712</v>
      </c>
      <c r="F269" s="29" t="s">
        <v>692</v>
      </c>
      <c r="G269" s="29" t="s">
        <v>95</v>
      </c>
      <c r="H269" s="29" t="s">
        <v>108</v>
      </c>
    </row>
    <row r="270" hidden="1" spans="2:8">
      <c r="B270" s="30">
        <v>0.458333333333333</v>
      </c>
      <c r="C270" s="30">
        <v>0.833333333333333</v>
      </c>
      <c r="D270" s="29">
        <v>0</v>
      </c>
      <c r="E270" s="29">
        <v>10334426</v>
      </c>
      <c r="F270" s="29" t="s">
        <v>643</v>
      </c>
      <c r="G270" s="29" t="s">
        <v>95</v>
      </c>
      <c r="H270" s="29" t="s">
        <v>108</v>
      </c>
    </row>
    <row r="271" hidden="1" spans="2:8">
      <c r="B271" s="30">
        <v>0.458333333333333</v>
      </c>
      <c r="C271" s="30">
        <v>0.833333333333333</v>
      </c>
      <c r="D271" s="29">
        <v>1094057169</v>
      </c>
      <c r="E271" s="29">
        <v>10338959</v>
      </c>
      <c r="F271" s="29" t="s">
        <v>1234</v>
      </c>
      <c r="G271" s="29" t="s">
        <v>95</v>
      </c>
      <c r="H271" s="29" t="s">
        <v>137</v>
      </c>
    </row>
    <row r="272" hidden="1" spans="2:8">
      <c r="B272" s="30">
        <v>0.458333333333333</v>
      </c>
      <c r="C272" s="30">
        <v>0.833333333333333</v>
      </c>
      <c r="D272" s="29">
        <v>1063902934</v>
      </c>
      <c r="E272" s="29">
        <v>10339767</v>
      </c>
      <c r="F272" s="29" t="s">
        <v>1347</v>
      </c>
      <c r="G272" s="29" t="s">
        <v>95</v>
      </c>
      <c r="H272" s="29" t="s">
        <v>228</v>
      </c>
    </row>
    <row r="273" hidden="1" spans="2:8">
      <c r="B273" s="30">
        <v>0.5</v>
      </c>
      <c r="C273" s="30">
        <v>0.875</v>
      </c>
      <c r="D273" s="29">
        <v>1067876527</v>
      </c>
      <c r="E273" s="29">
        <v>10334668</v>
      </c>
      <c r="F273" s="29" t="s">
        <v>651</v>
      </c>
      <c r="G273" s="29" t="s">
        <v>95</v>
      </c>
      <c r="H273" s="29" t="s">
        <v>113</v>
      </c>
    </row>
    <row r="274" hidden="1" spans="2:8">
      <c r="B274" s="30">
        <v>0.625</v>
      </c>
      <c r="C274" s="30">
        <v>0</v>
      </c>
      <c r="D274" s="29">
        <v>1091057261</v>
      </c>
      <c r="E274" s="29">
        <v>10337712</v>
      </c>
      <c r="F274" s="29" t="s">
        <v>1134</v>
      </c>
      <c r="G274" s="29" t="s">
        <v>95</v>
      </c>
      <c r="H274" s="29" t="s">
        <v>137</v>
      </c>
    </row>
    <row r="275" hidden="1" spans="2:8">
      <c r="B275" s="30">
        <v>0.625</v>
      </c>
      <c r="C275" s="30">
        <v>0</v>
      </c>
      <c r="D275" s="29">
        <v>1063707011</v>
      </c>
      <c r="E275" s="29">
        <v>10342599</v>
      </c>
      <c r="F275" s="29" t="s">
        <v>177</v>
      </c>
      <c r="G275" s="29" t="s">
        <v>95</v>
      </c>
      <c r="H275" s="29" t="s">
        <v>94</v>
      </c>
    </row>
    <row r="276" hidden="1" spans="2:8">
      <c r="B276" s="30">
        <v>0.625</v>
      </c>
      <c r="C276" s="30">
        <v>0</v>
      </c>
      <c r="D276" s="29">
        <v>1008871412</v>
      </c>
      <c r="E276" s="29">
        <v>10337665</v>
      </c>
      <c r="F276" s="29" t="s">
        <v>1109</v>
      </c>
      <c r="G276" s="29" t="s">
        <v>95</v>
      </c>
      <c r="H276" s="29" t="s">
        <v>108</v>
      </c>
    </row>
    <row r="277" hidden="1" spans="2:8">
      <c r="B277" s="30">
        <v>0.625</v>
      </c>
      <c r="C277" s="30">
        <v>0</v>
      </c>
      <c r="D277" s="29">
        <v>1129964189</v>
      </c>
      <c r="E277" s="29">
        <v>10343860</v>
      </c>
      <c r="F277" s="29" t="s">
        <v>1465</v>
      </c>
      <c r="G277" s="29" t="s">
        <v>95</v>
      </c>
      <c r="H277" s="29" t="s">
        <v>137</v>
      </c>
    </row>
    <row r="278" hidden="1" spans="2:8">
      <c r="B278" s="30">
        <v>0.5</v>
      </c>
      <c r="C278" s="30">
        <v>0.875</v>
      </c>
      <c r="D278" s="29">
        <v>1158021888</v>
      </c>
      <c r="E278" s="29">
        <v>10343948</v>
      </c>
      <c r="F278" s="29" t="s">
        <v>1460</v>
      </c>
      <c r="G278" s="29" t="s">
        <v>95</v>
      </c>
      <c r="H278" s="29" t="s">
        <v>94</v>
      </c>
    </row>
    <row r="279" hidden="1" spans="2:8">
      <c r="B279" s="30" t="s">
        <v>1937</v>
      </c>
      <c r="C279" s="30" t="s">
        <v>1937</v>
      </c>
      <c r="D279" s="29" t="s">
        <v>1294</v>
      </c>
      <c r="E279" s="29">
        <v>10340571</v>
      </c>
      <c r="F279" s="29" t="s">
        <v>1293</v>
      </c>
      <c r="G279" s="29" t="s">
        <v>95</v>
      </c>
      <c r="H279" s="29" t="s">
        <v>94</v>
      </c>
    </row>
    <row r="280" hidden="1" spans="2:8">
      <c r="B280" s="30" t="s">
        <v>1937</v>
      </c>
      <c r="C280" s="30" t="s">
        <v>1937</v>
      </c>
      <c r="D280" s="29" t="s">
        <v>1117</v>
      </c>
      <c r="E280" s="29">
        <v>10337737</v>
      </c>
      <c r="F280" s="29" t="s">
        <v>1116</v>
      </c>
      <c r="G280" s="29" t="s">
        <v>95</v>
      </c>
      <c r="H280" s="29" t="s">
        <v>113</v>
      </c>
    </row>
    <row r="281" hidden="1" spans="2:8">
      <c r="B281" s="30" t="s">
        <v>1937</v>
      </c>
      <c r="C281" s="30" t="s">
        <v>1937</v>
      </c>
      <c r="D281" s="29">
        <v>1093159095</v>
      </c>
      <c r="E281" s="29">
        <v>10334699</v>
      </c>
      <c r="F281" s="29" t="s">
        <v>683</v>
      </c>
      <c r="G281" s="29" t="s">
        <v>95</v>
      </c>
      <c r="H281" s="29" t="s">
        <v>343</v>
      </c>
    </row>
    <row r="282" hidden="1" spans="2:8">
      <c r="B282" s="30">
        <v>0.625</v>
      </c>
      <c r="C282" s="30">
        <v>1.20833333333333</v>
      </c>
      <c r="D282" s="29">
        <v>1016228319</v>
      </c>
      <c r="E282" s="29">
        <v>10342917</v>
      </c>
      <c r="F282" s="29" t="s">
        <v>1816</v>
      </c>
      <c r="G282" s="29" t="s">
        <v>95</v>
      </c>
      <c r="H282" s="29" t="s">
        <v>108</v>
      </c>
    </row>
    <row r="283" hidden="1" spans="2:8">
      <c r="B283" s="30">
        <v>0.75</v>
      </c>
      <c r="C283" s="30">
        <v>1.25</v>
      </c>
      <c r="D283" s="29" t="s">
        <v>1869</v>
      </c>
      <c r="E283" s="29">
        <v>10344398</v>
      </c>
      <c r="F283" s="29" t="s">
        <v>620</v>
      </c>
      <c r="G283" s="29" t="s">
        <v>95</v>
      </c>
      <c r="H283" s="29" t="s">
        <v>94</v>
      </c>
    </row>
    <row r="284" hidden="1" spans="2:8">
      <c r="B284" s="30">
        <v>0.583333333333333</v>
      </c>
      <c r="C284" s="30">
        <v>1.08333333333333</v>
      </c>
      <c r="D284" s="29">
        <v>1148417872</v>
      </c>
      <c r="E284" s="29">
        <v>10299506</v>
      </c>
      <c r="F284" s="29" t="s">
        <v>993</v>
      </c>
      <c r="G284" s="29" t="s">
        <v>95</v>
      </c>
      <c r="H284" s="29" t="s">
        <v>94</v>
      </c>
    </row>
    <row r="285" hidden="1" spans="2:8">
      <c r="B285" s="30" t="s">
        <v>1937</v>
      </c>
      <c r="C285" s="30" t="s">
        <v>1937</v>
      </c>
      <c r="D285" s="29" t="s">
        <v>1752</v>
      </c>
      <c r="E285" s="29">
        <v>10323972</v>
      </c>
      <c r="F285" s="29" t="s">
        <v>1751</v>
      </c>
      <c r="G285" s="29" t="s">
        <v>95</v>
      </c>
      <c r="H285" s="29" t="s">
        <v>228</v>
      </c>
    </row>
    <row r="286" hidden="1" spans="2:8">
      <c r="B286" s="30">
        <v>0.583333333333333</v>
      </c>
      <c r="C286" s="30">
        <v>0.333333333333333</v>
      </c>
      <c r="D286" s="29" t="s">
        <v>1750</v>
      </c>
      <c r="E286" s="29">
        <v>10335392</v>
      </c>
      <c r="F286" s="29" t="s">
        <v>1749</v>
      </c>
      <c r="G286" s="29" t="s">
        <v>95</v>
      </c>
      <c r="H286" s="29" t="s">
        <v>228</v>
      </c>
    </row>
    <row r="287" spans="2:8">
      <c r="B287" s="30">
        <v>0.958333333333333</v>
      </c>
      <c r="C287" s="30">
        <v>0.333333333333333</v>
      </c>
      <c r="D287" s="29">
        <v>1122755871</v>
      </c>
      <c r="E287" s="29">
        <v>10336453</v>
      </c>
      <c r="F287" s="29" t="s">
        <v>1748</v>
      </c>
      <c r="G287" s="29" t="s">
        <v>95</v>
      </c>
      <c r="H287" s="29" t="s">
        <v>228</v>
      </c>
    </row>
    <row r="288" hidden="1" spans="2:8">
      <c r="B288" s="30">
        <v>0.625</v>
      </c>
      <c r="C288" s="30">
        <v>1.20833333333333</v>
      </c>
      <c r="D288" s="29" t="s">
        <v>1747</v>
      </c>
      <c r="E288" s="29">
        <v>10340369</v>
      </c>
      <c r="F288" s="29" t="s">
        <v>1746</v>
      </c>
      <c r="G288" s="29" t="s">
        <v>95</v>
      </c>
      <c r="H288" s="29" t="s">
        <v>228</v>
      </c>
    </row>
    <row r="289" hidden="1" spans="2:8">
      <c r="B289" s="30">
        <v>0.75</v>
      </c>
      <c r="C289" s="30">
        <v>1.25</v>
      </c>
      <c r="D289" s="29">
        <v>1032492021</v>
      </c>
      <c r="E289" s="29">
        <v>10341611</v>
      </c>
      <c r="F289" s="29" t="s">
        <v>1753</v>
      </c>
      <c r="G289" s="29" t="s">
        <v>95</v>
      </c>
      <c r="H289" s="29" t="s">
        <v>228</v>
      </c>
    </row>
    <row r="290" spans="2:8">
      <c r="B290" s="30">
        <v>0.958333333333333</v>
      </c>
      <c r="C290" s="30">
        <v>0.333333333333333</v>
      </c>
      <c r="D290" s="29">
        <v>1126128951</v>
      </c>
      <c r="E290" s="29">
        <v>10344185</v>
      </c>
      <c r="F290" s="29" t="s">
        <v>1425</v>
      </c>
      <c r="G290" s="29" t="s">
        <v>95</v>
      </c>
      <c r="H290" s="29" t="s">
        <v>108</v>
      </c>
    </row>
    <row r="291" hidden="1" spans="2:8">
      <c r="B291" s="30">
        <v>0.583333333333333</v>
      </c>
      <c r="C291" s="30">
        <v>0.958333333333333</v>
      </c>
      <c r="D291" s="29">
        <v>1098670413</v>
      </c>
      <c r="E291" s="29">
        <v>10344186</v>
      </c>
      <c r="F291" s="29" t="s">
        <v>1427</v>
      </c>
      <c r="G291" s="29" t="s">
        <v>95</v>
      </c>
      <c r="H291" s="29" t="s">
        <v>343</v>
      </c>
    </row>
    <row r="292" hidden="1" spans="2:8">
      <c r="B292" s="30" t="s">
        <v>1937</v>
      </c>
      <c r="C292" s="30" t="s">
        <v>1937</v>
      </c>
      <c r="D292" s="29">
        <v>1284234931</v>
      </c>
      <c r="E292" s="29">
        <v>10344274</v>
      </c>
      <c r="F292" s="29" t="s">
        <v>1426</v>
      </c>
      <c r="G292" s="29" t="s">
        <v>95</v>
      </c>
      <c r="H292" s="29" t="s">
        <v>108</v>
      </c>
    </row>
    <row r="293" hidden="1" spans="2:8">
      <c r="B293" s="30">
        <v>0.833333333333333</v>
      </c>
      <c r="C293" s="30">
        <v>0.333333333333333</v>
      </c>
      <c r="D293" s="29">
        <v>1285622455</v>
      </c>
      <c r="E293" s="29">
        <v>10344307</v>
      </c>
      <c r="F293" s="29" t="s">
        <v>1428</v>
      </c>
      <c r="G293" s="29" t="s">
        <v>95</v>
      </c>
      <c r="H293" s="29" t="s">
        <v>137</v>
      </c>
    </row>
    <row r="294" hidden="1" spans="2:8">
      <c r="B294" s="30">
        <v>0.916666666666667</v>
      </c>
      <c r="C294" s="30">
        <v>1.29166666666667</v>
      </c>
      <c r="D294" s="29">
        <v>1122706070</v>
      </c>
      <c r="E294" s="29">
        <v>10344863</v>
      </c>
      <c r="F294" s="29" t="s">
        <v>1528</v>
      </c>
      <c r="G294" s="29" t="s">
        <v>95</v>
      </c>
      <c r="H294" s="29" t="s">
        <v>94</v>
      </c>
    </row>
    <row r="295" hidden="1" spans="2:8">
      <c r="B295" s="30">
        <v>0.916666666666667</v>
      </c>
      <c r="C295" s="30">
        <v>1.29166666666667</v>
      </c>
      <c r="D295" s="29">
        <v>1021293302</v>
      </c>
      <c r="E295" s="29">
        <v>10344866</v>
      </c>
      <c r="F295" s="29" t="s">
        <v>558</v>
      </c>
      <c r="G295" s="29" t="s">
        <v>95</v>
      </c>
      <c r="H295" s="29" t="s">
        <v>137</v>
      </c>
    </row>
    <row r="296" hidden="1" spans="2:8">
      <c r="B296" s="30">
        <v>0.583333333333333</v>
      </c>
      <c r="C296" s="30">
        <v>0.958333333333333</v>
      </c>
      <c r="D296" s="29">
        <v>1507554968</v>
      </c>
      <c r="E296" s="29">
        <v>10346148</v>
      </c>
      <c r="F296" s="29" t="s">
        <v>1553</v>
      </c>
      <c r="G296" s="29" t="s">
        <v>95</v>
      </c>
      <c r="H296" s="29" t="s">
        <v>94</v>
      </c>
    </row>
    <row r="297" hidden="1" spans="2:8">
      <c r="B297" s="30" t="s">
        <v>1937</v>
      </c>
      <c r="C297" s="30" t="s">
        <v>1937</v>
      </c>
      <c r="D297" s="29">
        <v>1070413418</v>
      </c>
      <c r="E297" s="29">
        <v>10346282</v>
      </c>
      <c r="F297" s="29" t="s">
        <v>670</v>
      </c>
      <c r="G297" s="29" t="s">
        <v>95</v>
      </c>
      <c r="H297" s="29" t="s">
        <v>108</v>
      </c>
    </row>
    <row r="298" hidden="1" spans="2:8">
      <c r="B298" s="30">
        <v>0.625</v>
      </c>
      <c r="C298" s="30">
        <v>1</v>
      </c>
      <c r="D298" s="29">
        <v>1152380728</v>
      </c>
      <c r="E298" s="29">
        <v>10346564</v>
      </c>
      <c r="F298" s="29" t="s">
        <v>1580</v>
      </c>
      <c r="G298" s="29" t="s">
        <v>95</v>
      </c>
      <c r="H298" s="29" t="s">
        <v>108</v>
      </c>
    </row>
    <row r="299" spans="2:8">
      <c r="B299" s="30">
        <v>0.958333333333333</v>
      </c>
      <c r="C299" s="30">
        <v>0.333333333333333</v>
      </c>
      <c r="D299" s="29">
        <v>1124069931</v>
      </c>
      <c r="E299" s="29">
        <v>10346573</v>
      </c>
      <c r="F299" s="29" t="s">
        <v>1582</v>
      </c>
      <c r="G299" s="29" t="s">
        <v>95</v>
      </c>
      <c r="H299" s="29" t="s">
        <v>108</v>
      </c>
    </row>
    <row r="300" hidden="1" spans="2:8">
      <c r="B300" s="30">
        <v>0.583333333333333</v>
      </c>
      <c r="C300" s="30">
        <v>0.958333333333333</v>
      </c>
      <c r="D300" s="29">
        <v>1080652791</v>
      </c>
      <c r="E300" s="29">
        <v>10346788</v>
      </c>
      <c r="F300" s="29" t="s">
        <v>1579</v>
      </c>
      <c r="G300" s="29" t="s">
        <v>95</v>
      </c>
      <c r="H300" s="29" t="s">
        <v>228</v>
      </c>
    </row>
    <row r="301" hidden="1" spans="2:8">
      <c r="B301" s="30">
        <v>0.625</v>
      </c>
      <c r="C301" s="30">
        <v>1</v>
      </c>
      <c r="D301" s="29">
        <v>1044330535</v>
      </c>
      <c r="E301" s="29">
        <v>10348216</v>
      </c>
      <c r="F301" s="29" t="s">
        <v>1643</v>
      </c>
      <c r="G301" s="29" t="s">
        <v>95</v>
      </c>
      <c r="H301" s="29" t="s">
        <v>94</v>
      </c>
    </row>
    <row r="302" hidden="1" spans="2:8">
      <c r="B302" s="30">
        <v>0.708333333333333</v>
      </c>
      <c r="C302" s="30">
        <v>0.0833333333333333</v>
      </c>
      <c r="D302" s="29">
        <v>1207159546</v>
      </c>
      <c r="E302" s="29">
        <v>10348790</v>
      </c>
      <c r="F302" s="29" t="s">
        <v>1885</v>
      </c>
      <c r="G302" s="29" t="s">
        <v>95</v>
      </c>
      <c r="H302" s="29" t="s">
        <v>228</v>
      </c>
    </row>
    <row r="303" hidden="1" spans="2:8">
      <c r="B303" s="30">
        <v>0.833333333333333</v>
      </c>
      <c r="C303" s="30">
        <v>0.208333333333333</v>
      </c>
      <c r="D303" s="29">
        <v>1123800117</v>
      </c>
      <c r="E303" s="29">
        <v>10212383</v>
      </c>
      <c r="F303" s="29" t="s">
        <v>1781</v>
      </c>
      <c r="G303" s="29" t="s">
        <v>95</v>
      </c>
      <c r="H303" s="29" t="s">
        <v>1780</v>
      </c>
    </row>
    <row r="304" hidden="1" spans="2:8">
      <c r="B304" s="30">
        <v>0.708333333333333</v>
      </c>
      <c r="C304" s="30">
        <v>0.0833333333333333</v>
      </c>
      <c r="D304" s="29">
        <v>1102912624</v>
      </c>
      <c r="E304" s="29">
        <v>10335898</v>
      </c>
      <c r="F304" s="29" t="s">
        <v>1863</v>
      </c>
      <c r="G304" s="29" t="s">
        <v>95</v>
      </c>
      <c r="H304" s="29" t="s">
        <v>137</v>
      </c>
    </row>
    <row r="305" hidden="1" spans="2:8">
      <c r="B305" s="30">
        <v>0.708333333333333</v>
      </c>
      <c r="C305" s="30">
        <v>0.0833333333333333</v>
      </c>
      <c r="D305" s="29">
        <v>1274393886</v>
      </c>
      <c r="E305" s="29">
        <v>10331009</v>
      </c>
      <c r="F305" s="29" t="s">
        <v>1865</v>
      </c>
      <c r="G305" s="29" t="s">
        <v>95</v>
      </c>
      <c r="H305" s="29" t="s">
        <v>1864</v>
      </c>
    </row>
    <row r="306" hidden="1" spans="2:8">
      <c r="B306" s="30">
        <v>0.833333333333333</v>
      </c>
      <c r="C306" s="30">
        <v>0.208333333333333</v>
      </c>
      <c r="D306" s="29">
        <v>1142234058</v>
      </c>
      <c r="E306" s="29">
        <v>10325898</v>
      </c>
      <c r="F306" s="29" t="s">
        <v>1602</v>
      </c>
      <c r="G306" s="29" t="s">
        <v>95</v>
      </c>
      <c r="H306" s="29" t="s">
        <v>137</v>
      </c>
    </row>
    <row r="307" hidden="1" spans="2:8">
      <c r="B307" s="30">
        <v>0.416666666666667</v>
      </c>
      <c r="C307" s="30">
        <v>0.791666666666667</v>
      </c>
      <c r="D307" s="29">
        <v>1044744639</v>
      </c>
      <c r="E307" s="29">
        <v>10349015</v>
      </c>
      <c r="F307" s="29" t="s">
        <v>1793</v>
      </c>
      <c r="G307" s="29" t="s">
        <v>95</v>
      </c>
      <c r="H307" s="29" t="s">
        <v>1792</v>
      </c>
    </row>
    <row r="308" hidden="1" spans="2:8">
      <c r="B308" s="30">
        <v>0.916666666666667</v>
      </c>
      <c r="C308" s="30">
        <v>0.791666666666667</v>
      </c>
      <c r="D308" s="29">
        <v>1288271110</v>
      </c>
      <c r="E308" s="29">
        <v>10349056</v>
      </c>
      <c r="F308" s="29" t="s">
        <v>1794</v>
      </c>
      <c r="G308" s="29" t="s">
        <v>95</v>
      </c>
      <c r="H308" s="29" t="s">
        <v>94</v>
      </c>
    </row>
    <row r="309" hidden="1" spans="2:8">
      <c r="B309" s="30">
        <v>0.583333333333333</v>
      </c>
      <c r="C309" s="30">
        <v>0</v>
      </c>
      <c r="D309" s="29">
        <v>1142926092</v>
      </c>
      <c r="E309" s="29">
        <v>10294734</v>
      </c>
      <c r="F309" s="29" t="s">
        <v>224</v>
      </c>
      <c r="G309" s="29" t="s">
        <v>95</v>
      </c>
      <c r="H309" s="29" t="s">
        <v>94</v>
      </c>
    </row>
    <row r="310" hidden="1" spans="2:8">
      <c r="B310" s="30">
        <v>0.5</v>
      </c>
      <c r="C310" s="30">
        <v>0.875</v>
      </c>
      <c r="D310" s="29">
        <v>1146076917</v>
      </c>
      <c r="E310" s="29">
        <v>10309485</v>
      </c>
      <c r="F310" s="29" t="s">
        <v>1072</v>
      </c>
      <c r="G310" s="29" t="s">
        <v>95</v>
      </c>
      <c r="H310" s="29" t="s">
        <v>94</v>
      </c>
    </row>
    <row r="311" hidden="1" spans="2:8">
      <c r="B311" s="30">
        <v>0.5</v>
      </c>
      <c r="C311" s="30">
        <v>0.875</v>
      </c>
      <c r="D311" s="29">
        <v>1022171730</v>
      </c>
      <c r="E311" s="29">
        <v>10343406</v>
      </c>
      <c r="F311" s="29" t="s">
        <v>1391</v>
      </c>
      <c r="G311" s="29" t="s">
        <v>95</v>
      </c>
      <c r="H311" s="29" t="s">
        <v>113</v>
      </c>
    </row>
    <row r="312" hidden="1" spans="2:8">
      <c r="B312" s="30">
        <v>0.375</v>
      </c>
      <c r="C312" s="30">
        <v>0.75</v>
      </c>
      <c r="D312" s="29">
        <v>1060286972</v>
      </c>
      <c r="E312" s="29">
        <v>10331521</v>
      </c>
      <c r="F312" s="29" t="s">
        <v>425</v>
      </c>
      <c r="G312" s="29" t="s">
        <v>95</v>
      </c>
      <c r="H312" s="29" t="s">
        <v>228</v>
      </c>
    </row>
    <row r="313" hidden="1" spans="2:8">
      <c r="B313" s="30">
        <v>0.375</v>
      </c>
      <c r="C313" s="30">
        <v>0.75</v>
      </c>
      <c r="D313" s="29">
        <v>1093599893</v>
      </c>
      <c r="E313" s="29">
        <v>10316545</v>
      </c>
      <c r="F313" s="29" t="s">
        <v>199</v>
      </c>
      <c r="G313" s="29" t="s">
        <v>95</v>
      </c>
      <c r="H313" s="29" t="s">
        <v>113</v>
      </c>
    </row>
    <row r="314" hidden="1" spans="2:8">
      <c r="B314" s="30">
        <v>0.375</v>
      </c>
      <c r="C314" s="30">
        <v>0.75</v>
      </c>
      <c r="D314" s="29">
        <v>1007139007</v>
      </c>
      <c r="E314" s="29">
        <v>10316683</v>
      </c>
      <c r="F314" s="29" t="s">
        <v>129</v>
      </c>
      <c r="G314" s="29" t="s">
        <v>95</v>
      </c>
      <c r="H314" s="29" t="s">
        <v>94</v>
      </c>
    </row>
    <row r="315" hidden="1" spans="2:8">
      <c r="B315" s="30">
        <v>0.416666666666667</v>
      </c>
      <c r="C315" s="30">
        <v>0.791666666666667</v>
      </c>
      <c r="D315" s="29">
        <v>1016620399</v>
      </c>
      <c r="E315" s="29">
        <v>10304628</v>
      </c>
      <c r="F315" s="29" t="s">
        <v>371</v>
      </c>
      <c r="G315" s="29" t="s">
        <v>95</v>
      </c>
      <c r="H315" s="29" t="s">
        <v>228</v>
      </c>
    </row>
    <row r="316" hidden="1" spans="2:8">
      <c r="B316" s="30">
        <v>0.458333333333333</v>
      </c>
      <c r="C316" s="30">
        <v>0.833333333333333</v>
      </c>
      <c r="D316" s="29">
        <v>1110676565</v>
      </c>
      <c r="E316" s="29">
        <v>10325072</v>
      </c>
      <c r="F316" s="29" t="s">
        <v>301</v>
      </c>
      <c r="G316" s="29" t="s">
        <v>95</v>
      </c>
      <c r="H316" s="29" t="s">
        <v>108</v>
      </c>
    </row>
    <row r="317" hidden="1" spans="2:8">
      <c r="B317" s="30">
        <v>0.458333333333333</v>
      </c>
      <c r="C317" s="30">
        <v>0.833333333333333</v>
      </c>
      <c r="D317" s="29">
        <v>1156617485</v>
      </c>
      <c r="E317" s="29">
        <v>10295541</v>
      </c>
      <c r="F317" s="29" t="s">
        <v>290</v>
      </c>
      <c r="G317" s="29" t="s">
        <v>95</v>
      </c>
      <c r="H317" s="29" t="s">
        <v>108</v>
      </c>
    </row>
    <row r="318" hidden="1" spans="2:8">
      <c r="B318" s="30" t="s">
        <v>286</v>
      </c>
      <c r="C318" s="30" t="s">
        <v>286</v>
      </c>
      <c r="D318" s="29" t="s">
        <v>741</v>
      </c>
      <c r="E318" s="29">
        <v>10299940</v>
      </c>
      <c r="F318" s="29" t="s">
        <v>740</v>
      </c>
      <c r="G318" s="29" t="s">
        <v>95</v>
      </c>
      <c r="H318" s="29" t="s">
        <v>137</v>
      </c>
    </row>
    <row r="319" hidden="1" spans="2:8">
      <c r="B319" s="30">
        <v>0.833333333333333</v>
      </c>
      <c r="C319" s="30">
        <v>0.208333333333333</v>
      </c>
      <c r="D319" s="29">
        <v>1000065945</v>
      </c>
      <c r="E319" s="29">
        <v>10320445</v>
      </c>
      <c r="F319" s="29" t="s">
        <v>256</v>
      </c>
      <c r="G319" s="29" t="s">
        <v>95</v>
      </c>
      <c r="H319" s="29" t="s">
        <v>94</v>
      </c>
    </row>
    <row r="320" hidden="1" spans="2:8">
      <c r="B320" s="30">
        <v>0.583333333333333</v>
      </c>
      <c r="C320" s="30">
        <v>0.958333333333333</v>
      </c>
      <c r="D320" s="29">
        <v>1210009552</v>
      </c>
      <c r="E320" s="29">
        <v>10245223</v>
      </c>
      <c r="F320" s="29" t="s">
        <v>259</v>
      </c>
      <c r="G320" s="29" t="s">
        <v>95</v>
      </c>
      <c r="H320" s="29" t="s">
        <v>228</v>
      </c>
    </row>
    <row r="321" hidden="1" spans="2:8">
      <c r="B321" s="30" t="s">
        <v>1937</v>
      </c>
      <c r="C321" s="30" t="s">
        <v>1937</v>
      </c>
      <c r="D321" s="29">
        <v>0</v>
      </c>
      <c r="E321" s="29">
        <v>10303751</v>
      </c>
      <c r="F321" s="29" t="s">
        <v>1089</v>
      </c>
      <c r="G321" s="29" t="s">
        <v>95</v>
      </c>
      <c r="H321" s="29" t="s">
        <v>228</v>
      </c>
    </row>
    <row r="322" hidden="1" spans="2:8">
      <c r="B322" s="30">
        <v>0.916666666666667</v>
      </c>
      <c r="C322" s="30">
        <v>0.291666666666667</v>
      </c>
      <c r="D322" s="29">
        <v>1126050575</v>
      </c>
      <c r="E322" s="29">
        <v>10295622</v>
      </c>
      <c r="F322" s="29" t="s">
        <v>252</v>
      </c>
      <c r="G322" s="29" t="s">
        <v>95</v>
      </c>
      <c r="H322" s="29" t="s">
        <v>108</v>
      </c>
    </row>
    <row r="323" hidden="1" spans="2:8">
      <c r="B323" s="30">
        <v>0.416666666666667</v>
      </c>
      <c r="C323" s="30">
        <v>0.416666666666667</v>
      </c>
      <c r="D323" s="29" t="s">
        <v>355</v>
      </c>
      <c r="E323" s="29">
        <v>10327594</v>
      </c>
      <c r="F323" s="29" t="s">
        <v>354</v>
      </c>
      <c r="G323" s="29" t="s">
        <v>95</v>
      </c>
      <c r="H323" s="29" t="s">
        <v>108</v>
      </c>
    </row>
    <row r="324" hidden="1" spans="2:8">
      <c r="B324" s="30">
        <v>0.458333333333333</v>
      </c>
      <c r="C324" s="30">
        <v>0.833333333333333</v>
      </c>
      <c r="D324" s="29">
        <v>1001519732</v>
      </c>
      <c r="E324" s="29">
        <v>10326463</v>
      </c>
      <c r="F324" s="29" t="s">
        <v>607</v>
      </c>
      <c r="G324" s="29" t="s">
        <v>95</v>
      </c>
      <c r="H324" s="29" t="s">
        <v>228</v>
      </c>
    </row>
    <row r="325" hidden="1" spans="2:8">
      <c r="B325" s="30">
        <v>0.541666666666667</v>
      </c>
      <c r="C325" s="30">
        <v>0.916666666666667</v>
      </c>
      <c r="D325" s="29">
        <v>1123022074</v>
      </c>
      <c r="E325" s="29">
        <v>10330510</v>
      </c>
      <c r="F325" s="29" t="s">
        <v>606</v>
      </c>
      <c r="G325" s="29" t="s">
        <v>95</v>
      </c>
      <c r="H325" s="29" t="s">
        <v>228</v>
      </c>
    </row>
    <row r="326" hidden="1" spans="2:8">
      <c r="B326" s="30">
        <v>0.666666666666667</v>
      </c>
      <c r="C326" s="30">
        <v>0.0416666666666667</v>
      </c>
      <c r="D326" s="29">
        <v>1148677126</v>
      </c>
      <c r="E326" s="29">
        <v>10320448</v>
      </c>
      <c r="F326" s="29" t="s">
        <v>253</v>
      </c>
      <c r="G326" s="29" t="s">
        <v>95</v>
      </c>
      <c r="H326" s="29" t="s">
        <v>113</v>
      </c>
    </row>
    <row r="327" hidden="1" spans="2:8">
      <c r="B327" s="30">
        <v>0.916666666666667</v>
      </c>
      <c r="C327" s="30">
        <v>0.291666666666667</v>
      </c>
      <c r="D327" s="29">
        <v>1000136922</v>
      </c>
      <c r="E327" s="29">
        <v>10330150</v>
      </c>
      <c r="F327" s="29" t="s">
        <v>479</v>
      </c>
      <c r="G327" s="29" t="s">
        <v>95</v>
      </c>
      <c r="H327" s="29" t="s">
        <v>228</v>
      </c>
    </row>
    <row r="328" hidden="1" spans="2:8">
      <c r="B328" s="30">
        <v>0.416666666666667</v>
      </c>
      <c r="C328" s="30">
        <v>0.791666666666667</v>
      </c>
      <c r="D328" s="29">
        <v>1206356070</v>
      </c>
      <c r="E328" s="29" t="s">
        <v>2588</v>
      </c>
      <c r="F328" s="29" t="s">
        <v>2634</v>
      </c>
      <c r="G328" s="29" t="s">
        <v>10</v>
      </c>
      <c r="H328" s="29" t="s">
        <v>1850</v>
      </c>
    </row>
    <row r="329" hidden="1" spans="2:8">
      <c r="B329" s="30">
        <v>0.416666666666667</v>
      </c>
      <c r="C329" s="30">
        <v>0.791666666666667</v>
      </c>
      <c r="D329" s="29">
        <v>1155231399</v>
      </c>
      <c r="E329" s="29" t="s">
        <v>2588</v>
      </c>
      <c r="F329" s="29" t="s">
        <v>2635</v>
      </c>
      <c r="G329" s="29" t="s">
        <v>10</v>
      </c>
      <c r="H329" s="29" t="s">
        <v>2636</v>
      </c>
    </row>
    <row r="330" hidden="1" spans="2:8">
      <c r="B330" s="30">
        <v>0.416666666666667</v>
      </c>
      <c r="C330" s="30">
        <v>0.791666666666667</v>
      </c>
      <c r="D330" s="29">
        <v>1159542855</v>
      </c>
      <c r="E330" s="29" t="s">
        <v>2588</v>
      </c>
      <c r="F330" s="29" t="s">
        <v>2637</v>
      </c>
      <c r="G330" s="29" t="s">
        <v>10</v>
      </c>
      <c r="H330" s="29" t="s">
        <v>45</v>
      </c>
    </row>
    <row r="331" hidden="1" spans="2:8">
      <c r="B331" s="30">
        <v>0.416666666666667</v>
      </c>
      <c r="C331" s="30">
        <v>0.791666666666667</v>
      </c>
      <c r="D331" s="29">
        <v>1023151819</v>
      </c>
      <c r="E331" s="29" t="s">
        <v>2604</v>
      </c>
      <c r="F331" s="29" t="s">
        <v>1166</v>
      </c>
      <c r="G331" s="29" t="s">
        <v>10</v>
      </c>
      <c r="H331" s="29" t="s">
        <v>1850</v>
      </c>
    </row>
    <row r="332" hidden="1" spans="2:8">
      <c r="B332" s="30">
        <v>0.375</v>
      </c>
      <c r="C332" s="30">
        <v>0.791666666666667</v>
      </c>
      <c r="D332" s="29">
        <v>1003492249</v>
      </c>
      <c r="E332" s="29">
        <v>10341131</v>
      </c>
      <c r="F332" s="29" t="s">
        <v>1378</v>
      </c>
      <c r="G332" s="29" t="s">
        <v>10</v>
      </c>
      <c r="H332" s="29" t="s">
        <v>302</v>
      </c>
    </row>
    <row r="333" hidden="1" spans="2:8">
      <c r="B333" s="30">
        <v>0.416666666666667</v>
      </c>
      <c r="C333" s="30">
        <v>0.791666666666667</v>
      </c>
      <c r="D333" s="29">
        <v>1021782963</v>
      </c>
      <c r="E333" s="29">
        <v>10337726</v>
      </c>
      <c r="F333" s="29" t="s">
        <v>1174</v>
      </c>
      <c r="G333" s="29" t="s">
        <v>10</v>
      </c>
      <c r="H333" s="29" t="s">
        <v>9</v>
      </c>
    </row>
    <row r="334" hidden="1" spans="2:8">
      <c r="B334" s="30">
        <v>0.375</v>
      </c>
      <c r="C334" s="30">
        <v>0.75</v>
      </c>
      <c r="D334" s="29">
        <v>1017261898</v>
      </c>
      <c r="E334" s="29">
        <v>10323638</v>
      </c>
      <c r="F334" s="29" t="s">
        <v>46</v>
      </c>
      <c r="G334" s="29" t="s">
        <v>10</v>
      </c>
      <c r="H334" s="29" t="s">
        <v>45</v>
      </c>
    </row>
    <row r="335" hidden="1" spans="2:8">
      <c r="B335" s="30">
        <v>0.375</v>
      </c>
      <c r="C335" s="30">
        <v>0.75</v>
      </c>
      <c r="D335" s="29">
        <v>1063159916</v>
      </c>
      <c r="E335" s="29">
        <v>10329480</v>
      </c>
      <c r="F335" s="29" t="s">
        <v>370</v>
      </c>
      <c r="G335" s="29" t="s">
        <v>10</v>
      </c>
      <c r="H335" s="29" t="s">
        <v>302</v>
      </c>
    </row>
    <row r="336" hidden="1" spans="2:8">
      <c r="B336" s="30">
        <v>0.375</v>
      </c>
      <c r="C336" s="30">
        <v>0.791666666666667</v>
      </c>
      <c r="D336" s="29">
        <v>1144282773</v>
      </c>
      <c r="E336" s="29">
        <v>10337465</v>
      </c>
      <c r="F336" s="29" t="s">
        <v>1175</v>
      </c>
      <c r="G336" s="29" t="s">
        <v>10</v>
      </c>
      <c r="H336" s="29" t="s">
        <v>302</v>
      </c>
    </row>
    <row r="337" hidden="1" spans="2:8">
      <c r="B337" s="30">
        <v>0.416666666666667</v>
      </c>
      <c r="C337" s="30">
        <v>0.791666666666667</v>
      </c>
      <c r="D337" s="29">
        <v>1118317055</v>
      </c>
      <c r="E337" s="29">
        <v>10348094</v>
      </c>
      <c r="F337" s="29" t="s">
        <v>1882</v>
      </c>
      <c r="G337" s="29" t="s">
        <v>10</v>
      </c>
      <c r="H337" s="29" t="s">
        <v>64</v>
      </c>
    </row>
    <row r="338" hidden="1" spans="2:8">
      <c r="B338" s="30">
        <v>0.375</v>
      </c>
      <c r="C338" s="30">
        <v>0.75</v>
      </c>
      <c r="D338" s="29">
        <v>0</v>
      </c>
      <c r="E338" s="29">
        <v>10337002</v>
      </c>
      <c r="F338" s="29" t="s">
        <v>1247</v>
      </c>
      <c r="G338" s="29" t="s">
        <v>10</v>
      </c>
      <c r="H338" s="29" t="s">
        <v>9</v>
      </c>
    </row>
    <row r="339" hidden="1" spans="2:8">
      <c r="B339" s="30">
        <v>0.375</v>
      </c>
      <c r="C339" s="30">
        <v>0.75</v>
      </c>
      <c r="D339" s="29">
        <v>1140040830</v>
      </c>
      <c r="E339" s="29">
        <v>10334495</v>
      </c>
      <c r="F339" s="29" t="s">
        <v>642</v>
      </c>
      <c r="G339" s="29" t="s">
        <v>10</v>
      </c>
      <c r="H339" s="29" t="s">
        <v>64</v>
      </c>
    </row>
    <row r="340" hidden="1" spans="2:8">
      <c r="B340" s="30">
        <v>0.375</v>
      </c>
      <c r="C340" s="30">
        <v>0.75</v>
      </c>
      <c r="D340" s="29">
        <v>1023832699</v>
      </c>
      <c r="E340" s="29">
        <v>10335550</v>
      </c>
      <c r="F340" s="29" t="s">
        <v>752</v>
      </c>
      <c r="G340" s="29" t="s">
        <v>10</v>
      </c>
      <c r="H340" s="29" t="s">
        <v>9</v>
      </c>
    </row>
    <row r="341" hidden="1" spans="2:8">
      <c r="B341" s="30">
        <v>0.416666666666667</v>
      </c>
      <c r="C341" s="30">
        <v>0.791666666666667</v>
      </c>
      <c r="D341" s="29">
        <v>1065776416</v>
      </c>
      <c r="E341" s="29">
        <v>10310365</v>
      </c>
      <c r="F341" s="29" t="s">
        <v>644</v>
      </c>
      <c r="G341" s="29" t="s">
        <v>10</v>
      </c>
      <c r="H341" s="29" t="s">
        <v>9</v>
      </c>
    </row>
    <row r="342" hidden="1" spans="2:8">
      <c r="B342" s="30">
        <v>0.625</v>
      </c>
      <c r="C342" s="30">
        <v>0</v>
      </c>
      <c r="D342" s="29">
        <v>0</v>
      </c>
      <c r="E342" s="29">
        <v>10337895</v>
      </c>
      <c r="F342" s="29" t="s">
        <v>1136</v>
      </c>
      <c r="G342" s="29" t="s">
        <v>10</v>
      </c>
      <c r="H342" s="29" t="s">
        <v>45</v>
      </c>
    </row>
    <row r="343" hidden="1" spans="2:8">
      <c r="B343" s="30" t="s">
        <v>1937</v>
      </c>
      <c r="C343" s="30" t="s">
        <v>1937</v>
      </c>
      <c r="D343" s="29">
        <v>1060838031</v>
      </c>
      <c r="E343" s="29">
        <v>10342702</v>
      </c>
      <c r="F343" s="29" t="s">
        <v>1363</v>
      </c>
      <c r="G343" s="29" t="s">
        <v>10</v>
      </c>
      <c r="H343" s="29" t="s">
        <v>45</v>
      </c>
    </row>
    <row r="344" hidden="1" spans="2:8">
      <c r="B344" s="30">
        <v>0.625</v>
      </c>
      <c r="C344" s="30">
        <v>0</v>
      </c>
      <c r="D344" s="29">
        <v>1276419181</v>
      </c>
      <c r="E344" s="29">
        <v>10340032</v>
      </c>
      <c r="F344" s="29" t="s">
        <v>1266</v>
      </c>
      <c r="G344" s="29" t="s">
        <v>10</v>
      </c>
      <c r="H344" s="29" t="s">
        <v>45</v>
      </c>
    </row>
    <row r="345" hidden="1" spans="2:8">
      <c r="B345" s="30">
        <v>0.625</v>
      </c>
      <c r="C345" s="30">
        <v>0</v>
      </c>
      <c r="D345" s="29">
        <v>1093376062</v>
      </c>
      <c r="E345" s="29">
        <v>10340038</v>
      </c>
      <c r="F345" s="29" t="s">
        <v>1265</v>
      </c>
      <c r="G345" s="29" t="s">
        <v>10</v>
      </c>
      <c r="H345" s="29" t="s">
        <v>9</v>
      </c>
    </row>
    <row r="346" hidden="1" spans="2:8">
      <c r="B346" s="30">
        <v>0.5</v>
      </c>
      <c r="C346" s="30">
        <v>0.875</v>
      </c>
      <c r="D346" s="29">
        <v>1276595561</v>
      </c>
      <c r="E346" s="29">
        <v>10334832</v>
      </c>
      <c r="F346" s="29" t="s">
        <v>663</v>
      </c>
      <c r="G346" s="29" t="s">
        <v>10</v>
      </c>
      <c r="H346" s="29" t="s">
        <v>302</v>
      </c>
    </row>
    <row r="347" hidden="1" spans="2:8">
      <c r="B347" s="30">
        <v>0.625</v>
      </c>
      <c r="C347" s="30">
        <v>0</v>
      </c>
      <c r="D347" s="29">
        <v>1273649119</v>
      </c>
      <c r="E347" s="29">
        <v>10334710</v>
      </c>
      <c r="F347" s="29" t="s">
        <v>690</v>
      </c>
      <c r="G347" s="29" t="s">
        <v>10</v>
      </c>
      <c r="H347" s="29" t="s">
        <v>9</v>
      </c>
    </row>
    <row r="348" hidden="1" spans="2:8">
      <c r="B348" s="30">
        <v>0.666666666666667</v>
      </c>
      <c r="C348" s="30">
        <v>1.29166666666667</v>
      </c>
      <c r="D348" s="29">
        <v>1115409972</v>
      </c>
      <c r="E348" s="29">
        <v>10281227</v>
      </c>
      <c r="F348" s="29" t="s">
        <v>1651</v>
      </c>
      <c r="G348" s="29" t="s">
        <v>10</v>
      </c>
      <c r="H348" s="29" t="s">
        <v>64</v>
      </c>
    </row>
    <row r="349" spans="2:8">
      <c r="B349" s="30">
        <v>0.958333333333333</v>
      </c>
      <c r="C349" s="30">
        <v>0.333333333333333</v>
      </c>
      <c r="D349" s="29">
        <v>1154351904</v>
      </c>
      <c r="E349" s="29">
        <v>10320291</v>
      </c>
      <c r="F349" s="29" t="s">
        <v>1754</v>
      </c>
      <c r="G349" s="29" t="s">
        <v>10</v>
      </c>
      <c r="H349" s="29" t="s">
        <v>45</v>
      </c>
    </row>
    <row r="350" hidden="1" spans="2:8">
      <c r="B350" s="30" t="s">
        <v>1937</v>
      </c>
      <c r="C350" s="30" t="s">
        <v>1937</v>
      </c>
      <c r="D350" s="29">
        <v>1141552649</v>
      </c>
      <c r="E350" s="29">
        <v>10337518</v>
      </c>
      <c r="F350" s="29" t="s">
        <v>1481</v>
      </c>
      <c r="G350" s="29" t="s">
        <v>10</v>
      </c>
      <c r="H350" s="29" t="s">
        <v>64</v>
      </c>
    </row>
    <row r="351" hidden="1" spans="2:8">
      <c r="B351" s="30">
        <v>0.75</v>
      </c>
      <c r="C351" s="30">
        <v>1.25</v>
      </c>
      <c r="D351" s="29">
        <v>1287010193</v>
      </c>
      <c r="E351" s="29">
        <v>10348552</v>
      </c>
      <c r="F351" s="29" t="s">
        <v>1784</v>
      </c>
      <c r="G351" s="29" t="s">
        <v>10</v>
      </c>
      <c r="H351" s="29" t="s">
        <v>45</v>
      </c>
    </row>
    <row r="352" spans="2:8">
      <c r="B352" s="30">
        <v>0.958333333333333</v>
      </c>
      <c r="C352" s="30">
        <v>0.333333333333333</v>
      </c>
      <c r="D352" s="29" t="s">
        <v>1480</v>
      </c>
      <c r="E352" s="29">
        <v>10329382</v>
      </c>
      <c r="F352" s="29" t="s">
        <v>982</v>
      </c>
      <c r="G352" s="29" t="s">
        <v>10</v>
      </c>
      <c r="H352" s="29" t="s">
        <v>45</v>
      </c>
    </row>
    <row r="353" hidden="1" spans="2:8">
      <c r="B353" s="30">
        <v>0.416666666666667</v>
      </c>
      <c r="C353" s="30">
        <v>0.791666666666667</v>
      </c>
      <c r="D353" s="29">
        <v>1069684801</v>
      </c>
      <c r="E353" s="29">
        <v>10349025</v>
      </c>
      <c r="F353" s="29" t="s">
        <v>1795</v>
      </c>
      <c r="G353" s="29" t="s">
        <v>10</v>
      </c>
      <c r="H353" s="29" t="s">
        <v>45</v>
      </c>
    </row>
    <row r="354" hidden="1" spans="2:8">
      <c r="B354" s="30">
        <v>0.916666666666667</v>
      </c>
      <c r="C354" s="30">
        <v>0.791666666666667</v>
      </c>
      <c r="D354" s="29">
        <v>1223429209</v>
      </c>
      <c r="E354" s="29">
        <v>10349032</v>
      </c>
      <c r="F354" s="29" t="s">
        <v>1798</v>
      </c>
      <c r="G354" s="29" t="s">
        <v>10</v>
      </c>
      <c r="H354" s="29" t="s">
        <v>45</v>
      </c>
    </row>
    <row r="355" hidden="1" spans="2:8">
      <c r="B355" s="30">
        <v>0.416666666666667</v>
      </c>
      <c r="C355" s="30">
        <v>0.791666666666667</v>
      </c>
      <c r="D355" s="29">
        <v>1022914574</v>
      </c>
      <c r="E355" s="29">
        <v>10341186</v>
      </c>
      <c r="F355" s="29" t="s">
        <v>1851</v>
      </c>
      <c r="G355" s="29" t="s">
        <v>10</v>
      </c>
      <c r="H355" s="29" t="s">
        <v>1850</v>
      </c>
    </row>
    <row r="356" hidden="1" spans="2:8">
      <c r="B356" s="30">
        <v>0.5</v>
      </c>
      <c r="C356" s="30">
        <v>0.875</v>
      </c>
      <c r="D356" s="29">
        <v>1121452045</v>
      </c>
      <c r="E356" s="29">
        <v>10343404</v>
      </c>
      <c r="F356" s="29" t="s">
        <v>1397</v>
      </c>
      <c r="G356" s="29" t="s">
        <v>10</v>
      </c>
      <c r="H356" s="29" t="s">
        <v>302</v>
      </c>
    </row>
    <row r="357" hidden="1" spans="2:8">
      <c r="B357" s="30" t="s">
        <v>286</v>
      </c>
      <c r="C357" s="30" t="s">
        <v>286</v>
      </c>
      <c r="D357" s="29">
        <v>1117622582</v>
      </c>
      <c r="E357" s="29">
        <v>10282174</v>
      </c>
      <c r="F357" s="29" t="s">
        <v>242</v>
      </c>
      <c r="G357" s="29" t="s">
        <v>10</v>
      </c>
      <c r="H357" s="29" t="s">
        <v>64</v>
      </c>
    </row>
    <row r="358" hidden="1" spans="2:8">
      <c r="B358" s="30">
        <v>0.916666666666667</v>
      </c>
      <c r="C358" s="30">
        <v>0.291666666666667</v>
      </c>
      <c r="D358" s="29">
        <v>1070869955</v>
      </c>
      <c r="E358" s="29">
        <v>10334381</v>
      </c>
      <c r="F358" s="29" t="s">
        <v>619</v>
      </c>
      <c r="G358" s="29" t="s">
        <v>10</v>
      </c>
      <c r="H358" s="29" t="s">
        <v>45</v>
      </c>
    </row>
    <row r="359" hidden="1" spans="2:8">
      <c r="B359" s="30">
        <v>0.416666666666667</v>
      </c>
      <c r="C359" s="30">
        <v>0.791666666666667</v>
      </c>
      <c r="D359" s="29" t="s">
        <v>2638</v>
      </c>
      <c r="E359" s="29" t="s">
        <v>2607</v>
      </c>
      <c r="F359" s="29" t="s">
        <v>2639</v>
      </c>
      <c r="G359" s="29" t="s">
        <v>27</v>
      </c>
      <c r="H359" s="29" t="s">
        <v>26</v>
      </c>
    </row>
    <row r="360" hidden="1" spans="2:8">
      <c r="B360" s="30">
        <v>0.375</v>
      </c>
      <c r="C360" s="30">
        <v>0.75</v>
      </c>
      <c r="D360" s="29">
        <v>1287545306</v>
      </c>
      <c r="E360" s="29">
        <v>10318890</v>
      </c>
      <c r="F360" s="29" t="s">
        <v>83</v>
      </c>
      <c r="G360" s="29" t="s">
        <v>27</v>
      </c>
      <c r="H360" s="29" t="s">
        <v>26</v>
      </c>
    </row>
    <row r="361" hidden="1" spans="2:8">
      <c r="B361" s="30">
        <v>0.375</v>
      </c>
      <c r="C361" s="30">
        <v>0.791666666666667</v>
      </c>
      <c r="D361" s="29" t="s">
        <v>1177</v>
      </c>
      <c r="E361" s="29">
        <v>10337727</v>
      </c>
      <c r="F361" s="29" t="s">
        <v>1176</v>
      </c>
      <c r="G361" s="29" t="s">
        <v>27</v>
      </c>
      <c r="H361" s="29" t="s">
        <v>228</v>
      </c>
    </row>
    <row r="362" hidden="1" spans="2:8">
      <c r="B362" s="30">
        <v>0.375</v>
      </c>
      <c r="C362" s="30">
        <v>0.75</v>
      </c>
      <c r="D362" s="29">
        <v>0</v>
      </c>
      <c r="E362" s="29">
        <v>10337969</v>
      </c>
      <c r="F362" s="29" t="s">
        <v>1157</v>
      </c>
      <c r="G362" s="29" t="s">
        <v>27</v>
      </c>
      <c r="H362" s="29" t="s">
        <v>26</v>
      </c>
    </row>
    <row r="363" hidden="1" spans="2:8">
      <c r="B363" s="30">
        <v>0.375</v>
      </c>
      <c r="C363" s="30">
        <v>0.791666666666667</v>
      </c>
      <c r="D363" s="29">
        <v>1129491119</v>
      </c>
      <c r="E363" s="29">
        <v>10331610</v>
      </c>
      <c r="F363" s="29" t="s">
        <v>464</v>
      </c>
      <c r="G363" s="29" t="s">
        <v>27</v>
      </c>
      <c r="H363" s="29" t="s">
        <v>26</v>
      </c>
    </row>
    <row r="364" hidden="1" spans="2:8">
      <c r="B364" s="30">
        <v>0.375</v>
      </c>
      <c r="C364" s="30">
        <v>0.75</v>
      </c>
      <c r="D364" s="29">
        <v>1123222315</v>
      </c>
      <c r="E364" s="29">
        <v>10337495</v>
      </c>
      <c r="F364" s="29" t="s">
        <v>1173</v>
      </c>
      <c r="G364" s="29" t="s">
        <v>27</v>
      </c>
      <c r="H364" s="29" t="s">
        <v>577</v>
      </c>
    </row>
    <row r="365" hidden="1" spans="2:8">
      <c r="B365" s="30">
        <v>0.583333333333333</v>
      </c>
      <c r="C365" s="30">
        <v>0.958333333333333</v>
      </c>
      <c r="D365" s="29">
        <v>1128086234</v>
      </c>
      <c r="E365" s="29" t="s">
        <v>1786</v>
      </c>
      <c r="F365" s="29" t="s">
        <v>672</v>
      </c>
      <c r="G365" s="29" t="s">
        <v>27</v>
      </c>
      <c r="H365" s="29" t="s">
        <v>228</v>
      </c>
    </row>
    <row r="366" hidden="1" spans="2:8">
      <c r="B366" s="30">
        <v>0.708333333333333</v>
      </c>
      <c r="C366" s="30">
        <v>0.0833333333333333</v>
      </c>
      <c r="D366" s="29">
        <v>1274904061</v>
      </c>
      <c r="E366" s="29">
        <v>10323948</v>
      </c>
      <c r="F366" s="29" t="s">
        <v>1476</v>
      </c>
      <c r="G366" s="29" t="s">
        <v>27</v>
      </c>
      <c r="H366" s="29" t="s">
        <v>228</v>
      </c>
    </row>
    <row r="367" hidden="1" spans="2:8">
      <c r="B367" s="30">
        <v>0.625</v>
      </c>
      <c r="C367" s="30">
        <v>0</v>
      </c>
      <c r="D367" s="29">
        <v>1281804393</v>
      </c>
      <c r="E367" s="29">
        <v>10331412</v>
      </c>
      <c r="F367" s="29" t="s">
        <v>546</v>
      </c>
      <c r="G367" s="29" t="s">
        <v>27</v>
      </c>
      <c r="H367" s="29" t="s">
        <v>26</v>
      </c>
    </row>
    <row r="368" hidden="1" spans="2:8">
      <c r="B368" s="30">
        <v>0.5</v>
      </c>
      <c r="C368" s="30">
        <v>0.875</v>
      </c>
      <c r="D368" s="29">
        <v>1029176161</v>
      </c>
      <c r="E368" s="29">
        <v>10341787</v>
      </c>
      <c r="F368" s="29" t="s">
        <v>1331</v>
      </c>
      <c r="G368" s="29" t="s">
        <v>27</v>
      </c>
      <c r="H368" s="29" t="s">
        <v>26</v>
      </c>
    </row>
    <row r="369" hidden="1" spans="2:8">
      <c r="B369" s="30">
        <v>0.5</v>
      </c>
      <c r="C369" s="30">
        <v>0.875</v>
      </c>
      <c r="D369" s="29">
        <v>1117170993</v>
      </c>
      <c r="E369" s="29">
        <v>10337663</v>
      </c>
      <c r="F369" s="29" t="s">
        <v>1113</v>
      </c>
      <c r="G369" s="29" t="s">
        <v>27</v>
      </c>
      <c r="H369" s="29" t="s">
        <v>228</v>
      </c>
    </row>
    <row r="370" hidden="1" spans="2:8">
      <c r="B370" s="30" t="s">
        <v>1937</v>
      </c>
      <c r="C370" s="30" t="s">
        <v>1937</v>
      </c>
      <c r="D370" s="29">
        <v>1205004224</v>
      </c>
      <c r="E370" s="29">
        <v>10337751</v>
      </c>
      <c r="F370" s="29" t="s">
        <v>1090</v>
      </c>
      <c r="G370" s="29" t="s">
        <v>27</v>
      </c>
      <c r="H370" s="29" t="s">
        <v>26</v>
      </c>
    </row>
    <row r="371" hidden="1" spans="2:8">
      <c r="B371" s="30">
        <v>0.625</v>
      </c>
      <c r="C371" s="30">
        <v>0</v>
      </c>
      <c r="D371" s="29">
        <v>1102622034</v>
      </c>
      <c r="E371" s="29">
        <v>10337664</v>
      </c>
      <c r="F371" s="29" t="s">
        <v>1123</v>
      </c>
      <c r="G371" s="29" t="s">
        <v>27</v>
      </c>
      <c r="H371" s="29" t="s">
        <v>228</v>
      </c>
    </row>
    <row r="372" hidden="1" spans="2:8">
      <c r="B372" s="30">
        <v>0.5</v>
      </c>
      <c r="C372" s="30">
        <v>0.875</v>
      </c>
      <c r="D372" s="29">
        <v>1112201156</v>
      </c>
      <c r="E372" s="29">
        <v>10339012</v>
      </c>
      <c r="F372" s="29" t="s">
        <v>1223</v>
      </c>
      <c r="G372" s="29" t="s">
        <v>27</v>
      </c>
      <c r="H372" s="29" t="s">
        <v>26</v>
      </c>
    </row>
    <row r="373" hidden="1" spans="2:8">
      <c r="B373" s="30">
        <v>0.5</v>
      </c>
      <c r="C373" s="30">
        <v>0.875</v>
      </c>
      <c r="D373" s="29">
        <v>1278825213</v>
      </c>
      <c r="E373" s="29">
        <v>10334023</v>
      </c>
      <c r="F373" s="29" t="s">
        <v>585</v>
      </c>
      <c r="G373" s="29" t="s">
        <v>27</v>
      </c>
      <c r="H373" s="29" t="s">
        <v>26</v>
      </c>
    </row>
    <row r="374" hidden="1" spans="2:8">
      <c r="B374" s="30">
        <v>0.666666666666667</v>
      </c>
      <c r="C374" s="30">
        <v>1.25</v>
      </c>
      <c r="D374" s="29">
        <v>1002894384</v>
      </c>
      <c r="E374" s="29">
        <v>10347165</v>
      </c>
      <c r="F374" s="29" t="s">
        <v>1623</v>
      </c>
      <c r="G374" s="29" t="s">
        <v>27</v>
      </c>
      <c r="H374" s="29" t="s">
        <v>228</v>
      </c>
    </row>
    <row r="375" hidden="1" spans="2:8">
      <c r="B375" s="30">
        <v>0.875</v>
      </c>
      <c r="C375" s="30">
        <v>1.25</v>
      </c>
      <c r="D375" s="29">
        <v>1055980976</v>
      </c>
      <c r="E375" s="29">
        <v>10348043</v>
      </c>
      <c r="F375" s="29" t="s">
        <v>1672</v>
      </c>
      <c r="G375" s="29" t="s">
        <v>27</v>
      </c>
      <c r="H375" s="29" t="s">
        <v>26</v>
      </c>
    </row>
    <row r="376" hidden="1" spans="2:8">
      <c r="B376" s="30" t="s">
        <v>1937</v>
      </c>
      <c r="C376" s="30" t="s">
        <v>1937</v>
      </c>
      <c r="D376" s="29">
        <v>1211337764</v>
      </c>
      <c r="E376" s="29">
        <v>10334246</v>
      </c>
      <c r="F376" s="29" t="s">
        <v>611</v>
      </c>
      <c r="G376" s="29" t="s">
        <v>27</v>
      </c>
      <c r="H376" s="29" t="s">
        <v>228</v>
      </c>
    </row>
    <row r="377" hidden="1" spans="2:8">
      <c r="B377" s="30">
        <v>0.291666666666667</v>
      </c>
      <c r="C377" s="30">
        <v>0.666666666666667</v>
      </c>
      <c r="D377" s="29">
        <v>1556244127</v>
      </c>
      <c r="E377" s="29">
        <v>10331809</v>
      </c>
      <c r="F377" s="29" t="s">
        <v>578</v>
      </c>
      <c r="G377" s="29" t="s">
        <v>27</v>
      </c>
      <c r="H377" s="29" t="s">
        <v>577</v>
      </c>
    </row>
    <row r="378" hidden="1" spans="2:8">
      <c r="B378" s="30">
        <v>0.416666666666667</v>
      </c>
      <c r="C378" s="30">
        <v>0.791666666666667</v>
      </c>
      <c r="D378" s="29">
        <v>1017201687</v>
      </c>
      <c r="E378" s="29" t="s">
        <v>2588</v>
      </c>
      <c r="F378" s="29" t="s">
        <v>2640</v>
      </c>
      <c r="G378" s="29" t="s">
        <v>13</v>
      </c>
      <c r="H378" s="29" t="s">
        <v>106</v>
      </c>
    </row>
    <row r="379" hidden="1" spans="2:8">
      <c r="B379" s="30">
        <v>0.416666666666667</v>
      </c>
      <c r="C379" s="30">
        <v>0.791666666666667</v>
      </c>
      <c r="D379" s="29" t="s">
        <v>2641</v>
      </c>
      <c r="E379" s="29" t="s">
        <v>2588</v>
      </c>
      <c r="F379" s="29" t="s">
        <v>2642</v>
      </c>
      <c r="G379" s="29" t="s">
        <v>13</v>
      </c>
      <c r="H379" s="29" t="s">
        <v>1371</v>
      </c>
    </row>
    <row r="380" hidden="1" spans="2:8">
      <c r="B380" s="30">
        <v>0.416666666666667</v>
      </c>
      <c r="C380" s="30">
        <v>0.791666666666667</v>
      </c>
      <c r="D380" s="29" t="s">
        <v>2643</v>
      </c>
      <c r="E380" s="29" t="s">
        <v>2588</v>
      </c>
      <c r="F380" s="29" t="s">
        <v>1113</v>
      </c>
      <c r="G380" s="29" t="s">
        <v>13</v>
      </c>
      <c r="H380" s="29" t="s">
        <v>1371</v>
      </c>
    </row>
    <row r="381" hidden="1" spans="2:8">
      <c r="B381" s="30">
        <v>0.416666666666667</v>
      </c>
      <c r="C381" s="30">
        <v>0.791666666666667</v>
      </c>
      <c r="D381" s="29" t="s">
        <v>2644</v>
      </c>
      <c r="E381" s="29" t="s">
        <v>2588</v>
      </c>
      <c r="F381" s="29" t="s">
        <v>2645</v>
      </c>
      <c r="G381" s="29" t="s">
        <v>13</v>
      </c>
      <c r="H381" s="29" t="s">
        <v>1840</v>
      </c>
    </row>
    <row r="382" hidden="1" spans="2:8">
      <c r="B382" s="30">
        <v>0.416666666666667</v>
      </c>
      <c r="C382" s="30">
        <v>0.791666666666667</v>
      </c>
      <c r="D382" s="29" t="s">
        <v>2646</v>
      </c>
      <c r="E382" s="29" t="s">
        <v>2588</v>
      </c>
      <c r="F382" s="29" t="s">
        <v>2647</v>
      </c>
      <c r="G382" s="29" t="s">
        <v>13</v>
      </c>
      <c r="H382" s="29" t="s">
        <v>1708</v>
      </c>
    </row>
    <row r="383" hidden="1" spans="2:8">
      <c r="B383" s="30">
        <v>0.416666666666667</v>
      </c>
      <c r="C383" s="30">
        <v>0.791666666666667</v>
      </c>
      <c r="D383" s="29">
        <v>1063448614</v>
      </c>
      <c r="E383" s="29" t="s">
        <v>2588</v>
      </c>
      <c r="F383" s="29" t="s">
        <v>2648</v>
      </c>
      <c r="G383" s="29" t="s">
        <v>13</v>
      </c>
      <c r="H383" s="29" t="s">
        <v>32</v>
      </c>
    </row>
    <row r="384" hidden="1" spans="2:8">
      <c r="B384" s="30">
        <v>0.416666666666667</v>
      </c>
      <c r="C384" s="30">
        <v>0.791666666666667</v>
      </c>
      <c r="D384" s="29" t="s">
        <v>2649</v>
      </c>
      <c r="E384" s="29" t="s">
        <v>2588</v>
      </c>
      <c r="F384" s="29" t="s">
        <v>2650</v>
      </c>
      <c r="G384" s="29" t="s">
        <v>13</v>
      </c>
      <c r="H384" s="29" t="s">
        <v>12</v>
      </c>
    </row>
    <row r="385" hidden="1" spans="2:8">
      <c r="B385" s="30">
        <v>0.416666666666667</v>
      </c>
      <c r="C385" s="30">
        <v>0.791666666666667</v>
      </c>
      <c r="D385" s="29">
        <v>1026079544</v>
      </c>
      <c r="E385" s="29" t="s">
        <v>2588</v>
      </c>
      <c r="F385" s="29" t="s">
        <v>1227</v>
      </c>
      <c r="G385" s="29" t="s">
        <v>13</v>
      </c>
      <c r="H385" s="29" t="s">
        <v>32</v>
      </c>
    </row>
    <row r="386" hidden="1" spans="2:8">
      <c r="B386" s="30">
        <v>0.416666666666667</v>
      </c>
      <c r="C386" s="30">
        <v>0.791666666666667</v>
      </c>
      <c r="D386" s="29" t="s">
        <v>2651</v>
      </c>
      <c r="E386" s="29" t="s">
        <v>2588</v>
      </c>
      <c r="F386" s="29" t="s">
        <v>2652</v>
      </c>
      <c r="G386" s="29" t="s">
        <v>13</v>
      </c>
      <c r="H386" s="29" t="s">
        <v>106</v>
      </c>
    </row>
    <row r="387" hidden="1" spans="2:8">
      <c r="B387" s="30">
        <v>0.416666666666667</v>
      </c>
      <c r="C387" s="30">
        <v>0.791666666666667</v>
      </c>
      <c r="D387" s="29" t="s">
        <v>2653</v>
      </c>
      <c r="E387" s="29" t="s">
        <v>2588</v>
      </c>
      <c r="F387" s="29" t="s">
        <v>28</v>
      </c>
      <c r="G387" s="29" t="s">
        <v>13</v>
      </c>
      <c r="H387" s="29" t="s">
        <v>2654</v>
      </c>
    </row>
    <row r="388" hidden="1" spans="2:8">
      <c r="B388" s="30">
        <v>0.416666666666667</v>
      </c>
      <c r="C388" s="30">
        <v>0.791666666666667</v>
      </c>
      <c r="D388" s="29">
        <v>1121762092</v>
      </c>
      <c r="E388" s="29" t="s">
        <v>2588</v>
      </c>
      <c r="F388" s="29" t="s">
        <v>531</v>
      </c>
      <c r="G388" s="29" t="s">
        <v>13</v>
      </c>
      <c r="H388" s="29" t="s">
        <v>2654</v>
      </c>
    </row>
    <row r="389" hidden="1" spans="2:8">
      <c r="B389" s="30">
        <v>0.416666666666667</v>
      </c>
      <c r="C389" s="30">
        <v>0.791666666666667</v>
      </c>
      <c r="D389" s="29">
        <v>1091400410</v>
      </c>
      <c r="E389" s="29" t="s">
        <v>2604</v>
      </c>
      <c r="F389" s="29" t="s">
        <v>2655</v>
      </c>
      <c r="G389" s="29" t="s">
        <v>13</v>
      </c>
      <c r="H389" s="29" t="s">
        <v>2656</v>
      </c>
    </row>
    <row r="390" hidden="1" spans="2:8">
      <c r="B390" s="30">
        <v>0.5</v>
      </c>
      <c r="C390" s="30">
        <v>0.833333333333333</v>
      </c>
      <c r="D390" s="29">
        <v>1555585339</v>
      </c>
      <c r="E390" s="29">
        <v>10203443</v>
      </c>
      <c r="F390" s="29" t="s">
        <v>79</v>
      </c>
      <c r="G390" s="29" t="s">
        <v>13</v>
      </c>
      <c r="H390" s="29" t="s">
        <v>78</v>
      </c>
    </row>
    <row r="391" hidden="1" spans="2:8">
      <c r="B391" s="30">
        <v>0.416666666666667</v>
      </c>
      <c r="C391" s="30">
        <v>0.791666666666667</v>
      </c>
      <c r="D391" s="29">
        <v>1120697182</v>
      </c>
      <c r="E391" s="29">
        <v>10318871</v>
      </c>
      <c r="F391" s="29" t="s">
        <v>209</v>
      </c>
      <c r="G391" s="29" t="s">
        <v>13</v>
      </c>
      <c r="H391" s="29" t="s">
        <v>12</v>
      </c>
    </row>
    <row r="392" hidden="1" spans="2:8">
      <c r="B392" s="30">
        <v>0.416666666666667</v>
      </c>
      <c r="C392" s="30">
        <v>0.791666666666667</v>
      </c>
      <c r="D392" s="29">
        <v>1023333344</v>
      </c>
      <c r="E392" s="29">
        <v>10323622</v>
      </c>
      <c r="F392" s="29" t="s">
        <v>140</v>
      </c>
      <c r="G392" s="29" t="s">
        <v>13</v>
      </c>
      <c r="H392" s="29" t="s">
        <v>12</v>
      </c>
    </row>
    <row r="393" hidden="1" spans="2:8">
      <c r="B393" s="30">
        <v>0.375</v>
      </c>
      <c r="C393" s="30">
        <v>0.791666666666667</v>
      </c>
      <c r="D393" s="29">
        <v>1016740036</v>
      </c>
      <c r="E393" s="29">
        <v>10337722</v>
      </c>
      <c r="F393" s="29" t="s">
        <v>1178</v>
      </c>
      <c r="G393" s="29" t="s">
        <v>13</v>
      </c>
      <c r="H393" s="29" t="s">
        <v>12</v>
      </c>
    </row>
    <row r="394" hidden="1" spans="2:8">
      <c r="B394" s="30">
        <v>0.375</v>
      </c>
      <c r="C394" s="30">
        <v>0.791666666666667</v>
      </c>
      <c r="D394" s="29">
        <v>1288068289</v>
      </c>
      <c r="E394" s="29">
        <v>10323639</v>
      </c>
      <c r="F394" s="29" t="s">
        <v>200</v>
      </c>
      <c r="G394" s="29" t="s">
        <v>13</v>
      </c>
      <c r="H394" s="29" t="s">
        <v>80</v>
      </c>
    </row>
    <row r="395" hidden="1" spans="2:8">
      <c r="B395" s="30">
        <v>0.625</v>
      </c>
      <c r="C395" s="30">
        <v>0</v>
      </c>
      <c r="D395" s="29">
        <v>1026170107</v>
      </c>
      <c r="E395" s="29">
        <v>10348095</v>
      </c>
      <c r="F395" s="29" t="s">
        <v>1723</v>
      </c>
      <c r="G395" s="29" t="s">
        <v>13</v>
      </c>
      <c r="H395" s="29" t="s">
        <v>78</v>
      </c>
    </row>
    <row r="396" hidden="1" spans="2:8">
      <c r="B396" s="30">
        <v>0.375</v>
      </c>
      <c r="C396" s="30">
        <v>0.75</v>
      </c>
      <c r="D396" s="29">
        <v>1151935963</v>
      </c>
      <c r="E396" s="29">
        <v>10329226</v>
      </c>
      <c r="F396" s="29" t="s">
        <v>388</v>
      </c>
      <c r="G396" s="29" t="s">
        <v>13</v>
      </c>
      <c r="H396" s="29" t="s">
        <v>106</v>
      </c>
    </row>
    <row r="397" hidden="1" spans="2:8">
      <c r="B397" s="30">
        <v>0.375</v>
      </c>
      <c r="C397" s="30">
        <v>0.75</v>
      </c>
      <c r="D397" s="29">
        <v>1123530681</v>
      </c>
      <c r="E397" s="29">
        <v>10331617</v>
      </c>
      <c r="F397" s="29" t="s">
        <v>466</v>
      </c>
      <c r="G397" s="29" t="s">
        <v>13</v>
      </c>
      <c r="H397" s="29" t="s">
        <v>12</v>
      </c>
    </row>
    <row r="398" hidden="1" spans="2:8">
      <c r="B398" s="30">
        <v>0.375</v>
      </c>
      <c r="C398" s="30">
        <v>0.75</v>
      </c>
      <c r="D398" s="29">
        <v>1102513025</v>
      </c>
      <c r="E398" s="29">
        <v>10329224</v>
      </c>
      <c r="F398" s="29" t="s">
        <v>467</v>
      </c>
      <c r="G398" s="29" t="s">
        <v>13</v>
      </c>
      <c r="H398" s="29" t="s">
        <v>32</v>
      </c>
    </row>
    <row r="399" hidden="1" spans="2:8">
      <c r="B399" s="30">
        <v>0.375</v>
      </c>
      <c r="C399" s="30">
        <v>0.75</v>
      </c>
      <c r="D399" s="29">
        <v>1111698008</v>
      </c>
      <c r="E399" s="29">
        <v>10329214</v>
      </c>
      <c r="F399" s="29" t="s">
        <v>365</v>
      </c>
      <c r="G399" s="29" t="s">
        <v>13</v>
      </c>
      <c r="H399" s="29" t="s">
        <v>141</v>
      </c>
    </row>
    <row r="400" hidden="1" spans="2:8">
      <c r="B400" s="30">
        <v>0.416666666666667</v>
      </c>
      <c r="C400" s="30">
        <v>0.791666666666667</v>
      </c>
      <c r="D400" s="29">
        <v>1141036897</v>
      </c>
      <c r="E400" s="29">
        <v>10337714</v>
      </c>
      <c r="F400" s="29" t="s">
        <v>1179</v>
      </c>
      <c r="G400" s="29" t="s">
        <v>13</v>
      </c>
      <c r="H400" s="29" t="s">
        <v>12</v>
      </c>
    </row>
    <row r="401" hidden="1" spans="2:8">
      <c r="B401" s="30">
        <v>0.5</v>
      </c>
      <c r="C401" s="30">
        <v>0.875</v>
      </c>
      <c r="D401" s="29">
        <v>1155998440</v>
      </c>
      <c r="E401" s="29">
        <v>30105102</v>
      </c>
      <c r="F401" s="29" t="s">
        <v>1057</v>
      </c>
      <c r="G401" s="29" t="s">
        <v>13</v>
      </c>
      <c r="H401" s="29" t="s">
        <v>32</v>
      </c>
    </row>
    <row r="402" hidden="1" spans="2:8">
      <c r="B402" s="30">
        <v>0.5</v>
      </c>
      <c r="C402" s="30">
        <v>0.875</v>
      </c>
      <c r="D402" s="29">
        <v>1158931963</v>
      </c>
      <c r="E402" s="29">
        <v>10334701</v>
      </c>
      <c r="F402" s="29" t="s">
        <v>696</v>
      </c>
      <c r="G402" s="29" t="s">
        <v>13</v>
      </c>
      <c r="H402" s="29" t="s">
        <v>141</v>
      </c>
    </row>
    <row r="403" hidden="1" spans="2:8">
      <c r="B403" s="30">
        <v>0.708333333333333</v>
      </c>
      <c r="C403" s="30">
        <v>0.0833333333333333</v>
      </c>
      <c r="D403" s="29">
        <v>1021857484</v>
      </c>
      <c r="E403" s="29">
        <v>10303671</v>
      </c>
      <c r="F403" s="29" t="s">
        <v>1839</v>
      </c>
      <c r="G403" s="29" t="s">
        <v>13</v>
      </c>
      <c r="H403" s="29" t="s">
        <v>1371</v>
      </c>
    </row>
    <row r="404" hidden="1" spans="2:8">
      <c r="B404" s="30">
        <v>0.5</v>
      </c>
      <c r="C404" s="30">
        <v>0.875</v>
      </c>
      <c r="D404" s="29">
        <v>1154947311</v>
      </c>
      <c r="E404" s="29">
        <v>10273571</v>
      </c>
      <c r="F404" s="29" t="s">
        <v>570</v>
      </c>
      <c r="G404" s="29" t="s">
        <v>13</v>
      </c>
      <c r="H404" s="29" t="s">
        <v>12</v>
      </c>
    </row>
    <row r="405" hidden="1" spans="2:8">
      <c r="B405" s="30">
        <v>0.5</v>
      </c>
      <c r="C405" s="30">
        <v>0.875</v>
      </c>
      <c r="D405" s="29">
        <v>1063373593</v>
      </c>
      <c r="E405" s="29">
        <v>10338960</v>
      </c>
      <c r="F405" s="29" t="s">
        <v>1235</v>
      </c>
      <c r="G405" s="29" t="s">
        <v>13</v>
      </c>
      <c r="H405" s="29" t="s">
        <v>32</v>
      </c>
    </row>
    <row r="406" hidden="1" spans="2:8">
      <c r="B406" s="30" t="s">
        <v>1937</v>
      </c>
      <c r="C406" s="30" t="s">
        <v>1937</v>
      </c>
      <c r="D406" s="29">
        <v>1107584541</v>
      </c>
      <c r="E406" s="29">
        <v>10334740</v>
      </c>
      <c r="F406" s="29" t="s">
        <v>677</v>
      </c>
      <c r="G406" s="29" t="s">
        <v>13</v>
      </c>
      <c r="H406" s="29" t="s">
        <v>32</v>
      </c>
    </row>
    <row r="407" hidden="1" spans="2:8">
      <c r="B407" s="30" t="s">
        <v>1937</v>
      </c>
      <c r="C407" s="30" t="s">
        <v>1937</v>
      </c>
      <c r="D407" s="29">
        <v>1127251029</v>
      </c>
      <c r="E407" s="29">
        <v>10342593</v>
      </c>
      <c r="F407" s="29" t="s">
        <v>417</v>
      </c>
      <c r="G407" s="29" t="s">
        <v>13</v>
      </c>
      <c r="H407" s="29" t="s">
        <v>1371</v>
      </c>
    </row>
    <row r="408" hidden="1" spans="2:8">
      <c r="B408" s="30">
        <v>0.625</v>
      </c>
      <c r="C408" s="30">
        <v>0</v>
      </c>
      <c r="D408" s="29">
        <v>1155948092</v>
      </c>
      <c r="E408" s="29">
        <v>10342713</v>
      </c>
      <c r="F408" s="29" t="s">
        <v>1362</v>
      </c>
      <c r="G408" s="29" t="s">
        <v>13</v>
      </c>
      <c r="H408" s="29" t="s">
        <v>87</v>
      </c>
    </row>
    <row r="409" hidden="1" spans="2:8">
      <c r="B409" s="30">
        <v>0.625</v>
      </c>
      <c r="C409" s="30">
        <v>0</v>
      </c>
      <c r="D409" s="29" t="s">
        <v>1105</v>
      </c>
      <c r="E409" s="29">
        <v>10337780</v>
      </c>
      <c r="F409" s="29" t="s">
        <v>1104</v>
      </c>
      <c r="G409" s="29" t="s">
        <v>13</v>
      </c>
      <c r="H409" s="29" t="s">
        <v>12</v>
      </c>
    </row>
    <row r="410" hidden="1" spans="2:8">
      <c r="B410" s="30" t="s">
        <v>1937</v>
      </c>
      <c r="C410" s="30" t="s">
        <v>1937</v>
      </c>
      <c r="D410" s="29">
        <v>1006463109</v>
      </c>
      <c r="E410" s="29">
        <v>10337764</v>
      </c>
      <c r="F410" s="29" t="s">
        <v>1118</v>
      </c>
      <c r="G410" s="29" t="s">
        <v>13</v>
      </c>
      <c r="H410" s="29" t="s">
        <v>141</v>
      </c>
    </row>
    <row r="411" hidden="1" spans="2:8">
      <c r="B411" s="30">
        <v>0.5</v>
      </c>
      <c r="C411" s="30">
        <v>0.875</v>
      </c>
      <c r="D411" s="29">
        <v>1117299576</v>
      </c>
      <c r="E411" s="29">
        <v>10341002</v>
      </c>
      <c r="F411" s="29" t="s">
        <v>1361</v>
      </c>
      <c r="G411" s="29" t="s">
        <v>13</v>
      </c>
      <c r="H411" s="29" t="s">
        <v>141</v>
      </c>
    </row>
    <row r="412" hidden="1" spans="2:8">
      <c r="B412" s="30">
        <v>0.5</v>
      </c>
      <c r="C412" s="30">
        <v>0.875</v>
      </c>
      <c r="D412" s="29">
        <v>1146683422</v>
      </c>
      <c r="E412" s="29">
        <v>10342536</v>
      </c>
      <c r="F412" s="29" t="s">
        <v>1360</v>
      </c>
      <c r="G412" s="29" t="s">
        <v>13</v>
      </c>
      <c r="H412" s="29" t="s">
        <v>80</v>
      </c>
    </row>
    <row r="413" hidden="1" spans="2:8">
      <c r="B413" s="30">
        <v>0.625</v>
      </c>
      <c r="C413" s="30">
        <v>0</v>
      </c>
      <c r="D413" s="29">
        <v>1143159790</v>
      </c>
      <c r="E413" s="29">
        <v>10342712</v>
      </c>
      <c r="F413" s="29" t="s">
        <v>1359</v>
      </c>
      <c r="G413" s="29" t="s">
        <v>13</v>
      </c>
      <c r="H413" s="29" t="s">
        <v>80</v>
      </c>
    </row>
    <row r="414" hidden="1" spans="2:8">
      <c r="B414" s="30" t="s">
        <v>1937</v>
      </c>
      <c r="C414" s="30" t="s">
        <v>1937</v>
      </c>
      <c r="D414" s="29" t="s">
        <v>1228</v>
      </c>
      <c r="E414" s="29">
        <v>10339010</v>
      </c>
      <c r="F414" s="29" t="s">
        <v>1227</v>
      </c>
      <c r="G414" s="29" t="s">
        <v>13</v>
      </c>
      <c r="H414" s="29" t="s">
        <v>106</v>
      </c>
    </row>
    <row r="415" hidden="1" spans="2:8">
      <c r="B415" s="30">
        <v>0.625</v>
      </c>
      <c r="C415" s="30">
        <v>0</v>
      </c>
      <c r="D415" s="29" t="s">
        <v>1225</v>
      </c>
      <c r="E415" s="29">
        <v>10339243</v>
      </c>
      <c r="F415" s="29" t="s">
        <v>1224</v>
      </c>
      <c r="G415" s="29" t="s">
        <v>13</v>
      </c>
      <c r="H415" s="29" t="s">
        <v>12</v>
      </c>
    </row>
    <row r="416" hidden="1" spans="2:8">
      <c r="B416" s="30" t="s">
        <v>2087</v>
      </c>
      <c r="C416" s="30" t="s">
        <v>2087</v>
      </c>
      <c r="D416" s="29">
        <v>1277329318</v>
      </c>
      <c r="E416" s="29">
        <v>10337776</v>
      </c>
      <c r="F416" s="29" t="s">
        <v>1101</v>
      </c>
      <c r="G416" s="29" t="s">
        <v>13</v>
      </c>
      <c r="H416" s="29" t="s">
        <v>141</v>
      </c>
    </row>
    <row r="417" hidden="1" spans="2:8">
      <c r="B417" s="30">
        <v>0.5</v>
      </c>
      <c r="C417" s="30">
        <v>0.875</v>
      </c>
      <c r="D417" s="29">
        <v>1098417947</v>
      </c>
      <c r="E417" s="29">
        <v>10292203</v>
      </c>
      <c r="F417" s="29" t="s">
        <v>1103</v>
      </c>
      <c r="G417" s="29" t="s">
        <v>13</v>
      </c>
      <c r="H417" s="29" t="s">
        <v>32</v>
      </c>
    </row>
    <row r="418" hidden="1" spans="2:8">
      <c r="B418" s="30">
        <v>0.5</v>
      </c>
      <c r="C418" s="30">
        <v>0.875</v>
      </c>
      <c r="D418" s="29" t="s">
        <v>1338</v>
      </c>
      <c r="E418" s="29">
        <v>10341839</v>
      </c>
      <c r="F418" s="29" t="s">
        <v>1337</v>
      </c>
      <c r="G418" s="29" t="s">
        <v>13</v>
      </c>
      <c r="H418" s="29" t="s">
        <v>78</v>
      </c>
    </row>
    <row r="419" hidden="1" spans="2:8">
      <c r="B419" s="30">
        <v>0.625</v>
      </c>
      <c r="C419" s="30">
        <v>0</v>
      </c>
      <c r="D419" s="29">
        <v>1128181299</v>
      </c>
      <c r="E419" s="29">
        <v>10344627</v>
      </c>
      <c r="F419" s="29" t="s">
        <v>1511</v>
      </c>
      <c r="G419" s="29" t="s">
        <v>13</v>
      </c>
      <c r="H419" s="29" t="s">
        <v>12</v>
      </c>
    </row>
    <row r="420" hidden="1" spans="2:8">
      <c r="B420" s="30">
        <v>0.625</v>
      </c>
      <c r="C420" s="30">
        <v>0</v>
      </c>
      <c r="D420" s="29">
        <v>1098923529</v>
      </c>
      <c r="E420" s="29">
        <v>10341208</v>
      </c>
      <c r="F420" s="29" t="s">
        <v>1315</v>
      </c>
      <c r="G420" s="29" t="s">
        <v>13</v>
      </c>
      <c r="H420" s="29" t="s">
        <v>32</v>
      </c>
    </row>
    <row r="421" hidden="1" spans="2:8">
      <c r="B421" s="30" t="s">
        <v>1937</v>
      </c>
      <c r="C421" s="30" t="s">
        <v>1937</v>
      </c>
      <c r="D421" s="29">
        <v>1154188662</v>
      </c>
      <c r="E421" s="29">
        <v>10339933</v>
      </c>
      <c r="F421" s="29" t="s">
        <v>1272</v>
      </c>
      <c r="G421" s="29" t="s">
        <v>13</v>
      </c>
      <c r="H421" s="29" t="s">
        <v>12</v>
      </c>
    </row>
    <row r="422" hidden="1" spans="2:8">
      <c r="B422" s="30">
        <v>0.625</v>
      </c>
      <c r="C422" s="30">
        <v>0</v>
      </c>
      <c r="D422" s="29">
        <v>1129608136</v>
      </c>
      <c r="E422" s="29">
        <v>10340040</v>
      </c>
      <c r="F422" s="29" t="s">
        <v>1271</v>
      </c>
      <c r="G422" s="29" t="s">
        <v>13</v>
      </c>
      <c r="H422" s="29" t="s">
        <v>12</v>
      </c>
    </row>
    <row r="423" hidden="1" spans="2:8">
      <c r="B423" s="30">
        <v>0.5</v>
      </c>
      <c r="C423" s="30">
        <v>0.875</v>
      </c>
      <c r="D423" s="29">
        <v>1153248409</v>
      </c>
      <c r="E423" s="29">
        <v>10339952</v>
      </c>
      <c r="F423" s="29" t="s">
        <v>1270</v>
      </c>
      <c r="G423" s="29" t="s">
        <v>13</v>
      </c>
      <c r="H423" s="29" t="s">
        <v>12</v>
      </c>
    </row>
    <row r="424" hidden="1" spans="2:8">
      <c r="B424" s="30" t="s">
        <v>1937</v>
      </c>
      <c r="C424" s="30" t="s">
        <v>1937</v>
      </c>
      <c r="D424" s="29">
        <v>1113276308</v>
      </c>
      <c r="E424" s="29">
        <v>10338679</v>
      </c>
      <c r="F424" s="29" t="s">
        <v>1198</v>
      </c>
      <c r="G424" s="29" t="s">
        <v>13</v>
      </c>
      <c r="H424" s="29" t="s">
        <v>78</v>
      </c>
    </row>
    <row r="425" hidden="1" spans="2:8">
      <c r="B425" s="30">
        <v>0.5</v>
      </c>
      <c r="C425" s="30">
        <v>0.875</v>
      </c>
      <c r="D425" s="29">
        <v>1148278594</v>
      </c>
      <c r="E425" s="29">
        <v>10337744</v>
      </c>
      <c r="F425" s="29" t="s">
        <v>1098</v>
      </c>
      <c r="G425" s="29" t="s">
        <v>13</v>
      </c>
      <c r="H425" s="29" t="s">
        <v>87</v>
      </c>
    </row>
    <row r="426" hidden="1" spans="2:8">
      <c r="B426" s="30">
        <v>0.5</v>
      </c>
      <c r="C426" s="30">
        <v>0.875</v>
      </c>
      <c r="D426" s="29">
        <v>1152621423</v>
      </c>
      <c r="E426" s="29">
        <v>10322712</v>
      </c>
      <c r="F426" s="29" t="s">
        <v>550</v>
      </c>
      <c r="G426" s="29" t="s">
        <v>13</v>
      </c>
      <c r="H426" s="29" t="s">
        <v>32</v>
      </c>
    </row>
    <row r="427" hidden="1" spans="2:8">
      <c r="B427" s="30">
        <v>0.625</v>
      </c>
      <c r="C427" s="30">
        <v>0</v>
      </c>
      <c r="D427" s="29">
        <v>1117915599</v>
      </c>
      <c r="E427" s="29">
        <v>10333947</v>
      </c>
      <c r="F427" s="29" t="s">
        <v>593</v>
      </c>
      <c r="G427" s="29" t="s">
        <v>13</v>
      </c>
      <c r="H427" s="29" t="s">
        <v>87</v>
      </c>
    </row>
    <row r="428" hidden="1" spans="2:8">
      <c r="B428" s="30" t="s">
        <v>1937</v>
      </c>
      <c r="C428" s="30" t="s">
        <v>1937</v>
      </c>
      <c r="D428" s="29">
        <v>1129759974</v>
      </c>
      <c r="E428" s="29">
        <v>10330282</v>
      </c>
      <c r="F428" s="29" t="s">
        <v>1818</v>
      </c>
      <c r="G428" s="29" t="s">
        <v>13</v>
      </c>
      <c r="H428" s="29" t="s">
        <v>1708</v>
      </c>
    </row>
    <row r="429" spans="2:8">
      <c r="B429" s="30">
        <v>0.958333333333333</v>
      </c>
      <c r="C429" s="30">
        <v>0.333333333333333</v>
      </c>
      <c r="D429" s="29">
        <v>1556037177</v>
      </c>
      <c r="E429" s="29">
        <v>10331012</v>
      </c>
      <c r="F429" s="29" t="s">
        <v>1866</v>
      </c>
      <c r="G429" s="29" t="s">
        <v>13</v>
      </c>
      <c r="H429" s="29" t="s">
        <v>1840</v>
      </c>
    </row>
    <row r="430" hidden="1" spans="2:8">
      <c r="B430" s="30">
        <v>0.583333333333333</v>
      </c>
      <c r="C430" s="30">
        <v>0.958333333333333</v>
      </c>
      <c r="D430" s="29">
        <v>1031837851</v>
      </c>
      <c r="E430" s="29">
        <v>10344239</v>
      </c>
      <c r="F430" s="29" t="s">
        <v>1820</v>
      </c>
      <c r="G430" s="29" t="s">
        <v>13</v>
      </c>
      <c r="H430" s="29" t="s">
        <v>1819</v>
      </c>
    </row>
    <row r="431" hidden="1" spans="2:8">
      <c r="B431" s="30">
        <v>0.666666666666667</v>
      </c>
      <c r="C431" s="30">
        <v>1.04166666666667</v>
      </c>
      <c r="D431" s="29">
        <v>1095866320</v>
      </c>
      <c r="E431" s="29">
        <v>10340382</v>
      </c>
      <c r="F431" s="29" t="s">
        <v>1867</v>
      </c>
      <c r="G431" s="29" t="s">
        <v>13</v>
      </c>
      <c r="H431" s="29" t="s">
        <v>1371</v>
      </c>
    </row>
    <row r="432" hidden="1" spans="2:8">
      <c r="B432" s="30">
        <v>0.583333333333333</v>
      </c>
      <c r="C432" s="30">
        <v>0.958333333333333</v>
      </c>
      <c r="D432" s="29">
        <v>1114918093</v>
      </c>
      <c r="E432" s="29">
        <v>10291620</v>
      </c>
      <c r="F432" s="29" t="s">
        <v>1755</v>
      </c>
      <c r="G432" s="29" t="s">
        <v>13</v>
      </c>
      <c r="H432" s="29" t="s">
        <v>87</v>
      </c>
    </row>
    <row r="433" hidden="1" spans="2:8">
      <c r="B433" s="30">
        <v>0.583333333333333</v>
      </c>
      <c r="C433" s="30">
        <v>0.958333333333333</v>
      </c>
      <c r="D433" s="29">
        <v>1149265144</v>
      </c>
      <c r="E433" s="29">
        <v>10345543</v>
      </c>
      <c r="F433" s="29" t="s">
        <v>1756</v>
      </c>
      <c r="G433" s="29" t="s">
        <v>13</v>
      </c>
      <c r="H433" s="29" t="s">
        <v>106</v>
      </c>
    </row>
    <row r="434" spans="2:8">
      <c r="B434" s="30">
        <v>0.958333333333333</v>
      </c>
      <c r="C434" s="30">
        <v>0.333333333333333</v>
      </c>
      <c r="D434" s="29">
        <v>1552032039</v>
      </c>
      <c r="E434" s="29">
        <v>10313972</v>
      </c>
      <c r="F434" s="29" t="s">
        <v>1603</v>
      </c>
      <c r="G434" s="29" t="s">
        <v>13</v>
      </c>
      <c r="H434" s="29" t="s">
        <v>32</v>
      </c>
    </row>
    <row r="435" hidden="1" spans="2:8">
      <c r="B435" s="30">
        <v>0.416666666666667</v>
      </c>
      <c r="C435" s="30">
        <v>0.791666666666667</v>
      </c>
      <c r="D435" s="29" t="s">
        <v>1803</v>
      </c>
      <c r="E435" s="29">
        <v>10349017</v>
      </c>
      <c r="F435" s="29" t="s">
        <v>1802</v>
      </c>
      <c r="G435" s="29" t="s">
        <v>13</v>
      </c>
      <c r="H435" s="29" t="s">
        <v>1801</v>
      </c>
    </row>
    <row r="436" hidden="1" spans="2:8">
      <c r="B436" s="30">
        <v>0.916666666666667</v>
      </c>
      <c r="C436" s="30">
        <v>0.791666666666667</v>
      </c>
      <c r="D436" s="29" t="s">
        <v>1799</v>
      </c>
      <c r="E436" s="29">
        <v>10349033</v>
      </c>
      <c r="F436" s="29" t="s">
        <v>551</v>
      </c>
      <c r="G436" s="29" t="s">
        <v>13</v>
      </c>
      <c r="H436" s="29" t="s">
        <v>12</v>
      </c>
    </row>
    <row r="437" hidden="1" spans="2:8">
      <c r="B437" s="30">
        <v>0.416666666666667</v>
      </c>
      <c r="C437" s="30">
        <v>0.791666666666667</v>
      </c>
      <c r="D437" s="29">
        <v>1155645885</v>
      </c>
      <c r="E437" s="29">
        <v>10348986</v>
      </c>
      <c r="F437" s="29" t="s">
        <v>1800</v>
      </c>
      <c r="G437" s="29" t="s">
        <v>13</v>
      </c>
      <c r="H437" s="29" t="s">
        <v>32</v>
      </c>
    </row>
    <row r="438" hidden="1" spans="2:8">
      <c r="B438" s="30">
        <v>0.416666666666667</v>
      </c>
      <c r="C438" s="30">
        <v>0.791666666666667</v>
      </c>
      <c r="D438" s="29">
        <v>1119444137</v>
      </c>
      <c r="E438" s="29">
        <v>10349354</v>
      </c>
      <c r="F438" s="29" t="s">
        <v>1841</v>
      </c>
      <c r="G438" s="29" t="s">
        <v>13</v>
      </c>
      <c r="H438" s="29" t="s">
        <v>1840</v>
      </c>
    </row>
    <row r="439" hidden="1" spans="2:8">
      <c r="B439" s="30">
        <v>0.416666666666667</v>
      </c>
      <c r="C439" s="30">
        <v>0.791666666666667</v>
      </c>
      <c r="D439" s="29">
        <v>1120332179</v>
      </c>
      <c r="E439" s="29">
        <v>10349353</v>
      </c>
      <c r="F439" s="29" t="s">
        <v>1852</v>
      </c>
      <c r="G439" s="29" t="s">
        <v>13</v>
      </c>
      <c r="H439" s="29" t="s">
        <v>1840</v>
      </c>
    </row>
    <row r="440" hidden="1" spans="2:8">
      <c r="B440" s="30">
        <v>0.416666666666667</v>
      </c>
      <c r="C440" s="30">
        <v>0.791666666666667</v>
      </c>
      <c r="D440" s="29" t="s">
        <v>1849</v>
      </c>
      <c r="E440" s="29">
        <v>10349492</v>
      </c>
      <c r="F440" s="29" t="s">
        <v>1848</v>
      </c>
      <c r="G440" s="29" t="s">
        <v>13</v>
      </c>
      <c r="H440" s="29" t="s">
        <v>32</v>
      </c>
    </row>
    <row r="441" hidden="1" spans="2:8">
      <c r="B441" s="30">
        <v>0.416666666666667</v>
      </c>
      <c r="C441" s="30">
        <v>0.791666666666667</v>
      </c>
      <c r="D441" s="29">
        <v>1158530543</v>
      </c>
      <c r="E441" s="29">
        <v>10349406</v>
      </c>
      <c r="F441" s="29" t="s">
        <v>1847</v>
      </c>
      <c r="G441" s="29" t="s">
        <v>13</v>
      </c>
      <c r="H441" s="29" t="s">
        <v>1840</v>
      </c>
    </row>
    <row r="442" hidden="1" spans="2:8">
      <c r="B442" s="30" t="s">
        <v>1898</v>
      </c>
      <c r="C442" s="30" t="s">
        <v>1898</v>
      </c>
      <c r="D442" s="29">
        <v>1113563210</v>
      </c>
      <c r="E442" s="29">
        <v>10264767</v>
      </c>
      <c r="F442" s="29" t="s">
        <v>14</v>
      </c>
      <c r="G442" s="29" t="s">
        <v>13</v>
      </c>
      <c r="H442" s="29" t="s">
        <v>12</v>
      </c>
    </row>
    <row r="443" hidden="1" spans="2:8">
      <c r="B443" s="30">
        <v>0.625</v>
      </c>
      <c r="C443" s="30">
        <v>0</v>
      </c>
      <c r="D443" s="29">
        <v>1271406300</v>
      </c>
      <c r="E443" s="29">
        <v>10254383</v>
      </c>
      <c r="F443" s="29" t="s">
        <v>1785</v>
      </c>
      <c r="G443" s="29" t="s">
        <v>13</v>
      </c>
      <c r="H443" s="29" t="s">
        <v>80</v>
      </c>
    </row>
    <row r="444" hidden="1" spans="2:8">
      <c r="B444" s="30">
        <v>0.458333333333333</v>
      </c>
      <c r="C444" s="30">
        <v>0.791666666666667</v>
      </c>
      <c r="D444" s="29">
        <v>1068084166</v>
      </c>
      <c r="E444" s="29">
        <v>10269213</v>
      </c>
      <c r="F444" s="29" t="s">
        <v>421</v>
      </c>
      <c r="G444" s="29" t="s">
        <v>13</v>
      </c>
      <c r="H444" s="29" t="s">
        <v>170</v>
      </c>
    </row>
    <row r="445" hidden="1" spans="2:8">
      <c r="B445" s="30">
        <v>0.375</v>
      </c>
      <c r="C445" s="30">
        <v>0.875</v>
      </c>
      <c r="D445" s="29">
        <v>1283419417</v>
      </c>
      <c r="E445" s="29">
        <v>10320407</v>
      </c>
      <c r="F445" s="29" t="s">
        <v>171</v>
      </c>
      <c r="G445" s="29" t="s">
        <v>13</v>
      </c>
      <c r="H445" s="29" t="s">
        <v>170</v>
      </c>
    </row>
    <row r="446" hidden="1" spans="2:8">
      <c r="B446" s="30">
        <v>0.5</v>
      </c>
      <c r="C446" s="30">
        <v>0.875</v>
      </c>
      <c r="D446" s="29">
        <v>1143319202</v>
      </c>
      <c r="E446" s="29">
        <v>10317522</v>
      </c>
      <c r="F446" s="29" t="s">
        <v>33</v>
      </c>
      <c r="G446" s="29" t="s">
        <v>13</v>
      </c>
      <c r="H446" s="29" t="s">
        <v>32</v>
      </c>
    </row>
    <row r="447" hidden="1" spans="2:8">
      <c r="B447" s="30">
        <v>0.333333333333333</v>
      </c>
      <c r="C447" s="30">
        <v>0.708333333333333</v>
      </c>
      <c r="D447" s="29">
        <v>1065931748</v>
      </c>
      <c r="E447" s="29">
        <v>10316540</v>
      </c>
      <c r="F447" s="29" t="s">
        <v>217</v>
      </c>
      <c r="G447" s="29" t="s">
        <v>13</v>
      </c>
      <c r="H447" s="29" t="s">
        <v>32</v>
      </c>
    </row>
    <row r="448" hidden="1" spans="2:8">
      <c r="B448" s="30">
        <v>0.5</v>
      </c>
      <c r="C448" s="30">
        <v>0.875</v>
      </c>
      <c r="D448" s="29">
        <v>1012764001</v>
      </c>
      <c r="E448" s="29">
        <v>10343407</v>
      </c>
      <c r="F448" s="29" t="s">
        <v>1390</v>
      </c>
      <c r="G448" s="29" t="s">
        <v>13</v>
      </c>
      <c r="H448" s="29" t="s">
        <v>141</v>
      </c>
    </row>
    <row r="449" hidden="1" spans="2:8">
      <c r="B449" s="30">
        <v>0.375</v>
      </c>
      <c r="C449" s="30">
        <v>0.75</v>
      </c>
      <c r="D449" s="29">
        <v>1005854438</v>
      </c>
      <c r="E449" s="29">
        <v>10334731</v>
      </c>
      <c r="F449" s="29" t="s">
        <v>654</v>
      </c>
      <c r="G449" s="29" t="s">
        <v>13</v>
      </c>
      <c r="H449" s="29" t="s">
        <v>12</v>
      </c>
    </row>
    <row r="450" hidden="1" spans="2:8">
      <c r="B450" s="30">
        <v>0.5</v>
      </c>
      <c r="C450" s="30">
        <v>0.875</v>
      </c>
      <c r="D450" s="29">
        <v>1026740215</v>
      </c>
      <c r="E450" s="29">
        <v>10285489</v>
      </c>
      <c r="F450" s="29" t="s">
        <v>1611</v>
      </c>
      <c r="G450" s="29" t="s">
        <v>13</v>
      </c>
      <c r="H450" s="29" t="s">
        <v>141</v>
      </c>
    </row>
    <row r="451" hidden="1" spans="2:8">
      <c r="B451" s="30">
        <v>0.375</v>
      </c>
      <c r="C451" s="30">
        <v>0.75</v>
      </c>
      <c r="D451" s="29" t="s">
        <v>143</v>
      </c>
      <c r="E451" s="29">
        <v>10320413</v>
      </c>
      <c r="F451" s="29" t="s">
        <v>142</v>
      </c>
      <c r="G451" s="29" t="s">
        <v>13</v>
      </c>
      <c r="H451" s="29" t="s">
        <v>141</v>
      </c>
    </row>
    <row r="452" hidden="1" spans="2:8">
      <c r="B452" s="30">
        <v>0.375</v>
      </c>
      <c r="C452" s="30">
        <v>0.75</v>
      </c>
      <c r="D452" s="29">
        <v>1127772858</v>
      </c>
      <c r="E452" s="29">
        <v>10316681</v>
      </c>
      <c r="F452" s="29" t="s">
        <v>81</v>
      </c>
      <c r="G452" s="29" t="s">
        <v>13</v>
      </c>
      <c r="H452" s="29" t="s">
        <v>80</v>
      </c>
    </row>
    <row r="453" hidden="1" spans="2:8">
      <c r="B453" s="30" t="s">
        <v>286</v>
      </c>
      <c r="C453" s="30" t="s">
        <v>286</v>
      </c>
      <c r="D453" s="29">
        <v>1120804953</v>
      </c>
      <c r="E453" s="29">
        <v>10272463</v>
      </c>
      <c r="F453" s="29" t="s">
        <v>319</v>
      </c>
      <c r="G453" s="29" t="s">
        <v>13</v>
      </c>
      <c r="H453" s="29" t="s">
        <v>78</v>
      </c>
    </row>
    <row r="454" hidden="1" spans="2:8">
      <c r="B454" s="30" t="s">
        <v>1898</v>
      </c>
      <c r="C454" s="30" t="s">
        <v>1898</v>
      </c>
      <c r="D454" s="29">
        <v>1559178988</v>
      </c>
      <c r="E454" s="29">
        <v>10299936</v>
      </c>
      <c r="F454" s="29" t="s">
        <v>496</v>
      </c>
      <c r="G454" s="29" t="s">
        <v>13</v>
      </c>
      <c r="H454" s="29" t="s">
        <v>32</v>
      </c>
    </row>
    <row r="455" hidden="1" spans="2:8">
      <c r="B455" s="30">
        <v>0.583333333333333</v>
      </c>
      <c r="C455" s="30">
        <v>0.958333333333333</v>
      </c>
      <c r="D455" s="29">
        <v>1149166330</v>
      </c>
      <c r="E455" s="29">
        <v>10324438</v>
      </c>
      <c r="F455" s="29" t="s">
        <v>1382</v>
      </c>
      <c r="G455" s="29" t="s">
        <v>13</v>
      </c>
      <c r="H455" s="29" t="s">
        <v>32</v>
      </c>
    </row>
    <row r="456" hidden="1" spans="2:8">
      <c r="B456" s="30">
        <v>0.416666666666667</v>
      </c>
      <c r="C456" s="30">
        <v>0.791666666666667</v>
      </c>
      <c r="D456" s="29">
        <v>1062805678</v>
      </c>
      <c r="E456" s="29">
        <v>10309111</v>
      </c>
      <c r="F456" s="29" t="s">
        <v>745</v>
      </c>
      <c r="G456" s="29" t="s">
        <v>13</v>
      </c>
      <c r="H456" s="29" t="s">
        <v>106</v>
      </c>
    </row>
    <row r="457" hidden="1" spans="2:8">
      <c r="B457" s="30">
        <v>0.666666666666667</v>
      </c>
      <c r="C457" s="30">
        <v>0.0416666666666667</v>
      </c>
      <c r="D457" s="29">
        <v>1283104485</v>
      </c>
      <c r="E457" s="29">
        <v>10332548</v>
      </c>
      <c r="F457" s="29" t="s">
        <v>507</v>
      </c>
      <c r="G457" s="29" t="s">
        <v>13</v>
      </c>
      <c r="H457" s="29" t="s">
        <v>12</v>
      </c>
    </row>
    <row r="458" hidden="1" spans="2:8">
      <c r="B458" s="30">
        <v>0.416666666666667</v>
      </c>
      <c r="C458" s="30">
        <v>0.791666666666667</v>
      </c>
      <c r="D458" s="29">
        <v>1140853380</v>
      </c>
      <c r="E458" s="29" t="s">
        <v>2588</v>
      </c>
      <c r="F458" s="29" t="s">
        <v>2657</v>
      </c>
      <c r="G458" s="29" t="s">
        <v>23</v>
      </c>
      <c r="H458" s="29" t="s">
        <v>2658</v>
      </c>
    </row>
    <row r="459" hidden="1" spans="2:8">
      <c r="B459" s="30">
        <v>0.416666666666667</v>
      </c>
      <c r="C459" s="30">
        <v>0.791666666666667</v>
      </c>
      <c r="D459" s="29">
        <v>1553395477</v>
      </c>
      <c r="E459" s="29" t="s">
        <v>2588</v>
      </c>
      <c r="F459" s="29" t="s">
        <v>2659</v>
      </c>
      <c r="G459" s="29" t="s">
        <v>23</v>
      </c>
      <c r="H459" s="29" t="s">
        <v>2660</v>
      </c>
    </row>
    <row r="460" hidden="1" spans="2:8">
      <c r="B460" s="30">
        <v>0.416666666666667</v>
      </c>
      <c r="C460" s="30">
        <v>0.791666666666667</v>
      </c>
      <c r="D460" s="29">
        <v>1080456188</v>
      </c>
      <c r="E460" s="29" t="s">
        <v>2588</v>
      </c>
      <c r="F460" s="29" t="s">
        <v>2661</v>
      </c>
      <c r="G460" s="29" t="s">
        <v>23</v>
      </c>
      <c r="H460" s="29" t="s">
        <v>43</v>
      </c>
    </row>
    <row r="461" hidden="1" spans="2:8">
      <c r="B461" s="30">
        <v>0.375</v>
      </c>
      <c r="C461" s="30">
        <v>0.75</v>
      </c>
      <c r="D461" s="29">
        <v>1021623610</v>
      </c>
      <c r="E461" s="29">
        <v>10323646</v>
      </c>
      <c r="F461" s="29" t="s">
        <v>89</v>
      </c>
      <c r="G461" s="29" t="s">
        <v>23</v>
      </c>
      <c r="H461" s="29" t="s">
        <v>22</v>
      </c>
    </row>
    <row r="462" hidden="1" spans="2:8">
      <c r="B462" s="30">
        <v>0.666666666666667</v>
      </c>
      <c r="C462" s="30">
        <v>0.0416666666666667</v>
      </c>
      <c r="D462" s="29">
        <v>1030294228</v>
      </c>
      <c r="E462" s="29">
        <v>10338042</v>
      </c>
      <c r="F462" s="29" t="s">
        <v>1181</v>
      </c>
      <c r="G462" s="29" t="s">
        <v>23</v>
      </c>
      <c r="H462" s="29" t="s">
        <v>144</v>
      </c>
    </row>
    <row r="463" hidden="1" spans="2:8">
      <c r="B463" s="30">
        <v>0.625</v>
      </c>
      <c r="C463" s="30">
        <v>0</v>
      </c>
      <c r="D463" s="29">
        <v>1151536502</v>
      </c>
      <c r="E463" s="29">
        <v>10330144</v>
      </c>
      <c r="F463" s="29" t="s">
        <v>405</v>
      </c>
      <c r="G463" s="29" t="s">
        <v>23</v>
      </c>
      <c r="H463" s="29" t="s">
        <v>62</v>
      </c>
    </row>
    <row r="464" hidden="1" spans="2:8">
      <c r="B464" s="30">
        <v>0.375</v>
      </c>
      <c r="C464" s="30">
        <v>0.75</v>
      </c>
      <c r="D464" s="29">
        <v>1146898396</v>
      </c>
      <c r="E464" s="29">
        <v>10337492</v>
      </c>
      <c r="F464" s="29" t="s">
        <v>1180</v>
      </c>
      <c r="G464" s="29" t="s">
        <v>23</v>
      </c>
      <c r="H464" s="29" t="s">
        <v>62</v>
      </c>
    </row>
    <row r="465" hidden="1" spans="2:8">
      <c r="B465" s="30">
        <v>0.708333333333333</v>
      </c>
      <c r="C465" s="30">
        <v>0.0833333333333333</v>
      </c>
      <c r="D465" s="29">
        <v>1097830817</v>
      </c>
      <c r="E465" s="29">
        <v>10284140</v>
      </c>
      <c r="F465" s="29" t="s">
        <v>1412</v>
      </c>
      <c r="G465" s="29" t="s">
        <v>23</v>
      </c>
      <c r="H465" s="29" t="s">
        <v>43</v>
      </c>
    </row>
    <row r="466" hidden="1" spans="2:8">
      <c r="B466" s="30">
        <v>0.458333333333333</v>
      </c>
      <c r="C466" s="30">
        <v>0.833333333333333</v>
      </c>
      <c r="D466" s="29">
        <v>1093119853</v>
      </c>
      <c r="E466" s="29">
        <v>10334697</v>
      </c>
      <c r="F466" s="29" t="s">
        <v>709</v>
      </c>
      <c r="G466" s="29" t="s">
        <v>23</v>
      </c>
      <c r="H466" s="29" t="s">
        <v>62</v>
      </c>
    </row>
    <row r="467" hidden="1" spans="2:8">
      <c r="B467" s="30">
        <v>0.625</v>
      </c>
      <c r="C467" s="30">
        <v>0</v>
      </c>
      <c r="D467" s="29">
        <v>1004594906</v>
      </c>
      <c r="E467" s="29">
        <v>10342535</v>
      </c>
      <c r="F467" s="29" t="s">
        <v>1355</v>
      </c>
      <c r="G467" s="29" t="s">
        <v>23</v>
      </c>
      <c r="H467" s="29" t="s">
        <v>22</v>
      </c>
    </row>
    <row r="468" hidden="1" spans="2:8">
      <c r="B468" s="30">
        <v>0.5</v>
      </c>
      <c r="C468" s="30">
        <v>0.875</v>
      </c>
      <c r="D468" s="29">
        <v>1092042039</v>
      </c>
      <c r="E468" s="29">
        <v>10337753</v>
      </c>
      <c r="F468" s="29" t="s">
        <v>1108</v>
      </c>
      <c r="G468" s="29" t="s">
        <v>23</v>
      </c>
      <c r="H468" s="29" t="s">
        <v>22</v>
      </c>
    </row>
    <row r="469" hidden="1" spans="2:8">
      <c r="B469" s="30">
        <v>0.5</v>
      </c>
      <c r="C469" s="30">
        <v>0.875</v>
      </c>
      <c r="D469" s="29">
        <v>1152255932</v>
      </c>
      <c r="E469" s="29">
        <v>10341798</v>
      </c>
      <c r="F469" s="29" t="s">
        <v>1340</v>
      </c>
      <c r="G469" s="29" t="s">
        <v>23</v>
      </c>
      <c r="H469" s="29" t="s">
        <v>62</v>
      </c>
    </row>
    <row r="470" hidden="1" spans="2:8">
      <c r="B470" s="30">
        <v>0.5</v>
      </c>
      <c r="C470" s="30">
        <v>0.875</v>
      </c>
      <c r="D470" s="29">
        <v>1149048868</v>
      </c>
      <c r="E470" s="29">
        <v>10341215</v>
      </c>
      <c r="F470" s="29" t="s">
        <v>1310</v>
      </c>
      <c r="G470" s="29" t="s">
        <v>23</v>
      </c>
      <c r="H470" s="29" t="s">
        <v>62</v>
      </c>
    </row>
    <row r="471" hidden="1" spans="2:8">
      <c r="B471" s="30">
        <v>0.5</v>
      </c>
      <c r="C471" s="30">
        <v>0.875</v>
      </c>
      <c r="D471" s="29">
        <v>1503620076</v>
      </c>
      <c r="E471" s="29">
        <v>10340041</v>
      </c>
      <c r="F471" s="29" t="s">
        <v>1274</v>
      </c>
      <c r="G471" s="29" t="s">
        <v>23</v>
      </c>
      <c r="H471" s="29" t="s">
        <v>276</v>
      </c>
    </row>
    <row r="472" hidden="1" spans="2:8">
      <c r="B472" s="30">
        <v>0.583333333333333</v>
      </c>
      <c r="C472" s="30">
        <v>0.958333333333333</v>
      </c>
      <c r="D472" s="29">
        <v>1156602488</v>
      </c>
      <c r="E472" s="29">
        <v>10327949</v>
      </c>
      <c r="F472" s="29" t="s">
        <v>1822</v>
      </c>
      <c r="G472" s="29" t="s">
        <v>23</v>
      </c>
      <c r="H472" s="29" t="s">
        <v>276</v>
      </c>
    </row>
    <row r="473" hidden="1" spans="2:8">
      <c r="B473" s="30">
        <v>0.625</v>
      </c>
      <c r="C473" s="30">
        <v>1</v>
      </c>
      <c r="D473" s="29">
        <v>1050915746</v>
      </c>
      <c r="E473" s="29">
        <v>10341047</v>
      </c>
      <c r="F473" s="29" t="s">
        <v>1821</v>
      </c>
      <c r="G473" s="29" t="s">
        <v>23</v>
      </c>
      <c r="H473" s="29" t="s">
        <v>43</v>
      </c>
    </row>
    <row r="474" hidden="1" spans="2:8">
      <c r="B474" s="30">
        <v>0.666666666666667</v>
      </c>
      <c r="C474" s="30">
        <v>1.20833333333333</v>
      </c>
      <c r="D474" s="29">
        <v>1018345490</v>
      </c>
      <c r="E474" s="29">
        <v>10348430</v>
      </c>
      <c r="F474" s="29" t="s">
        <v>1868</v>
      </c>
      <c r="G474" s="29" t="s">
        <v>23</v>
      </c>
      <c r="H474" s="29" t="s">
        <v>101</v>
      </c>
    </row>
    <row r="475" hidden="1" spans="2:8">
      <c r="B475" s="30">
        <v>0.75</v>
      </c>
      <c r="C475" s="30">
        <v>0.166666666666667</v>
      </c>
      <c r="D475" s="29">
        <v>1018145481</v>
      </c>
      <c r="E475" s="29">
        <v>10267962</v>
      </c>
      <c r="F475" s="29" t="s">
        <v>265</v>
      </c>
      <c r="G475" s="29" t="s">
        <v>23</v>
      </c>
      <c r="H475" s="29" t="s">
        <v>276</v>
      </c>
    </row>
    <row r="476" hidden="1" spans="2:8">
      <c r="B476" s="30">
        <v>0.916666666666667</v>
      </c>
      <c r="C476" s="30">
        <v>1.29166666666667</v>
      </c>
      <c r="D476" s="29">
        <v>1092636192</v>
      </c>
      <c r="E476" s="29">
        <v>10274975</v>
      </c>
      <c r="F476" s="29" t="s">
        <v>1761</v>
      </c>
      <c r="G476" s="29" t="s">
        <v>23</v>
      </c>
      <c r="H476" s="29" t="s">
        <v>1760</v>
      </c>
    </row>
    <row r="477" hidden="1" spans="2:8">
      <c r="B477" s="30">
        <v>0.75</v>
      </c>
      <c r="C477" s="30">
        <v>1.25</v>
      </c>
      <c r="D477" s="29">
        <v>1091061813</v>
      </c>
      <c r="E477" s="29">
        <v>10323448</v>
      </c>
      <c r="F477" s="29" t="s">
        <v>1759</v>
      </c>
      <c r="G477" s="29" t="s">
        <v>23</v>
      </c>
      <c r="H477" s="29" t="s">
        <v>101</v>
      </c>
    </row>
    <row r="478" hidden="1" spans="2:8">
      <c r="B478" s="30">
        <v>0.666666666666667</v>
      </c>
      <c r="C478" s="30">
        <v>1.16666666666667</v>
      </c>
      <c r="D478" s="29">
        <v>1144811677</v>
      </c>
      <c r="E478" s="29">
        <v>10337070</v>
      </c>
      <c r="F478" s="29" t="s">
        <v>1758</v>
      </c>
      <c r="G478" s="29" t="s">
        <v>23</v>
      </c>
      <c r="H478" s="29" t="s">
        <v>172</v>
      </c>
    </row>
    <row r="479" hidden="1" spans="2:8">
      <c r="B479" s="30">
        <v>0.666666666666667</v>
      </c>
      <c r="C479" s="30">
        <v>1.20833333333333</v>
      </c>
      <c r="D479" s="29">
        <v>1148646797</v>
      </c>
      <c r="E479" s="29">
        <v>10338474</v>
      </c>
      <c r="F479" s="29" t="s">
        <v>1757</v>
      </c>
      <c r="G479" s="29" t="s">
        <v>23</v>
      </c>
      <c r="H479" s="29" t="s">
        <v>43</v>
      </c>
    </row>
    <row r="480" hidden="1" spans="2:8">
      <c r="B480" s="30">
        <v>0.75</v>
      </c>
      <c r="C480" s="30">
        <v>1.25</v>
      </c>
      <c r="D480" s="29">
        <v>1044822349</v>
      </c>
      <c r="E480" s="29">
        <v>10341595</v>
      </c>
      <c r="F480" s="29" t="s">
        <v>1762</v>
      </c>
      <c r="G480" s="29" t="s">
        <v>23</v>
      </c>
      <c r="H480" s="29" t="s">
        <v>101</v>
      </c>
    </row>
    <row r="481" spans="2:8">
      <c r="B481" s="30">
        <v>0.958333333333333</v>
      </c>
      <c r="C481" s="30">
        <v>0.333333333333333</v>
      </c>
      <c r="D481" s="29">
        <v>1060392059</v>
      </c>
      <c r="E481" s="29">
        <v>10344236</v>
      </c>
      <c r="F481" s="29" t="s">
        <v>1431</v>
      </c>
      <c r="G481" s="29" t="s">
        <v>23</v>
      </c>
      <c r="H481" s="29" t="s">
        <v>101</v>
      </c>
    </row>
    <row r="482" hidden="1" spans="2:8">
      <c r="B482" s="30">
        <v>0.75</v>
      </c>
      <c r="C482" s="30">
        <v>1.29166666666667</v>
      </c>
      <c r="D482" s="29">
        <v>1095204998</v>
      </c>
      <c r="E482" s="29">
        <v>10344242</v>
      </c>
      <c r="F482" s="29" t="s">
        <v>1429</v>
      </c>
      <c r="G482" s="29" t="s">
        <v>23</v>
      </c>
      <c r="H482" s="29" t="s">
        <v>62</v>
      </c>
    </row>
    <row r="483" hidden="1" spans="2:8">
      <c r="B483" s="30">
        <v>0.75</v>
      </c>
      <c r="C483" s="30">
        <v>1.125</v>
      </c>
      <c r="D483" s="29">
        <v>1004911039</v>
      </c>
      <c r="E483" s="29">
        <v>10344279</v>
      </c>
      <c r="F483" s="29" t="s">
        <v>620</v>
      </c>
      <c r="G483" s="29" t="s">
        <v>23</v>
      </c>
      <c r="H483" s="29" t="s">
        <v>144</v>
      </c>
    </row>
    <row r="484" hidden="1" spans="2:8">
      <c r="B484" s="30">
        <v>0.583333333333333</v>
      </c>
      <c r="C484" s="30">
        <v>0.958333333333333</v>
      </c>
      <c r="D484" s="29">
        <v>1226223707</v>
      </c>
      <c r="E484" s="29">
        <v>10344485</v>
      </c>
      <c r="F484" s="29" t="s">
        <v>1430</v>
      </c>
      <c r="G484" s="29" t="s">
        <v>23</v>
      </c>
      <c r="H484" s="29" t="s">
        <v>22</v>
      </c>
    </row>
    <row r="485" hidden="1" spans="2:8">
      <c r="B485" s="30">
        <v>0.916666666666667</v>
      </c>
      <c r="C485" s="30">
        <v>1.29166666666667</v>
      </c>
      <c r="D485" s="29">
        <v>1552456793</v>
      </c>
      <c r="E485" s="29">
        <v>10344749</v>
      </c>
      <c r="F485" s="29" t="s">
        <v>926</v>
      </c>
      <c r="G485" s="29" t="s">
        <v>23</v>
      </c>
      <c r="H485" s="29" t="s">
        <v>144</v>
      </c>
    </row>
    <row r="486" hidden="1" spans="2:8">
      <c r="B486" s="30">
        <v>0.583333333333333</v>
      </c>
      <c r="C486" s="30">
        <v>0.958333333333333</v>
      </c>
      <c r="D486" s="29">
        <v>1144462771</v>
      </c>
      <c r="E486" s="29">
        <v>10344752</v>
      </c>
      <c r="F486" s="29" t="s">
        <v>1497</v>
      </c>
      <c r="G486" s="29" t="s">
        <v>23</v>
      </c>
      <c r="H486" s="29" t="s">
        <v>172</v>
      </c>
    </row>
    <row r="487" hidden="1" spans="2:8">
      <c r="B487" s="30">
        <v>0.916666666666667</v>
      </c>
      <c r="C487" s="30">
        <v>1.29166666666667</v>
      </c>
      <c r="D487" s="29">
        <v>1093443771</v>
      </c>
      <c r="E487" s="29">
        <v>10344757</v>
      </c>
      <c r="F487" s="29" t="s">
        <v>1500</v>
      </c>
      <c r="G487" s="29" t="s">
        <v>23</v>
      </c>
      <c r="H487" s="29" t="s">
        <v>276</v>
      </c>
    </row>
    <row r="488" hidden="1" spans="2:8">
      <c r="B488" s="30">
        <v>0.666666666666667</v>
      </c>
      <c r="C488" s="30">
        <v>1.16666666666667</v>
      </c>
      <c r="D488" s="29">
        <v>1090598043</v>
      </c>
      <c r="E488" s="29">
        <v>10344902</v>
      </c>
      <c r="F488" s="29" t="s">
        <v>1537</v>
      </c>
      <c r="G488" s="29" t="s">
        <v>23</v>
      </c>
      <c r="H488" s="29" t="s">
        <v>101</v>
      </c>
    </row>
    <row r="489" hidden="1" spans="2:8">
      <c r="B489" s="30">
        <v>0.75</v>
      </c>
      <c r="C489" s="30">
        <v>0.333333333333333</v>
      </c>
      <c r="D489" s="29">
        <v>1100286082</v>
      </c>
      <c r="E489" s="29">
        <v>10346644</v>
      </c>
      <c r="F489" s="29" t="s">
        <v>1584</v>
      </c>
      <c r="G489" s="29" t="s">
        <v>23</v>
      </c>
      <c r="H489" s="29" t="s">
        <v>101</v>
      </c>
    </row>
    <row r="490" spans="2:8">
      <c r="B490" s="30">
        <v>0.958333333333333</v>
      </c>
      <c r="C490" s="30">
        <v>0.333333333333333</v>
      </c>
      <c r="D490" s="29">
        <v>1044237280</v>
      </c>
      <c r="E490" s="29">
        <v>10346789</v>
      </c>
      <c r="F490" s="29" t="s">
        <v>1587</v>
      </c>
      <c r="G490" s="29" t="s">
        <v>23</v>
      </c>
      <c r="H490" s="29" t="s">
        <v>172</v>
      </c>
    </row>
    <row r="491" hidden="1" spans="2:8">
      <c r="B491" s="30">
        <v>0.833333333333333</v>
      </c>
      <c r="C491" s="30">
        <v>0.333333333333333</v>
      </c>
      <c r="D491" s="29">
        <v>1099884506</v>
      </c>
      <c r="E491" s="29">
        <v>10346886</v>
      </c>
      <c r="F491" s="29" t="s">
        <v>1585</v>
      </c>
      <c r="G491" s="29" t="s">
        <v>23</v>
      </c>
      <c r="H491" s="29" t="s">
        <v>62</v>
      </c>
    </row>
    <row r="492" hidden="1" spans="2:8">
      <c r="B492" s="30">
        <v>0.625</v>
      </c>
      <c r="C492" s="30">
        <v>1</v>
      </c>
      <c r="D492" s="29">
        <v>1098356001</v>
      </c>
      <c r="E492" s="29">
        <v>10347015</v>
      </c>
      <c r="F492" s="29" t="s">
        <v>1636</v>
      </c>
      <c r="G492" s="29" t="s">
        <v>23</v>
      </c>
      <c r="H492" s="29" t="s">
        <v>43</v>
      </c>
    </row>
    <row r="493" hidden="1" spans="2:8">
      <c r="B493" s="30">
        <v>0.916666666666667</v>
      </c>
      <c r="C493" s="30">
        <v>1.29166666666667</v>
      </c>
      <c r="D493" s="29">
        <v>1004919775</v>
      </c>
      <c r="E493" s="29">
        <v>10347219</v>
      </c>
      <c r="F493" s="29" t="s">
        <v>1638</v>
      </c>
      <c r="G493" s="29" t="s">
        <v>23</v>
      </c>
      <c r="H493" s="29" t="s">
        <v>101</v>
      </c>
    </row>
    <row r="494" hidden="1" spans="2:8">
      <c r="B494" s="30">
        <v>0.75</v>
      </c>
      <c r="C494" s="30">
        <v>0.333333333333333</v>
      </c>
      <c r="D494" s="29">
        <v>1155829737</v>
      </c>
      <c r="E494" s="29">
        <v>10347259</v>
      </c>
      <c r="F494" s="29" t="s">
        <v>1622</v>
      </c>
      <c r="G494" s="29" t="s">
        <v>23</v>
      </c>
      <c r="H494" s="29" t="s">
        <v>62</v>
      </c>
    </row>
    <row r="495" hidden="1" spans="2:8">
      <c r="B495" s="30">
        <v>0.916666666666667</v>
      </c>
      <c r="C495" s="30">
        <v>1.29166666666667</v>
      </c>
      <c r="D495" s="29">
        <v>1222749900</v>
      </c>
      <c r="E495" s="29">
        <v>10347280</v>
      </c>
      <c r="F495" s="29" t="s">
        <v>1697</v>
      </c>
      <c r="G495" s="29" t="s">
        <v>23</v>
      </c>
      <c r="H495" s="29" t="s">
        <v>1696</v>
      </c>
    </row>
    <row r="496" hidden="1" spans="2:8">
      <c r="B496" s="30">
        <v>0.916666666666667</v>
      </c>
      <c r="C496" s="30">
        <v>1.29166666666667</v>
      </c>
      <c r="D496" s="29">
        <v>1555693374</v>
      </c>
      <c r="E496" s="29">
        <v>10347601</v>
      </c>
      <c r="F496" s="29" t="s">
        <v>1655</v>
      </c>
      <c r="G496" s="29" t="s">
        <v>23</v>
      </c>
      <c r="H496" s="29" t="s">
        <v>62</v>
      </c>
    </row>
    <row r="497" hidden="1" spans="2:8">
      <c r="B497" s="30">
        <v>0.916666666666667</v>
      </c>
      <c r="C497" s="30">
        <v>1.29166666666667</v>
      </c>
      <c r="D497" s="29">
        <v>1093300936</v>
      </c>
      <c r="E497" s="29">
        <v>10347607</v>
      </c>
      <c r="F497" s="29" t="s">
        <v>1657</v>
      </c>
      <c r="G497" s="29" t="s">
        <v>23</v>
      </c>
      <c r="H497" s="29" t="s">
        <v>101</v>
      </c>
    </row>
    <row r="498" hidden="1" spans="2:8">
      <c r="B498" s="30">
        <v>0.875</v>
      </c>
      <c r="C498" s="30">
        <v>1.25</v>
      </c>
      <c r="D498" s="29">
        <v>1144418499</v>
      </c>
      <c r="E498" s="29">
        <v>10347630</v>
      </c>
      <c r="F498" s="29" t="s">
        <v>1659</v>
      </c>
      <c r="G498" s="29" t="s">
        <v>23</v>
      </c>
      <c r="H498" s="29" t="s">
        <v>101</v>
      </c>
    </row>
    <row r="499" hidden="1" spans="2:8">
      <c r="B499" s="30">
        <v>0.875</v>
      </c>
      <c r="C499" s="30">
        <v>1.25</v>
      </c>
      <c r="D499" s="29">
        <v>1013996057</v>
      </c>
      <c r="E499" s="29">
        <v>10347993</v>
      </c>
      <c r="F499" s="29" t="s">
        <v>624</v>
      </c>
      <c r="G499" s="29" t="s">
        <v>23</v>
      </c>
      <c r="H499" s="29" t="s">
        <v>144</v>
      </c>
    </row>
    <row r="500" hidden="1" spans="2:8">
      <c r="B500" s="30">
        <v>0.875</v>
      </c>
      <c r="C500" s="30">
        <v>1.25</v>
      </c>
      <c r="D500" s="29" t="s">
        <v>1685</v>
      </c>
      <c r="E500" s="29">
        <v>10348000</v>
      </c>
      <c r="F500" s="29" t="s">
        <v>1684</v>
      </c>
      <c r="G500" s="29" t="s">
        <v>23</v>
      </c>
      <c r="H500" s="29" t="s">
        <v>1683</v>
      </c>
    </row>
    <row r="501" hidden="1" spans="2:8">
      <c r="B501" s="30">
        <v>0.791666666666667</v>
      </c>
      <c r="C501" s="30">
        <v>1.25</v>
      </c>
      <c r="D501" s="29">
        <v>11567115272</v>
      </c>
      <c r="E501" s="29">
        <v>10348227</v>
      </c>
      <c r="F501" s="29" t="s">
        <v>1297</v>
      </c>
      <c r="G501" s="29" t="s">
        <v>23</v>
      </c>
      <c r="H501" s="29" t="s">
        <v>172</v>
      </c>
    </row>
    <row r="502" hidden="1" spans="2:8">
      <c r="B502" s="30" t="s">
        <v>1937</v>
      </c>
      <c r="C502" s="30" t="s">
        <v>1937</v>
      </c>
      <c r="D502" s="29" t="s">
        <v>1484</v>
      </c>
      <c r="E502" s="29">
        <v>10336050</v>
      </c>
      <c r="F502" s="29" t="s">
        <v>1483</v>
      </c>
      <c r="G502" s="29" t="s">
        <v>23</v>
      </c>
      <c r="H502" s="29" t="s">
        <v>101</v>
      </c>
    </row>
    <row r="503" hidden="1" spans="2:8">
      <c r="B503" s="30">
        <v>0.75</v>
      </c>
      <c r="C503" s="30">
        <v>0.125</v>
      </c>
      <c r="D503" s="29">
        <v>1033206100</v>
      </c>
      <c r="E503" s="29">
        <v>10322714</v>
      </c>
      <c r="F503" s="29" t="s">
        <v>1650</v>
      </c>
      <c r="G503" s="29" t="s">
        <v>23</v>
      </c>
      <c r="H503" s="29" t="s">
        <v>172</v>
      </c>
    </row>
    <row r="504" hidden="1" spans="2:8">
      <c r="B504" s="30">
        <v>0.75</v>
      </c>
      <c r="C504" s="30">
        <v>0.125</v>
      </c>
      <c r="D504" s="29">
        <v>1117228732</v>
      </c>
      <c r="E504" s="29">
        <v>10285481</v>
      </c>
      <c r="F504" s="29" t="s">
        <v>1482</v>
      </c>
      <c r="G504" s="29" t="s">
        <v>23</v>
      </c>
      <c r="H504" s="29" t="s">
        <v>43</v>
      </c>
    </row>
    <row r="505" hidden="1" spans="2:8">
      <c r="B505" s="30">
        <v>0.416666666666667</v>
      </c>
      <c r="C505" s="30">
        <v>0.791666666666667</v>
      </c>
      <c r="D505" s="29">
        <v>1203388919</v>
      </c>
      <c r="E505" s="29">
        <v>10349491</v>
      </c>
      <c r="F505" s="29" t="s">
        <v>1846</v>
      </c>
      <c r="G505" s="29" t="s">
        <v>23</v>
      </c>
      <c r="H505" s="29" t="s">
        <v>62</v>
      </c>
    </row>
    <row r="506" hidden="1" spans="2:8">
      <c r="B506" s="30">
        <v>0.458333333333333</v>
      </c>
      <c r="C506" s="30">
        <v>0.791666666666667</v>
      </c>
      <c r="D506" s="29">
        <v>1018132641</v>
      </c>
      <c r="E506" s="29">
        <v>10274128</v>
      </c>
      <c r="F506" s="29" t="s">
        <v>1812</v>
      </c>
      <c r="G506" s="29" t="s">
        <v>23</v>
      </c>
      <c r="H506" s="29" t="s">
        <v>62</v>
      </c>
    </row>
    <row r="507" hidden="1" spans="2:8">
      <c r="B507" s="30">
        <v>0.375</v>
      </c>
      <c r="C507" s="30">
        <v>0.75</v>
      </c>
      <c r="D507" s="29">
        <v>1095439627</v>
      </c>
      <c r="E507" s="29">
        <v>10250963</v>
      </c>
      <c r="F507" s="29" t="s">
        <v>102</v>
      </c>
      <c r="G507" s="29" t="s">
        <v>23</v>
      </c>
      <c r="H507" s="29" t="s">
        <v>101</v>
      </c>
    </row>
    <row r="508" hidden="1" spans="2:8">
      <c r="B508" s="30">
        <v>0.375</v>
      </c>
      <c r="C508" s="30">
        <v>0.75</v>
      </c>
      <c r="D508" s="29">
        <v>1061043124</v>
      </c>
      <c r="E508" s="29">
        <v>10276839</v>
      </c>
      <c r="F508" s="29" t="s">
        <v>112</v>
      </c>
      <c r="G508" s="29" t="s">
        <v>23</v>
      </c>
      <c r="H508" s="29" t="s">
        <v>43</v>
      </c>
    </row>
    <row r="509" hidden="1" spans="2:8">
      <c r="B509" s="30">
        <v>0.333333333333333</v>
      </c>
      <c r="C509" s="30">
        <v>0.708333333333333</v>
      </c>
      <c r="D509" s="29">
        <v>1159397474</v>
      </c>
      <c r="E509" s="29">
        <v>10327293</v>
      </c>
      <c r="F509" s="29" t="s">
        <v>270</v>
      </c>
      <c r="G509" s="29" t="s">
        <v>23</v>
      </c>
      <c r="H509" s="29" t="s">
        <v>62</v>
      </c>
    </row>
    <row r="510" hidden="1" spans="2:8">
      <c r="B510" s="30">
        <v>0.5</v>
      </c>
      <c r="C510" s="30">
        <v>0.875</v>
      </c>
      <c r="D510" s="29" t="s">
        <v>279</v>
      </c>
      <c r="E510" s="29">
        <v>10327295</v>
      </c>
      <c r="F510" s="29" t="s">
        <v>278</v>
      </c>
      <c r="G510" s="29" t="s">
        <v>23</v>
      </c>
      <c r="H510" s="29" t="s">
        <v>22</v>
      </c>
    </row>
    <row r="511" hidden="1" spans="2:8">
      <c r="B511" s="30" t="s">
        <v>1937</v>
      </c>
      <c r="C511" s="30" t="s">
        <v>1937</v>
      </c>
      <c r="D511" s="29">
        <v>1124486001</v>
      </c>
      <c r="E511" s="29">
        <v>10331651</v>
      </c>
      <c r="F511" s="29" t="s">
        <v>437</v>
      </c>
      <c r="G511" s="29" t="s">
        <v>23</v>
      </c>
      <c r="H511" s="29" t="s">
        <v>144</v>
      </c>
    </row>
    <row r="512" hidden="1" spans="2:8">
      <c r="B512" s="30" t="s">
        <v>1937</v>
      </c>
      <c r="C512" s="30" t="s">
        <v>1937</v>
      </c>
      <c r="D512" s="29">
        <v>1030788901</v>
      </c>
      <c r="E512" s="29">
        <v>10337074</v>
      </c>
      <c r="F512" s="29" t="s">
        <v>1069</v>
      </c>
      <c r="G512" s="29" t="s">
        <v>23</v>
      </c>
      <c r="H512" s="29" t="s">
        <v>101</v>
      </c>
    </row>
    <row r="513" hidden="1" spans="2:8">
      <c r="B513" s="30">
        <v>0.5</v>
      </c>
      <c r="C513" s="30">
        <v>0.875</v>
      </c>
      <c r="D513" s="29">
        <v>1211552537</v>
      </c>
      <c r="E513" s="29">
        <v>10337069</v>
      </c>
      <c r="F513" s="29" t="s">
        <v>1079</v>
      </c>
      <c r="G513" s="29" t="s">
        <v>23</v>
      </c>
      <c r="H513" s="29" t="s">
        <v>172</v>
      </c>
    </row>
    <row r="514" hidden="1" spans="2:8">
      <c r="B514" s="30">
        <v>0.5</v>
      </c>
      <c r="C514" s="30">
        <v>0.875</v>
      </c>
      <c r="D514" s="29">
        <v>1065734525</v>
      </c>
      <c r="E514" s="29">
        <v>10343405</v>
      </c>
      <c r="F514" s="29" t="s">
        <v>1399</v>
      </c>
      <c r="G514" s="29" t="s">
        <v>23</v>
      </c>
      <c r="H514" s="29" t="s">
        <v>144</v>
      </c>
    </row>
    <row r="515" hidden="1" spans="2:8">
      <c r="B515" s="30">
        <v>0.333333333333333</v>
      </c>
      <c r="C515" s="30">
        <v>0.708333333333333</v>
      </c>
      <c r="D515" s="29">
        <v>1115300028</v>
      </c>
      <c r="E515" s="29">
        <v>10332448</v>
      </c>
      <c r="F515" s="29" t="s">
        <v>501</v>
      </c>
      <c r="G515" s="29" t="s">
        <v>23</v>
      </c>
      <c r="H515" s="29" t="s">
        <v>144</v>
      </c>
    </row>
    <row r="516" hidden="1" spans="2:8">
      <c r="B516" s="30">
        <v>0.375</v>
      </c>
      <c r="C516" s="30">
        <v>0.75</v>
      </c>
      <c r="D516" s="29" t="s">
        <v>445</v>
      </c>
      <c r="E516" s="29">
        <v>10331588</v>
      </c>
      <c r="F516" s="29" t="s">
        <v>444</v>
      </c>
      <c r="G516" s="29" t="s">
        <v>23</v>
      </c>
      <c r="H516" s="29" t="s">
        <v>276</v>
      </c>
    </row>
    <row r="517" hidden="1" spans="2:8">
      <c r="B517" s="30">
        <v>0.5</v>
      </c>
      <c r="C517" s="30">
        <v>0.875</v>
      </c>
      <c r="D517" s="29">
        <v>1279771880</v>
      </c>
      <c r="E517" s="29">
        <v>10310370</v>
      </c>
      <c r="F517" s="29" t="s">
        <v>657</v>
      </c>
      <c r="G517" s="29" t="s">
        <v>23</v>
      </c>
      <c r="H517" s="29" t="s">
        <v>43</v>
      </c>
    </row>
    <row r="518" hidden="1" spans="2:8">
      <c r="B518" s="30">
        <v>0.333333333333333</v>
      </c>
      <c r="C518" s="30">
        <v>0.541666666666667</v>
      </c>
      <c r="D518" s="29">
        <v>1115383753</v>
      </c>
      <c r="E518" s="29">
        <v>10331615</v>
      </c>
      <c r="F518" s="29" t="s">
        <v>433</v>
      </c>
      <c r="G518" s="29" t="s">
        <v>23</v>
      </c>
      <c r="H518" s="29" t="s">
        <v>172</v>
      </c>
    </row>
    <row r="519" hidden="1" spans="2:8">
      <c r="B519" s="30">
        <v>0.5</v>
      </c>
      <c r="C519" s="30">
        <v>0.875</v>
      </c>
      <c r="D519" s="29">
        <v>1557236176</v>
      </c>
      <c r="E519" s="29">
        <v>10332451</v>
      </c>
      <c r="F519" s="29" t="s">
        <v>502</v>
      </c>
      <c r="G519" s="29" t="s">
        <v>23</v>
      </c>
      <c r="H519" s="29" t="s">
        <v>43</v>
      </c>
    </row>
    <row r="520" hidden="1" spans="2:8">
      <c r="B520" s="30" t="s">
        <v>1937</v>
      </c>
      <c r="C520" s="30" t="s">
        <v>1937</v>
      </c>
      <c r="D520" s="29">
        <v>1032874133</v>
      </c>
      <c r="E520" s="29">
        <v>10347270</v>
      </c>
      <c r="F520" s="29" t="s">
        <v>1620</v>
      </c>
      <c r="G520" s="29" t="s">
        <v>23</v>
      </c>
      <c r="H520" s="29" t="s">
        <v>22</v>
      </c>
    </row>
    <row r="521" hidden="1" spans="2:8">
      <c r="B521" s="30" t="s">
        <v>1937</v>
      </c>
      <c r="C521" s="30" t="s">
        <v>1937</v>
      </c>
      <c r="D521" s="29">
        <v>1286209830</v>
      </c>
      <c r="E521" s="29">
        <v>10347285</v>
      </c>
      <c r="F521" s="29" t="s">
        <v>1619</v>
      </c>
      <c r="G521" s="29" t="s">
        <v>23</v>
      </c>
      <c r="H521" s="29" t="s">
        <v>172</v>
      </c>
    </row>
    <row r="522" hidden="1" spans="2:8">
      <c r="B522" s="30" t="s">
        <v>1937</v>
      </c>
      <c r="C522" s="30" t="s">
        <v>1937</v>
      </c>
      <c r="D522" s="29">
        <v>1222544740</v>
      </c>
      <c r="E522" s="29">
        <v>10347312</v>
      </c>
      <c r="F522" s="29" t="s">
        <v>1606</v>
      </c>
      <c r="G522" s="29" t="s">
        <v>23</v>
      </c>
      <c r="H522" s="29" t="s">
        <v>22</v>
      </c>
    </row>
    <row r="523" hidden="1" spans="2:8">
      <c r="B523" s="30">
        <v>0.5</v>
      </c>
      <c r="C523" s="30">
        <v>0.875</v>
      </c>
      <c r="D523" s="29">
        <v>1002498107</v>
      </c>
      <c r="E523" s="29">
        <v>10347346</v>
      </c>
      <c r="F523" s="29" t="s">
        <v>17</v>
      </c>
      <c r="G523" s="29" t="s">
        <v>23</v>
      </c>
      <c r="H523" s="29" t="s">
        <v>172</v>
      </c>
    </row>
    <row r="524" hidden="1" spans="2:8">
      <c r="B524" s="30">
        <v>0.375</v>
      </c>
      <c r="C524" s="30">
        <v>0.75</v>
      </c>
      <c r="D524" s="29">
        <v>1206785647</v>
      </c>
      <c r="E524" s="29">
        <v>10252106</v>
      </c>
      <c r="F524" s="29" t="s">
        <v>173</v>
      </c>
      <c r="G524" s="29" t="s">
        <v>23</v>
      </c>
      <c r="H524" s="29" t="s">
        <v>172</v>
      </c>
    </row>
    <row r="525" hidden="1" spans="2:8">
      <c r="B525" s="30">
        <v>0.375</v>
      </c>
      <c r="C525" s="30">
        <v>0.75</v>
      </c>
      <c r="D525" s="29">
        <v>1277423380</v>
      </c>
      <c r="E525" s="29">
        <v>10293607</v>
      </c>
      <c r="F525" s="29" t="s">
        <v>183</v>
      </c>
      <c r="G525" s="29" t="s">
        <v>23</v>
      </c>
      <c r="H525" s="29" t="s">
        <v>101</v>
      </c>
    </row>
    <row r="526" hidden="1" spans="2:8">
      <c r="B526" s="30">
        <v>0.375</v>
      </c>
      <c r="C526" s="30">
        <v>0.75</v>
      </c>
      <c r="D526" s="29">
        <v>1278222833</v>
      </c>
      <c r="E526" s="29">
        <v>10331625</v>
      </c>
      <c r="F526" s="29" t="s">
        <v>429</v>
      </c>
      <c r="G526" s="29" t="s">
        <v>23</v>
      </c>
      <c r="H526" s="29" t="s">
        <v>43</v>
      </c>
    </row>
    <row r="527" hidden="1" spans="2:8">
      <c r="B527" s="30">
        <v>0.291666666666667</v>
      </c>
      <c r="C527" s="30">
        <v>0.666666666666667</v>
      </c>
      <c r="D527" s="29">
        <v>1090878414</v>
      </c>
      <c r="E527" s="29">
        <v>10251309</v>
      </c>
      <c r="F527" s="29" t="s">
        <v>362</v>
      </c>
      <c r="G527" s="29" t="s">
        <v>23</v>
      </c>
      <c r="H527" s="29" t="s">
        <v>22</v>
      </c>
    </row>
    <row r="528" hidden="1" spans="2:8">
      <c r="B528" s="30">
        <v>0.291666666666667</v>
      </c>
      <c r="C528" s="30">
        <v>0.666666666666667</v>
      </c>
      <c r="D528" s="29">
        <v>1017405291</v>
      </c>
      <c r="E528" s="29">
        <v>10335052</v>
      </c>
      <c r="F528" s="29" t="s">
        <v>724</v>
      </c>
      <c r="G528" s="29" t="s">
        <v>23</v>
      </c>
      <c r="H528" s="29" t="s">
        <v>62</v>
      </c>
    </row>
    <row r="529" hidden="1" spans="2:8">
      <c r="B529" s="30">
        <v>0.333333333333333</v>
      </c>
      <c r="C529" s="30">
        <v>0.708333333333333</v>
      </c>
      <c r="D529" s="29">
        <v>1010288732</v>
      </c>
      <c r="E529" s="29">
        <v>10328665</v>
      </c>
      <c r="F529" s="29" t="s">
        <v>412</v>
      </c>
      <c r="G529" s="29" t="s">
        <v>23</v>
      </c>
      <c r="H529" s="29" t="s">
        <v>22</v>
      </c>
    </row>
    <row r="530" hidden="1" spans="2:8">
      <c r="B530" s="30">
        <v>0.458333333333333</v>
      </c>
      <c r="C530" s="30">
        <v>0.833333333333333</v>
      </c>
      <c r="D530" s="29">
        <v>1115946198</v>
      </c>
      <c r="E530" s="29">
        <v>10326484</v>
      </c>
      <c r="F530" s="29" t="s">
        <v>413</v>
      </c>
      <c r="G530" s="29" t="s">
        <v>23</v>
      </c>
      <c r="H530" s="29" t="s">
        <v>43</v>
      </c>
    </row>
    <row r="531" hidden="1" spans="2:8">
      <c r="B531" s="30">
        <v>0.666666666666667</v>
      </c>
      <c r="C531" s="30">
        <v>0.0416666666666667</v>
      </c>
      <c r="D531" s="29">
        <v>1002924890</v>
      </c>
      <c r="E531" s="29">
        <v>10330597</v>
      </c>
      <c r="F531" s="29" t="s">
        <v>1306</v>
      </c>
      <c r="G531" s="29" t="s">
        <v>23</v>
      </c>
      <c r="H531" s="29" t="s">
        <v>22</v>
      </c>
    </row>
    <row r="532" hidden="1" spans="2:8">
      <c r="B532" s="30">
        <v>0.666666666666667</v>
      </c>
      <c r="C532" s="30">
        <v>0.0416666666666667</v>
      </c>
      <c r="D532" s="29">
        <v>0</v>
      </c>
      <c r="E532" s="29">
        <v>10334359</v>
      </c>
      <c r="F532" s="29" t="s">
        <v>746</v>
      </c>
      <c r="G532" s="29" t="s">
        <v>23</v>
      </c>
      <c r="H532" s="29" t="s">
        <v>43</v>
      </c>
    </row>
    <row r="533" hidden="1" spans="2:8">
      <c r="B533" s="30">
        <v>0.75</v>
      </c>
      <c r="C533" s="30">
        <v>0.125</v>
      </c>
      <c r="D533" s="29">
        <v>1156255534</v>
      </c>
      <c r="E533" s="29">
        <v>10316245</v>
      </c>
      <c r="F533" s="29" t="s">
        <v>1086</v>
      </c>
      <c r="G533" s="29" t="s">
        <v>23</v>
      </c>
      <c r="H533" s="29" t="s">
        <v>101</v>
      </c>
    </row>
    <row r="534" hidden="1" spans="2:8">
      <c r="B534" s="30">
        <v>0.5</v>
      </c>
      <c r="C534" s="30">
        <v>0.875</v>
      </c>
      <c r="D534" s="29">
        <v>1005356050</v>
      </c>
      <c r="E534" s="29">
        <v>10337898</v>
      </c>
      <c r="F534" s="29" t="s">
        <v>1137</v>
      </c>
      <c r="G534" s="29" t="s">
        <v>49</v>
      </c>
      <c r="H534" s="29" t="s">
        <v>48</v>
      </c>
    </row>
    <row r="535" hidden="1" spans="2:8">
      <c r="B535" s="30">
        <v>0.625</v>
      </c>
      <c r="C535" s="30">
        <v>0</v>
      </c>
      <c r="D535" s="29">
        <v>1111897624</v>
      </c>
      <c r="E535" s="29">
        <v>10238685</v>
      </c>
      <c r="F535" s="29" t="s">
        <v>765</v>
      </c>
      <c r="G535" s="29" t="s">
        <v>49</v>
      </c>
      <c r="H535" s="29" t="s">
        <v>48</v>
      </c>
    </row>
    <row r="536" hidden="1" spans="2:8">
      <c r="B536" s="30">
        <v>0.583333333333333</v>
      </c>
      <c r="C536" s="30">
        <v>0.958333333333333</v>
      </c>
      <c r="D536" s="29">
        <v>1142763373</v>
      </c>
      <c r="E536" s="29">
        <v>10337957</v>
      </c>
      <c r="F536" s="29" t="s">
        <v>1823</v>
      </c>
      <c r="G536" s="29" t="s">
        <v>49</v>
      </c>
      <c r="H536" s="29" t="s">
        <v>281</v>
      </c>
    </row>
    <row r="537" hidden="1" spans="2:8">
      <c r="B537" s="30">
        <v>0.708333333333333</v>
      </c>
      <c r="C537" s="30">
        <v>1.08333333333333</v>
      </c>
      <c r="D537" s="29">
        <v>1556565375</v>
      </c>
      <c r="E537" s="29">
        <v>10348787</v>
      </c>
      <c r="F537" s="29" t="s">
        <v>1870</v>
      </c>
      <c r="G537" s="29" t="s">
        <v>49</v>
      </c>
      <c r="H537" s="29" t="s">
        <v>176</v>
      </c>
    </row>
    <row r="538" hidden="1" spans="2:8">
      <c r="B538" s="30">
        <v>0.666666666666667</v>
      </c>
      <c r="C538" s="30">
        <v>1.25</v>
      </c>
      <c r="D538" s="29">
        <v>1009533599</v>
      </c>
      <c r="E538" s="29">
        <v>10271468</v>
      </c>
      <c r="F538" s="29" t="s">
        <v>1485</v>
      </c>
      <c r="G538" s="29" t="s">
        <v>49</v>
      </c>
      <c r="H538" s="29" t="s">
        <v>48</v>
      </c>
    </row>
    <row r="539" hidden="1" spans="2:8">
      <c r="B539" s="30">
        <v>0.75</v>
      </c>
      <c r="C539" s="30">
        <v>1.25</v>
      </c>
      <c r="D539" s="29">
        <v>1555073993</v>
      </c>
      <c r="E539" s="29">
        <v>10339759</v>
      </c>
      <c r="F539" s="29" t="s">
        <v>1763</v>
      </c>
      <c r="G539" s="29" t="s">
        <v>49</v>
      </c>
      <c r="H539" s="29" t="s">
        <v>48</v>
      </c>
    </row>
    <row r="540" hidden="1" spans="2:8">
      <c r="B540" s="30">
        <v>0.583333333333333</v>
      </c>
      <c r="C540" s="30">
        <v>0.958333333333333</v>
      </c>
      <c r="D540" s="29" t="s">
        <v>1433</v>
      </c>
      <c r="E540" s="29">
        <v>10344277</v>
      </c>
      <c r="F540" s="29" t="s">
        <v>1432</v>
      </c>
      <c r="G540" s="29" t="s">
        <v>49</v>
      </c>
      <c r="H540" s="29" t="s">
        <v>281</v>
      </c>
    </row>
    <row r="541" hidden="1" spans="2:8">
      <c r="B541" s="30">
        <v>0.416666666666667</v>
      </c>
      <c r="C541" s="30">
        <v>0.791666666666667</v>
      </c>
      <c r="D541" s="29">
        <v>1155792366</v>
      </c>
      <c r="E541" s="29">
        <v>10272767</v>
      </c>
      <c r="F541" s="29" t="s">
        <v>1190</v>
      </c>
      <c r="G541" s="29" t="s">
        <v>49</v>
      </c>
      <c r="H541" s="29" t="s">
        <v>48</v>
      </c>
    </row>
    <row r="542" hidden="1" spans="2:8">
      <c r="B542" s="30">
        <v>0.416666666666667</v>
      </c>
      <c r="C542" s="30">
        <v>0.791666666666667</v>
      </c>
      <c r="D542" s="29">
        <v>1016415631</v>
      </c>
      <c r="E542" s="29">
        <v>10320414</v>
      </c>
      <c r="F542" s="29" t="s">
        <v>161</v>
      </c>
      <c r="G542" s="29" t="s">
        <v>49</v>
      </c>
      <c r="H542" s="29" t="s">
        <v>48</v>
      </c>
    </row>
    <row r="543" hidden="1" spans="2:8">
      <c r="B543" s="30">
        <v>0.333333333333333</v>
      </c>
      <c r="C543" s="30">
        <v>0.708333333333333</v>
      </c>
      <c r="D543" s="29">
        <v>1121171477</v>
      </c>
      <c r="E543" s="29">
        <v>10272259</v>
      </c>
      <c r="F543" s="29" t="s">
        <v>50</v>
      </c>
      <c r="G543" s="29" t="s">
        <v>49</v>
      </c>
      <c r="H543" s="29" t="s">
        <v>48</v>
      </c>
    </row>
    <row r="544" hidden="1" spans="2:8">
      <c r="B544" s="30" t="s">
        <v>1937</v>
      </c>
      <c r="C544" s="30" t="s">
        <v>1937</v>
      </c>
      <c r="D544" s="29">
        <v>1022012888</v>
      </c>
      <c r="E544" s="29">
        <v>10320409</v>
      </c>
      <c r="F544" s="29" t="s">
        <v>226</v>
      </c>
      <c r="G544" s="29" t="s">
        <v>49</v>
      </c>
      <c r="H544" s="29" t="s">
        <v>48</v>
      </c>
    </row>
    <row r="545" hidden="1" spans="2:8">
      <c r="B545" s="30" t="s">
        <v>1952</v>
      </c>
      <c r="C545" s="30" t="s">
        <v>1952</v>
      </c>
      <c r="D545" s="29">
        <v>1122055635</v>
      </c>
      <c r="E545" s="29">
        <v>10327297</v>
      </c>
      <c r="F545" s="29" t="s">
        <v>282</v>
      </c>
      <c r="G545" s="29" t="s">
        <v>49</v>
      </c>
      <c r="H545" s="29" t="s">
        <v>281</v>
      </c>
    </row>
    <row r="546" hidden="1" spans="2:8">
      <c r="B546" s="30">
        <v>0.5</v>
      </c>
      <c r="C546" s="30">
        <v>0.875</v>
      </c>
      <c r="D546" s="29">
        <v>1027949221</v>
      </c>
      <c r="E546" s="29">
        <v>10294264</v>
      </c>
      <c r="F546" s="29" t="s">
        <v>194</v>
      </c>
      <c r="G546" s="29" t="s">
        <v>49</v>
      </c>
      <c r="H546" s="29" t="s">
        <v>48</v>
      </c>
    </row>
    <row r="547" hidden="1" spans="2:8">
      <c r="B547" s="30">
        <v>0.5</v>
      </c>
      <c r="C547" s="30">
        <v>0.875</v>
      </c>
      <c r="D547" s="29">
        <v>1001473220</v>
      </c>
      <c r="E547" s="29">
        <v>10347380</v>
      </c>
      <c r="F547" s="29" t="s">
        <v>1621</v>
      </c>
      <c r="G547" s="29" t="s">
        <v>49</v>
      </c>
      <c r="H547" s="29" t="s">
        <v>48</v>
      </c>
    </row>
    <row r="548" hidden="1" spans="2:8">
      <c r="B548" s="30">
        <v>0.416666666666667</v>
      </c>
      <c r="C548" s="30">
        <v>0.791666666666667</v>
      </c>
      <c r="D548" s="29">
        <v>1558822005</v>
      </c>
      <c r="E548" s="29" t="s">
        <v>2588</v>
      </c>
      <c r="F548" s="29" t="s">
        <v>2662</v>
      </c>
      <c r="G548" s="29" t="s">
        <v>37</v>
      </c>
      <c r="H548" s="29" t="s">
        <v>195</v>
      </c>
    </row>
    <row r="549" hidden="1" spans="2:8">
      <c r="B549" s="30">
        <v>0.416666666666667</v>
      </c>
      <c r="C549" s="30">
        <v>0.791666666666667</v>
      </c>
      <c r="D549" s="29">
        <v>1555371580</v>
      </c>
      <c r="E549" s="29" t="s">
        <v>2588</v>
      </c>
      <c r="F549" s="29" t="s">
        <v>35</v>
      </c>
      <c r="G549" s="29" t="s">
        <v>37</v>
      </c>
      <c r="H549" s="29" t="s">
        <v>195</v>
      </c>
    </row>
    <row r="550" hidden="1" spans="2:8">
      <c r="B550" s="30">
        <v>0.416666666666667</v>
      </c>
      <c r="C550" s="30">
        <v>0.791666666666667</v>
      </c>
      <c r="D550" s="29">
        <v>1123157857</v>
      </c>
      <c r="E550" s="29" t="s">
        <v>2588</v>
      </c>
      <c r="F550" s="29" t="s">
        <v>2663</v>
      </c>
      <c r="G550" s="29" t="s">
        <v>37</v>
      </c>
      <c r="H550" s="29" t="s">
        <v>36</v>
      </c>
    </row>
    <row r="551" hidden="1" spans="2:8">
      <c r="B551" s="30">
        <v>0.416666666666667</v>
      </c>
      <c r="C551" s="30">
        <v>0.791666666666667</v>
      </c>
      <c r="D551" s="29">
        <v>1557734323</v>
      </c>
      <c r="E551" s="29" t="s">
        <v>2588</v>
      </c>
      <c r="F551" s="29" t="s">
        <v>2664</v>
      </c>
      <c r="G551" s="29" t="s">
        <v>37</v>
      </c>
      <c r="H551" s="29" t="s">
        <v>2665</v>
      </c>
    </row>
    <row r="552" hidden="1" spans="2:8">
      <c r="B552" s="30">
        <v>0.416666666666667</v>
      </c>
      <c r="C552" s="30">
        <v>0.791666666666667</v>
      </c>
      <c r="D552" s="29">
        <v>1274580847</v>
      </c>
      <c r="E552" s="29" t="s">
        <v>2588</v>
      </c>
      <c r="F552" s="29" t="s">
        <v>2666</v>
      </c>
      <c r="G552" s="29" t="s">
        <v>37</v>
      </c>
      <c r="H552" s="29" t="s">
        <v>2665</v>
      </c>
    </row>
    <row r="553" hidden="1" spans="2:8">
      <c r="B553" s="30">
        <v>0.416666666666667</v>
      </c>
      <c r="C553" s="30">
        <v>0.791666666666667</v>
      </c>
      <c r="D553" s="29" t="s">
        <v>2667</v>
      </c>
      <c r="E553" s="29" t="s">
        <v>2588</v>
      </c>
      <c r="F553" s="29" t="s">
        <v>2668</v>
      </c>
      <c r="G553" s="29" t="s">
        <v>37</v>
      </c>
      <c r="H553" s="29" t="s">
        <v>2665</v>
      </c>
    </row>
    <row r="554" hidden="1" spans="2:8">
      <c r="B554" s="30">
        <v>0.416666666666667</v>
      </c>
      <c r="C554" s="30">
        <v>0.791666666666667</v>
      </c>
      <c r="D554" s="29">
        <v>1097080067</v>
      </c>
      <c r="E554" s="29" t="s">
        <v>2588</v>
      </c>
      <c r="F554" s="29" t="s">
        <v>1264</v>
      </c>
      <c r="G554" s="29" t="s">
        <v>37</v>
      </c>
      <c r="H554" s="29" t="s">
        <v>115</v>
      </c>
    </row>
    <row r="555" hidden="1" spans="2:8">
      <c r="B555" s="30">
        <v>0.416666666666667</v>
      </c>
      <c r="C555" s="30">
        <v>0.791666666666667</v>
      </c>
      <c r="D555" s="29">
        <v>1275574497</v>
      </c>
      <c r="E555" s="29" t="s">
        <v>2588</v>
      </c>
      <c r="F555" s="29" t="s">
        <v>2669</v>
      </c>
      <c r="G555" s="29" t="s">
        <v>37</v>
      </c>
      <c r="H555" s="29" t="s">
        <v>2670</v>
      </c>
    </row>
    <row r="556" hidden="1" spans="2:8">
      <c r="B556" s="30">
        <v>0.375</v>
      </c>
      <c r="C556" s="30">
        <v>0.75</v>
      </c>
      <c r="D556" s="29">
        <v>1066387689</v>
      </c>
      <c r="E556" s="29">
        <v>10318434</v>
      </c>
      <c r="F556" s="29" t="s">
        <v>193</v>
      </c>
      <c r="G556" s="29" t="s">
        <v>37</v>
      </c>
      <c r="H556" s="29" t="s">
        <v>91</v>
      </c>
    </row>
    <row r="557" hidden="1" spans="2:8">
      <c r="B557" s="30">
        <v>0.375</v>
      </c>
      <c r="C557" s="30">
        <v>0.75</v>
      </c>
      <c r="D557" s="29">
        <v>1142809029</v>
      </c>
      <c r="E557" s="29">
        <v>10331624</v>
      </c>
      <c r="F557" s="29" t="s">
        <v>469</v>
      </c>
      <c r="G557" s="29" t="s">
        <v>37</v>
      </c>
      <c r="H557" s="29" t="s">
        <v>36</v>
      </c>
    </row>
    <row r="558" hidden="1" spans="2:8">
      <c r="B558" s="30">
        <v>0.416666666666667</v>
      </c>
      <c r="C558" s="30">
        <v>0.791666666666667</v>
      </c>
      <c r="D558" s="29">
        <v>1275449276</v>
      </c>
      <c r="E558" s="29">
        <v>10337461</v>
      </c>
      <c r="F558" s="29" t="s">
        <v>1182</v>
      </c>
      <c r="G558" s="29" t="s">
        <v>37</v>
      </c>
      <c r="H558" s="29" t="s">
        <v>36</v>
      </c>
    </row>
    <row r="559" hidden="1" spans="2:8">
      <c r="B559" s="30">
        <v>0.791666666666667</v>
      </c>
      <c r="C559" s="30">
        <v>0.166666666666667</v>
      </c>
      <c r="D559" s="29">
        <v>0</v>
      </c>
      <c r="E559" s="29">
        <v>10333590</v>
      </c>
      <c r="F559" s="29" t="s">
        <v>568</v>
      </c>
      <c r="G559" s="29" t="s">
        <v>37</v>
      </c>
      <c r="H559" s="29" t="s">
        <v>91</v>
      </c>
    </row>
    <row r="560" hidden="1" spans="2:8">
      <c r="B560" s="30">
        <v>0.791666666666667</v>
      </c>
      <c r="C560" s="30">
        <v>0.166666666666667</v>
      </c>
      <c r="D560" s="29">
        <v>1008361694</v>
      </c>
      <c r="E560" s="29">
        <v>10333447</v>
      </c>
      <c r="F560" s="29" t="s">
        <v>567</v>
      </c>
      <c r="G560" s="29" t="s">
        <v>37</v>
      </c>
      <c r="H560" s="29" t="s">
        <v>91</v>
      </c>
    </row>
    <row r="561" hidden="1" spans="2:8">
      <c r="B561" s="30">
        <v>0.375</v>
      </c>
      <c r="C561" s="30">
        <v>0.791666666666667</v>
      </c>
      <c r="D561" s="29">
        <v>1112616693</v>
      </c>
      <c r="E561" s="29">
        <v>10337449</v>
      </c>
      <c r="F561" s="29" t="s">
        <v>1183</v>
      </c>
      <c r="G561" s="29" t="s">
        <v>37</v>
      </c>
      <c r="H561" s="29" t="s">
        <v>36</v>
      </c>
    </row>
    <row r="562" hidden="1" spans="2:8">
      <c r="B562" s="30">
        <v>0.625</v>
      </c>
      <c r="C562" s="30">
        <v>0</v>
      </c>
      <c r="D562" s="29">
        <v>1109165438</v>
      </c>
      <c r="E562" s="29">
        <v>10347427</v>
      </c>
      <c r="F562" s="29" t="s">
        <v>1719</v>
      </c>
      <c r="G562" s="29" t="s">
        <v>37</v>
      </c>
      <c r="H562" s="29" t="s">
        <v>115</v>
      </c>
    </row>
    <row r="563" hidden="1" spans="2:8">
      <c r="B563" s="30">
        <v>0.625</v>
      </c>
      <c r="C563" s="30">
        <v>0</v>
      </c>
      <c r="D563" s="29">
        <v>1017913776</v>
      </c>
      <c r="E563" s="29">
        <v>10347429</v>
      </c>
      <c r="F563" s="29" t="s">
        <v>1721</v>
      </c>
      <c r="G563" s="29" t="s">
        <v>37</v>
      </c>
      <c r="H563" s="29" t="s">
        <v>131</v>
      </c>
    </row>
    <row r="564" hidden="1" spans="2:8">
      <c r="B564" s="30">
        <v>0.375</v>
      </c>
      <c r="C564" s="30">
        <v>0.75</v>
      </c>
      <c r="D564" s="29">
        <v>1029503393</v>
      </c>
      <c r="E564" s="29">
        <v>10329243</v>
      </c>
      <c r="F564" s="29" t="s">
        <v>384</v>
      </c>
      <c r="G564" s="29" t="s">
        <v>37</v>
      </c>
      <c r="H564" s="29" t="s">
        <v>36</v>
      </c>
    </row>
    <row r="565" hidden="1" spans="2:8">
      <c r="B565" s="30">
        <v>0.375</v>
      </c>
      <c r="C565" s="30">
        <v>0.75</v>
      </c>
      <c r="D565" s="29">
        <v>1154496491</v>
      </c>
      <c r="E565" s="29">
        <v>10330118</v>
      </c>
      <c r="F565" s="29" t="s">
        <v>475</v>
      </c>
      <c r="G565" s="29" t="s">
        <v>37</v>
      </c>
      <c r="H565" s="29" t="s">
        <v>36</v>
      </c>
    </row>
    <row r="566" hidden="1" spans="2:8">
      <c r="B566" s="30">
        <v>0.416666666666667</v>
      </c>
      <c r="C566" s="30">
        <v>0.791666666666667</v>
      </c>
      <c r="D566" s="29">
        <v>1553299454</v>
      </c>
      <c r="E566" s="29">
        <v>10326121</v>
      </c>
      <c r="F566" s="29" t="s">
        <v>157</v>
      </c>
      <c r="G566" s="29" t="s">
        <v>37</v>
      </c>
      <c r="H566" s="29" t="s">
        <v>36</v>
      </c>
    </row>
    <row r="567" hidden="1" spans="2:8">
      <c r="B567" s="30">
        <v>0.375</v>
      </c>
      <c r="C567" s="30">
        <v>0.791666666666667</v>
      </c>
      <c r="D567" s="29">
        <v>1030878125</v>
      </c>
      <c r="E567" s="29">
        <v>10341133</v>
      </c>
      <c r="F567" s="29" t="s">
        <v>1380</v>
      </c>
      <c r="G567" s="29" t="s">
        <v>37</v>
      </c>
      <c r="H567" s="29" t="s">
        <v>36</v>
      </c>
    </row>
    <row r="568" hidden="1" spans="2:8">
      <c r="B568" s="30">
        <v>0.375</v>
      </c>
      <c r="C568" s="30">
        <v>0.791666666666667</v>
      </c>
      <c r="D568" s="29">
        <v>1011275160</v>
      </c>
      <c r="E568" s="29">
        <v>10337710</v>
      </c>
      <c r="F568" s="29" t="s">
        <v>1184</v>
      </c>
      <c r="G568" s="29" t="s">
        <v>37</v>
      </c>
      <c r="H568" s="29" t="s">
        <v>91</v>
      </c>
    </row>
    <row r="569" hidden="1" spans="2:8">
      <c r="B569" s="30">
        <v>0.375</v>
      </c>
      <c r="C569" s="30">
        <v>0.75</v>
      </c>
      <c r="D569" s="29">
        <v>1112750439</v>
      </c>
      <c r="E569" s="29">
        <v>10341127</v>
      </c>
      <c r="F569" s="29" t="s">
        <v>1379</v>
      </c>
      <c r="G569" s="29" t="s">
        <v>37</v>
      </c>
      <c r="H569" s="29" t="s">
        <v>36</v>
      </c>
    </row>
    <row r="570" hidden="1" spans="2:8">
      <c r="B570" s="30">
        <v>0.375</v>
      </c>
      <c r="C570" s="30">
        <v>0.791666666666667</v>
      </c>
      <c r="D570" s="29">
        <v>1101289093</v>
      </c>
      <c r="E570" s="29">
        <v>10337481</v>
      </c>
      <c r="F570" s="29" t="s">
        <v>1095</v>
      </c>
      <c r="G570" s="29" t="s">
        <v>37</v>
      </c>
      <c r="H570" s="29" t="s">
        <v>115</v>
      </c>
    </row>
    <row r="571" hidden="1" spans="2:8">
      <c r="B571" s="30">
        <v>0.416666666666667</v>
      </c>
      <c r="C571" s="30">
        <v>0.791666666666667</v>
      </c>
      <c r="D571" s="29">
        <v>1022617981</v>
      </c>
      <c r="E571" s="29">
        <v>10337486</v>
      </c>
      <c r="F571" s="29" t="s">
        <v>974</v>
      </c>
      <c r="G571" s="29" t="s">
        <v>37</v>
      </c>
      <c r="H571" s="29" t="s">
        <v>36</v>
      </c>
    </row>
    <row r="572" hidden="1" spans="2:8">
      <c r="B572" s="30">
        <v>0.375</v>
      </c>
      <c r="C572" s="30">
        <v>0.791666666666667</v>
      </c>
      <c r="D572" s="29">
        <v>1008169172</v>
      </c>
      <c r="E572" s="29">
        <v>10347384</v>
      </c>
      <c r="F572" s="29" t="s">
        <v>1807</v>
      </c>
      <c r="G572" s="29" t="s">
        <v>37</v>
      </c>
      <c r="H572" s="29" t="s">
        <v>36</v>
      </c>
    </row>
    <row r="573" hidden="1" spans="2:8">
      <c r="B573" s="30">
        <v>0.416666666666667</v>
      </c>
      <c r="C573" s="30">
        <v>0.791666666666667</v>
      </c>
      <c r="D573" s="29">
        <v>1207281495</v>
      </c>
      <c r="E573" s="29">
        <v>10347383</v>
      </c>
      <c r="F573" s="29" t="s">
        <v>1808</v>
      </c>
      <c r="G573" s="29" t="s">
        <v>37</v>
      </c>
      <c r="H573" s="29" t="s">
        <v>36</v>
      </c>
    </row>
    <row r="574" hidden="1" spans="2:8">
      <c r="B574" s="30">
        <v>0.5</v>
      </c>
      <c r="C574" s="30">
        <v>0.833333333333333</v>
      </c>
      <c r="D574" s="29">
        <v>1001272857</v>
      </c>
      <c r="E574" s="29">
        <v>10334689</v>
      </c>
      <c r="F574" s="29" t="s">
        <v>767</v>
      </c>
      <c r="G574" s="29" t="s">
        <v>37</v>
      </c>
      <c r="H574" s="29" t="s">
        <v>36</v>
      </c>
    </row>
    <row r="575" hidden="1" spans="2:8">
      <c r="B575" s="30">
        <v>0.708333333333333</v>
      </c>
      <c r="C575" s="30">
        <v>0.0833333333333333</v>
      </c>
      <c r="D575" s="29">
        <v>1061357183</v>
      </c>
      <c r="E575" s="29">
        <v>10212362</v>
      </c>
      <c r="F575" s="29" t="s">
        <v>204</v>
      </c>
      <c r="G575" s="29" t="s">
        <v>37</v>
      </c>
      <c r="H575" s="29" t="s">
        <v>36</v>
      </c>
    </row>
    <row r="576" hidden="1" spans="2:8">
      <c r="B576" s="30" t="s">
        <v>1937</v>
      </c>
      <c r="C576" s="30" t="s">
        <v>1937</v>
      </c>
      <c r="D576" s="29">
        <v>1200098880</v>
      </c>
      <c r="E576" s="29">
        <v>10339003</v>
      </c>
      <c r="F576" s="29" t="s">
        <v>1236</v>
      </c>
      <c r="G576" s="29" t="s">
        <v>37</v>
      </c>
      <c r="H576" s="29" t="s">
        <v>131</v>
      </c>
    </row>
    <row r="577" hidden="1" spans="2:8">
      <c r="B577" s="30">
        <v>0.625</v>
      </c>
      <c r="C577" s="30">
        <v>0</v>
      </c>
      <c r="D577" s="29">
        <v>1050882233</v>
      </c>
      <c r="E577" s="29">
        <v>10342600</v>
      </c>
      <c r="F577" s="29" t="s">
        <v>1354</v>
      </c>
      <c r="G577" s="29" t="s">
        <v>37</v>
      </c>
      <c r="H577" s="29" t="s">
        <v>131</v>
      </c>
    </row>
    <row r="578" hidden="1" spans="2:8">
      <c r="B578" s="30" t="s">
        <v>1937</v>
      </c>
      <c r="C578" s="30" t="s">
        <v>1937</v>
      </c>
      <c r="D578" s="29">
        <v>1116092120</v>
      </c>
      <c r="E578" s="29">
        <v>10341802</v>
      </c>
      <c r="F578" s="29" t="s">
        <v>1343</v>
      </c>
      <c r="G578" s="29" t="s">
        <v>37</v>
      </c>
      <c r="H578" s="29" t="s">
        <v>91</v>
      </c>
    </row>
    <row r="579" hidden="1" spans="2:8">
      <c r="B579" s="30">
        <v>0.625</v>
      </c>
      <c r="C579" s="30">
        <v>0</v>
      </c>
      <c r="D579" s="29">
        <v>1061453502</v>
      </c>
      <c r="E579" s="29">
        <v>10338973</v>
      </c>
      <c r="F579" s="29" t="s">
        <v>1233</v>
      </c>
      <c r="G579" s="29" t="s">
        <v>37</v>
      </c>
      <c r="H579" s="29" t="s">
        <v>36</v>
      </c>
    </row>
    <row r="580" hidden="1" spans="2:8">
      <c r="B580" s="30">
        <v>0.625</v>
      </c>
      <c r="C580" s="30">
        <v>0</v>
      </c>
      <c r="D580" s="29">
        <v>1060778921</v>
      </c>
      <c r="E580" s="29">
        <v>10337730</v>
      </c>
      <c r="F580" s="29" t="s">
        <v>1107</v>
      </c>
      <c r="G580" s="29" t="s">
        <v>37</v>
      </c>
      <c r="H580" s="29" t="s">
        <v>36</v>
      </c>
    </row>
    <row r="581" hidden="1" spans="2:8">
      <c r="B581" s="30">
        <v>0.5</v>
      </c>
      <c r="C581" s="30">
        <v>0.875</v>
      </c>
      <c r="D581" s="29">
        <v>1020090701</v>
      </c>
      <c r="E581" s="29">
        <v>10341807</v>
      </c>
      <c r="F581" s="29" t="s">
        <v>1341</v>
      </c>
      <c r="G581" s="29" t="s">
        <v>37</v>
      </c>
      <c r="H581" s="29" t="s">
        <v>195</v>
      </c>
    </row>
    <row r="582" hidden="1" spans="2:8">
      <c r="B582" s="30">
        <v>0.625</v>
      </c>
      <c r="C582" s="30">
        <v>0</v>
      </c>
      <c r="D582" s="29">
        <v>1004708495</v>
      </c>
      <c r="E582" s="29">
        <v>10343862</v>
      </c>
      <c r="F582" s="29" t="s">
        <v>1469</v>
      </c>
      <c r="G582" s="29" t="s">
        <v>37</v>
      </c>
      <c r="H582" s="29" t="s">
        <v>36</v>
      </c>
    </row>
    <row r="583" hidden="1" spans="2:8">
      <c r="B583" s="30">
        <v>0.625</v>
      </c>
      <c r="C583" s="30">
        <v>0</v>
      </c>
      <c r="D583" s="29">
        <v>1152662567</v>
      </c>
      <c r="E583" s="29">
        <v>10341301</v>
      </c>
      <c r="F583" s="29" t="s">
        <v>1319</v>
      </c>
      <c r="G583" s="29" t="s">
        <v>37</v>
      </c>
      <c r="H583" s="29" t="s">
        <v>36</v>
      </c>
    </row>
    <row r="584" hidden="1" spans="2:8">
      <c r="B584" s="30">
        <v>0.625</v>
      </c>
      <c r="C584" s="30">
        <v>0</v>
      </c>
      <c r="D584" s="29">
        <v>1149238079</v>
      </c>
      <c r="E584" s="29">
        <v>10341212</v>
      </c>
      <c r="F584" s="29" t="s">
        <v>1313</v>
      </c>
      <c r="G584" s="29" t="s">
        <v>37</v>
      </c>
      <c r="H584" s="29" t="s">
        <v>36</v>
      </c>
    </row>
    <row r="585" hidden="1" spans="2:8">
      <c r="B585" s="30">
        <v>0.5</v>
      </c>
      <c r="C585" s="30">
        <v>0.875</v>
      </c>
      <c r="D585" s="29">
        <v>1062921908</v>
      </c>
      <c r="E585" s="29">
        <v>10341300</v>
      </c>
      <c r="F585" s="29" t="s">
        <v>1318</v>
      </c>
      <c r="G585" s="29" t="s">
        <v>37</v>
      </c>
      <c r="H585" s="29" t="s">
        <v>36</v>
      </c>
    </row>
    <row r="586" hidden="1" spans="2:8">
      <c r="B586" s="30" t="s">
        <v>1937</v>
      </c>
      <c r="C586" s="30" t="s">
        <v>1937</v>
      </c>
      <c r="D586" s="29">
        <v>1065136845</v>
      </c>
      <c r="E586" s="29">
        <v>10338551</v>
      </c>
      <c r="F586" s="29" t="s">
        <v>1199</v>
      </c>
      <c r="G586" s="29" t="s">
        <v>37</v>
      </c>
      <c r="H586" s="29" t="s">
        <v>91</v>
      </c>
    </row>
    <row r="587" hidden="1" spans="2:8">
      <c r="B587" s="30" t="s">
        <v>1937</v>
      </c>
      <c r="C587" s="30" t="s">
        <v>1937</v>
      </c>
      <c r="D587" s="29">
        <v>1150177584</v>
      </c>
      <c r="E587" s="29">
        <v>10334738</v>
      </c>
      <c r="F587" s="29" t="s">
        <v>695</v>
      </c>
      <c r="G587" s="29" t="s">
        <v>37</v>
      </c>
      <c r="H587" s="29" t="s">
        <v>36</v>
      </c>
    </row>
    <row r="588" hidden="1" spans="2:8">
      <c r="B588" s="30">
        <v>0.5</v>
      </c>
      <c r="C588" s="30">
        <v>0.875</v>
      </c>
      <c r="D588" s="29">
        <v>1030947913</v>
      </c>
      <c r="E588" s="29">
        <v>10334715</v>
      </c>
      <c r="F588" s="29" t="s">
        <v>701</v>
      </c>
      <c r="G588" s="29" t="s">
        <v>37</v>
      </c>
      <c r="H588" s="29" t="s">
        <v>91</v>
      </c>
    </row>
    <row r="589" hidden="1" spans="2:8">
      <c r="B589" s="30">
        <v>0.583333333333333</v>
      </c>
      <c r="C589" s="30">
        <v>0.958333333333333</v>
      </c>
      <c r="D589" s="29">
        <v>1070847564</v>
      </c>
      <c r="E589" s="29">
        <v>10285962</v>
      </c>
      <c r="F589" s="29" t="s">
        <v>1827</v>
      </c>
      <c r="G589" s="29" t="s">
        <v>37</v>
      </c>
      <c r="H589" s="29" t="s">
        <v>195</v>
      </c>
    </row>
    <row r="590" hidden="1" spans="2:8">
      <c r="B590" s="30" t="s">
        <v>1937</v>
      </c>
      <c r="C590" s="30" t="s">
        <v>1937</v>
      </c>
      <c r="D590" s="29">
        <v>1110397373</v>
      </c>
      <c r="E590" s="29">
        <v>10328563</v>
      </c>
      <c r="F590" s="29" t="s">
        <v>1871</v>
      </c>
      <c r="G590" s="29" t="s">
        <v>37</v>
      </c>
      <c r="H590" s="29" t="s">
        <v>195</v>
      </c>
    </row>
    <row r="591" hidden="1" spans="2:8">
      <c r="B591" s="30" t="s">
        <v>1937</v>
      </c>
      <c r="C591" s="30" t="s">
        <v>1937</v>
      </c>
      <c r="D591" s="29">
        <v>1001035542</v>
      </c>
      <c r="E591" s="29">
        <v>10331761</v>
      </c>
      <c r="F591" s="29" t="s">
        <v>1872</v>
      </c>
      <c r="G591" s="29" t="s">
        <v>37</v>
      </c>
      <c r="H591" s="29" t="s">
        <v>1766</v>
      </c>
    </row>
    <row r="592" hidden="1" spans="2:8">
      <c r="B592" s="30" t="s">
        <v>1937</v>
      </c>
      <c r="C592" s="30" t="s">
        <v>1937</v>
      </c>
      <c r="D592" s="29" t="s">
        <v>1874</v>
      </c>
      <c r="E592" s="29">
        <v>10333168</v>
      </c>
      <c r="F592" s="29" t="s">
        <v>1873</v>
      </c>
      <c r="G592" s="29" t="s">
        <v>37</v>
      </c>
      <c r="H592" s="29" t="s">
        <v>115</v>
      </c>
    </row>
    <row r="593" hidden="1" spans="2:8">
      <c r="B593" s="30" t="s">
        <v>1937</v>
      </c>
      <c r="C593" s="30" t="s">
        <v>1937</v>
      </c>
      <c r="D593" s="29">
        <v>1551687375</v>
      </c>
      <c r="E593" s="29">
        <v>10335881</v>
      </c>
      <c r="F593" s="29" t="s">
        <v>1824</v>
      </c>
      <c r="G593" s="29" t="s">
        <v>37</v>
      </c>
      <c r="H593" s="29" t="s">
        <v>195</v>
      </c>
    </row>
    <row r="594" hidden="1" spans="2:8">
      <c r="B594" s="30">
        <v>0.666666666666667</v>
      </c>
      <c r="C594" s="30">
        <v>1.04166666666667</v>
      </c>
      <c r="D594" s="29">
        <v>1000993190</v>
      </c>
      <c r="E594" s="29">
        <v>10340363</v>
      </c>
      <c r="F594" s="29" t="s">
        <v>1875</v>
      </c>
      <c r="G594" s="29" t="s">
        <v>37</v>
      </c>
      <c r="H594" s="29" t="s">
        <v>36</v>
      </c>
    </row>
    <row r="595" hidden="1" spans="2:8">
      <c r="B595" s="30">
        <v>0.708333333333333</v>
      </c>
      <c r="C595" s="30">
        <v>1.29166666666667</v>
      </c>
      <c r="D595" s="29" t="s">
        <v>1826</v>
      </c>
      <c r="E595" s="29">
        <v>10340379</v>
      </c>
      <c r="F595" s="29" t="s">
        <v>1825</v>
      </c>
      <c r="G595" s="29" t="s">
        <v>37</v>
      </c>
      <c r="H595" s="29" t="s">
        <v>115</v>
      </c>
    </row>
    <row r="596" hidden="1" spans="2:8">
      <c r="B596" s="30" t="s">
        <v>1937</v>
      </c>
      <c r="C596" s="30" t="s">
        <v>1937</v>
      </c>
      <c r="D596" s="29">
        <v>1205409714</v>
      </c>
      <c r="E596" s="29">
        <v>10341007</v>
      </c>
      <c r="F596" s="29" t="s">
        <v>1876</v>
      </c>
      <c r="G596" s="29" t="s">
        <v>37</v>
      </c>
      <c r="H596" s="29" t="s">
        <v>195</v>
      </c>
    </row>
    <row r="597" hidden="1" spans="2:8">
      <c r="B597" s="30">
        <v>0.666666666666667</v>
      </c>
      <c r="C597" s="30">
        <v>1.25</v>
      </c>
      <c r="D597" s="29">
        <v>0</v>
      </c>
      <c r="E597" s="29">
        <v>10341599</v>
      </c>
      <c r="F597" s="29" t="s">
        <v>1838</v>
      </c>
      <c r="G597" s="29" t="s">
        <v>37</v>
      </c>
      <c r="H597" s="29" t="s">
        <v>36</v>
      </c>
    </row>
    <row r="598" hidden="1" spans="2:8">
      <c r="B598" s="30">
        <v>0.75</v>
      </c>
      <c r="C598" s="30">
        <v>1.16666666666667</v>
      </c>
      <c r="D598" s="29">
        <v>1012767690</v>
      </c>
      <c r="E598" s="29">
        <v>10348422</v>
      </c>
      <c r="F598" s="29" t="s">
        <v>1877</v>
      </c>
      <c r="G598" s="29" t="s">
        <v>37</v>
      </c>
      <c r="H598" s="29" t="s">
        <v>36</v>
      </c>
    </row>
    <row r="599" hidden="1" spans="2:8">
      <c r="B599" s="30">
        <v>0.708333333333333</v>
      </c>
      <c r="C599" s="30">
        <v>1.29166666666667</v>
      </c>
      <c r="D599" s="29">
        <v>1055343683</v>
      </c>
      <c r="E599" s="29">
        <v>10348847</v>
      </c>
      <c r="F599" s="29" t="s">
        <v>1878</v>
      </c>
      <c r="G599" s="29" t="s">
        <v>37</v>
      </c>
      <c r="H599" s="29" t="s">
        <v>36</v>
      </c>
    </row>
    <row r="600" hidden="1" spans="2:8">
      <c r="B600" s="30">
        <v>0.583333333333333</v>
      </c>
      <c r="C600" s="30">
        <v>1</v>
      </c>
      <c r="D600" s="29">
        <v>1050623708</v>
      </c>
      <c r="E600" s="29">
        <v>10306605</v>
      </c>
      <c r="F600" s="29" t="s">
        <v>1692</v>
      </c>
      <c r="G600" s="29" t="s">
        <v>37</v>
      </c>
      <c r="H600" s="29" t="s">
        <v>36</v>
      </c>
    </row>
    <row r="601" hidden="1" spans="2:8">
      <c r="B601" s="30">
        <v>0.833333333333333</v>
      </c>
      <c r="C601" s="30">
        <v>0.333333333333333</v>
      </c>
      <c r="D601" s="29">
        <v>1555036873</v>
      </c>
      <c r="E601" s="29">
        <v>10317235</v>
      </c>
      <c r="F601" s="29" t="s">
        <v>1770</v>
      </c>
      <c r="G601" s="29" t="s">
        <v>37</v>
      </c>
      <c r="H601" s="29" t="s">
        <v>115</v>
      </c>
    </row>
    <row r="602" hidden="1" spans="2:8">
      <c r="B602" s="30">
        <v>0.625</v>
      </c>
      <c r="C602" s="30">
        <v>1</v>
      </c>
      <c r="D602" s="29">
        <v>1500488938</v>
      </c>
      <c r="E602" s="29">
        <v>10335911</v>
      </c>
      <c r="F602" s="29" t="s">
        <v>1695</v>
      </c>
      <c r="G602" s="29" t="s">
        <v>37</v>
      </c>
      <c r="H602" s="29" t="s">
        <v>195</v>
      </c>
    </row>
    <row r="603" hidden="1" spans="2:8">
      <c r="B603" s="30">
        <v>0.666666666666667</v>
      </c>
      <c r="C603" s="30">
        <v>1.16666666666667</v>
      </c>
      <c r="D603" s="29">
        <v>0</v>
      </c>
      <c r="E603" s="29">
        <v>10337109</v>
      </c>
      <c r="F603" s="29" t="s">
        <v>1630</v>
      </c>
      <c r="G603" s="29" t="s">
        <v>37</v>
      </c>
      <c r="H603" s="29" t="s">
        <v>131</v>
      </c>
    </row>
    <row r="604" hidden="1" spans="2:8">
      <c r="B604" s="30">
        <v>0.916666666666667</v>
      </c>
      <c r="C604" s="30">
        <v>1.29166666666667</v>
      </c>
      <c r="D604" s="29">
        <v>1095250514</v>
      </c>
      <c r="E604" s="29">
        <v>10340416</v>
      </c>
      <c r="F604" s="29" t="s">
        <v>1765</v>
      </c>
      <c r="G604" s="29" t="s">
        <v>37</v>
      </c>
      <c r="H604" s="29" t="s">
        <v>115</v>
      </c>
    </row>
    <row r="605" hidden="1" spans="2:8">
      <c r="B605" s="30">
        <v>0.916666666666667</v>
      </c>
      <c r="C605" s="30">
        <v>1.29166666666667</v>
      </c>
      <c r="D605" s="29">
        <v>1153235087</v>
      </c>
      <c r="E605" s="29">
        <v>10341020</v>
      </c>
      <c r="F605" s="29" t="s">
        <v>1771</v>
      </c>
      <c r="G605" s="29" t="s">
        <v>37</v>
      </c>
      <c r="H605" s="29" t="s">
        <v>195</v>
      </c>
    </row>
    <row r="606" hidden="1" spans="2:8">
      <c r="B606" s="30" t="s">
        <v>1937</v>
      </c>
      <c r="C606" s="30" t="s">
        <v>1937</v>
      </c>
      <c r="D606" s="29">
        <v>1080445221</v>
      </c>
      <c r="E606" s="29">
        <v>10342331</v>
      </c>
      <c r="F606" s="29" t="s">
        <v>1764</v>
      </c>
      <c r="G606" s="29" t="s">
        <v>37</v>
      </c>
      <c r="H606" s="29" t="s">
        <v>115</v>
      </c>
    </row>
    <row r="607" hidden="1" spans="2:8">
      <c r="B607" s="30">
        <v>0.75</v>
      </c>
      <c r="C607" s="30">
        <v>1.125</v>
      </c>
      <c r="D607" s="29">
        <v>1026041099</v>
      </c>
      <c r="E607" s="29">
        <v>10344170</v>
      </c>
      <c r="F607" s="29" t="s">
        <v>1439</v>
      </c>
      <c r="G607" s="29" t="s">
        <v>37</v>
      </c>
      <c r="H607" s="29" t="s">
        <v>36</v>
      </c>
    </row>
    <row r="608" hidden="1" spans="2:8">
      <c r="B608" s="30" t="s">
        <v>1937</v>
      </c>
      <c r="C608" s="30" t="s">
        <v>1937</v>
      </c>
      <c r="D608" s="29">
        <v>1555097529</v>
      </c>
      <c r="E608" s="29">
        <v>10344175</v>
      </c>
      <c r="F608" s="29" t="s">
        <v>1438</v>
      </c>
      <c r="G608" s="29" t="s">
        <v>37</v>
      </c>
      <c r="H608" s="29" t="s">
        <v>131</v>
      </c>
    </row>
    <row r="609" hidden="1" spans="2:8">
      <c r="B609" s="30">
        <v>0.583333333333333</v>
      </c>
      <c r="C609" s="30">
        <v>0.958333333333333</v>
      </c>
      <c r="D609" s="29" t="s">
        <v>1435</v>
      </c>
      <c r="E609" s="29">
        <v>10344192</v>
      </c>
      <c r="F609" s="29" t="s">
        <v>1434</v>
      </c>
      <c r="G609" s="29" t="s">
        <v>37</v>
      </c>
      <c r="H609" s="29" t="s">
        <v>195</v>
      </c>
    </row>
    <row r="610" hidden="1" spans="2:8">
      <c r="B610" s="30">
        <v>0.833333333333333</v>
      </c>
      <c r="C610" s="30">
        <v>0.333333333333333</v>
      </c>
      <c r="D610" s="29">
        <v>1145149773</v>
      </c>
      <c r="E610" s="29">
        <v>10344235</v>
      </c>
      <c r="F610" s="29" t="s">
        <v>1437</v>
      </c>
      <c r="G610" s="29" t="s">
        <v>37</v>
      </c>
      <c r="H610" s="29" t="s">
        <v>36</v>
      </c>
    </row>
    <row r="611" hidden="1" spans="2:8">
      <c r="B611" s="30">
        <v>0.75</v>
      </c>
      <c r="C611" s="30">
        <v>1.25</v>
      </c>
      <c r="D611" s="29">
        <v>1551584488</v>
      </c>
      <c r="E611" s="29">
        <v>10344250</v>
      </c>
      <c r="F611" s="29" t="s">
        <v>1416</v>
      </c>
      <c r="G611" s="29" t="s">
        <v>37</v>
      </c>
      <c r="H611" s="29" t="s">
        <v>36</v>
      </c>
    </row>
    <row r="612" hidden="1" spans="2:8">
      <c r="B612" s="30">
        <v>0.583333333333333</v>
      </c>
      <c r="C612" s="30">
        <v>0.958333333333333</v>
      </c>
      <c r="D612" s="29">
        <v>1121899603</v>
      </c>
      <c r="E612" s="29">
        <v>10344278</v>
      </c>
      <c r="F612" s="29" t="s">
        <v>1442</v>
      </c>
      <c r="G612" s="29" t="s">
        <v>37</v>
      </c>
      <c r="H612" s="29" t="s">
        <v>195</v>
      </c>
    </row>
    <row r="613" hidden="1" spans="2:8">
      <c r="B613" s="30">
        <v>0.833333333333333</v>
      </c>
      <c r="C613" s="30">
        <v>1.29166666666667</v>
      </c>
      <c r="D613" s="29">
        <v>1505849880</v>
      </c>
      <c r="E613" s="29">
        <v>10344860</v>
      </c>
      <c r="F613" s="29" t="s">
        <v>1524</v>
      </c>
      <c r="G613" s="29" t="s">
        <v>37</v>
      </c>
      <c r="H613" s="29" t="s">
        <v>131</v>
      </c>
    </row>
    <row r="614" hidden="1" spans="2:8">
      <c r="B614" s="30">
        <v>0.625</v>
      </c>
      <c r="C614" s="30">
        <v>1</v>
      </c>
      <c r="D614" s="29">
        <v>1153210480</v>
      </c>
      <c r="E614" s="29">
        <v>10344865</v>
      </c>
      <c r="F614" s="29" t="s">
        <v>1530</v>
      </c>
      <c r="G614" s="29" t="s">
        <v>37</v>
      </c>
      <c r="H614" s="29" t="s">
        <v>36</v>
      </c>
    </row>
    <row r="615" hidden="1" spans="2:8">
      <c r="B615" s="30">
        <v>0.625</v>
      </c>
      <c r="C615" s="30">
        <v>1</v>
      </c>
      <c r="D615" s="29">
        <v>1023850840</v>
      </c>
      <c r="E615" s="29">
        <v>10344883</v>
      </c>
      <c r="F615" s="29" t="s">
        <v>1532</v>
      </c>
      <c r="G615" s="29" t="s">
        <v>37</v>
      </c>
      <c r="H615" s="29" t="s">
        <v>115</v>
      </c>
    </row>
    <row r="616" hidden="1" spans="2:8">
      <c r="B616" s="30">
        <v>0.625</v>
      </c>
      <c r="C616" s="30">
        <v>1</v>
      </c>
      <c r="D616" s="29">
        <v>1099361043</v>
      </c>
      <c r="E616" s="29">
        <v>10344884</v>
      </c>
      <c r="F616" s="29" t="s">
        <v>1533</v>
      </c>
      <c r="G616" s="29" t="s">
        <v>37</v>
      </c>
      <c r="H616" s="29" t="s">
        <v>91</v>
      </c>
    </row>
    <row r="617" hidden="1" spans="2:8">
      <c r="B617" s="30">
        <v>0.625</v>
      </c>
      <c r="C617" s="30">
        <v>1</v>
      </c>
      <c r="D617" s="29">
        <v>1116231956</v>
      </c>
      <c r="E617" s="29">
        <v>10344885</v>
      </c>
      <c r="F617" s="29" t="s">
        <v>1558</v>
      </c>
      <c r="G617" s="29" t="s">
        <v>37</v>
      </c>
      <c r="H617" s="29" t="s">
        <v>36</v>
      </c>
    </row>
    <row r="618" hidden="1" spans="2:8">
      <c r="B618" s="30">
        <v>0.583333333333333</v>
      </c>
      <c r="C618" s="30">
        <v>0.958333333333333</v>
      </c>
      <c r="D618" s="29" t="s">
        <v>1535</v>
      </c>
      <c r="E618" s="29">
        <v>10344900</v>
      </c>
      <c r="F618" s="29" t="s">
        <v>1534</v>
      </c>
      <c r="G618" s="29" t="s">
        <v>37</v>
      </c>
      <c r="H618" s="29" t="s">
        <v>131</v>
      </c>
    </row>
    <row r="619" spans="2:8">
      <c r="B619" s="30">
        <v>0.958333333333333</v>
      </c>
      <c r="C619" s="30">
        <v>0.333333333333333</v>
      </c>
      <c r="D619" s="29">
        <v>1094190472</v>
      </c>
      <c r="E619" s="29">
        <v>10345545</v>
      </c>
      <c r="F619" s="29" t="s">
        <v>1559</v>
      </c>
      <c r="G619" s="29" t="s">
        <v>37</v>
      </c>
      <c r="H619" s="29" t="s">
        <v>131</v>
      </c>
    </row>
    <row r="620" hidden="1" spans="2:8">
      <c r="B620" s="30">
        <v>0.583333333333333</v>
      </c>
      <c r="C620" s="30">
        <v>0.958333333333333</v>
      </c>
      <c r="D620" s="29">
        <v>1143585920</v>
      </c>
      <c r="E620" s="29">
        <v>10346011</v>
      </c>
      <c r="F620" s="29" t="s">
        <v>1542</v>
      </c>
      <c r="G620" s="29" t="s">
        <v>37</v>
      </c>
      <c r="H620" s="29" t="s">
        <v>195</v>
      </c>
    </row>
    <row r="621" spans="2:8">
      <c r="B621" s="30">
        <v>0.958333333333333</v>
      </c>
      <c r="C621" s="30">
        <v>0.333333333333333</v>
      </c>
      <c r="D621" s="29">
        <v>1281887573</v>
      </c>
      <c r="E621" s="29">
        <v>10346088</v>
      </c>
      <c r="F621" s="29" t="s">
        <v>1548</v>
      </c>
      <c r="G621" s="29" t="s">
        <v>37</v>
      </c>
      <c r="H621" s="29" t="s">
        <v>36</v>
      </c>
    </row>
    <row r="622" hidden="1" spans="2:8">
      <c r="B622" s="30">
        <v>0.583333333333333</v>
      </c>
      <c r="C622" s="30">
        <v>0.958333333333333</v>
      </c>
      <c r="D622" s="29" t="s">
        <v>1555</v>
      </c>
      <c r="E622" s="29">
        <v>10346149</v>
      </c>
      <c r="F622" s="29" t="s">
        <v>1554</v>
      </c>
      <c r="G622" s="29" t="s">
        <v>37</v>
      </c>
      <c r="H622" s="29" t="s">
        <v>36</v>
      </c>
    </row>
    <row r="623" spans="2:8">
      <c r="B623" s="30">
        <v>0.958333333333333</v>
      </c>
      <c r="C623" s="30">
        <v>0.333333333333333</v>
      </c>
      <c r="D623" s="29">
        <v>1280323963</v>
      </c>
      <c r="E623" s="29">
        <v>10346560</v>
      </c>
      <c r="F623" s="29" t="s">
        <v>1590</v>
      </c>
      <c r="G623" s="29" t="s">
        <v>37</v>
      </c>
      <c r="H623" s="29" t="s">
        <v>434</v>
      </c>
    </row>
    <row r="624" spans="2:8">
      <c r="B624" s="30">
        <v>0.958333333333333</v>
      </c>
      <c r="C624" s="30">
        <v>0.333333333333333</v>
      </c>
      <c r="D624" s="29" t="s">
        <v>1592</v>
      </c>
      <c r="E624" s="29">
        <v>10346796</v>
      </c>
      <c r="F624" s="29" t="s">
        <v>1591</v>
      </c>
      <c r="G624" s="29" t="s">
        <v>37</v>
      </c>
      <c r="H624" s="29" t="s">
        <v>131</v>
      </c>
    </row>
    <row r="625" hidden="1" spans="2:8">
      <c r="B625" s="30">
        <v>0.916666666666667</v>
      </c>
      <c r="C625" s="30">
        <v>1.29166666666667</v>
      </c>
      <c r="D625" s="29">
        <v>1091324859</v>
      </c>
      <c r="E625" s="29">
        <v>10347007</v>
      </c>
      <c r="F625" s="29" t="s">
        <v>1632</v>
      </c>
      <c r="G625" s="29" t="s">
        <v>37</v>
      </c>
      <c r="H625" s="29" t="s">
        <v>36</v>
      </c>
    </row>
    <row r="626" hidden="1" spans="2:8">
      <c r="B626" s="30">
        <v>0.625</v>
      </c>
      <c r="C626" s="30">
        <v>1</v>
      </c>
      <c r="D626" s="29" t="s">
        <v>1699</v>
      </c>
      <c r="E626" s="29">
        <v>10347325</v>
      </c>
      <c r="F626" s="29" t="s">
        <v>1698</v>
      </c>
      <c r="G626" s="29" t="s">
        <v>37</v>
      </c>
      <c r="H626" s="29" t="s">
        <v>195</v>
      </c>
    </row>
    <row r="627" hidden="1" spans="2:8">
      <c r="B627" s="30">
        <v>0.916666666666667</v>
      </c>
      <c r="C627" s="30">
        <v>1.29166666666667</v>
      </c>
      <c r="D627" s="29">
        <v>1222696146</v>
      </c>
      <c r="E627" s="29">
        <v>10347605</v>
      </c>
      <c r="F627" s="29" t="s">
        <v>1656</v>
      </c>
      <c r="G627" s="29" t="s">
        <v>37</v>
      </c>
      <c r="H627" s="29" t="s">
        <v>195</v>
      </c>
    </row>
    <row r="628" hidden="1" spans="2:8">
      <c r="B628" s="30">
        <v>0.875</v>
      </c>
      <c r="C628" s="30">
        <v>1.25</v>
      </c>
      <c r="D628" s="29">
        <v>1228798735</v>
      </c>
      <c r="E628" s="29">
        <v>10347758</v>
      </c>
      <c r="F628" s="29" t="s">
        <v>1663</v>
      </c>
      <c r="G628" s="29" t="s">
        <v>37</v>
      </c>
      <c r="H628" s="29" t="s">
        <v>195</v>
      </c>
    </row>
    <row r="629" hidden="1" spans="2:8">
      <c r="B629" s="30">
        <v>0.875</v>
      </c>
      <c r="C629" s="30">
        <v>1.25</v>
      </c>
      <c r="D629" s="29">
        <v>1097424636</v>
      </c>
      <c r="E629" s="29">
        <v>10347983</v>
      </c>
      <c r="F629" s="29" t="s">
        <v>1678</v>
      </c>
      <c r="G629" s="29" t="s">
        <v>37</v>
      </c>
      <c r="H629" s="29" t="s">
        <v>195</v>
      </c>
    </row>
    <row r="630" hidden="1" spans="2:8">
      <c r="B630" s="30">
        <v>0.75</v>
      </c>
      <c r="C630" s="30">
        <v>0.25</v>
      </c>
      <c r="D630" s="29">
        <v>1270864338</v>
      </c>
      <c r="E630" s="29">
        <v>10347997</v>
      </c>
      <c r="F630" s="29" t="s">
        <v>1124</v>
      </c>
      <c r="G630" s="29" t="s">
        <v>37</v>
      </c>
      <c r="H630" s="29" t="s">
        <v>131</v>
      </c>
    </row>
    <row r="631" hidden="1" spans="2:8">
      <c r="B631" s="30">
        <v>0.875</v>
      </c>
      <c r="C631" s="30">
        <v>1.25</v>
      </c>
      <c r="D631" s="29" t="s">
        <v>1675</v>
      </c>
      <c r="E631" s="29">
        <v>10348012</v>
      </c>
      <c r="F631" s="29" t="s">
        <v>1674</v>
      </c>
      <c r="G631" s="29" t="s">
        <v>37</v>
      </c>
      <c r="H631" s="29" t="s">
        <v>36</v>
      </c>
    </row>
    <row r="632" hidden="1" spans="2:8">
      <c r="B632" s="30">
        <v>0.875</v>
      </c>
      <c r="C632" s="30">
        <v>1.25</v>
      </c>
      <c r="D632" s="29" t="s">
        <v>1677</v>
      </c>
      <c r="E632" s="29">
        <v>10348015</v>
      </c>
      <c r="F632" s="29" t="s">
        <v>1676</v>
      </c>
      <c r="G632" s="29" t="s">
        <v>37</v>
      </c>
      <c r="H632" s="29" t="s">
        <v>91</v>
      </c>
    </row>
    <row r="633" hidden="1" spans="2:8">
      <c r="B633" s="30">
        <v>0.875</v>
      </c>
      <c r="C633" s="30">
        <v>1.25</v>
      </c>
      <c r="D633" s="29">
        <v>1500087789</v>
      </c>
      <c r="E633" s="29">
        <v>10348054</v>
      </c>
      <c r="F633" s="29" t="s">
        <v>1691</v>
      </c>
      <c r="G633" s="29" t="s">
        <v>37</v>
      </c>
      <c r="H633" s="29" t="s">
        <v>1690</v>
      </c>
    </row>
    <row r="634" hidden="1" spans="2:8">
      <c r="B634" s="30">
        <v>0.625</v>
      </c>
      <c r="C634" s="30">
        <v>1</v>
      </c>
      <c r="D634" s="29">
        <v>1210789851</v>
      </c>
      <c r="E634" s="29">
        <v>10348269</v>
      </c>
      <c r="F634" s="29" t="s">
        <v>1707</v>
      </c>
      <c r="G634" s="29" t="s">
        <v>37</v>
      </c>
      <c r="H634" s="29" t="s">
        <v>36</v>
      </c>
    </row>
    <row r="635" hidden="1" spans="2:8">
      <c r="B635" s="30" t="s">
        <v>1937</v>
      </c>
      <c r="C635" s="30" t="s">
        <v>1937</v>
      </c>
      <c r="D635" s="29">
        <v>1123321087</v>
      </c>
      <c r="E635" s="29">
        <v>10342330</v>
      </c>
      <c r="F635" s="29" t="s">
        <v>135</v>
      </c>
      <c r="G635" s="29" t="s">
        <v>37</v>
      </c>
      <c r="H635" s="29" t="s">
        <v>36</v>
      </c>
    </row>
    <row r="636" hidden="1" spans="2:8">
      <c r="B636" s="30">
        <v>0.708333333333333</v>
      </c>
      <c r="C636" s="30">
        <v>0.0833333333333333</v>
      </c>
      <c r="D636" s="29">
        <v>1507001352</v>
      </c>
      <c r="E636" s="29">
        <v>10348792</v>
      </c>
      <c r="F636" s="29" t="s">
        <v>1886</v>
      </c>
      <c r="G636" s="29" t="s">
        <v>37</v>
      </c>
      <c r="H636" s="29" t="s">
        <v>115</v>
      </c>
    </row>
    <row r="637" hidden="1" spans="2:8">
      <c r="B637" s="30" t="s">
        <v>1937</v>
      </c>
      <c r="C637" s="30" t="s">
        <v>1937</v>
      </c>
      <c r="D637" s="29">
        <v>1110689559</v>
      </c>
      <c r="E637" s="29">
        <v>10316740</v>
      </c>
      <c r="F637" s="29" t="s">
        <v>1769</v>
      </c>
      <c r="G637" s="29" t="s">
        <v>37</v>
      </c>
      <c r="H637" s="29" t="s">
        <v>115</v>
      </c>
    </row>
    <row r="638" hidden="1" spans="2:8">
      <c r="B638" s="30" t="s">
        <v>1937</v>
      </c>
      <c r="C638" s="30" t="s">
        <v>1937</v>
      </c>
      <c r="D638" s="29">
        <v>1102766064</v>
      </c>
      <c r="E638" s="29">
        <v>10327950</v>
      </c>
      <c r="F638" s="29" t="s">
        <v>1486</v>
      </c>
      <c r="G638" s="29" t="s">
        <v>37</v>
      </c>
      <c r="H638" s="29" t="s">
        <v>131</v>
      </c>
    </row>
    <row r="639" hidden="1" spans="2:8">
      <c r="B639" s="30">
        <v>0.75</v>
      </c>
      <c r="C639" s="30">
        <v>0.125</v>
      </c>
      <c r="D639" s="29" t="s">
        <v>1489</v>
      </c>
      <c r="E639" s="29">
        <v>10331002</v>
      </c>
      <c r="F639" s="29" t="s">
        <v>1488</v>
      </c>
      <c r="G639" s="29" t="s">
        <v>37</v>
      </c>
      <c r="H639" s="29" t="s">
        <v>115</v>
      </c>
    </row>
    <row r="640" spans="2:8">
      <c r="B640" s="30">
        <v>0.958333333333333</v>
      </c>
      <c r="C640" s="30">
        <v>0.333333333333333</v>
      </c>
      <c r="D640" s="29">
        <v>1204108343</v>
      </c>
      <c r="E640" s="29">
        <v>10331008</v>
      </c>
      <c r="F640" s="29" t="s">
        <v>1487</v>
      </c>
      <c r="G640" s="29" t="s">
        <v>37</v>
      </c>
      <c r="H640" s="29" t="s">
        <v>36</v>
      </c>
    </row>
    <row r="641" hidden="1" spans="2:8">
      <c r="B641" s="30">
        <v>0.625</v>
      </c>
      <c r="C641" s="30">
        <v>0.208333333333333</v>
      </c>
      <c r="D641" s="29">
        <v>1118972534</v>
      </c>
      <c r="E641" s="29">
        <v>10331702</v>
      </c>
      <c r="F641" s="29" t="s">
        <v>1490</v>
      </c>
      <c r="G641" s="29" t="s">
        <v>37</v>
      </c>
      <c r="H641" s="29" t="s">
        <v>131</v>
      </c>
    </row>
    <row r="642" hidden="1" spans="2:8">
      <c r="B642" s="30">
        <v>0.583333333333333</v>
      </c>
      <c r="C642" s="30">
        <v>0.958333333333333</v>
      </c>
      <c r="D642" s="29">
        <v>1093346067</v>
      </c>
      <c r="E642" s="29">
        <v>10283568</v>
      </c>
      <c r="F642" s="29" t="s">
        <v>1879</v>
      </c>
      <c r="G642" s="29" t="s">
        <v>37</v>
      </c>
      <c r="H642" s="29" t="s">
        <v>131</v>
      </c>
    </row>
    <row r="643" hidden="1" spans="2:8">
      <c r="B643" s="30">
        <v>0.416666666666667</v>
      </c>
      <c r="C643" s="30">
        <v>0.791666666666667</v>
      </c>
      <c r="D643" s="29">
        <v>1555119737</v>
      </c>
      <c r="E643" s="29">
        <v>10348989</v>
      </c>
      <c r="F643" s="29" t="s">
        <v>1805</v>
      </c>
      <c r="G643" s="29" t="s">
        <v>37</v>
      </c>
      <c r="H643" s="29" t="s">
        <v>195</v>
      </c>
    </row>
    <row r="644" hidden="1" spans="2:8">
      <c r="B644" s="30">
        <v>0.458333333333333</v>
      </c>
      <c r="C644" s="30">
        <v>0.791666666666667</v>
      </c>
      <c r="D644" s="29">
        <v>1023646785</v>
      </c>
      <c r="E644" s="29">
        <v>10275931</v>
      </c>
      <c r="F644" s="29" t="s">
        <v>418</v>
      </c>
      <c r="G644" s="29" t="s">
        <v>37</v>
      </c>
      <c r="H644" s="29" t="s">
        <v>36</v>
      </c>
    </row>
    <row r="645" hidden="1" spans="2:8">
      <c r="B645" s="30">
        <v>0.458333333333333</v>
      </c>
      <c r="C645" s="30">
        <v>0.791666666666667</v>
      </c>
      <c r="D645" s="29">
        <v>1099469460</v>
      </c>
      <c r="E645" s="29">
        <v>10309482</v>
      </c>
      <c r="F645" s="29" t="s">
        <v>453</v>
      </c>
      <c r="G645" s="29" t="s">
        <v>37</v>
      </c>
      <c r="H645" s="29" t="s">
        <v>195</v>
      </c>
    </row>
    <row r="646" hidden="1" spans="2:8">
      <c r="B646" s="30">
        <v>0.458333333333333</v>
      </c>
      <c r="C646" s="30">
        <v>0.791666666666667</v>
      </c>
      <c r="D646" s="29">
        <v>1002007027</v>
      </c>
      <c r="E646" s="29">
        <v>10326286</v>
      </c>
      <c r="F646" s="29" t="s">
        <v>1018</v>
      </c>
      <c r="G646" s="29" t="s">
        <v>37</v>
      </c>
      <c r="H646" s="29" t="s">
        <v>91</v>
      </c>
    </row>
    <row r="647" hidden="1" spans="2:8">
      <c r="B647" s="30" t="s">
        <v>1937</v>
      </c>
      <c r="C647" s="30" t="s">
        <v>1937</v>
      </c>
      <c r="D647" s="29">
        <v>1093126336</v>
      </c>
      <c r="E647" s="29">
        <v>10327224</v>
      </c>
      <c r="F647" s="29" t="s">
        <v>283</v>
      </c>
      <c r="G647" s="29" t="s">
        <v>37</v>
      </c>
      <c r="H647" s="29" t="s">
        <v>36</v>
      </c>
    </row>
    <row r="648" hidden="1" spans="2:8">
      <c r="B648" s="30">
        <v>0.5</v>
      </c>
      <c r="C648" s="30">
        <v>0.875</v>
      </c>
      <c r="D648" s="29">
        <v>1127933488</v>
      </c>
      <c r="E648" s="29">
        <v>10337017</v>
      </c>
      <c r="F648" s="29" t="s">
        <v>1075</v>
      </c>
      <c r="G648" s="29" t="s">
        <v>37</v>
      </c>
      <c r="H648" s="29" t="s">
        <v>36</v>
      </c>
    </row>
    <row r="649" hidden="1" spans="2:8">
      <c r="B649" s="30">
        <v>0.375</v>
      </c>
      <c r="C649" s="30">
        <v>0.75</v>
      </c>
      <c r="D649" s="29">
        <v>1112106710</v>
      </c>
      <c r="E649" s="29">
        <v>10343397</v>
      </c>
      <c r="F649" s="29" t="s">
        <v>1401</v>
      </c>
      <c r="G649" s="29" t="s">
        <v>37</v>
      </c>
      <c r="H649" s="29" t="s">
        <v>195</v>
      </c>
    </row>
    <row r="650" hidden="1" spans="2:8">
      <c r="B650" s="30">
        <v>0.375</v>
      </c>
      <c r="C650" s="30">
        <v>0.75</v>
      </c>
      <c r="D650" s="29">
        <v>1274119194</v>
      </c>
      <c r="E650" s="29">
        <v>10334730</v>
      </c>
      <c r="F650" s="29" t="s">
        <v>656</v>
      </c>
      <c r="G650" s="29" t="s">
        <v>37</v>
      </c>
      <c r="H650" s="29" t="s">
        <v>131</v>
      </c>
    </row>
    <row r="651" hidden="1" spans="2:8">
      <c r="B651" s="30">
        <v>0.375</v>
      </c>
      <c r="C651" s="30">
        <v>0.75</v>
      </c>
      <c r="D651" s="29">
        <v>1108718978</v>
      </c>
      <c r="E651" s="29">
        <v>10347274</v>
      </c>
      <c r="F651" s="29" t="s">
        <v>1615</v>
      </c>
      <c r="G651" s="29" t="s">
        <v>37</v>
      </c>
      <c r="H651" s="29" t="s">
        <v>115</v>
      </c>
    </row>
    <row r="652" hidden="1" spans="2:8">
      <c r="B652" s="30" t="s">
        <v>1937</v>
      </c>
      <c r="C652" s="30" t="s">
        <v>1937</v>
      </c>
      <c r="D652" s="29">
        <v>1016826235</v>
      </c>
      <c r="E652" s="29">
        <v>10347283</v>
      </c>
      <c r="F652" s="29" t="s">
        <v>1618</v>
      </c>
      <c r="G652" s="29" t="s">
        <v>37</v>
      </c>
      <c r="H652" s="29" t="s">
        <v>36</v>
      </c>
    </row>
    <row r="653" hidden="1" spans="2:8">
      <c r="B653" s="30">
        <v>0.375</v>
      </c>
      <c r="C653" s="30">
        <v>0.75</v>
      </c>
      <c r="D653" s="29">
        <v>1145210040</v>
      </c>
      <c r="E653" s="29">
        <v>10316650</v>
      </c>
      <c r="F653" s="29" t="s">
        <v>213</v>
      </c>
      <c r="G653" s="29" t="s">
        <v>37</v>
      </c>
      <c r="H653" s="29" t="s">
        <v>36</v>
      </c>
    </row>
    <row r="654" hidden="1" spans="2:8">
      <c r="B654" s="30">
        <v>0.375</v>
      </c>
      <c r="C654" s="30">
        <v>0.75</v>
      </c>
      <c r="D654" s="29">
        <v>1273242707</v>
      </c>
      <c r="E654" s="29">
        <v>10327299</v>
      </c>
      <c r="F654" s="29" t="s">
        <v>135</v>
      </c>
      <c r="G654" s="29" t="s">
        <v>37</v>
      </c>
      <c r="H654" s="29" t="s">
        <v>36</v>
      </c>
    </row>
    <row r="655" hidden="1" spans="2:8">
      <c r="B655" s="30">
        <v>0.416666666666667</v>
      </c>
      <c r="C655" s="30">
        <v>0.791666666666667</v>
      </c>
      <c r="D655" s="29">
        <v>1111299309</v>
      </c>
      <c r="E655" s="29">
        <v>10323545</v>
      </c>
      <c r="F655" s="29" t="s">
        <v>304</v>
      </c>
      <c r="G655" s="29" t="s">
        <v>37</v>
      </c>
      <c r="H655" s="29" t="s">
        <v>36</v>
      </c>
    </row>
    <row r="656" hidden="1" spans="2:8">
      <c r="B656" s="30">
        <v>0.291666666666667</v>
      </c>
      <c r="C656" s="30">
        <v>0.666666666666667</v>
      </c>
      <c r="D656" s="29">
        <v>1090188323</v>
      </c>
      <c r="E656" s="29">
        <v>10312258</v>
      </c>
      <c r="F656" s="29" t="s">
        <v>294</v>
      </c>
      <c r="G656" s="29" t="s">
        <v>37</v>
      </c>
      <c r="H656" s="29" t="s">
        <v>131</v>
      </c>
    </row>
    <row r="657" hidden="1" spans="2:8">
      <c r="B657" s="30">
        <v>0.416666666666667</v>
      </c>
      <c r="C657" s="30">
        <v>0.791666666666667</v>
      </c>
      <c r="D657" s="29">
        <v>1500537534</v>
      </c>
      <c r="E657" s="29">
        <v>10332544</v>
      </c>
      <c r="F657" s="29" t="s">
        <v>526</v>
      </c>
      <c r="G657" s="29" t="s">
        <v>37</v>
      </c>
      <c r="H657" s="29" t="s">
        <v>36</v>
      </c>
    </row>
    <row r="658" hidden="1" spans="2:8">
      <c r="B658" s="30">
        <v>0.458333333333333</v>
      </c>
      <c r="C658" s="30">
        <v>0.833333333333333</v>
      </c>
      <c r="D658" s="29">
        <v>1069956703</v>
      </c>
      <c r="E658" s="29">
        <v>10330637</v>
      </c>
      <c r="F658" s="29" t="s">
        <v>481</v>
      </c>
      <c r="G658" s="29" t="s">
        <v>37</v>
      </c>
      <c r="H658" s="29" t="s">
        <v>131</v>
      </c>
    </row>
    <row r="659" hidden="1" spans="2:8">
      <c r="B659" s="30">
        <v>0.833333333333333</v>
      </c>
      <c r="C659" s="30">
        <v>0.208333333333333</v>
      </c>
      <c r="D659" s="29" t="s">
        <v>562</v>
      </c>
      <c r="E659" s="29">
        <v>10333435</v>
      </c>
      <c r="F659" s="29" t="s">
        <v>561</v>
      </c>
      <c r="G659" s="29" t="s">
        <v>37</v>
      </c>
      <c r="H659" s="29" t="s">
        <v>131</v>
      </c>
    </row>
    <row r="660" hidden="1" spans="2:8">
      <c r="B660" s="30">
        <v>0.708333333333333</v>
      </c>
      <c r="C660" s="30">
        <v>1.08333333333333</v>
      </c>
      <c r="D660" s="29" t="s">
        <v>1890</v>
      </c>
      <c r="E660" s="29">
        <v>10348746</v>
      </c>
      <c r="F660" s="29" t="s">
        <v>1889</v>
      </c>
      <c r="G660" s="29" t="s">
        <v>37</v>
      </c>
      <c r="H660" s="29" t="s">
        <v>91</v>
      </c>
    </row>
    <row r="661" hidden="1" spans="2:8">
      <c r="B661" s="30">
        <v>0.416666666666667</v>
      </c>
      <c r="C661" s="30">
        <v>0.791666666666667</v>
      </c>
      <c r="D661" s="29">
        <v>1040196093</v>
      </c>
      <c r="E661" s="29" t="s">
        <v>2588</v>
      </c>
      <c r="F661" s="29" t="s">
        <v>937</v>
      </c>
      <c r="G661" s="29" t="s">
        <v>104</v>
      </c>
      <c r="H661" s="29" t="s">
        <v>1668</v>
      </c>
    </row>
    <row r="662" hidden="1" spans="2:8">
      <c r="B662" s="30">
        <v>0.416666666666667</v>
      </c>
      <c r="C662" s="30">
        <v>0.791666666666667</v>
      </c>
      <c r="D662" s="29">
        <v>1157757436</v>
      </c>
      <c r="E662" s="29" t="s">
        <v>2588</v>
      </c>
      <c r="F662" s="29" t="s">
        <v>990</v>
      </c>
      <c r="G662" s="29" t="s">
        <v>104</v>
      </c>
      <c r="H662" s="29" t="s">
        <v>1668</v>
      </c>
    </row>
    <row r="663" hidden="1" spans="2:8">
      <c r="B663" s="30">
        <v>0.375</v>
      </c>
      <c r="C663" s="30">
        <v>0.75</v>
      </c>
      <c r="D663" s="29">
        <v>1092866275</v>
      </c>
      <c r="E663" s="29">
        <v>10337735</v>
      </c>
      <c r="F663" s="29" t="s">
        <v>1185</v>
      </c>
      <c r="G663" s="29" t="s">
        <v>104</v>
      </c>
      <c r="H663" s="29" t="s">
        <v>103</v>
      </c>
    </row>
    <row r="664" hidden="1" spans="2:8">
      <c r="B664" s="30">
        <v>0.5</v>
      </c>
      <c r="C664" s="30">
        <v>0.875</v>
      </c>
      <c r="D664" s="29">
        <v>1515658710</v>
      </c>
      <c r="E664" s="29">
        <v>10341221</v>
      </c>
      <c r="F664" s="29" t="s">
        <v>1321</v>
      </c>
      <c r="G664" s="29" t="s">
        <v>104</v>
      </c>
      <c r="H664" s="29" t="s">
        <v>103</v>
      </c>
    </row>
    <row r="665" hidden="1" spans="2:8">
      <c r="B665" s="30">
        <v>0.583333333333333</v>
      </c>
      <c r="C665" s="30">
        <v>0.958333333333333</v>
      </c>
      <c r="D665" s="29">
        <v>1225132953</v>
      </c>
      <c r="E665" s="29">
        <v>10348251</v>
      </c>
      <c r="F665" s="29" t="s">
        <v>1880</v>
      </c>
      <c r="G665" s="29" t="s">
        <v>104</v>
      </c>
      <c r="H665" s="29" t="s">
        <v>103</v>
      </c>
    </row>
    <row r="666" spans="2:8">
      <c r="B666" s="30">
        <v>0.958333333333333</v>
      </c>
      <c r="C666" s="30">
        <v>0.333333333333333</v>
      </c>
      <c r="D666" s="29">
        <v>1115460558</v>
      </c>
      <c r="E666" s="29">
        <v>10338462</v>
      </c>
      <c r="F666" s="29" t="s">
        <v>1774</v>
      </c>
      <c r="G666" s="29" t="s">
        <v>104</v>
      </c>
      <c r="H666" s="29" t="s">
        <v>1668</v>
      </c>
    </row>
    <row r="667" hidden="1" spans="2:8">
      <c r="B667" s="30">
        <v>0.625</v>
      </c>
      <c r="C667" s="30">
        <v>1</v>
      </c>
      <c r="D667" s="29" t="s">
        <v>1773</v>
      </c>
      <c r="E667" s="29">
        <v>10342889</v>
      </c>
      <c r="F667" s="29" t="s">
        <v>1772</v>
      </c>
      <c r="G667" s="29" t="s">
        <v>104</v>
      </c>
      <c r="H667" s="29" t="s">
        <v>1668</v>
      </c>
    </row>
    <row r="668" hidden="1" spans="2:8">
      <c r="B668" s="30">
        <v>0.916666666666667</v>
      </c>
      <c r="C668" s="30">
        <v>1.29166666666667</v>
      </c>
      <c r="D668" s="29">
        <v>1559633455</v>
      </c>
      <c r="E668" s="29">
        <v>10343475</v>
      </c>
      <c r="F668" s="29" t="s">
        <v>1775</v>
      </c>
      <c r="G668" s="29" t="s">
        <v>104</v>
      </c>
      <c r="H668" s="29" t="s">
        <v>1668</v>
      </c>
    </row>
    <row r="669" spans="2:8">
      <c r="B669" s="30">
        <v>0.958333333333333</v>
      </c>
      <c r="C669" s="30">
        <v>0.333333333333333</v>
      </c>
      <c r="D669" s="29">
        <v>1509946439</v>
      </c>
      <c r="E669" s="29">
        <v>10344252</v>
      </c>
      <c r="F669" s="29" t="s">
        <v>1444</v>
      </c>
      <c r="G669" s="29" t="s">
        <v>104</v>
      </c>
      <c r="H669" s="29" t="s">
        <v>103</v>
      </c>
    </row>
    <row r="670" hidden="1" spans="2:8">
      <c r="B670" s="30">
        <v>0.916666666666667</v>
      </c>
      <c r="C670" s="30">
        <v>1.29166666666667</v>
      </c>
      <c r="D670" s="29">
        <v>1090642201</v>
      </c>
      <c r="E670" s="29">
        <v>10344770</v>
      </c>
      <c r="F670" s="29" t="s">
        <v>1506</v>
      </c>
      <c r="G670" s="29" t="s">
        <v>104</v>
      </c>
      <c r="H670" s="29" t="s">
        <v>103</v>
      </c>
    </row>
    <row r="671" hidden="1" spans="2:8">
      <c r="B671" s="30">
        <v>0.875</v>
      </c>
      <c r="C671" s="30">
        <v>1.25</v>
      </c>
      <c r="D671" s="29">
        <v>1031695970</v>
      </c>
      <c r="E671" s="29">
        <v>10347183</v>
      </c>
      <c r="F671" s="29" t="s">
        <v>1627</v>
      </c>
      <c r="G671" s="29" t="s">
        <v>104</v>
      </c>
      <c r="H671" s="29" t="s">
        <v>103</v>
      </c>
    </row>
    <row r="672" hidden="1" spans="2:8">
      <c r="B672" s="30">
        <v>0.875</v>
      </c>
      <c r="C672" s="30">
        <v>1.25</v>
      </c>
      <c r="D672" s="29">
        <v>1096062793</v>
      </c>
      <c r="E672" s="29">
        <v>10347754</v>
      </c>
      <c r="F672" s="29" t="s">
        <v>1662</v>
      </c>
      <c r="G672" s="29" t="s">
        <v>104</v>
      </c>
      <c r="H672" s="29" t="s">
        <v>103</v>
      </c>
    </row>
    <row r="673" hidden="1" spans="2:8">
      <c r="B673" s="30">
        <v>0.875</v>
      </c>
      <c r="C673" s="30">
        <v>1.25</v>
      </c>
      <c r="D673" s="29" t="s">
        <v>1670</v>
      </c>
      <c r="E673" s="29">
        <v>10348008</v>
      </c>
      <c r="F673" s="29" t="s">
        <v>1669</v>
      </c>
      <c r="G673" s="29" t="s">
        <v>104</v>
      </c>
      <c r="H673" s="29" t="s">
        <v>1668</v>
      </c>
    </row>
    <row r="674" hidden="1" spans="2:8">
      <c r="B674" s="30">
        <v>0.875</v>
      </c>
      <c r="C674" s="30">
        <v>1.25</v>
      </c>
      <c r="D674" s="29">
        <v>1558595142</v>
      </c>
      <c r="E674" s="29">
        <v>10348055</v>
      </c>
      <c r="F674" s="29" t="s">
        <v>1686</v>
      </c>
      <c r="G674" s="29" t="s">
        <v>104</v>
      </c>
      <c r="H674" s="29" t="s">
        <v>1668</v>
      </c>
    </row>
    <row r="675" hidden="1" spans="2:8">
      <c r="B675" s="30">
        <v>0.75</v>
      </c>
      <c r="C675" s="30">
        <v>0.333333333333333</v>
      </c>
      <c r="D675" s="29">
        <v>1007614330</v>
      </c>
      <c r="E675" s="29">
        <v>10348293</v>
      </c>
      <c r="F675" s="29" t="s">
        <v>558</v>
      </c>
      <c r="G675" s="29" t="s">
        <v>104</v>
      </c>
      <c r="H675" s="29" t="s">
        <v>1668</v>
      </c>
    </row>
    <row r="676" hidden="1" spans="2:8">
      <c r="B676" s="30">
        <v>0.583333333333333</v>
      </c>
      <c r="C676" s="30">
        <v>0.958333333333333</v>
      </c>
      <c r="D676" s="29">
        <v>1065421169</v>
      </c>
      <c r="E676" s="29">
        <v>10331020</v>
      </c>
      <c r="F676" s="29" t="s">
        <v>1563</v>
      </c>
      <c r="G676" s="29" t="s">
        <v>104</v>
      </c>
      <c r="H676" s="29" t="s">
        <v>103</v>
      </c>
    </row>
    <row r="677" hidden="1" spans="2:8">
      <c r="B677" s="30">
        <v>0.458333333333333</v>
      </c>
      <c r="C677" s="30">
        <v>0.791666666666667</v>
      </c>
      <c r="D677" s="29">
        <v>1276701073</v>
      </c>
      <c r="E677" s="29">
        <v>10329457</v>
      </c>
      <c r="F677" s="29" t="s">
        <v>359</v>
      </c>
      <c r="G677" s="29" t="s">
        <v>104</v>
      </c>
      <c r="H677" s="29" t="s">
        <v>103</v>
      </c>
    </row>
    <row r="678" hidden="1" spans="2:8">
      <c r="B678" s="30">
        <v>0.375</v>
      </c>
      <c r="C678" s="30">
        <v>0.75</v>
      </c>
      <c r="D678" s="29">
        <v>1091393303</v>
      </c>
      <c r="E678" s="29">
        <v>10331633</v>
      </c>
      <c r="F678" s="29" t="s">
        <v>428</v>
      </c>
      <c r="G678" s="29" t="s">
        <v>104</v>
      </c>
      <c r="H678" s="29" t="s">
        <v>103</v>
      </c>
    </row>
    <row r="679" hidden="1" spans="2:8">
      <c r="B679" s="30">
        <v>0.375</v>
      </c>
      <c r="C679" s="30">
        <v>0.75</v>
      </c>
      <c r="D679" s="29">
        <v>1014483395</v>
      </c>
      <c r="E679" s="29">
        <v>10317520</v>
      </c>
      <c r="F679" s="29" t="s">
        <v>164</v>
      </c>
      <c r="G679" s="29" t="s">
        <v>104</v>
      </c>
      <c r="H679" s="29" t="s">
        <v>103</v>
      </c>
    </row>
    <row r="680" hidden="1" spans="2:8">
      <c r="B680" s="30">
        <v>0.375</v>
      </c>
      <c r="C680" s="30">
        <v>0.75</v>
      </c>
      <c r="D680" s="29">
        <v>1005722377</v>
      </c>
      <c r="E680" s="29">
        <v>10317521</v>
      </c>
      <c r="F680" s="29" t="s">
        <v>192</v>
      </c>
      <c r="G680" s="29" t="s">
        <v>104</v>
      </c>
      <c r="H680" s="29" t="s">
        <v>103</v>
      </c>
    </row>
    <row r="681" hidden="1" spans="2:8">
      <c r="B681" s="30">
        <v>0.375</v>
      </c>
      <c r="C681" s="30">
        <v>0.75</v>
      </c>
      <c r="D681" s="29">
        <v>1070686887</v>
      </c>
      <c r="E681" s="29">
        <v>10327356</v>
      </c>
      <c r="F681" s="29" t="s">
        <v>280</v>
      </c>
      <c r="G681" s="29" t="s">
        <v>104</v>
      </c>
      <c r="H681" s="29" t="s">
        <v>103</v>
      </c>
    </row>
    <row r="682" hidden="1" spans="2:8">
      <c r="B682" s="30" t="s">
        <v>1898</v>
      </c>
      <c r="C682" s="30" t="s">
        <v>1898</v>
      </c>
      <c r="D682" s="29">
        <v>1091643089</v>
      </c>
      <c r="E682" s="29">
        <v>10314789</v>
      </c>
      <c r="F682" s="29" t="s">
        <v>300</v>
      </c>
      <c r="G682" s="29" t="s">
        <v>104</v>
      </c>
      <c r="H682" s="29" t="s">
        <v>103</v>
      </c>
    </row>
    <row r="683" hidden="1" spans="2:8">
      <c r="B683" s="30">
        <v>0.291666666666667</v>
      </c>
      <c r="C683" s="30">
        <v>0.666666666666667</v>
      </c>
      <c r="D683" s="29">
        <v>1095882923</v>
      </c>
      <c r="E683" s="29">
        <v>10311333</v>
      </c>
      <c r="F683" s="29" t="s">
        <v>1246</v>
      </c>
      <c r="G683" s="29" t="s">
        <v>104</v>
      </c>
      <c r="H683" s="29" t="s">
        <v>103</v>
      </c>
    </row>
    <row r="684" hidden="1" spans="2:8">
      <c r="B684" s="30">
        <v>0.458333333333333</v>
      </c>
      <c r="C684" s="30">
        <v>0.833333333333333</v>
      </c>
      <c r="D684" s="29">
        <v>1207828449</v>
      </c>
      <c r="E684" s="29">
        <v>10316242</v>
      </c>
      <c r="F684" s="29" t="s">
        <v>491</v>
      </c>
      <c r="G684" s="29" t="s">
        <v>104</v>
      </c>
      <c r="H684" s="29" t="s">
        <v>103</v>
      </c>
    </row>
    <row r="685" hidden="1" spans="2:8">
      <c r="B685" s="30">
        <v>0.458333333333333</v>
      </c>
      <c r="C685" s="30">
        <v>0.833333333333333</v>
      </c>
      <c r="D685" s="29" t="s">
        <v>251</v>
      </c>
      <c r="E685" s="29">
        <v>10323570</v>
      </c>
      <c r="F685" s="29" t="s">
        <v>250</v>
      </c>
      <c r="G685" s="29" t="s">
        <v>104</v>
      </c>
      <c r="H685" s="29" t="s">
        <v>103</v>
      </c>
    </row>
    <row r="686" hidden="1" spans="2:8">
      <c r="B686" s="30">
        <v>0.416666666666667</v>
      </c>
      <c r="C686" s="30">
        <v>0.791666666666667</v>
      </c>
      <c r="D686" s="29">
        <v>1283114456</v>
      </c>
      <c r="E686" s="29" t="s">
        <v>2588</v>
      </c>
      <c r="F686" s="29" t="s">
        <v>2671</v>
      </c>
      <c r="G686" s="29" t="s">
        <v>7</v>
      </c>
      <c r="H686" s="29" t="s">
        <v>6</v>
      </c>
    </row>
    <row r="687" hidden="1" spans="2:8">
      <c r="B687" s="30">
        <v>0</v>
      </c>
      <c r="C687" s="30">
        <v>0.375</v>
      </c>
      <c r="D687" s="29">
        <v>1151631796</v>
      </c>
      <c r="E687" s="29">
        <v>10306614</v>
      </c>
      <c r="F687" s="29" t="s">
        <v>8</v>
      </c>
      <c r="G687" s="29" t="s">
        <v>7</v>
      </c>
      <c r="H687" s="29" t="s">
        <v>6</v>
      </c>
    </row>
    <row r="688" hidden="1" spans="2:8">
      <c r="B688" s="30">
        <v>0.625</v>
      </c>
      <c r="C688" s="30">
        <v>0</v>
      </c>
      <c r="D688" s="29">
        <v>1026770903</v>
      </c>
      <c r="E688" s="29">
        <v>10330128</v>
      </c>
      <c r="F688" s="29" t="s">
        <v>402</v>
      </c>
      <c r="G688" s="29" t="s">
        <v>7</v>
      </c>
      <c r="H688" s="29" t="s">
        <v>6</v>
      </c>
    </row>
    <row r="689" hidden="1" spans="2:8">
      <c r="B689" s="30">
        <v>0.625</v>
      </c>
      <c r="C689" s="30">
        <v>0</v>
      </c>
      <c r="D689" s="29">
        <v>1044608425</v>
      </c>
      <c r="E689" s="29">
        <v>10347428</v>
      </c>
      <c r="F689" s="29" t="s">
        <v>1720</v>
      </c>
      <c r="G689" s="29" t="s">
        <v>7</v>
      </c>
      <c r="H689" s="29" t="s">
        <v>6</v>
      </c>
    </row>
    <row r="690" hidden="1" spans="2:8">
      <c r="B690" s="30">
        <v>0.708333333333333</v>
      </c>
      <c r="C690" s="30">
        <v>0.0833333333333333</v>
      </c>
      <c r="D690" s="29">
        <v>1026652608</v>
      </c>
      <c r="E690" s="29">
        <v>10287534</v>
      </c>
      <c r="F690" s="29" t="s">
        <v>1813</v>
      </c>
      <c r="G690" s="29" t="s">
        <v>7</v>
      </c>
      <c r="H690" s="29" t="s">
        <v>6</v>
      </c>
    </row>
    <row r="691" hidden="1" spans="2:8">
      <c r="B691" s="30">
        <v>0.416666666666667</v>
      </c>
      <c r="C691" s="30">
        <v>0.875</v>
      </c>
      <c r="D691" s="29">
        <v>1013140756</v>
      </c>
      <c r="E691" s="29">
        <v>10324569</v>
      </c>
      <c r="F691" s="29" t="s">
        <v>1138</v>
      </c>
      <c r="G691" s="29" t="s">
        <v>7</v>
      </c>
      <c r="H691" s="29" t="s">
        <v>6</v>
      </c>
    </row>
    <row r="692" hidden="1" spans="2:8">
      <c r="B692" s="30">
        <v>0.583333333333333</v>
      </c>
      <c r="C692" s="30">
        <v>0.958333333333333</v>
      </c>
      <c r="D692" s="29" t="s">
        <v>1830</v>
      </c>
      <c r="E692" s="29">
        <v>10307125</v>
      </c>
      <c r="F692" s="29" t="s">
        <v>1829</v>
      </c>
      <c r="G692" s="29" t="s">
        <v>7</v>
      </c>
      <c r="H692" s="29" t="s">
        <v>1828</v>
      </c>
    </row>
    <row r="693" hidden="1" spans="2:8">
      <c r="B693" s="30">
        <v>0.791666666666667</v>
      </c>
      <c r="C693" s="30">
        <v>1.29166666666667</v>
      </c>
      <c r="D693" s="29" t="s">
        <v>1833</v>
      </c>
      <c r="E693" s="29">
        <v>10346798</v>
      </c>
      <c r="F693" s="29" t="s">
        <v>1832</v>
      </c>
      <c r="G693" s="29" t="s">
        <v>7</v>
      </c>
      <c r="H693" s="29" t="s">
        <v>6</v>
      </c>
    </row>
    <row r="694" hidden="1" spans="2:8">
      <c r="B694" s="30">
        <v>0.833333333333333</v>
      </c>
      <c r="C694" s="30">
        <v>0.333333333333333</v>
      </c>
      <c r="D694" s="29">
        <v>1287028152</v>
      </c>
      <c r="E694" s="29">
        <v>10316787</v>
      </c>
      <c r="F694" s="29" t="s">
        <v>1776</v>
      </c>
      <c r="G694" s="29" t="s">
        <v>7</v>
      </c>
      <c r="H694" s="29" t="s">
        <v>6</v>
      </c>
    </row>
    <row r="695" hidden="1" spans="2:8">
      <c r="B695" s="30">
        <v>0.75</v>
      </c>
      <c r="C695" s="30">
        <v>1.16666666666667</v>
      </c>
      <c r="D695" s="29">
        <v>1123084929</v>
      </c>
      <c r="E695" s="29">
        <v>10331204</v>
      </c>
      <c r="F695" s="29" t="s">
        <v>1777</v>
      </c>
      <c r="G695" s="29" t="s">
        <v>7</v>
      </c>
      <c r="H695" s="29" t="s">
        <v>6</v>
      </c>
    </row>
    <row r="696" spans="2:8">
      <c r="B696" s="30">
        <v>0.958333333333333</v>
      </c>
      <c r="C696" s="30">
        <v>0.333333333333333</v>
      </c>
      <c r="D696" s="29" t="s">
        <v>1447</v>
      </c>
      <c r="E696" s="29">
        <v>10344214</v>
      </c>
      <c r="F696" s="29" t="s">
        <v>1446</v>
      </c>
      <c r="G696" s="29" t="s">
        <v>7</v>
      </c>
      <c r="H696" s="29" t="s">
        <v>6</v>
      </c>
    </row>
    <row r="697" hidden="1" spans="2:8">
      <c r="B697" s="30">
        <v>0.583333333333333</v>
      </c>
      <c r="C697" s="30">
        <v>0.958333333333333</v>
      </c>
      <c r="D697" s="29">
        <v>1040334849</v>
      </c>
      <c r="E697" s="29">
        <v>10344286</v>
      </c>
      <c r="F697" s="29" t="s">
        <v>1445</v>
      </c>
      <c r="G697" s="29" t="s">
        <v>7</v>
      </c>
      <c r="H697" s="29" t="s">
        <v>6</v>
      </c>
    </row>
    <row r="698" hidden="1" spans="2:8">
      <c r="B698" s="30">
        <v>0.625</v>
      </c>
      <c r="C698" s="30">
        <v>1</v>
      </c>
      <c r="D698" s="29">
        <v>1070390659</v>
      </c>
      <c r="E698" s="29">
        <v>10344855</v>
      </c>
      <c r="F698" s="29" t="s">
        <v>1520</v>
      </c>
      <c r="G698" s="29" t="s">
        <v>7</v>
      </c>
      <c r="H698" s="29" t="s">
        <v>6</v>
      </c>
    </row>
    <row r="699" spans="2:8">
      <c r="B699" s="30">
        <v>0.958333333333333</v>
      </c>
      <c r="C699" s="30">
        <v>0.333333333333333</v>
      </c>
      <c r="D699" s="29" t="s">
        <v>1598</v>
      </c>
      <c r="E699" s="29">
        <v>10346285</v>
      </c>
      <c r="F699" s="29" t="s">
        <v>1597</v>
      </c>
      <c r="G699" s="29" t="s">
        <v>7</v>
      </c>
      <c r="H699" s="29" t="s">
        <v>6</v>
      </c>
    </row>
    <row r="700" spans="2:8">
      <c r="B700" s="30">
        <v>0.958333333333333</v>
      </c>
      <c r="C700" s="30">
        <v>0.333333333333333</v>
      </c>
      <c r="D700" s="29">
        <v>1020488691</v>
      </c>
      <c r="E700" s="29">
        <v>10346474</v>
      </c>
      <c r="F700" s="29" t="s">
        <v>1596</v>
      </c>
      <c r="G700" s="29" t="s">
        <v>7</v>
      </c>
      <c r="H700" s="29" t="s">
        <v>6</v>
      </c>
    </row>
    <row r="701" hidden="1" spans="2:8">
      <c r="B701" s="30">
        <v>0.916666666666667</v>
      </c>
      <c r="C701" s="30">
        <v>1.29166666666667</v>
      </c>
      <c r="D701" s="29">
        <v>1146188508</v>
      </c>
      <c r="E701" s="29">
        <v>10347234</v>
      </c>
      <c r="F701" s="29" t="s">
        <v>1629</v>
      </c>
      <c r="G701" s="29" t="s">
        <v>7</v>
      </c>
      <c r="H701" s="29" t="s">
        <v>6</v>
      </c>
    </row>
    <row r="702" hidden="1" spans="2:8">
      <c r="B702" s="30">
        <v>0.666666666666667</v>
      </c>
      <c r="C702" s="30">
        <v>1.25</v>
      </c>
      <c r="D702" s="29" t="s">
        <v>1635</v>
      </c>
      <c r="E702" s="29">
        <v>10347261</v>
      </c>
      <c r="F702" s="29" t="s">
        <v>1634</v>
      </c>
      <c r="G702" s="29" t="s">
        <v>7</v>
      </c>
      <c r="H702" s="29" t="s">
        <v>6</v>
      </c>
    </row>
    <row r="703" hidden="1" spans="2:8">
      <c r="B703" s="30">
        <v>0.916666666666667</v>
      </c>
      <c r="C703" s="30">
        <v>1.29166666666667</v>
      </c>
      <c r="D703" s="29">
        <v>1129422164</v>
      </c>
      <c r="E703" s="29">
        <v>10347324</v>
      </c>
      <c r="F703" s="29" t="s">
        <v>1640</v>
      </c>
      <c r="G703" s="29" t="s">
        <v>7</v>
      </c>
      <c r="H703" s="29" t="s">
        <v>6</v>
      </c>
    </row>
    <row r="704" hidden="1" spans="2:8">
      <c r="B704" s="30">
        <v>0.875</v>
      </c>
      <c r="C704" s="30">
        <v>1.25</v>
      </c>
      <c r="D704" s="29">
        <v>1507870093</v>
      </c>
      <c r="E704" s="29">
        <v>10347992</v>
      </c>
      <c r="F704" s="29" t="s">
        <v>1687</v>
      </c>
      <c r="G704" s="29" t="s">
        <v>7</v>
      </c>
      <c r="H704" s="29" t="s">
        <v>6</v>
      </c>
    </row>
    <row r="705" hidden="1" spans="2:8">
      <c r="B705" s="30">
        <v>0.875</v>
      </c>
      <c r="C705" s="30">
        <v>1.25</v>
      </c>
      <c r="D705" s="29" t="s">
        <v>1689</v>
      </c>
      <c r="E705" s="29">
        <v>10348014</v>
      </c>
      <c r="F705" s="29" t="s">
        <v>1688</v>
      </c>
      <c r="G705" s="29" t="s">
        <v>7</v>
      </c>
      <c r="H705" s="29" t="s">
        <v>6</v>
      </c>
    </row>
    <row r="706" hidden="1" spans="2:8">
      <c r="B706" s="30">
        <v>0.625</v>
      </c>
      <c r="C706" s="30">
        <v>1.125</v>
      </c>
      <c r="D706" s="29" t="s">
        <v>1712</v>
      </c>
      <c r="E706" s="29">
        <v>10348300</v>
      </c>
      <c r="F706" s="29" t="s">
        <v>1711</v>
      </c>
      <c r="G706" s="29" t="s">
        <v>7</v>
      </c>
      <c r="H706" s="29" t="s">
        <v>6</v>
      </c>
    </row>
    <row r="707" hidden="1" spans="2:8">
      <c r="B707" s="30">
        <v>0.75</v>
      </c>
      <c r="C707" s="30">
        <v>1.125</v>
      </c>
      <c r="D707" s="29" t="s">
        <v>1714</v>
      </c>
      <c r="E707" s="29">
        <v>10348303</v>
      </c>
      <c r="F707" s="29" t="s">
        <v>1713</v>
      </c>
      <c r="G707" s="29" t="s">
        <v>7</v>
      </c>
      <c r="H707" s="29" t="s">
        <v>6</v>
      </c>
    </row>
    <row r="708" hidden="1" spans="2:8">
      <c r="B708" s="30" t="s">
        <v>1937</v>
      </c>
      <c r="C708" s="30" t="s">
        <v>1937</v>
      </c>
      <c r="D708" s="29">
        <v>1555975766</v>
      </c>
      <c r="E708" s="29">
        <v>10344308</v>
      </c>
      <c r="F708" s="29" t="s">
        <v>1448</v>
      </c>
      <c r="G708" s="29" t="s">
        <v>7</v>
      </c>
      <c r="H708" s="29" t="s">
        <v>6</v>
      </c>
    </row>
    <row r="709" spans="2:8">
      <c r="B709" s="30">
        <v>0.958333333333333</v>
      </c>
      <c r="C709" s="30">
        <v>0.333333333333333</v>
      </c>
      <c r="D709" s="29">
        <v>1550567520</v>
      </c>
      <c r="E709" s="29">
        <v>10335408</v>
      </c>
      <c r="F709" s="29" t="s">
        <v>1831</v>
      </c>
      <c r="G709" s="29" t="s">
        <v>7</v>
      </c>
      <c r="H709" s="29" t="s">
        <v>6</v>
      </c>
    </row>
    <row r="710" hidden="1" spans="2:8">
      <c r="B710" s="30">
        <v>0.875</v>
      </c>
      <c r="C710" s="30">
        <v>0.25</v>
      </c>
      <c r="D710" s="29">
        <v>1153727814</v>
      </c>
      <c r="E710" s="29">
        <v>10292490</v>
      </c>
      <c r="F710" s="29" t="s">
        <v>1491</v>
      </c>
      <c r="G710" s="29" t="s">
        <v>7</v>
      </c>
      <c r="H710" s="29" t="s">
        <v>6</v>
      </c>
    </row>
    <row r="711" hidden="1" spans="2:8">
      <c r="B711" s="30">
        <v>0.416666666666667</v>
      </c>
      <c r="C711" s="30">
        <v>0.791666666666667</v>
      </c>
      <c r="D711" s="29" t="s">
        <v>1843</v>
      </c>
      <c r="E711" s="29">
        <v>10349489</v>
      </c>
      <c r="F711" s="29" t="s">
        <v>1842</v>
      </c>
      <c r="G711" s="29" t="s">
        <v>7</v>
      </c>
      <c r="H711" s="29" t="s">
        <v>6</v>
      </c>
    </row>
    <row r="712" hidden="1" spans="2:8">
      <c r="B712" s="30">
        <v>0.416666666666667</v>
      </c>
      <c r="C712" s="30">
        <v>0.75</v>
      </c>
      <c r="D712" s="29">
        <v>1093481280</v>
      </c>
      <c r="E712" s="29">
        <v>10272462</v>
      </c>
      <c r="F712" s="29" t="s">
        <v>406</v>
      </c>
      <c r="G712" s="29" t="s">
        <v>7</v>
      </c>
      <c r="H712" s="29" t="s">
        <v>6</v>
      </c>
    </row>
    <row r="713" hidden="1" spans="2:8">
      <c r="B713" s="30" t="s">
        <v>1937</v>
      </c>
      <c r="C713" s="30" t="s">
        <v>1937</v>
      </c>
      <c r="D713" s="29">
        <v>1142822210</v>
      </c>
      <c r="E713" s="29">
        <v>10343278</v>
      </c>
      <c r="F713" s="29" t="s">
        <v>336</v>
      </c>
      <c r="G713" s="29" t="s">
        <v>7</v>
      </c>
      <c r="H713" s="29" t="s">
        <v>6</v>
      </c>
    </row>
    <row r="714" hidden="1" spans="2:8">
      <c r="B714" s="30">
        <v>0.375</v>
      </c>
      <c r="C714" s="30">
        <v>0.75</v>
      </c>
      <c r="D714" s="29">
        <v>1005729091</v>
      </c>
      <c r="E714" s="29">
        <v>10343286</v>
      </c>
      <c r="F714" s="29" t="s">
        <v>1398</v>
      </c>
      <c r="G714" s="29" t="s">
        <v>7</v>
      </c>
      <c r="H714" s="29" t="s">
        <v>6</v>
      </c>
    </row>
    <row r="715" hidden="1" spans="2:8">
      <c r="B715" s="30">
        <v>0.375</v>
      </c>
      <c r="C715" s="30">
        <v>0.75</v>
      </c>
      <c r="D715" s="29" t="s">
        <v>1614</v>
      </c>
      <c r="E715" s="29">
        <v>10347357</v>
      </c>
      <c r="F715" s="29" t="s">
        <v>1613</v>
      </c>
      <c r="G715" s="29" t="s">
        <v>7</v>
      </c>
      <c r="H715" s="29" t="s">
        <v>6</v>
      </c>
    </row>
    <row r="716" hidden="1" spans="2:8">
      <c r="B716" s="30" t="s">
        <v>2087</v>
      </c>
      <c r="C716" s="30" t="s">
        <v>2087</v>
      </c>
      <c r="D716" s="29">
        <v>1500131177</v>
      </c>
      <c r="E716" s="29">
        <v>10326471</v>
      </c>
      <c r="F716" s="29" t="s">
        <v>417</v>
      </c>
      <c r="G716" s="29" t="s">
        <v>7</v>
      </c>
      <c r="H716" s="29" t="s">
        <v>6</v>
      </c>
    </row>
    <row r="717" hidden="1" spans="2:8">
      <c r="B717" s="30">
        <v>0.291666666666667</v>
      </c>
      <c r="C717" s="30">
        <v>0.666666666666667</v>
      </c>
      <c r="D717" s="29">
        <v>1108958950</v>
      </c>
      <c r="E717" s="29">
        <v>10331082</v>
      </c>
      <c r="F717" s="29" t="s">
        <v>574</v>
      </c>
      <c r="G717" s="29" t="s">
        <v>7</v>
      </c>
      <c r="H717" s="29" t="s">
        <v>6</v>
      </c>
    </row>
    <row r="718" hidden="1" spans="2:8">
      <c r="B718" s="30">
        <v>0.291666666666667</v>
      </c>
      <c r="C718" s="30">
        <v>0.666666666666667</v>
      </c>
      <c r="D718" s="29">
        <v>1122819199</v>
      </c>
      <c r="E718" s="29">
        <v>10332555</v>
      </c>
      <c r="F718" s="29" t="s">
        <v>506</v>
      </c>
      <c r="G718" s="29" t="s">
        <v>7</v>
      </c>
      <c r="H718" s="29" t="s">
        <v>6</v>
      </c>
    </row>
    <row r="719" hidden="1" spans="2:8">
      <c r="B719" s="30">
        <v>0.291666666666667</v>
      </c>
      <c r="C719" s="30">
        <v>0.666666666666667</v>
      </c>
      <c r="D719" s="29">
        <v>1013260200</v>
      </c>
      <c r="E719" s="29">
        <v>10332515</v>
      </c>
      <c r="F719" s="29" t="s">
        <v>510</v>
      </c>
      <c r="G719" s="29" t="s">
        <v>7</v>
      </c>
      <c r="H719" s="29" t="s">
        <v>6</v>
      </c>
    </row>
    <row r="720" hidden="1" spans="2:8">
      <c r="B720" s="30">
        <v>0.666666666666667</v>
      </c>
      <c r="C720" s="30">
        <v>0.0416666666666667</v>
      </c>
      <c r="D720" s="29">
        <v>1553989783</v>
      </c>
      <c r="E720" s="29">
        <v>10335120</v>
      </c>
      <c r="F720" s="29" t="s">
        <v>729</v>
      </c>
      <c r="G720" s="29" t="s">
        <v>7</v>
      </c>
      <c r="H720" s="29" t="s">
        <v>6</v>
      </c>
    </row>
    <row r="721" hidden="1" spans="2:8">
      <c r="B721" s="30">
        <v>0.666666666666667</v>
      </c>
      <c r="C721" s="30">
        <v>0.0416666666666667</v>
      </c>
      <c r="D721" s="29">
        <v>1016789685</v>
      </c>
      <c r="E721" s="29">
        <v>10335024</v>
      </c>
      <c r="F721" s="29" t="s">
        <v>730</v>
      </c>
      <c r="G721" s="29" t="s">
        <v>7</v>
      </c>
      <c r="H721" s="29" t="s">
        <v>6</v>
      </c>
    </row>
    <row r="722" hidden="1" spans="2:8">
      <c r="B722" s="30">
        <v>0.833333333333333</v>
      </c>
      <c r="C722" s="30">
        <v>0.208333333333333</v>
      </c>
      <c r="D722" s="29">
        <v>1505499876</v>
      </c>
      <c r="E722" s="29">
        <v>10333845</v>
      </c>
      <c r="F722" s="29" t="s">
        <v>1144</v>
      </c>
      <c r="G722" s="29" t="s">
        <v>7</v>
      </c>
      <c r="H722" s="29" t="s">
        <v>6</v>
      </c>
    </row>
    <row r="723" hidden="1" spans="2:8">
      <c r="B723" s="30">
        <v>0.916666666666667</v>
      </c>
      <c r="C723" s="30">
        <v>0.291666666666667</v>
      </c>
      <c r="D723" s="29">
        <v>1552408293</v>
      </c>
      <c r="E723" s="29">
        <v>10314762</v>
      </c>
      <c r="F723" s="29" t="s">
        <v>258</v>
      </c>
      <c r="G723" s="29" t="s">
        <v>7</v>
      </c>
      <c r="H723" s="29" t="s">
        <v>6</v>
      </c>
    </row>
    <row r="724" hidden="1" spans="2:8">
      <c r="B724" s="30">
        <v>0.75</v>
      </c>
      <c r="C724" s="30">
        <v>1.125</v>
      </c>
      <c r="D724" s="29" t="s">
        <v>1837</v>
      </c>
      <c r="E724" s="29">
        <v>10331220</v>
      </c>
      <c r="F724" s="29" t="s">
        <v>1836</v>
      </c>
      <c r="G724" s="29" t="s">
        <v>1834</v>
      </c>
      <c r="H724" s="29" t="s">
        <v>39</v>
      </c>
    </row>
    <row r="725" hidden="1" spans="2:8">
      <c r="B725" s="30">
        <v>0.625</v>
      </c>
      <c r="C725" s="30">
        <v>1</v>
      </c>
      <c r="D725" s="29">
        <v>1557628989</v>
      </c>
      <c r="E725" s="29">
        <v>10342327</v>
      </c>
      <c r="F725" s="29" t="s">
        <v>1835</v>
      </c>
      <c r="G725" s="29" t="s">
        <v>1834</v>
      </c>
      <c r="H725" s="29" t="s">
        <v>134</v>
      </c>
    </row>
    <row r="726" hidden="1" spans="2:8">
      <c r="B726" s="30" t="s">
        <v>1937</v>
      </c>
      <c r="C726" s="30" t="s">
        <v>1937</v>
      </c>
      <c r="D726" s="29">
        <v>1117675614</v>
      </c>
      <c r="E726" s="29">
        <v>10342471</v>
      </c>
      <c r="F726" s="29" t="s">
        <v>1881</v>
      </c>
      <c r="G726" s="29" t="s">
        <v>1834</v>
      </c>
      <c r="H726" s="29" t="s">
        <v>134</v>
      </c>
    </row>
    <row r="727" hidden="1" spans="2:8">
      <c r="B727" s="30">
        <v>0.416666666666667</v>
      </c>
      <c r="C727" s="30">
        <v>0.791666666666667</v>
      </c>
      <c r="D727" s="29">
        <v>1159286476</v>
      </c>
      <c r="E727" s="29" t="s">
        <v>2588</v>
      </c>
      <c r="F727" s="29" t="s">
        <v>2672</v>
      </c>
      <c r="G727" s="29" t="s">
        <v>40</v>
      </c>
      <c r="H727" s="29" t="s">
        <v>39</v>
      </c>
    </row>
    <row r="728" hidden="1" spans="2:8">
      <c r="B728" s="30">
        <v>0.375</v>
      </c>
      <c r="C728" s="30">
        <v>0.75</v>
      </c>
      <c r="D728" s="29">
        <v>1028088503</v>
      </c>
      <c r="E728" s="29">
        <v>10329239</v>
      </c>
      <c r="F728" s="29" t="s">
        <v>393</v>
      </c>
      <c r="G728" s="29" t="s">
        <v>40</v>
      </c>
      <c r="H728" s="29" t="s">
        <v>39</v>
      </c>
    </row>
    <row r="729" hidden="1" spans="2:8">
      <c r="B729" s="30">
        <v>0.75</v>
      </c>
      <c r="C729" s="30">
        <v>0.125</v>
      </c>
      <c r="D729" s="29" t="s">
        <v>1725</v>
      </c>
      <c r="E729" s="29">
        <v>10347420</v>
      </c>
      <c r="F729" s="29" t="s">
        <v>1724</v>
      </c>
      <c r="G729" s="29" t="s">
        <v>40</v>
      </c>
      <c r="H729" s="29" t="s">
        <v>134</v>
      </c>
    </row>
    <row r="730" hidden="1" spans="2:8">
      <c r="B730" s="30">
        <v>0.375</v>
      </c>
      <c r="C730" s="30">
        <v>0.791666666666667</v>
      </c>
      <c r="D730" s="29">
        <v>1142640176</v>
      </c>
      <c r="E730" s="29">
        <v>10337725</v>
      </c>
      <c r="F730" s="29" t="s">
        <v>1186</v>
      </c>
      <c r="G730" s="29" t="s">
        <v>40</v>
      </c>
      <c r="H730" s="29" t="s">
        <v>39</v>
      </c>
    </row>
    <row r="731" hidden="1" spans="2:8">
      <c r="B731" s="30">
        <v>0.375</v>
      </c>
      <c r="C731" s="30">
        <v>0.791666666666667</v>
      </c>
      <c r="D731" s="29">
        <v>1122959208</v>
      </c>
      <c r="E731" s="29">
        <v>10323629</v>
      </c>
      <c r="F731" s="29" t="s">
        <v>41</v>
      </c>
      <c r="G731" s="29" t="s">
        <v>40</v>
      </c>
      <c r="H731" s="29" t="s">
        <v>39</v>
      </c>
    </row>
    <row r="732" hidden="1" spans="2:8">
      <c r="B732" s="30">
        <v>0.416666666666667</v>
      </c>
      <c r="C732" s="30">
        <v>0.791666666666667</v>
      </c>
      <c r="D732" s="29">
        <v>1224746815</v>
      </c>
      <c r="E732" s="29">
        <v>10329227</v>
      </c>
      <c r="F732" s="29" t="s">
        <v>390</v>
      </c>
      <c r="G732" s="29" t="s">
        <v>40</v>
      </c>
      <c r="H732" s="29" t="s">
        <v>39</v>
      </c>
    </row>
    <row r="733" hidden="1" spans="2:8">
      <c r="B733" s="30">
        <v>0.375</v>
      </c>
      <c r="C733" s="30">
        <v>0.75</v>
      </c>
      <c r="D733" s="29" t="s">
        <v>379</v>
      </c>
      <c r="E733" s="29">
        <v>10329234</v>
      </c>
      <c r="F733" s="29" t="s">
        <v>378</v>
      </c>
      <c r="G733" s="29" t="s">
        <v>40</v>
      </c>
      <c r="H733" s="29" t="s">
        <v>39</v>
      </c>
    </row>
    <row r="734" hidden="1" spans="2:8">
      <c r="B734" s="30">
        <v>0.375</v>
      </c>
      <c r="C734" s="30">
        <v>0.75</v>
      </c>
      <c r="D734" s="29">
        <v>1096113503</v>
      </c>
      <c r="E734" s="29">
        <v>10337711</v>
      </c>
      <c r="F734" s="29" t="s">
        <v>1187</v>
      </c>
      <c r="G734" s="29" t="s">
        <v>40</v>
      </c>
      <c r="H734" s="29" t="s">
        <v>134</v>
      </c>
    </row>
    <row r="735" hidden="1" spans="2:8">
      <c r="B735" s="30">
        <v>0.375</v>
      </c>
      <c r="C735" s="30">
        <v>0.75</v>
      </c>
      <c r="D735" s="29">
        <v>0</v>
      </c>
      <c r="E735" s="29">
        <v>10330123</v>
      </c>
      <c r="F735" s="29" t="s">
        <v>478</v>
      </c>
      <c r="G735" s="29" t="s">
        <v>40</v>
      </c>
      <c r="H735" s="29" t="s">
        <v>134</v>
      </c>
    </row>
    <row r="736" hidden="1" spans="2:8">
      <c r="B736" s="30">
        <v>0.416666666666667</v>
      </c>
      <c r="C736" s="30">
        <v>0.791666666666667</v>
      </c>
      <c r="D736" s="29">
        <v>1150906706</v>
      </c>
      <c r="E736" s="29">
        <v>10305637</v>
      </c>
      <c r="F736" s="29" t="s">
        <v>311</v>
      </c>
      <c r="G736" s="29" t="s">
        <v>40</v>
      </c>
      <c r="H736" s="29" t="s">
        <v>134</v>
      </c>
    </row>
    <row r="737" hidden="1" spans="2:8">
      <c r="B737" s="30">
        <v>0.5</v>
      </c>
      <c r="C737" s="30">
        <v>0.875</v>
      </c>
      <c r="D737" s="29">
        <v>1102314764</v>
      </c>
      <c r="E737" s="29">
        <v>10337733</v>
      </c>
      <c r="F737" s="29" t="s">
        <v>1127</v>
      </c>
      <c r="G737" s="29" t="s">
        <v>40</v>
      </c>
      <c r="H737" s="29" t="s">
        <v>134</v>
      </c>
    </row>
    <row r="738" hidden="1" spans="2:8">
      <c r="B738" s="30" t="s">
        <v>1937</v>
      </c>
      <c r="C738" s="30" t="s">
        <v>1937</v>
      </c>
      <c r="D738" s="29">
        <v>1155036605</v>
      </c>
      <c r="E738" s="29">
        <v>10342538</v>
      </c>
      <c r="F738" s="29" t="s">
        <v>1350</v>
      </c>
      <c r="G738" s="29" t="s">
        <v>40</v>
      </c>
      <c r="H738" s="29" t="s">
        <v>39</v>
      </c>
    </row>
    <row r="739" hidden="1" spans="2:8">
      <c r="B739" s="30" t="s">
        <v>1937</v>
      </c>
      <c r="C739" s="30" t="s">
        <v>1937</v>
      </c>
      <c r="D739" s="29">
        <v>1127002549</v>
      </c>
      <c r="E739" s="29">
        <v>10337778</v>
      </c>
      <c r="F739" s="29" t="s">
        <v>1095</v>
      </c>
      <c r="G739" s="29" t="s">
        <v>40</v>
      </c>
      <c r="H739" s="29" t="s">
        <v>134</v>
      </c>
    </row>
    <row r="740" hidden="1" spans="2:8">
      <c r="B740" s="30">
        <v>0.625</v>
      </c>
      <c r="C740" s="30">
        <v>0</v>
      </c>
      <c r="D740" s="29">
        <v>1004065451</v>
      </c>
      <c r="E740" s="29">
        <v>10334018</v>
      </c>
      <c r="F740" s="29" t="s">
        <v>583</v>
      </c>
      <c r="G740" s="29" t="s">
        <v>40</v>
      </c>
      <c r="H740" s="29" t="s">
        <v>39</v>
      </c>
    </row>
    <row r="741" hidden="1" spans="2:8">
      <c r="B741" s="30" t="s">
        <v>1937</v>
      </c>
      <c r="C741" s="30" t="s">
        <v>1937</v>
      </c>
      <c r="D741" s="29">
        <v>1104178758</v>
      </c>
      <c r="E741" s="29">
        <v>10329904</v>
      </c>
      <c r="F741" s="29" t="s">
        <v>1778</v>
      </c>
      <c r="G741" s="29" t="s">
        <v>40</v>
      </c>
      <c r="H741" s="29" t="s">
        <v>39</v>
      </c>
    </row>
    <row r="742" hidden="1" spans="2:8">
      <c r="B742" s="30">
        <v>0.625</v>
      </c>
      <c r="C742" s="30">
        <v>1.25</v>
      </c>
      <c r="D742" s="29">
        <v>1013447363</v>
      </c>
      <c r="E742" s="29">
        <v>10331021</v>
      </c>
      <c r="F742" s="29" t="s">
        <v>1493</v>
      </c>
      <c r="G742" s="29" t="s">
        <v>40</v>
      </c>
      <c r="H742" s="29" t="s">
        <v>39</v>
      </c>
    </row>
    <row r="743" spans="2:8">
      <c r="B743" s="30">
        <v>0.958333333333333</v>
      </c>
      <c r="C743" s="30">
        <v>1.25</v>
      </c>
      <c r="D743" s="29">
        <v>1140254052</v>
      </c>
      <c r="E743" s="29">
        <v>10344240</v>
      </c>
      <c r="F743" s="29" t="s">
        <v>1424</v>
      </c>
      <c r="G743" s="29" t="s">
        <v>40</v>
      </c>
      <c r="H743" s="29" t="s">
        <v>134</v>
      </c>
    </row>
    <row r="744" spans="2:8">
      <c r="B744" s="30">
        <v>0.958333333333333</v>
      </c>
      <c r="C744" s="30">
        <v>0.333333333333333</v>
      </c>
      <c r="D744" s="29">
        <v>1501002468</v>
      </c>
      <c r="E744" s="29">
        <v>10346555</v>
      </c>
      <c r="F744" s="29" t="s">
        <v>1599</v>
      </c>
      <c r="G744" s="29" t="s">
        <v>40</v>
      </c>
      <c r="H744" s="29" t="s">
        <v>39</v>
      </c>
    </row>
    <row r="745" hidden="1" spans="2:8">
      <c r="B745" s="30">
        <v>0.583333333333333</v>
      </c>
      <c r="C745" s="30">
        <v>0.958333333333333</v>
      </c>
      <c r="D745" s="29">
        <v>1276272363</v>
      </c>
      <c r="E745" s="29">
        <v>10346755</v>
      </c>
      <c r="F745" s="29" t="s">
        <v>1600</v>
      </c>
      <c r="G745" s="29" t="s">
        <v>40</v>
      </c>
      <c r="H745" s="29" t="s">
        <v>155</v>
      </c>
    </row>
    <row r="746" hidden="1" spans="2:8">
      <c r="B746" s="30">
        <v>0.833333333333333</v>
      </c>
      <c r="C746" s="30">
        <v>0.333333333333333</v>
      </c>
      <c r="D746" s="29">
        <v>1024271525</v>
      </c>
      <c r="E746" s="29">
        <v>10347004</v>
      </c>
      <c r="F746" s="29" t="s">
        <v>1647</v>
      </c>
      <c r="G746" s="29" t="s">
        <v>40</v>
      </c>
      <c r="H746" s="29" t="s">
        <v>155</v>
      </c>
    </row>
    <row r="747" hidden="1" spans="2:8">
      <c r="B747" s="30">
        <v>0.708333333333333</v>
      </c>
      <c r="C747" s="30">
        <v>0.0833333333333333</v>
      </c>
      <c r="D747" s="29" t="s">
        <v>1884</v>
      </c>
      <c r="E747" s="29">
        <v>10348796</v>
      </c>
      <c r="F747" s="29" t="s">
        <v>1883</v>
      </c>
      <c r="G747" s="29" t="s">
        <v>40</v>
      </c>
      <c r="H747" s="29" t="s">
        <v>39</v>
      </c>
    </row>
    <row r="748" hidden="1" spans="2:8">
      <c r="B748" s="30">
        <v>0.75</v>
      </c>
      <c r="C748" s="30">
        <v>0.166666666666667</v>
      </c>
      <c r="D748" s="29">
        <v>1274776024</v>
      </c>
      <c r="E748" s="29">
        <v>10311872</v>
      </c>
      <c r="F748" s="29" t="s">
        <v>1492</v>
      </c>
      <c r="G748" s="29" t="s">
        <v>40</v>
      </c>
      <c r="H748" s="29" t="s">
        <v>134</v>
      </c>
    </row>
    <row r="749" hidden="1" spans="2:8">
      <c r="B749" s="30">
        <v>0.625</v>
      </c>
      <c r="C749" s="30">
        <v>0</v>
      </c>
      <c r="D749" s="29">
        <v>1019578796</v>
      </c>
      <c r="E749" s="29">
        <v>10225636</v>
      </c>
      <c r="F749" s="29" t="s">
        <v>1562</v>
      </c>
      <c r="G749" s="29" t="s">
        <v>40</v>
      </c>
      <c r="H749" s="29" t="s">
        <v>39</v>
      </c>
    </row>
    <row r="750" hidden="1" spans="2:8">
      <c r="B750" s="30">
        <v>0.458333333333333</v>
      </c>
      <c r="C750" s="30">
        <v>0.791666666666667</v>
      </c>
      <c r="D750" s="29">
        <v>1103806087</v>
      </c>
      <c r="E750" s="29">
        <v>10297499</v>
      </c>
      <c r="F750" s="29" t="s">
        <v>459</v>
      </c>
      <c r="G750" s="29" t="s">
        <v>40</v>
      </c>
      <c r="H750" s="29" t="s">
        <v>155</v>
      </c>
    </row>
    <row r="751" hidden="1" spans="2:8">
      <c r="B751" s="30">
        <v>0.458333333333333</v>
      </c>
      <c r="C751" s="30">
        <v>0.791666666666667</v>
      </c>
      <c r="D751" s="29">
        <v>1000604891</v>
      </c>
      <c r="E751" s="29">
        <v>10278058</v>
      </c>
      <c r="F751" s="29" t="s">
        <v>458</v>
      </c>
      <c r="G751" s="29" t="s">
        <v>40</v>
      </c>
      <c r="H751" s="29" t="s">
        <v>134</v>
      </c>
    </row>
    <row r="752" hidden="1" spans="2:8">
      <c r="B752" s="30">
        <v>0.375</v>
      </c>
      <c r="C752" s="30">
        <v>0.75</v>
      </c>
      <c r="D752" s="29">
        <v>1102081505</v>
      </c>
      <c r="E752" s="29">
        <v>10317147</v>
      </c>
      <c r="F752" s="29" t="s">
        <v>42</v>
      </c>
      <c r="G752" s="29" t="s">
        <v>40</v>
      </c>
      <c r="H752" s="29" t="s">
        <v>39</v>
      </c>
    </row>
    <row r="753" hidden="1" spans="2:8">
      <c r="B753" s="30" t="s">
        <v>1952</v>
      </c>
      <c r="C753" s="30" t="s">
        <v>1952</v>
      </c>
      <c r="D753" s="29" t="s">
        <v>439</v>
      </c>
      <c r="E753" s="29">
        <v>10331627</v>
      </c>
      <c r="F753" s="29" t="s">
        <v>438</v>
      </c>
      <c r="G753" s="29" t="s">
        <v>40</v>
      </c>
      <c r="H753" s="29" t="s">
        <v>134</v>
      </c>
    </row>
    <row r="754" hidden="1" spans="2:8">
      <c r="B754" s="30">
        <v>0.375</v>
      </c>
      <c r="C754" s="30">
        <v>0.75</v>
      </c>
      <c r="D754" s="29">
        <v>1142422826</v>
      </c>
      <c r="E754" s="29">
        <v>10337193</v>
      </c>
      <c r="F754" s="29" t="s">
        <v>1083</v>
      </c>
      <c r="G754" s="29" t="s">
        <v>40</v>
      </c>
      <c r="H754" s="29" t="s">
        <v>134</v>
      </c>
    </row>
    <row r="755" hidden="1" spans="2:8">
      <c r="B755" s="30" t="s">
        <v>1952</v>
      </c>
      <c r="C755" s="30" t="s">
        <v>1952</v>
      </c>
      <c r="D755" s="29" t="s">
        <v>1071</v>
      </c>
      <c r="E755" s="29">
        <v>10337078</v>
      </c>
      <c r="F755" s="29" t="s">
        <v>1070</v>
      </c>
      <c r="G755" s="29" t="s">
        <v>40</v>
      </c>
      <c r="H755" s="29" t="s">
        <v>39</v>
      </c>
    </row>
    <row r="756" hidden="1" spans="2:8">
      <c r="B756" s="30">
        <v>0.5</v>
      </c>
      <c r="C756" s="30">
        <v>0.875</v>
      </c>
      <c r="D756" s="29">
        <v>1012692499</v>
      </c>
      <c r="E756" s="29">
        <v>10343270</v>
      </c>
      <c r="F756" s="29" t="s">
        <v>1394</v>
      </c>
      <c r="G756" s="29" t="s">
        <v>40</v>
      </c>
      <c r="H756" s="29" t="s">
        <v>155</v>
      </c>
    </row>
    <row r="757" hidden="1" spans="2:8">
      <c r="B757" s="30" t="s">
        <v>1937</v>
      </c>
      <c r="C757" s="30" t="s">
        <v>1937</v>
      </c>
      <c r="D757" s="29" t="s">
        <v>499</v>
      </c>
      <c r="E757" s="29">
        <v>10332446</v>
      </c>
      <c r="F757" s="29" t="s">
        <v>498</v>
      </c>
      <c r="G757" s="29" t="s">
        <v>40</v>
      </c>
      <c r="H757" s="29" t="s">
        <v>155</v>
      </c>
    </row>
    <row r="758" hidden="1" spans="2:8">
      <c r="B758" s="30">
        <v>0.333333333333333</v>
      </c>
      <c r="C758" s="30">
        <v>0.708333333333333</v>
      </c>
      <c r="D758" s="29">
        <v>1012805735</v>
      </c>
      <c r="E758" s="29">
        <v>10347318</v>
      </c>
      <c r="F758" s="29" t="s">
        <v>1610</v>
      </c>
      <c r="G758" s="29" t="s">
        <v>40</v>
      </c>
      <c r="H758" s="29" t="s">
        <v>134</v>
      </c>
    </row>
    <row r="759" hidden="1" spans="2:8">
      <c r="B759" s="30">
        <v>0.541666666666667</v>
      </c>
      <c r="C759" s="30">
        <v>0.916666666666667</v>
      </c>
      <c r="D759" s="29">
        <v>1550563697</v>
      </c>
      <c r="E759" s="29">
        <v>10280906</v>
      </c>
      <c r="F759" s="29" t="s">
        <v>572</v>
      </c>
      <c r="G759" s="29" t="s">
        <v>40</v>
      </c>
      <c r="H759" s="29" t="s">
        <v>155</v>
      </c>
    </row>
    <row r="760" hidden="1" spans="2:8">
      <c r="B760" s="30">
        <v>0.416666666666667</v>
      </c>
      <c r="C760" s="30">
        <v>0.791666666666667</v>
      </c>
      <c r="D760" s="29" t="s">
        <v>516</v>
      </c>
      <c r="E760" s="29">
        <v>10332513</v>
      </c>
      <c r="F760" s="29" t="s">
        <v>515</v>
      </c>
      <c r="G760" s="29" t="s">
        <v>40</v>
      </c>
      <c r="H760" s="29" t="s">
        <v>134</v>
      </c>
    </row>
    <row r="761" hidden="1" spans="2:8">
      <c r="B761" s="30">
        <v>0.666666666666667</v>
      </c>
      <c r="C761" s="30">
        <v>0.0416666666666667</v>
      </c>
      <c r="D761" s="29">
        <v>1026128069</v>
      </c>
      <c r="E761" s="29">
        <v>10323547</v>
      </c>
      <c r="F761" s="29" t="s">
        <v>322</v>
      </c>
      <c r="G761" s="29" t="s">
        <v>40</v>
      </c>
      <c r="H761" s="29" t="s">
        <v>39</v>
      </c>
    </row>
    <row r="762" hidden="1" spans="2:8">
      <c r="B762" s="30">
        <v>0.375</v>
      </c>
      <c r="C762" s="30">
        <v>0.75</v>
      </c>
      <c r="D762" s="29">
        <v>1558721794</v>
      </c>
      <c r="E762" s="29">
        <v>10329241</v>
      </c>
      <c r="F762" s="29" t="s">
        <v>369</v>
      </c>
      <c r="G762" s="29" t="s">
        <v>70</v>
      </c>
      <c r="H762" s="29" t="s">
        <v>69</v>
      </c>
    </row>
    <row r="763" hidden="1" spans="2:8">
      <c r="B763" s="30">
        <v>0.5</v>
      </c>
      <c r="C763" s="30">
        <v>0.875</v>
      </c>
      <c r="D763" s="29">
        <v>1128690675</v>
      </c>
      <c r="E763" s="29">
        <v>10337777</v>
      </c>
      <c r="F763" s="29" t="s">
        <v>1097</v>
      </c>
      <c r="G763" s="29" t="s">
        <v>70</v>
      </c>
      <c r="H763" s="29" t="s">
        <v>69</v>
      </c>
    </row>
    <row r="764" spans="2:8">
      <c r="B764" s="30">
        <v>0.958333333333333</v>
      </c>
      <c r="C764" s="30">
        <v>0.333333333333333</v>
      </c>
      <c r="D764" s="29">
        <v>1555773066</v>
      </c>
      <c r="E764" s="29">
        <v>10335909</v>
      </c>
      <c r="F764" s="29" t="s">
        <v>1779</v>
      </c>
      <c r="G764" s="29" t="s">
        <v>70</v>
      </c>
      <c r="H764" s="29" t="s">
        <v>69</v>
      </c>
    </row>
    <row r="765" spans="2:8">
      <c r="B765" s="30">
        <v>0.958333333333333</v>
      </c>
      <c r="C765" s="30">
        <v>0.333333333333333</v>
      </c>
      <c r="D765" s="29">
        <v>1203091448</v>
      </c>
      <c r="E765" s="29">
        <v>10344261</v>
      </c>
      <c r="F765" s="29" t="s">
        <v>1449</v>
      </c>
      <c r="G765" s="29" t="s">
        <v>70</v>
      </c>
      <c r="H765" s="29" t="s">
        <v>69</v>
      </c>
    </row>
    <row r="766" hidden="1" spans="2:8">
      <c r="B766" s="30">
        <v>0.625</v>
      </c>
      <c r="C766" s="30">
        <v>1</v>
      </c>
      <c r="D766" s="29">
        <v>1026876551</v>
      </c>
      <c r="E766" s="29">
        <v>10345744</v>
      </c>
      <c r="F766" s="29" t="s">
        <v>1541</v>
      </c>
      <c r="G766" s="29" t="s">
        <v>70</v>
      </c>
      <c r="H766" s="29" t="s">
        <v>69</v>
      </c>
    </row>
    <row r="767" spans="2:8">
      <c r="B767" s="30">
        <v>0.958333333333333</v>
      </c>
      <c r="C767" s="30">
        <v>0.333333333333333</v>
      </c>
      <c r="D767" s="29">
        <v>1080545669</v>
      </c>
      <c r="E767" s="29">
        <v>10320297</v>
      </c>
      <c r="F767" s="29" t="s">
        <v>1494</v>
      </c>
      <c r="G767" s="29" t="s">
        <v>70</v>
      </c>
      <c r="H767" s="29" t="s">
        <v>69</v>
      </c>
    </row>
    <row r="768" hidden="1" spans="2:8">
      <c r="B768" s="30">
        <v>0.458333333333333</v>
      </c>
      <c r="C768" s="30">
        <v>0.833333333333333</v>
      </c>
      <c r="D768" s="29">
        <v>1553553976</v>
      </c>
      <c r="E768" s="29">
        <v>10334395</v>
      </c>
      <c r="F768" s="29" t="s">
        <v>636</v>
      </c>
      <c r="G768" s="29" t="s">
        <v>70</v>
      </c>
      <c r="H768" s="29" t="s">
        <v>69</v>
      </c>
    </row>
    <row r="769" hidden="1" spans="2:8">
      <c r="B769" s="30">
        <v>0.666666666666667</v>
      </c>
      <c r="C769" s="30">
        <v>0.0416666666666667</v>
      </c>
      <c r="D769" s="29">
        <v>0</v>
      </c>
      <c r="E769" s="29">
        <v>10334214</v>
      </c>
      <c r="F769" s="29" t="s">
        <v>1251</v>
      </c>
      <c r="G769" s="29" t="s">
        <v>70</v>
      </c>
      <c r="H769" s="29" t="s">
        <v>69</v>
      </c>
    </row>
  </sheetData>
  <autoFilter xmlns:etc="http://www.wps.cn/officeDocument/2017/etCustomData" ref="B1:H769" etc:filterBottomFollowUsedRange="0">
    <filterColumn colId="0">
      <customFilters>
        <customFilter operator="equal" val="11:00:00 PM"/>
      </customFilters>
    </filterColumn>
    <sortState ref="B1:H769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35"/>
  <sheetViews>
    <sheetView zoomScale="65" zoomScaleNormal="65" topLeftCell="A887" workbookViewId="0">
      <selection activeCell="G933" sqref="G892:G933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3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2673</v>
      </c>
      <c r="C3" s="8" t="s">
        <v>2674</v>
      </c>
      <c r="D3" s="8" t="s">
        <v>2675</v>
      </c>
      <c r="E3" s="13" t="s">
        <v>1895</v>
      </c>
      <c r="F3" s="8" t="s">
        <v>3</v>
      </c>
      <c r="G3" s="8" t="s">
        <v>2676</v>
      </c>
      <c r="H3" s="8" t="s">
        <v>2677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1126665095</v>
      </c>
      <c r="E5" s="16" t="s">
        <v>2607</v>
      </c>
      <c r="F5" s="15" t="s">
        <v>2621</v>
      </c>
      <c r="G5" s="15" t="s">
        <v>76</v>
      </c>
      <c r="H5" s="15" t="s">
        <v>2622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9"/>
      <c r="B10" s="8" t="s">
        <v>2673</v>
      </c>
      <c r="C10" s="8" t="s">
        <v>2674</v>
      </c>
      <c r="D10" s="8" t="s">
        <v>2675</v>
      </c>
      <c r="E10" s="13" t="s">
        <v>1895</v>
      </c>
      <c r="F10" s="8" t="s">
        <v>3</v>
      </c>
      <c r="G10" s="8" t="s">
        <v>2676</v>
      </c>
      <c r="H10" s="8" t="s">
        <v>2677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0.291666666666667</v>
      </c>
      <c r="B14" s="17"/>
      <c r="C14" s="17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9"/>
      <c r="B15" s="8" t="s">
        <v>2673</v>
      </c>
      <c r="C15" s="8" t="s">
        <v>2674</v>
      </c>
      <c r="D15" s="8" t="s">
        <v>2675</v>
      </c>
      <c r="E15" s="13" t="s">
        <v>1895</v>
      </c>
      <c r="F15" s="8" t="s">
        <v>3</v>
      </c>
      <c r="G15" s="8" t="s">
        <v>2676</v>
      </c>
      <c r="H15" s="8" t="s">
        <v>2677</v>
      </c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6"/>
      <c r="B17" s="14">
        <v>0.291666666666667</v>
      </c>
      <c r="C17" s="14">
        <v>0.666666666666667</v>
      </c>
      <c r="D17" s="15">
        <v>0</v>
      </c>
      <c r="E17" s="16">
        <v>10334401</v>
      </c>
      <c r="F17" s="15" t="s">
        <v>749</v>
      </c>
      <c r="G17" s="15" t="s">
        <v>434</v>
      </c>
      <c r="H17" s="15" t="s">
        <v>434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>
        <v>1024424852</v>
      </c>
      <c r="E19" s="16">
        <v>10327586</v>
      </c>
      <c r="F19" s="15" t="s">
        <v>358</v>
      </c>
      <c r="G19" s="15" t="s">
        <v>16</v>
      </c>
      <c r="H19" s="15" t="s">
        <v>178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>
        <v>0.291666666666667</v>
      </c>
      <c r="C21" s="14">
        <v>0.666666666666667</v>
      </c>
      <c r="D21" s="15">
        <v>1143336949</v>
      </c>
      <c r="E21" s="16">
        <v>10299512</v>
      </c>
      <c r="F21" s="15" t="s">
        <v>312</v>
      </c>
      <c r="G21" s="15" t="s">
        <v>58</v>
      </c>
      <c r="H21" s="15" t="s">
        <v>57</v>
      </c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/>
      <c r="C22" s="14"/>
      <c r="D22" s="15"/>
      <c r="E22" s="16"/>
      <c r="F22" s="15"/>
      <c r="G22" s="15"/>
      <c r="H22" s="15"/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1556244127</v>
      </c>
      <c r="E23" s="16">
        <v>10331809</v>
      </c>
      <c r="F23" s="15" t="s">
        <v>578</v>
      </c>
      <c r="G23" s="15" t="s">
        <v>27</v>
      </c>
      <c r="H23" s="15" t="s">
        <v>577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/>
      <c r="C24" s="14"/>
      <c r="D24" s="15"/>
      <c r="E24" s="16"/>
      <c r="F24" s="15"/>
      <c r="G24" s="15"/>
      <c r="H24" s="15"/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1090878414</v>
      </c>
      <c r="E25" s="16">
        <v>10251309</v>
      </c>
      <c r="F25" s="15" t="s">
        <v>362</v>
      </c>
      <c r="G25" s="15" t="s">
        <v>23</v>
      </c>
      <c r="H25" s="15" t="s">
        <v>22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1017405291</v>
      </c>
      <c r="E26" s="16">
        <v>10335052</v>
      </c>
      <c r="F26" s="15" t="s">
        <v>724</v>
      </c>
      <c r="G26" s="15" t="s">
        <v>23</v>
      </c>
      <c r="H26" s="15" t="s">
        <v>62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/>
      <c r="C27" s="14"/>
      <c r="D27" s="15"/>
      <c r="E27" s="16"/>
      <c r="F27" s="15"/>
      <c r="G27" s="15"/>
      <c r="H27" s="15"/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>
        <v>0.291666666666667</v>
      </c>
      <c r="C28" s="14">
        <v>0.666666666666667</v>
      </c>
      <c r="D28" s="15">
        <v>1090188323</v>
      </c>
      <c r="E28" s="16">
        <v>10312258</v>
      </c>
      <c r="F28" s="15" t="s">
        <v>294</v>
      </c>
      <c r="G28" s="15" t="s">
        <v>37</v>
      </c>
      <c r="H28" s="15" t="s">
        <v>131</v>
      </c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/>
      <c r="C29" s="14"/>
      <c r="D29" s="15"/>
      <c r="E29" s="16"/>
      <c r="F29" s="15"/>
      <c r="G29" s="15"/>
      <c r="H29" s="15"/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1095882923</v>
      </c>
      <c r="E30" s="16">
        <v>10311333</v>
      </c>
      <c r="F30" s="15" t="s">
        <v>1246</v>
      </c>
      <c r="G30" s="15" t="s">
        <v>104</v>
      </c>
      <c r="H30" s="15" t="s">
        <v>103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1108958950</v>
      </c>
      <c r="E31" s="16">
        <v>10331082</v>
      </c>
      <c r="F31" s="15" t="s">
        <v>574</v>
      </c>
      <c r="G31" s="15" t="s">
        <v>7</v>
      </c>
      <c r="H31" s="15" t="s">
        <v>6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1122819199</v>
      </c>
      <c r="E32" s="16">
        <v>10332555</v>
      </c>
      <c r="F32" s="15" t="s">
        <v>506</v>
      </c>
      <c r="G32" s="15" t="s">
        <v>7</v>
      </c>
      <c r="H32" s="15" t="s">
        <v>6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1013260200</v>
      </c>
      <c r="E33" s="16">
        <v>10332515</v>
      </c>
      <c r="F33" s="15" t="s">
        <v>510</v>
      </c>
      <c r="G33" s="15" t="s">
        <v>7</v>
      </c>
      <c r="H33" s="15" t="s">
        <v>6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/>
      <c r="C34" s="14"/>
      <c r="D34" s="15"/>
      <c r="E34" s="16"/>
      <c r="F34" s="15"/>
      <c r="G34" s="15"/>
      <c r="H34" s="15"/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7.5" customHeight="1" spans="1:33">
      <c r="A35" s="9">
        <v>0.333333333333333</v>
      </c>
      <c r="B35" s="17"/>
      <c r="C35" s="17"/>
      <c r="D35" s="10"/>
      <c r="E35" s="11"/>
      <c r="F35" s="10"/>
      <c r="G35" s="10"/>
      <c r="H35" s="10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12"/>
      <c r="B36" s="8" t="s">
        <v>2673</v>
      </c>
      <c r="C36" s="8" t="s">
        <v>2674</v>
      </c>
      <c r="D36" s="8" t="s">
        <v>2675</v>
      </c>
      <c r="E36" s="13" t="s">
        <v>1895</v>
      </c>
      <c r="F36" s="8" t="s">
        <v>3</v>
      </c>
      <c r="G36" s="8" t="s">
        <v>2676</v>
      </c>
      <c r="H36" s="8" t="s">
        <v>2677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0.333333333333333</v>
      </c>
      <c r="C38" s="14">
        <v>0.666666666666667</v>
      </c>
      <c r="D38" s="15">
        <v>1275539822</v>
      </c>
      <c r="E38" s="16">
        <v>10303306</v>
      </c>
      <c r="F38" s="15" t="s">
        <v>165</v>
      </c>
      <c r="G38" s="15" t="s">
        <v>16</v>
      </c>
      <c r="H38" s="15" t="s">
        <v>15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0.333333333333333</v>
      </c>
      <c r="C39" s="14">
        <v>0.708333333333333</v>
      </c>
      <c r="D39" s="15">
        <v>0</v>
      </c>
      <c r="E39" s="16">
        <v>10340710</v>
      </c>
      <c r="F39" s="15" t="s">
        <v>1604</v>
      </c>
      <c r="G39" s="15" t="s">
        <v>16</v>
      </c>
      <c r="H39" s="15" t="s">
        <v>126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0.333333333333333</v>
      </c>
      <c r="C40" s="14">
        <v>0.708333333333333</v>
      </c>
      <c r="D40" s="15">
        <v>1019247490</v>
      </c>
      <c r="E40" s="16">
        <v>10343408</v>
      </c>
      <c r="F40" s="15" t="s">
        <v>1389</v>
      </c>
      <c r="G40" s="15" t="s">
        <v>16</v>
      </c>
      <c r="H40" s="15" t="s">
        <v>178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0.333333333333333</v>
      </c>
      <c r="C42" s="14">
        <v>0.708333333333333</v>
      </c>
      <c r="D42" s="15">
        <v>1116487479</v>
      </c>
      <c r="E42" s="16">
        <v>10334248</v>
      </c>
      <c r="F42" s="15" t="s">
        <v>612</v>
      </c>
      <c r="G42" s="15" t="s">
        <v>58</v>
      </c>
      <c r="H42" s="15" t="s">
        <v>57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1012997137</v>
      </c>
      <c r="E44" s="16">
        <v>10343271</v>
      </c>
      <c r="F44" s="15" t="s">
        <v>1392</v>
      </c>
      <c r="G44" s="15" t="s">
        <v>85</v>
      </c>
      <c r="H44" s="15" t="s">
        <v>328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/>
      <c r="C45" s="14"/>
      <c r="D45" s="15"/>
      <c r="E45" s="16"/>
      <c r="F45" s="15"/>
      <c r="G45" s="15"/>
      <c r="H45" s="15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>
        <v>0.333333333333333</v>
      </c>
      <c r="C46" s="14">
        <v>0.708333333333333</v>
      </c>
      <c r="D46" s="15">
        <v>1065931748</v>
      </c>
      <c r="E46" s="16">
        <v>10316540</v>
      </c>
      <c r="F46" s="15" t="s">
        <v>217</v>
      </c>
      <c r="G46" s="15" t="s">
        <v>13</v>
      </c>
      <c r="H46" s="15" t="s">
        <v>32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/>
      <c r="C47" s="14"/>
      <c r="D47" s="15"/>
      <c r="E47" s="16"/>
      <c r="F47" s="15"/>
      <c r="G47" s="15"/>
      <c r="H47" s="15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>
        <v>0.333333333333333</v>
      </c>
      <c r="C48" s="14">
        <v>0.708333333333333</v>
      </c>
      <c r="D48" s="15">
        <v>1159397474</v>
      </c>
      <c r="E48" s="16">
        <v>10327293</v>
      </c>
      <c r="F48" s="15" t="s">
        <v>270</v>
      </c>
      <c r="G48" s="15" t="s">
        <v>23</v>
      </c>
      <c r="H48" s="15" t="s">
        <v>62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1115300028</v>
      </c>
      <c r="E49" s="16">
        <v>10332448</v>
      </c>
      <c r="F49" s="15" t="s">
        <v>501</v>
      </c>
      <c r="G49" s="15" t="s">
        <v>23</v>
      </c>
      <c r="H49" s="15" t="s">
        <v>144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>
        <v>0.333333333333333</v>
      </c>
      <c r="C50" s="14">
        <v>0.541666666666667</v>
      </c>
      <c r="D50" s="15">
        <v>1115383753</v>
      </c>
      <c r="E50" s="16">
        <v>10331615</v>
      </c>
      <c r="F50" s="15" t="s">
        <v>433</v>
      </c>
      <c r="G50" s="15" t="s">
        <v>23</v>
      </c>
      <c r="H50" s="15" t="s">
        <v>172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1010288732</v>
      </c>
      <c r="E51" s="16">
        <v>10328665</v>
      </c>
      <c r="F51" s="15" t="s">
        <v>412</v>
      </c>
      <c r="G51" s="15" t="s">
        <v>23</v>
      </c>
      <c r="H51" s="15" t="s">
        <v>22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/>
      <c r="C52" s="14"/>
      <c r="D52" s="15"/>
      <c r="E52" s="16"/>
      <c r="F52" s="15"/>
      <c r="G52" s="15"/>
      <c r="H52" s="15"/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1121171477</v>
      </c>
      <c r="E53" s="16">
        <v>10272259</v>
      </c>
      <c r="F53" s="15" t="s">
        <v>50</v>
      </c>
      <c r="G53" s="15" t="s">
        <v>49</v>
      </c>
      <c r="H53" s="15" t="s">
        <v>48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1012805735</v>
      </c>
      <c r="E55" s="16">
        <v>10347318</v>
      </c>
      <c r="F55" s="15" t="s">
        <v>1610</v>
      </c>
      <c r="G55" s="15" t="s">
        <v>40</v>
      </c>
      <c r="H55" s="15" t="s">
        <v>134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7.5" customHeight="1" spans="1:33">
      <c r="A57" s="9">
        <v>0.375</v>
      </c>
      <c r="B57" s="17"/>
      <c r="C57" s="17"/>
      <c r="D57" s="10"/>
      <c r="E57" s="11"/>
      <c r="F57" s="10"/>
      <c r="G57" s="10"/>
      <c r="H57" s="10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12"/>
      <c r="B58" s="8" t="s">
        <v>2673</v>
      </c>
      <c r="C58" s="8" t="s">
        <v>2674</v>
      </c>
      <c r="D58" s="8" t="s">
        <v>2675</v>
      </c>
      <c r="E58" s="13" t="s">
        <v>1895</v>
      </c>
      <c r="F58" s="8" t="s">
        <v>3</v>
      </c>
      <c r="G58" s="8" t="s">
        <v>2676</v>
      </c>
      <c r="H58" s="8" t="s">
        <v>2677</v>
      </c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1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15" customHeight="1" spans="1:33">
      <c r="A60" s="6"/>
      <c r="B60" s="14">
        <v>0.375</v>
      </c>
      <c r="C60" s="14">
        <v>0.75</v>
      </c>
      <c r="D60" s="15">
        <v>0</v>
      </c>
      <c r="E60" s="16">
        <v>10337807</v>
      </c>
      <c r="F60" s="15" t="s">
        <v>1159</v>
      </c>
      <c r="G60" s="15" t="s">
        <v>434</v>
      </c>
      <c r="H60" s="15" t="s">
        <v>434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15" customHeight="1" spans="1:33">
      <c r="A61" s="6"/>
      <c r="B61" s="14"/>
      <c r="C61" s="14"/>
      <c r="D61" s="15"/>
      <c r="E61" s="16"/>
      <c r="F61" s="15"/>
      <c r="G61" s="15"/>
      <c r="H61" s="15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>
        <v>0.375</v>
      </c>
      <c r="C62" s="14">
        <v>0.75</v>
      </c>
      <c r="D62" s="15">
        <v>1010368141</v>
      </c>
      <c r="E62" s="16">
        <v>10341138</v>
      </c>
      <c r="F62" s="15" t="s">
        <v>1372</v>
      </c>
      <c r="G62" s="15" t="s">
        <v>221</v>
      </c>
      <c r="H62" s="15" t="s">
        <v>220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>
        <v>0.375</v>
      </c>
      <c r="C64" s="14">
        <v>0.75</v>
      </c>
      <c r="D64" s="15">
        <v>1068635749</v>
      </c>
      <c r="E64" s="16">
        <v>10318430</v>
      </c>
      <c r="F64" s="15" t="s">
        <v>169</v>
      </c>
      <c r="G64" s="15" t="s">
        <v>16</v>
      </c>
      <c r="H64" s="15" t="s">
        <v>34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>
        <v>0.375</v>
      </c>
      <c r="C65" s="14">
        <v>0.75</v>
      </c>
      <c r="D65" s="15">
        <v>1554240173</v>
      </c>
      <c r="E65" s="16">
        <v>10330125</v>
      </c>
      <c r="F65" s="15" t="s">
        <v>476</v>
      </c>
      <c r="G65" s="15" t="s">
        <v>16</v>
      </c>
      <c r="H65" s="15" t="s">
        <v>34</v>
      </c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0.75</v>
      </c>
      <c r="D66" s="15">
        <v>1128444730</v>
      </c>
      <c r="E66" s="16">
        <v>10323632</v>
      </c>
      <c r="F66" s="15" t="s">
        <v>160</v>
      </c>
      <c r="G66" s="15" t="s">
        <v>16</v>
      </c>
      <c r="H66" s="15" t="s">
        <v>34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>
        <v>0.375</v>
      </c>
      <c r="C67" s="14">
        <v>0.75</v>
      </c>
      <c r="D67" s="15" t="s">
        <v>1374</v>
      </c>
      <c r="E67" s="16">
        <v>10341134</v>
      </c>
      <c r="F67" s="15" t="s">
        <v>1373</v>
      </c>
      <c r="G67" s="15" t="s">
        <v>16</v>
      </c>
      <c r="H67" s="15" t="s">
        <v>126</v>
      </c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1066477377</v>
      </c>
      <c r="E68" s="16">
        <v>10331653</v>
      </c>
      <c r="F68" s="15" t="s">
        <v>473</v>
      </c>
      <c r="G68" s="15" t="s">
        <v>16</v>
      </c>
      <c r="H68" s="15" t="s">
        <v>126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>
        <v>0.375</v>
      </c>
      <c r="C69" s="14">
        <v>0.75</v>
      </c>
      <c r="D69" s="15">
        <v>1113730869</v>
      </c>
      <c r="E69" s="16">
        <v>10326124</v>
      </c>
      <c r="F69" s="15" t="s">
        <v>207</v>
      </c>
      <c r="G69" s="15" t="s">
        <v>16</v>
      </c>
      <c r="H69" s="15" t="s">
        <v>126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1148690354</v>
      </c>
      <c r="E70" s="16">
        <v>10331623</v>
      </c>
      <c r="F70" s="15" t="s">
        <v>468</v>
      </c>
      <c r="G70" s="15" t="s">
        <v>16</v>
      </c>
      <c r="H70" s="15" t="s">
        <v>34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1018580780</v>
      </c>
      <c r="E71" s="16">
        <v>10320435</v>
      </c>
      <c r="F71" s="15" t="s">
        <v>127</v>
      </c>
      <c r="G71" s="15" t="s">
        <v>16</v>
      </c>
      <c r="H71" s="15" t="s">
        <v>126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1055483869</v>
      </c>
      <c r="E72" s="16">
        <v>10331708</v>
      </c>
      <c r="F72" s="15" t="s">
        <v>448</v>
      </c>
      <c r="G72" s="15" t="s">
        <v>16</v>
      </c>
      <c r="H72" s="15" t="s">
        <v>126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1118082037</v>
      </c>
      <c r="E73" s="16">
        <v>10343276</v>
      </c>
      <c r="F73" s="15" t="s">
        <v>1393</v>
      </c>
      <c r="G73" s="15" t="s">
        <v>16</v>
      </c>
      <c r="H73" s="15" t="s">
        <v>34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1007280599</v>
      </c>
      <c r="E74" s="16">
        <v>10316543</v>
      </c>
      <c r="F74" s="15" t="s">
        <v>93</v>
      </c>
      <c r="G74" s="15" t="s">
        <v>16</v>
      </c>
      <c r="H74" s="15" t="s">
        <v>34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/>
      <c r="C75" s="14"/>
      <c r="D75" s="15"/>
      <c r="E75" s="16"/>
      <c r="F75" s="15"/>
      <c r="G75" s="15"/>
      <c r="H75" s="15"/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1113294520</v>
      </c>
      <c r="E76" s="16">
        <v>10329245</v>
      </c>
      <c r="F76" s="15" t="s">
        <v>372</v>
      </c>
      <c r="G76" s="15" t="s">
        <v>30</v>
      </c>
      <c r="H76" s="15" t="s">
        <v>29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/>
      <c r="C77" s="14"/>
      <c r="D77" s="15"/>
      <c r="E77" s="16"/>
      <c r="F77" s="15"/>
      <c r="G77" s="15"/>
      <c r="H77" s="15"/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1206043573</v>
      </c>
      <c r="E78" s="16" t="s">
        <v>2607</v>
      </c>
      <c r="F78" s="15" t="s">
        <v>2608</v>
      </c>
      <c r="G78" s="15" t="s">
        <v>58</v>
      </c>
      <c r="H78" s="15" t="s">
        <v>57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0</v>
      </c>
      <c r="E79" s="16">
        <v>10338143</v>
      </c>
      <c r="F79" s="15" t="s">
        <v>1248</v>
      </c>
      <c r="G79" s="15" t="s">
        <v>58</v>
      </c>
      <c r="H79" s="15" t="s">
        <v>57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1001240626</v>
      </c>
      <c r="E80" s="16">
        <v>10335545</v>
      </c>
      <c r="F80" s="15" t="s">
        <v>753</v>
      </c>
      <c r="G80" s="15" t="s">
        <v>58</v>
      </c>
      <c r="H80" s="15" t="s">
        <v>57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1117297939</v>
      </c>
      <c r="E81" s="16">
        <v>10347319</v>
      </c>
      <c r="F81" s="15" t="s">
        <v>1607</v>
      </c>
      <c r="G81" s="15" t="s">
        <v>58</v>
      </c>
      <c r="H81" s="15" t="s">
        <v>57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1113186476</v>
      </c>
      <c r="E83" s="16">
        <v>10323640</v>
      </c>
      <c r="F83" s="15" t="s">
        <v>100</v>
      </c>
      <c r="G83" s="15" t="s">
        <v>85</v>
      </c>
      <c r="H83" s="15" t="s">
        <v>84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0.875</v>
      </c>
      <c r="D84" s="15">
        <v>1200406865</v>
      </c>
      <c r="E84" s="16">
        <v>10316835</v>
      </c>
      <c r="F84" s="15" t="s">
        <v>212</v>
      </c>
      <c r="G84" s="15" t="s">
        <v>85</v>
      </c>
      <c r="H84" s="15" t="s">
        <v>84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1102330947</v>
      </c>
      <c r="E85" s="16">
        <v>10329571</v>
      </c>
      <c r="F85" s="15" t="s">
        <v>389</v>
      </c>
      <c r="G85" s="15" t="s">
        <v>85</v>
      </c>
      <c r="H85" s="15" t="s">
        <v>84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0.791666666666667</v>
      </c>
      <c r="D86" s="15">
        <v>1064855780</v>
      </c>
      <c r="E86" s="16">
        <v>10341132</v>
      </c>
      <c r="F86" s="15" t="s">
        <v>1376</v>
      </c>
      <c r="G86" s="15" t="s">
        <v>85</v>
      </c>
      <c r="H86" s="15" t="s">
        <v>162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1093228623</v>
      </c>
      <c r="E87" s="16">
        <v>10331587</v>
      </c>
      <c r="F87" s="15" t="s">
        <v>461</v>
      </c>
      <c r="G87" s="15" t="s">
        <v>85</v>
      </c>
      <c r="H87" s="15" t="s">
        <v>328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0.791666666666667</v>
      </c>
      <c r="D88" s="15">
        <v>1067109725</v>
      </c>
      <c r="E88" s="16">
        <v>10331605</v>
      </c>
      <c r="F88" s="15" t="s">
        <v>463</v>
      </c>
      <c r="G88" s="15" t="s">
        <v>85</v>
      </c>
      <c r="H88" s="15" t="s">
        <v>328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1029557588</v>
      </c>
      <c r="E89" s="16">
        <v>10337038</v>
      </c>
      <c r="F89" s="15" t="s">
        <v>1073</v>
      </c>
      <c r="G89" s="15" t="s">
        <v>85</v>
      </c>
      <c r="H89" s="15" t="s">
        <v>84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/>
      <c r="C90" s="14"/>
      <c r="D90" s="15"/>
      <c r="E90" s="16"/>
      <c r="F90" s="15"/>
      <c r="G90" s="15"/>
      <c r="H90" s="15"/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1001481649</v>
      </c>
      <c r="E91" s="16">
        <v>10337729</v>
      </c>
      <c r="F91" s="15" t="s">
        <v>1169</v>
      </c>
      <c r="G91" s="15" t="s">
        <v>314</v>
      </c>
      <c r="H91" s="15" t="s">
        <v>345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1118007363</v>
      </c>
      <c r="E92" s="16">
        <v>10335548</v>
      </c>
      <c r="F92" s="15" t="s">
        <v>754</v>
      </c>
      <c r="G92" s="15" t="s">
        <v>314</v>
      </c>
      <c r="H92" s="15" t="s">
        <v>313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1151226848</v>
      </c>
      <c r="E94" s="16">
        <v>10318866</v>
      </c>
      <c r="F94" s="15" t="s">
        <v>197</v>
      </c>
      <c r="G94" s="15" t="s">
        <v>151</v>
      </c>
      <c r="H94" s="15" t="s">
        <v>6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1018950953</v>
      </c>
      <c r="E95" s="16">
        <v>10341128</v>
      </c>
      <c r="F95" s="15" t="s">
        <v>1377</v>
      </c>
      <c r="G95" s="15" t="s">
        <v>151</v>
      </c>
      <c r="H95" s="15" t="s">
        <v>6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1090500604</v>
      </c>
      <c r="E96" s="16">
        <v>10343287</v>
      </c>
      <c r="F96" s="15" t="s">
        <v>1396</v>
      </c>
      <c r="G96" s="15" t="s">
        <v>151</v>
      </c>
      <c r="H96" s="15" t="s">
        <v>6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>
        <v>0.375</v>
      </c>
      <c r="C97" s="14">
        <v>0.75</v>
      </c>
      <c r="D97" s="15">
        <v>1097762201</v>
      </c>
      <c r="E97" s="16">
        <v>10326498</v>
      </c>
      <c r="F97" s="15" t="s">
        <v>1087</v>
      </c>
      <c r="G97" s="15" t="s">
        <v>151</v>
      </c>
      <c r="H97" s="15" t="s">
        <v>409</v>
      </c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/>
      <c r="C98" s="14"/>
      <c r="D98" s="15"/>
      <c r="E98" s="16"/>
      <c r="F98" s="15"/>
      <c r="G98" s="15"/>
      <c r="H98" s="15"/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0.666666666666667</v>
      </c>
      <c r="D99" s="15">
        <v>0</v>
      </c>
      <c r="E99" s="16" t="s">
        <v>2607</v>
      </c>
      <c r="F99" s="15" t="s">
        <v>2623</v>
      </c>
      <c r="G99" s="15" t="s">
        <v>76</v>
      </c>
      <c r="H99" s="15" t="s">
        <v>599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0.791666666666667</v>
      </c>
      <c r="D100" s="15">
        <v>1024995760</v>
      </c>
      <c r="E100" s="16">
        <v>10337746</v>
      </c>
      <c r="F100" s="15" t="s">
        <v>1172</v>
      </c>
      <c r="G100" s="15" t="s">
        <v>76</v>
      </c>
      <c r="H100" s="15" t="s">
        <v>599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1208531938</v>
      </c>
      <c r="E101" s="16">
        <v>10326136</v>
      </c>
      <c r="F101" s="15" t="s">
        <v>77</v>
      </c>
      <c r="G101" s="15" t="s">
        <v>76</v>
      </c>
      <c r="H101" s="15" t="s">
        <v>75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1123940404</v>
      </c>
      <c r="E102" s="16">
        <v>10334497</v>
      </c>
      <c r="F102" s="15" t="s">
        <v>641</v>
      </c>
      <c r="G102" s="15" t="s">
        <v>76</v>
      </c>
      <c r="H102" s="15" t="s">
        <v>599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1009067536</v>
      </c>
      <c r="E103" s="16">
        <v>10335547</v>
      </c>
      <c r="F103" s="15" t="s">
        <v>751</v>
      </c>
      <c r="G103" s="15" t="s">
        <v>76</v>
      </c>
      <c r="H103" s="15" t="s">
        <v>75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1066748788</v>
      </c>
      <c r="E104" s="16">
        <v>10335696</v>
      </c>
      <c r="F104" s="15" t="s">
        <v>755</v>
      </c>
      <c r="G104" s="15" t="s">
        <v>76</v>
      </c>
      <c r="H104" s="15" t="s">
        <v>98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 t="s">
        <v>203</v>
      </c>
      <c r="E105" s="16">
        <v>10316685</v>
      </c>
      <c r="F105" s="15" t="s">
        <v>202</v>
      </c>
      <c r="G105" s="15" t="s">
        <v>76</v>
      </c>
      <c r="H105" s="15" t="s">
        <v>75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1278276206</v>
      </c>
      <c r="E106" s="16">
        <v>10316618</v>
      </c>
      <c r="F106" s="15" t="s">
        <v>166</v>
      </c>
      <c r="G106" s="15" t="s">
        <v>76</v>
      </c>
      <c r="H106" s="15" t="s">
        <v>98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0.791666666666667</v>
      </c>
      <c r="D108" s="15">
        <v>1028837891</v>
      </c>
      <c r="E108" s="16">
        <v>10318880</v>
      </c>
      <c r="F108" s="15" t="s">
        <v>136</v>
      </c>
      <c r="G108" s="15" t="s">
        <v>95</v>
      </c>
      <c r="H108" s="15" t="s">
        <v>108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>
        <v>1151866144</v>
      </c>
      <c r="E109" s="16">
        <v>10329238</v>
      </c>
      <c r="F109" s="15" t="s">
        <v>392</v>
      </c>
      <c r="G109" s="15" t="s">
        <v>95</v>
      </c>
      <c r="H109" s="15" t="s">
        <v>113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0.791666666666667</v>
      </c>
      <c r="D110" s="15">
        <v>1025851539</v>
      </c>
      <c r="E110" s="16">
        <v>10329211</v>
      </c>
      <c r="F110" s="15" t="s">
        <v>383</v>
      </c>
      <c r="G110" s="15" t="s">
        <v>95</v>
      </c>
      <c r="H110" s="15" t="s">
        <v>113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1116915333</v>
      </c>
      <c r="E111" s="16">
        <v>10319940</v>
      </c>
      <c r="F111" s="15" t="s">
        <v>961</v>
      </c>
      <c r="G111" s="15" t="s">
        <v>95</v>
      </c>
      <c r="H111" s="15" t="s">
        <v>343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0</v>
      </c>
      <c r="E112" s="16">
        <v>10337806</v>
      </c>
      <c r="F112" s="15" t="s">
        <v>1155</v>
      </c>
      <c r="G112" s="15" t="s">
        <v>95</v>
      </c>
      <c r="H112" s="15" t="s">
        <v>108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1060286972</v>
      </c>
      <c r="E113" s="16">
        <v>10331521</v>
      </c>
      <c r="F113" s="15" t="s">
        <v>425</v>
      </c>
      <c r="G113" s="15" t="s">
        <v>95</v>
      </c>
      <c r="H113" s="15" t="s">
        <v>228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1093599893</v>
      </c>
      <c r="E114" s="16">
        <v>10316545</v>
      </c>
      <c r="F114" s="15" t="s">
        <v>199</v>
      </c>
      <c r="G114" s="15" t="s">
        <v>95</v>
      </c>
      <c r="H114" s="15" t="s">
        <v>113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1007139007</v>
      </c>
      <c r="E115" s="16">
        <v>10316683</v>
      </c>
      <c r="F115" s="15" t="s">
        <v>129</v>
      </c>
      <c r="G115" s="15" t="s">
        <v>95</v>
      </c>
      <c r="H115" s="15" t="s">
        <v>94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0.791666666666667</v>
      </c>
      <c r="D117" s="15">
        <v>1003492249</v>
      </c>
      <c r="E117" s="16">
        <v>10341131</v>
      </c>
      <c r="F117" s="15" t="s">
        <v>1378</v>
      </c>
      <c r="G117" s="15" t="s">
        <v>10</v>
      </c>
      <c r="H117" s="15" t="s">
        <v>302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1017261898</v>
      </c>
      <c r="E118" s="16">
        <v>10323638</v>
      </c>
      <c r="F118" s="15" t="s">
        <v>46</v>
      </c>
      <c r="G118" s="15" t="s">
        <v>10</v>
      </c>
      <c r="H118" s="15" t="s">
        <v>45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1063159916</v>
      </c>
      <c r="E119" s="16">
        <v>10329480</v>
      </c>
      <c r="F119" s="15" t="s">
        <v>370</v>
      </c>
      <c r="G119" s="15" t="s">
        <v>10</v>
      </c>
      <c r="H119" s="15" t="s">
        <v>302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0.791666666666667</v>
      </c>
      <c r="D120" s="15">
        <v>1144282773</v>
      </c>
      <c r="E120" s="16">
        <v>10337465</v>
      </c>
      <c r="F120" s="15" t="s">
        <v>1175</v>
      </c>
      <c r="G120" s="15" t="s">
        <v>10</v>
      </c>
      <c r="H120" s="15" t="s">
        <v>302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0</v>
      </c>
      <c r="E121" s="16">
        <v>10337002</v>
      </c>
      <c r="F121" s="15" t="s">
        <v>1247</v>
      </c>
      <c r="G121" s="15" t="s">
        <v>10</v>
      </c>
      <c r="H121" s="15" t="s">
        <v>9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1140040830</v>
      </c>
      <c r="E122" s="16">
        <v>10334495</v>
      </c>
      <c r="F122" s="15" t="s">
        <v>642</v>
      </c>
      <c r="G122" s="15" t="s">
        <v>10</v>
      </c>
      <c r="H122" s="15" t="s">
        <v>64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1023832699</v>
      </c>
      <c r="E123" s="16">
        <v>10335550</v>
      </c>
      <c r="F123" s="15" t="s">
        <v>752</v>
      </c>
      <c r="G123" s="15" t="s">
        <v>10</v>
      </c>
      <c r="H123" s="15" t="s">
        <v>9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/>
      <c r="C124" s="14"/>
      <c r="D124" s="15"/>
      <c r="E124" s="16"/>
      <c r="F124" s="15"/>
      <c r="G124" s="15"/>
      <c r="H124" s="15"/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1287545306</v>
      </c>
      <c r="E125" s="16">
        <v>10318890</v>
      </c>
      <c r="F125" s="15" t="s">
        <v>83</v>
      </c>
      <c r="G125" s="15" t="s">
        <v>27</v>
      </c>
      <c r="H125" s="15" t="s">
        <v>26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0.791666666666667</v>
      </c>
      <c r="D126" s="15" t="s">
        <v>1177</v>
      </c>
      <c r="E126" s="16">
        <v>10337727</v>
      </c>
      <c r="F126" s="15" t="s">
        <v>1176</v>
      </c>
      <c r="G126" s="15" t="s">
        <v>27</v>
      </c>
      <c r="H126" s="15" t="s">
        <v>228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0</v>
      </c>
      <c r="E127" s="16">
        <v>10337969</v>
      </c>
      <c r="F127" s="15" t="s">
        <v>1157</v>
      </c>
      <c r="G127" s="15" t="s">
        <v>27</v>
      </c>
      <c r="H127" s="15" t="s">
        <v>26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0.791666666666667</v>
      </c>
      <c r="D128" s="15">
        <v>1129491119</v>
      </c>
      <c r="E128" s="16">
        <v>10331610</v>
      </c>
      <c r="F128" s="15" t="s">
        <v>464</v>
      </c>
      <c r="G128" s="15" t="s">
        <v>27</v>
      </c>
      <c r="H128" s="15" t="s">
        <v>26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1123222315</v>
      </c>
      <c r="E129" s="16">
        <v>10337495</v>
      </c>
      <c r="F129" s="15" t="s">
        <v>1173</v>
      </c>
      <c r="G129" s="15" t="s">
        <v>27</v>
      </c>
      <c r="H129" s="15" t="s">
        <v>577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/>
      <c r="C130" s="14"/>
      <c r="D130" s="15"/>
      <c r="E130" s="16"/>
      <c r="F130" s="15"/>
      <c r="G130" s="15"/>
      <c r="H130" s="15"/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0.791666666666667</v>
      </c>
      <c r="D131" s="15">
        <v>1016740036</v>
      </c>
      <c r="E131" s="16">
        <v>10337722</v>
      </c>
      <c r="F131" s="15" t="s">
        <v>1178</v>
      </c>
      <c r="G131" s="15" t="s">
        <v>13</v>
      </c>
      <c r="H131" s="15" t="s">
        <v>12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0.791666666666667</v>
      </c>
      <c r="D132" s="15">
        <v>1288068289</v>
      </c>
      <c r="E132" s="16">
        <v>10323639</v>
      </c>
      <c r="F132" s="15" t="s">
        <v>200</v>
      </c>
      <c r="G132" s="15" t="s">
        <v>13</v>
      </c>
      <c r="H132" s="15" t="s">
        <v>80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1151935963</v>
      </c>
      <c r="E133" s="16">
        <v>10329226</v>
      </c>
      <c r="F133" s="15" t="s">
        <v>388</v>
      </c>
      <c r="G133" s="15" t="s">
        <v>13</v>
      </c>
      <c r="H133" s="15" t="s">
        <v>106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1123530681</v>
      </c>
      <c r="E134" s="16">
        <v>10331617</v>
      </c>
      <c r="F134" s="15" t="s">
        <v>466</v>
      </c>
      <c r="G134" s="15" t="s">
        <v>13</v>
      </c>
      <c r="H134" s="15" t="s">
        <v>12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1102513025</v>
      </c>
      <c r="E135" s="16">
        <v>10329224</v>
      </c>
      <c r="F135" s="15" t="s">
        <v>467</v>
      </c>
      <c r="G135" s="15" t="s">
        <v>13</v>
      </c>
      <c r="H135" s="15" t="s">
        <v>32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1111698008</v>
      </c>
      <c r="E136" s="16">
        <v>10329214</v>
      </c>
      <c r="F136" s="15" t="s">
        <v>365</v>
      </c>
      <c r="G136" s="15" t="s">
        <v>13</v>
      </c>
      <c r="H136" s="15" t="s">
        <v>141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0.875</v>
      </c>
      <c r="D137" s="15">
        <v>1283419417</v>
      </c>
      <c r="E137" s="16">
        <v>10320407</v>
      </c>
      <c r="F137" s="15" t="s">
        <v>171</v>
      </c>
      <c r="G137" s="15" t="s">
        <v>13</v>
      </c>
      <c r="H137" s="15" t="s">
        <v>170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1005854438</v>
      </c>
      <c r="E138" s="16">
        <v>10334731</v>
      </c>
      <c r="F138" s="15" t="s">
        <v>654</v>
      </c>
      <c r="G138" s="15" t="s">
        <v>13</v>
      </c>
      <c r="H138" s="15" t="s">
        <v>12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 t="s">
        <v>143</v>
      </c>
      <c r="E139" s="16">
        <v>10320413</v>
      </c>
      <c r="F139" s="15" t="s">
        <v>142</v>
      </c>
      <c r="G139" s="15" t="s">
        <v>13</v>
      </c>
      <c r="H139" s="15" t="s">
        <v>141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1127772858</v>
      </c>
      <c r="E140" s="16">
        <v>10316681</v>
      </c>
      <c r="F140" s="15" t="s">
        <v>81</v>
      </c>
      <c r="G140" s="15" t="s">
        <v>13</v>
      </c>
      <c r="H140" s="15" t="s">
        <v>80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/>
      <c r="C141" s="14"/>
      <c r="D141" s="15"/>
      <c r="E141" s="16"/>
      <c r="F141" s="15"/>
      <c r="G141" s="15"/>
      <c r="H141" s="15"/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1021623610</v>
      </c>
      <c r="E142" s="16">
        <v>10323646</v>
      </c>
      <c r="F142" s="15" t="s">
        <v>89</v>
      </c>
      <c r="G142" s="15" t="s">
        <v>23</v>
      </c>
      <c r="H142" s="15" t="s">
        <v>22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1146898396</v>
      </c>
      <c r="E143" s="16">
        <v>10337492</v>
      </c>
      <c r="F143" s="15" t="s">
        <v>1180</v>
      </c>
      <c r="G143" s="15" t="s">
        <v>23</v>
      </c>
      <c r="H143" s="15" t="s">
        <v>62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0.75</v>
      </c>
      <c r="D144" s="15">
        <v>1095439627</v>
      </c>
      <c r="E144" s="16">
        <v>10250963</v>
      </c>
      <c r="F144" s="15" t="s">
        <v>102</v>
      </c>
      <c r="G144" s="15" t="s">
        <v>23</v>
      </c>
      <c r="H144" s="15" t="s">
        <v>101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1061043124</v>
      </c>
      <c r="E145" s="16">
        <v>10276839</v>
      </c>
      <c r="F145" s="15" t="s">
        <v>112</v>
      </c>
      <c r="G145" s="15" t="s">
        <v>23</v>
      </c>
      <c r="H145" s="15" t="s">
        <v>43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 t="s">
        <v>445</v>
      </c>
      <c r="E146" s="16">
        <v>10331588</v>
      </c>
      <c r="F146" s="15" t="s">
        <v>444</v>
      </c>
      <c r="G146" s="15" t="s">
        <v>23</v>
      </c>
      <c r="H146" s="15" t="s">
        <v>276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1206785647</v>
      </c>
      <c r="E147" s="16">
        <v>10252106</v>
      </c>
      <c r="F147" s="15" t="s">
        <v>173</v>
      </c>
      <c r="G147" s="15" t="s">
        <v>23</v>
      </c>
      <c r="H147" s="15" t="s">
        <v>172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1277423380</v>
      </c>
      <c r="E148" s="16">
        <v>10293607</v>
      </c>
      <c r="F148" s="15" t="s">
        <v>183</v>
      </c>
      <c r="G148" s="15" t="s">
        <v>23</v>
      </c>
      <c r="H148" s="15" t="s">
        <v>101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1278222833</v>
      </c>
      <c r="E149" s="16">
        <v>10331625</v>
      </c>
      <c r="F149" s="15" t="s">
        <v>429</v>
      </c>
      <c r="G149" s="15" t="s">
        <v>23</v>
      </c>
      <c r="H149" s="15" t="s">
        <v>43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/>
      <c r="C150" s="14"/>
      <c r="D150" s="15"/>
      <c r="E150" s="16"/>
      <c r="F150" s="15"/>
      <c r="G150" s="15"/>
      <c r="H150" s="15"/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1066387689</v>
      </c>
      <c r="E151" s="16">
        <v>10318434</v>
      </c>
      <c r="F151" s="15" t="s">
        <v>193</v>
      </c>
      <c r="G151" s="15" t="s">
        <v>37</v>
      </c>
      <c r="H151" s="15" t="s">
        <v>91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1142809029</v>
      </c>
      <c r="E152" s="16">
        <v>10331624</v>
      </c>
      <c r="F152" s="15" t="s">
        <v>469</v>
      </c>
      <c r="G152" s="15" t="s">
        <v>37</v>
      </c>
      <c r="H152" s="15" t="s">
        <v>36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0.791666666666667</v>
      </c>
      <c r="D153" s="15">
        <v>1112616693</v>
      </c>
      <c r="E153" s="16">
        <v>10337449</v>
      </c>
      <c r="F153" s="15" t="s">
        <v>1183</v>
      </c>
      <c r="G153" s="15" t="s">
        <v>37</v>
      </c>
      <c r="H153" s="15" t="s">
        <v>36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1029503393</v>
      </c>
      <c r="E154" s="16">
        <v>10329243</v>
      </c>
      <c r="F154" s="15" t="s">
        <v>384</v>
      </c>
      <c r="G154" s="15" t="s">
        <v>37</v>
      </c>
      <c r="H154" s="15" t="s">
        <v>36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1154496491</v>
      </c>
      <c r="E155" s="16">
        <v>10330118</v>
      </c>
      <c r="F155" s="15" t="s">
        <v>475</v>
      </c>
      <c r="G155" s="15" t="s">
        <v>37</v>
      </c>
      <c r="H155" s="15" t="s">
        <v>36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0.791666666666667</v>
      </c>
      <c r="D156" s="15">
        <v>1030878125</v>
      </c>
      <c r="E156" s="16">
        <v>10341133</v>
      </c>
      <c r="F156" s="15" t="s">
        <v>1380</v>
      </c>
      <c r="G156" s="15" t="s">
        <v>37</v>
      </c>
      <c r="H156" s="15" t="s">
        <v>36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0.791666666666667</v>
      </c>
      <c r="D157" s="15">
        <v>1011275160</v>
      </c>
      <c r="E157" s="16">
        <v>10337710</v>
      </c>
      <c r="F157" s="15" t="s">
        <v>1184</v>
      </c>
      <c r="G157" s="15" t="s">
        <v>37</v>
      </c>
      <c r="H157" s="15" t="s">
        <v>91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0.75</v>
      </c>
      <c r="D158" s="15">
        <v>1112750439</v>
      </c>
      <c r="E158" s="16">
        <v>10341127</v>
      </c>
      <c r="F158" s="15" t="s">
        <v>1379</v>
      </c>
      <c r="G158" s="15" t="s">
        <v>37</v>
      </c>
      <c r="H158" s="15" t="s">
        <v>36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0.791666666666667</v>
      </c>
      <c r="D159" s="15">
        <v>1101289093</v>
      </c>
      <c r="E159" s="16">
        <v>10337481</v>
      </c>
      <c r="F159" s="15" t="s">
        <v>1095</v>
      </c>
      <c r="G159" s="15" t="s">
        <v>37</v>
      </c>
      <c r="H159" s="15" t="s">
        <v>115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0.791666666666667</v>
      </c>
      <c r="D160" s="15">
        <v>1008169172</v>
      </c>
      <c r="E160" s="16">
        <v>10347384</v>
      </c>
      <c r="F160" s="15" t="s">
        <v>1807</v>
      </c>
      <c r="G160" s="15" t="s">
        <v>37</v>
      </c>
      <c r="H160" s="15" t="s">
        <v>36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1112106710</v>
      </c>
      <c r="E161" s="16">
        <v>10343397</v>
      </c>
      <c r="F161" s="15" t="s">
        <v>1401</v>
      </c>
      <c r="G161" s="15" t="s">
        <v>37</v>
      </c>
      <c r="H161" s="15" t="s">
        <v>195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1274119194</v>
      </c>
      <c r="E162" s="16">
        <v>10334730</v>
      </c>
      <c r="F162" s="15" t="s">
        <v>656</v>
      </c>
      <c r="G162" s="15" t="s">
        <v>37</v>
      </c>
      <c r="H162" s="15" t="s">
        <v>131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1108718978</v>
      </c>
      <c r="E163" s="16">
        <v>10347274</v>
      </c>
      <c r="F163" s="15" t="s">
        <v>1615</v>
      </c>
      <c r="G163" s="15" t="s">
        <v>37</v>
      </c>
      <c r="H163" s="15" t="s">
        <v>115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1145210040</v>
      </c>
      <c r="E164" s="16">
        <v>10316650</v>
      </c>
      <c r="F164" s="15" t="s">
        <v>213</v>
      </c>
      <c r="G164" s="15" t="s">
        <v>37</v>
      </c>
      <c r="H164" s="15" t="s">
        <v>36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1273242707</v>
      </c>
      <c r="E165" s="16">
        <v>10327299</v>
      </c>
      <c r="F165" s="15" t="s">
        <v>135</v>
      </c>
      <c r="G165" s="15" t="s">
        <v>37</v>
      </c>
      <c r="H165" s="15" t="s">
        <v>36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/>
      <c r="C166" s="14"/>
      <c r="D166" s="15"/>
      <c r="E166" s="16"/>
      <c r="F166" s="15"/>
      <c r="G166" s="15"/>
      <c r="H166" s="15"/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1092866275</v>
      </c>
      <c r="E167" s="16">
        <v>10337735</v>
      </c>
      <c r="F167" s="15" t="s">
        <v>1185</v>
      </c>
      <c r="G167" s="15" t="s">
        <v>104</v>
      </c>
      <c r="H167" s="15" t="s">
        <v>103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1091393303</v>
      </c>
      <c r="E168" s="16">
        <v>10331633</v>
      </c>
      <c r="F168" s="15" t="s">
        <v>428</v>
      </c>
      <c r="G168" s="15" t="s">
        <v>104</v>
      </c>
      <c r="H168" s="15" t="s">
        <v>103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1014483395</v>
      </c>
      <c r="E169" s="16">
        <v>10317520</v>
      </c>
      <c r="F169" s="15" t="s">
        <v>164</v>
      </c>
      <c r="G169" s="15" t="s">
        <v>104</v>
      </c>
      <c r="H169" s="15" t="s">
        <v>103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1005722377</v>
      </c>
      <c r="E170" s="16">
        <v>10317521</v>
      </c>
      <c r="F170" s="15" t="s">
        <v>192</v>
      </c>
      <c r="G170" s="15" t="s">
        <v>104</v>
      </c>
      <c r="H170" s="15" t="s">
        <v>103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1070686887</v>
      </c>
      <c r="E171" s="16">
        <v>10327356</v>
      </c>
      <c r="F171" s="15" t="s">
        <v>280</v>
      </c>
      <c r="G171" s="15" t="s">
        <v>104</v>
      </c>
      <c r="H171" s="15" t="s">
        <v>103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1005729091</v>
      </c>
      <c r="E172" s="16">
        <v>10343286</v>
      </c>
      <c r="F172" s="15" t="s">
        <v>1398</v>
      </c>
      <c r="G172" s="15" t="s">
        <v>7</v>
      </c>
      <c r="H172" s="15" t="s">
        <v>6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 t="s">
        <v>1614</v>
      </c>
      <c r="E173" s="16">
        <v>10347357</v>
      </c>
      <c r="F173" s="15" t="s">
        <v>1613</v>
      </c>
      <c r="G173" s="15" t="s">
        <v>7</v>
      </c>
      <c r="H173" s="15" t="s">
        <v>6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/>
      <c r="C174" s="14"/>
      <c r="D174" s="15"/>
      <c r="E174" s="16"/>
      <c r="F174" s="15"/>
      <c r="G174" s="15"/>
      <c r="H174" s="15"/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1028088503</v>
      </c>
      <c r="E175" s="16">
        <v>10329239</v>
      </c>
      <c r="F175" s="15" t="s">
        <v>393</v>
      </c>
      <c r="G175" s="15" t="s">
        <v>40</v>
      </c>
      <c r="H175" s="15" t="s">
        <v>39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0.791666666666667</v>
      </c>
      <c r="D176" s="15">
        <v>1142640176</v>
      </c>
      <c r="E176" s="16">
        <v>10337725</v>
      </c>
      <c r="F176" s="15" t="s">
        <v>1186</v>
      </c>
      <c r="G176" s="15" t="s">
        <v>40</v>
      </c>
      <c r="H176" s="15" t="s">
        <v>39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0.791666666666667</v>
      </c>
      <c r="D177" s="15">
        <v>1122959208</v>
      </c>
      <c r="E177" s="16">
        <v>10323629</v>
      </c>
      <c r="F177" s="15" t="s">
        <v>41</v>
      </c>
      <c r="G177" s="15" t="s">
        <v>40</v>
      </c>
      <c r="H177" s="15" t="s">
        <v>39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 t="s">
        <v>379</v>
      </c>
      <c r="E178" s="16">
        <v>10329234</v>
      </c>
      <c r="F178" s="15" t="s">
        <v>378</v>
      </c>
      <c r="G178" s="15" t="s">
        <v>40</v>
      </c>
      <c r="H178" s="15" t="s">
        <v>39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1096113503</v>
      </c>
      <c r="E179" s="16">
        <v>10337711</v>
      </c>
      <c r="F179" s="15" t="s">
        <v>1187</v>
      </c>
      <c r="G179" s="15" t="s">
        <v>40</v>
      </c>
      <c r="H179" s="15" t="s">
        <v>134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0</v>
      </c>
      <c r="E180" s="16">
        <v>10330123</v>
      </c>
      <c r="F180" s="15" t="s">
        <v>478</v>
      </c>
      <c r="G180" s="15" t="s">
        <v>40</v>
      </c>
      <c r="H180" s="15" t="s">
        <v>134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>
        <v>1102081505</v>
      </c>
      <c r="E181" s="16">
        <v>10317147</v>
      </c>
      <c r="F181" s="15" t="s">
        <v>42</v>
      </c>
      <c r="G181" s="15" t="s">
        <v>40</v>
      </c>
      <c r="H181" s="15" t="s">
        <v>39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1142422826</v>
      </c>
      <c r="E182" s="16">
        <v>10337193</v>
      </c>
      <c r="F182" s="15" t="s">
        <v>1083</v>
      </c>
      <c r="G182" s="15" t="s">
        <v>40</v>
      </c>
      <c r="H182" s="15" t="s">
        <v>134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/>
      <c r="C183" s="14"/>
      <c r="D183" s="15"/>
      <c r="E183" s="16"/>
      <c r="F183" s="15"/>
      <c r="G183" s="15"/>
      <c r="H183" s="15"/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1558721794</v>
      </c>
      <c r="E184" s="16">
        <v>10329241</v>
      </c>
      <c r="F184" s="15" t="s">
        <v>369</v>
      </c>
      <c r="G184" s="15" t="s">
        <v>70</v>
      </c>
      <c r="H184" s="15" t="s">
        <v>69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7.5" customHeight="1" spans="1:33">
      <c r="A186" s="9">
        <v>0.416666666666667</v>
      </c>
      <c r="B186" s="17"/>
      <c r="C186" s="17"/>
      <c r="D186" s="10"/>
      <c r="E186" s="11"/>
      <c r="F186" s="10"/>
      <c r="G186" s="10"/>
      <c r="H186" s="10"/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5" customHeight="1" spans="1:33">
      <c r="A187" s="12"/>
      <c r="B187" s="8" t="s">
        <v>2673</v>
      </c>
      <c r="C187" s="8" t="s">
        <v>2674</v>
      </c>
      <c r="D187" s="8" t="s">
        <v>2675</v>
      </c>
      <c r="E187" s="13" t="s">
        <v>1895</v>
      </c>
      <c r="F187" s="8" t="s">
        <v>3</v>
      </c>
      <c r="G187" s="8" t="s">
        <v>2676</v>
      </c>
      <c r="H187" s="8" t="s">
        <v>2677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5" customHeight="1" spans="1:33">
      <c r="A188" s="6"/>
      <c r="B188" s="14"/>
      <c r="C188" s="14"/>
      <c r="D188" s="15"/>
      <c r="E188" s="16"/>
      <c r="F188" s="15"/>
      <c r="G188" s="15"/>
      <c r="H188" s="15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5" customHeight="1" spans="1:33">
      <c r="A189" s="6"/>
      <c r="B189" s="14">
        <v>0.416666666666667</v>
      </c>
      <c r="C189" s="14">
        <v>0.791666666666667</v>
      </c>
      <c r="D189" s="15">
        <v>1113296805</v>
      </c>
      <c r="E189" s="16" t="s">
        <v>2588</v>
      </c>
      <c r="F189" s="15" t="s">
        <v>1735</v>
      </c>
      <c r="G189" s="15" t="s">
        <v>2589</v>
      </c>
      <c r="H189" s="15" t="s">
        <v>2589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5" customHeight="1" spans="1:33">
      <c r="A190" s="6"/>
      <c r="B190" s="14">
        <v>0.416666666666667</v>
      </c>
      <c r="C190" s="14">
        <v>0.791666666666667</v>
      </c>
      <c r="D190" s="15">
        <v>1559009369</v>
      </c>
      <c r="E190" s="16" t="s">
        <v>2588</v>
      </c>
      <c r="F190" s="15" t="s">
        <v>2590</v>
      </c>
      <c r="G190" s="15" t="s">
        <v>2589</v>
      </c>
      <c r="H190" s="15" t="s">
        <v>2589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5" customHeight="1" spans="1:33">
      <c r="A191" s="6"/>
      <c r="B191" s="14">
        <v>0.416666666666667</v>
      </c>
      <c r="C191" s="14">
        <v>0.791666666666667</v>
      </c>
      <c r="D191" s="15">
        <v>1555337019</v>
      </c>
      <c r="E191" s="16" t="s">
        <v>2588</v>
      </c>
      <c r="F191" s="15" t="s">
        <v>2591</v>
      </c>
      <c r="G191" s="15" t="s">
        <v>2589</v>
      </c>
      <c r="H191" s="15" t="s">
        <v>2589</v>
      </c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5" customHeight="1" spans="1:33">
      <c r="A192" s="6"/>
      <c r="B192" s="14">
        <v>0.416666666666667</v>
      </c>
      <c r="C192" s="14">
        <v>0.791666666666667</v>
      </c>
      <c r="D192" s="15">
        <v>1225586725</v>
      </c>
      <c r="E192" s="16" t="s">
        <v>2588</v>
      </c>
      <c r="F192" s="15" t="s">
        <v>2592</v>
      </c>
      <c r="G192" s="15" t="s">
        <v>2589</v>
      </c>
      <c r="H192" s="15" t="s">
        <v>2589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6"/>
      <c r="B193" s="14">
        <v>0.416666666666667</v>
      </c>
      <c r="C193" s="14">
        <v>0.791666666666667</v>
      </c>
      <c r="D193" s="15">
        <v>1004906883</v>
      </c>
      <c r="E193" s="16" t="s">
        <v>2588</v>
      </c>
      <c r="F193" s="15" t="s">
        <v>2593</v>
      </c>
      <c r="G193" s="15" t="s">
        <v>2589</v>
      </c>
      <c r="H193" s="15" t="s">
        <v>2589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>
        <v>0.416666666666667</v>
      </c>
      <c r="C194" s="14">
        <v>0.791666666666667</v>
      </c>
      <c r="D194" s="15">
        <v>1029828096</v>
      </c>
      <c r="E194" s="16" t="s">
        <v>2588</v>
      </c>
      <c r="F194" s="15" t="s">
        <v>2594</v>
      </c>
      <c r="G194" s="15" t="s">
        <v>2595</v>
      </c>
      <c r="H194" s="15" t="s">
        <v>2595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1285911945</v>
      </c>
      <c r="E195" s="16" t="s">
        <v>2588</v>
      </c>
      <c r="F195" s="15" t="s">
        <v>2596</v>
      </c>
      <c r="G195" s="15" t="s">
        <v>2595</v>
      </c>
      <c r="H195" s="15" t="s">
        <v>2595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/>
      <c r="C196" s="14"/>
      <c r="D196" s="15"/>
      <c r="E196" s="16"/>
      <c r="F196" s="15"/>
      <c r="G196" s="15"/>
      <c r="H196" s="15"/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1142026904</v>
      </c>
      <c r="E197" s="16" t="s">
        <v>2588</v>
      </c>
      <c r="F197" s="15" t="s">
        <v>2597</v>
      </c>
      <c r="G197" s="15" t="s">
        <v>67</v>
      </c>
      <c r="H197" s="15" t="s">
        <v>146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1156524915</v>
      </c>
      <c r="E198" s="16" t="s">
        <v>2588</v>
      </c>
      <c r="F198" s="15" t="s">
        <v>2598</v>
      </c>
      <c r="G198" s="15" t="s">
        <v>67</v>
      </c>
      <c r="H198" s="15" t="s">
        <v>2599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1001393434</v>
      </c>
      <c r="E199" s="16">
        <v>10292084</v>
      </c>
      <c r="F199" s="15" t="s">
        <v>239</v>
      </c>
      <c r="G199" s="15" t="s">
        <v>67</v>
      </c>
      <c r="H199" s="15" t="s">
        <v>146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1141799206</v>
      </c>
      <c r="E200" s="16">
        <v>10349490</v>
      </c>
      <c r="F200" s="15" t="s">
        <v>1854</v>
      </c>
      <c r="G200" s="15" t="s">
        <v>67</v>
      </c>
      <c r="H200" s="15" t="s">
        <v>146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1095599069</v>
      </c>
      <c r="E201" s="16">
        <v>10306591</v>
      </c>
      <c r="F201" s="15" t="s">
        <v>167</v>
      </c>
      <c r="G201" s="15" t="s">
        <v>67</v>
      </c>
      <c r="H201" s="15" t="s">
        <v>123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1224558156</v>
      </c>
      <c r="E203" s="16" t="s">
        <v>2588</v>
      </c>
      <c r="F203" s="15" t="s">
        <v>2600</v>
      </c>
      <c r="G203" s="15" t="s">
        <v>16</v>
      </c>
      <c r="H203" s="15" t="s">
        <v>1704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0.791666666666667</v>
      </c>
      <c r="D204" s="15">
        <v>1121213223</v>
      </c>
      <c r="E204" s="16" t="s">
        <v>2588</v>
      </c>
      <c r="F204" s="15" t="s">
        <v>2601</v>
      </c>
      <c r="G204" s="15" t="s">
        <v>16</v>
      </c>
      <c r="H204" s="15" t="s">
        <v>178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 t="s">
        <v>2602</v>
      </c>
      <c r="E205" s="16" t="s">
        <v>2588</v>
      </c>
      <c r="F205" s="15" t="s">
        <v>2603</v>
      </c>
      <c r="G205" s="15" t="s">
        <v>16</v>
      </c>
      <c r="H205" s="15" t="s">
        <v>126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>
        <v>1508397610</v>
      </c>
      <c r="E206" s="16" t="s">
        <v>2604</v>
      </c>
      <c r="F206" s="15" t="s">
        <v>624</v>
      </c>
      <c r="G206" s="15" t="s">
        <v>16</v>
      </c>
      <c r="H206" s="15" t="s">
        <v>126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>
        <v>1068673636</v>
      </c>
      <c r="E207" s="16">
        <v>10323634</v>
      </c>
      <c r="F207" s="15" t="s">
        <v>90</v>
      </c>
      <c r="G207" s="15" t="s">
        <v>16</v>
      </c>
      <c r="H207" s="15" t="s">
        <v>34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1022061360</v>
      </c>
      <c r="E208" s="16">
        <v>10329246</v>
      </c>
      <c r="F208" s="15" t="s">
        <v>394</v>
      </c>
      <c r="G208" s="15" t="s">
        <v>16</v>
      </c>
      <c r="H208" s="15" t="s">
        <v>34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 t="s">
        <v>1163</v>
      </c>
      <c r="E209" s="16">
        <v>10337707</v>
      </c>
      <c r="F209" s="15" t="s">
        <v>1162</v>
      </c>
      <c r="G209" s="15" t="s">
        <v>16</v>
      </c>
      <c r="H209" s="15" t="s">
        <v>15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1094007876</v>
      </c>
      <c r="E210" s="16">
        <v>10304876</v>
      </c>
      <c r="F210" s="15" t="s">
        <v>255</v>
      </c>
      <c r="G210" s="15" t="s">
        <v>16</v>
      </c>
      <c r="H210" s="15" t="s">
        <v>126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1555795564</v>
      </c>
      <c r="E211" s="16">
        <v>10349407</v>
      </c>
      <c r="F211" s="15" t="s">
        <v>1853</v>
      </c>
      <c r="G211" s="15" t="s">
        <v>16</v>
      </c>
      <c r="H211" s="15" t="s">
        <v>126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/>
      <c r="C212" s="14"/>
      <c r="D212" s="15"/>
      <c r="E212" s="16"/>
      <c r="F212" s="15"/>
      <c r="G212" s="15"/>
      <c r="H212" s="15"/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1141894870</v>
      </c>
      <c r="E213" s="16" t="s">
        <v>2588</v>
      </c>
      <c r="F213" s="15" t="s">
        <v>2605</v>
      </c>
      <c r="G213" s="15" t="s">
        <v>2606</v>
      </c>
      <c r="H213" s="15" t="s">
        <v>381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/>
      <c r="C214" s="14"/>
      <c r="D214" s="15"/>
      <c r="E214" s="16"/>
      <c r="F214" s="15"/>
      <c r="G214" s="15"/>
      <c r="H214" s="15"/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1552461288</v>
      </c>
      <c r="E215" s="16" t="s">
        <v>2588</v>
      </c>
      <c r="F215" s="15" t="s">
        <v>2609</v>
      </c>
      <c r="G215" s="15" t="s">
        <v>58</v>
      </c>
      <c r="H215" s="15" t="s">
        <v>57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>
        <v>1022522135</v>
      </c>
      <c r="E216" s="16" t="s">
        <v>2588</v>
      </c>
      <c r="F216" s="15" t="s">
        <v>154</v>
      </c>
      <c r="G216" s="15" t="s">
        <v>58</v>
      </c>
      <c r="H216" s="15" t="s">
        <v>57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1007497277</v>
      </c>
      <c r="E217" s="16">
        <v>10326133</v>
      </c>
      <c r="F217" s="15" t="s">
        <v>59</v>
      </c>
      <c r="G217" s="15" t="s">
        <v>58</v>
      </c>
      <c r="H217" s="15" t="s">
        <v>57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1142047308</v>
      </c>
      <c r="E218" s="16">
        <v>10329290</v>
      </c>
      <c r="F218" s="15" t="s">
        <v>375</v>
      </c>
      <c r="G218" s="15" t="s">
        <v>58</v>
      </c>
      <c r="H218" s="15" t="s">
        <v>57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1123518604</v>
      </c>
      <c r="E219" s="16">
        <v>10341126</v>
      </c>
      <c r="F219" s="15" t="s">
        <v>1343</v>
      </c>
      <c r="G219" s="15" t="s">
        <v>58</v>
      </c>
      <c r="H219" s="15" t="s">
        <v>57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1125914954</v>
      </c>
      <c r="E220" s="16">
        <v>10293907</v>
      </c>
      <c r="F220" s="15" t="s">
        <v>254</v>
      </c>
      <c r="G220" s="15" t="s">
        <v>58</v>
      </c>
      <c r="H220" s="15" t="s">
        <v>57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1070454217</v>
      </c>
      <c r="E221" s="16">
        <v>10349026</v>
      </c>
      <c r="F221" s="15" t="s">
        <v>1787</v>
      </c>
      <c r="G221" s="15" t="s">
        <v>58</v>
      </c>
      <c r="H221" s="15" t="s">
        <v>57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1129849493</v>
      </c>
      <c r="E222" s="16">
        <v>10349404</v>
      </c>
      <c r="F222" s="15" t="s">
        <v>1844</v>
      </c>
      <c r="G222" s="15" t="s">
        <v>58</v>
      </c>
      <c r="H222" s="15" t="s">
        <v>57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1090712285</v>
      </c>
      <c r="E223" s="16">
        <v>10332517</v>
      </c>
      <c r="F223" s="15" t="s">
        <v>518</v>
      </c>
      <c r="G223" s="15" t="s">
        <v>58</v>
      </c>
      <c r="H223" s="15" t="s">
        <v>57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/>
      <c r="C224" s="14"/>
      <c r="D224" s="15"/>
      <c r="E224" s="16"/>
      <c r="F224" s="15"/>
      <c r="G224" s="15"/>
      <c r="H224" s="15"/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1008393750</v>
      </c>
      <c r="E225" s="16" t="s">
        <v>2588</v>
      </c>
      <c r="F225" s="15" t="s">
        <v>917</v>
      </c>
      <c r="G225" s="15" t="s">
        <v>85</v>
      </c>
      <c r="H225" s="15" t="s">
        <v>162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1151390803</v>
      </c>
      <c r="E226" s="16" t="s">
        <v>2588</v>
      </c>
      <c r="F226" s="15" t="s">
        <v>2610</v>
      </c>
      <c r="G226" s="15" t="s">
        <v>85</v>
      </c>
      <c r="H226" s="15" t="s">
        <v>84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1104840764</v>
      </c>
      <c r="E227" s="16" t="s">
        <v>2588</v>
      </c>
      <c r="F227" s="15" t="s">
        <v>2611</v>
      </c>
      <c r="G227" s="15" t="s">
        <v>85</v>
      </c>
      <c r="H227" s="15" t="s">
        <v>84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 t="s">
        <v>2612</v>
      </c>
      <c r="E228" s="16" t="s">
        <v>2588</v>
      </c>
      <c r="F228" s="15" t="s">
        <v>2613</v>
      </c>
      <c r="G228" s="15" t="s">
        <v>85</v>
      </c>
      <c r="H228" s="15" t="s">
        <v>162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1116087247</v>
      </c>
      <c r="E229" s="16">
        <v>10318429</v>
      </c>
      <c r="F229" s="15" t="s">
        <v>186</v>
      </c>
      <c r="G229" s="15" t="s">
        <v>85</v>
      </c>
      <c r="H229" s="15" t="s">
        <v>84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1201639339</v>
      </c>
      <c r="E230" s="16">
        <v>10329272</v>
      </c>
      <c r="F230" s="15" t="s">
        <v>374</v>
      </c>
      <c r="G230" s="15" t="s">
        <v>85</v>
      </c>
      <c r="H230" s="15" t="s">
        <v>162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1007879704</v>
      </c>
      <c r="E231" s="16">
        <v>10337473</v>
      </c>
      <c r="F231" s="15" t="s">
        <v>1160</v>
      </c>
      <c r="G231" s="15" t="s">
        <v>85</v>
      </c>
      <c r="H231" s="15" t="s">
        <v>328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1146739976</v>
      </c>
      <c r="E232" s="16">
        <v>10348091</v>
      </c>
      <c r="F232" s="15" t="s">
        <v>1811</v>
      </c>
      <c r="G232" s="15" t="s">
        <v>85</v>
      </c>
      <c r="H232" s="15" t="s">
        <v>84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0.75</v>
      </c>
      <c r="D233" s="15">
        <v>0</v>
      </c>
      <c r="E233" s="16" t="s">
        <v>1148</v>
      </c>
      <c r="F233" s="15" t="s">
        <v>1149</v>
      </c>
      <c r="G233" s="15" t="s">
        <v>85</v>
      </c>
      <c r="H233" s="15" t="s">
        <v>162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1061473372</v>
      </c>
      <c r="E234" s="16">
        <v>10349402</v>
      </c>
      <c r="F234" s="15" t="s">
        <v>1845</v>
      </c>
      <c r="G234" s="15" t="s">
        <v>85</v>
      </c>
      <c r="H234" s="15" t="s">
        <v>328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 t="s">
        <v>667</v>
      </c>
      <c r="E235" s="16">
        <v>10334790</v>
      </c>
      <c r="F235" s="15" t="s">
        <v>666</v>
      </c>
      <c r="G235" s="15" t="s">
        <v>85</v>
      </c>
      <c r="H235" s="15" t="s">
        <v>162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/>
      <c r="C236" s="14"/>
      <c r="D236" s="15"/>
      <c r="E236" s="16"/>
      <c r="F236" s="15"/>
      <c r="G236" s="15"/>
      <c r="H236" s="15"/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 t="s">
        <v>2614</v>
      </c>
      <c r="E237" s="16" t="s">
        <v>2588</v>
      </c>
      <c r="F237" s="15" t="s">
        <v>2615</v>
      </c>
      <c r="G237" s="15" t="s">
        <v>53</v>
      </c>
      <c r="H237" s="15" t="s">
        <v>236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/>
      <c r="C238" s="14"/>
      <c r="D238" s="15"/>
      <c r="E238" s="16"/>
      <c r="F238" s="15"/>
      <c r="G238" s="15"/>
      <c r="H238" s="15"/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1122363238</v>
      </c>
      <c r="E239" s="16" t="s">
        <v>2588</v>
      </c>
      <c r="F239" s="15" t="s">
        <v>2616</v>
      </c>
      <c r="G239" s="15" t="s">
        <v>314</v>
      </c>
      <c r="H239" s="15" t="s">
        <v>2617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1122834118</v>
      </c>
      <c r="E240" s="16" t="s">
        <v>2588</v>
      </c>
      <c r="F240" s="15" t="s">
        <v>2618</v>
      </c>
      <c r="G240" s="15" t="s">
        <v>314</v>
      </c>
      <c r="H240" s="15" t="s">
        <v>2617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/>
      <c r="C241" s="14"/>
      <c r="D241" s="15"/>
      <c r="E241" s="16"/>
      <c r="F241" s="15"/>
      <c r="G241" s="15"/>
      <c r="H241" s="15"/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1157389205</v>
      </c>
      <c r="E242" s="16" t="s">
        <v>2588</v>
      </c>
      <c r="F242" s="15" t="s">
        <v>2619</v>
      </c>
      <c r="G242" s="15" t="s">
        <v>151</v>
      </c>
      <c r="H242" s="15" t="s">
        <v>264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>
        <v>0.416666666666667</v>
      </c>
      <c r="C243" s="14">
        <v>0.791666666666667</v>
      </c>
      <c r="D243" s="15">
        <v>1505627413</v>
      </c>
      <c r="E243" s="16" t="s">
        <v>2588</v>
      </c>
      <c r="F243" s="15" t="s">
        <v>2620</v>
      </c>
      <c r="G243" s="15" t="s">
        <v>151</v>
      </c>
      <c r="H243" s="15" t="s">
        <v>6</v>
      </c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 t="s">
        <v>452</v>
      </c>
      <c r="E244" s="16">
        <v>10216711</v>
      </c>
      <c r="F244" s="15" t="s">
        <v>451</v>
      </c>
      <c r="G244" s="15" t="s">
        <v>151</v>
      </c>
      <c r="H244" s="15" t="s">
        <v>6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1018413338</v>
      </c>
      <c r="E245" s="16">
        <v>10268661</v>
      </c>
      <c r="F245" s="15" t="s">
        <v>1403</v>
      </c>
      <c r="G245" s="15" t="s">
        <v>151</v>
      </c>
      <c r="H245" s="15" t="s">
        <v>264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1121670258</v>
      </c>
      <c r="E246" s="16">
        <v>10336631</v>
      </c>
      <c r="F246" s="15" t="s">
        <v>1791</v>
      </c>
      <c r="G246" s="15" t="s">
        <v>151</v>
      </c>
      <c r="H246" s="15" t="s">
        <v>1790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0.791666666666667</v>
      </c>
      <c r="D247" s="15">
        <v>1009100931</v>
      </c>
      <c r="E247" s="16">
        <v>10259973</v>
      </c>
      <c r="F247" s="15" t="s">
        <v>152</v>
      </c>
      <c r="G247" s="15" t="s">
        <v>151</v>
      </c>
      <c r="H247" s="15" t="s">
        <v>150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/>
      <c r="C248" s="14"/>
      <c r="D248" s="15"/>
      <c r="E248" s="16"/>
      <c r="F248" s="15"/>
      <c r="G248" s="15"/>
      <c r="H248" s="15"/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1288271110</v>
      </c>
      <c r="E249" s="16" t="s">
        <v>2588</v>
      </c>
      <c r="F249" s="15" t="s">
        <v>2626</v>
      </c>
      <c r="G249" s="15" t="s">
        <v>95</v>
      </c>
      <c r="H249" s="15" t="s">
        <v>94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1277498727</v>
      </c>
      <c r="E250" s="16" t="s">
        <v>2588</v>
      </c>
      <c r="F250" s="15" t="s">
        <v>2627</v>
      </c>
      <c r="G250" s="15" t="s">
        <v>95</v>
      </c>
      <c r="H250" s="15" t="s">
        <v>108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1143175687</v>
      </c>
      <c r="E251" s="16" t="s">
        <v>2588</v>
      </c>
      <c r="F251" s="15" t="s">
        <v>2628</v>
      </c>
      <c r="G251" s="15" t="s">
        <v>95</v>
      </c>
      <c r="H251" s="15" t="s">
        <v>343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1026026750</v>
      </c>
      <c r="E252" s="16" t="s">
        <v>2588</v>
      </c>
      <c r="F252" s="15" t="s">
        <v>2629</v>
      </c>
      <c r="G252" s="15" t="s">
        <v>95</v>
      </c>
      <c r="H252" s="15" t="s">
        <v>108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 t="s">
        <v>2630</v>
      </c>
      <c r="E253" s="16" t="s">
        <v>2588</v>
      </c>
      <c r="F253" s="15" t="s">
        <v>2631</v>
      </c>
      <c r="G253" s="15" t="s">
        <v>95</v>
      </c>
      <c r="H253" s="15" t="s">
        <v>228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1002105332</v>
      </c>
      <c r="E254" s="16" t="s">
        <v>2604</v>
      </c>
      <c r="F254" s="15" t="s">
        <v>1726</v>
      </c>
      <c r="G254" s="15" t="s">
        <v>95</v>
      </c>
      <c r="H254" s="15" t="s">
        <v>2632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1158808766</v>
      </c>
      <c r="E255" s="16" t="s">
        <v>2604</v>
      </c>
      <c r="F255" s="15" t="s">
        <v>1731</v>
      </c>
      <c r="G255" s="15" t="s">
        <v>95</v>
      </c>
      <c r="H255" s="15" t="s">
        <v>2633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1014383050</v>
      </c>
      <c r="E256" s="16" t="s">
        <v>2604</v>
      </c>
      <c r="F256" s="15" t="s">
        <v>1729</v>
      </c>
      <c r="G256" s="15" t="s">
        <v>95</v>
      </c>
      <c r="H256" s="15" t="s">
        <v>2633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1063790715</v>
      </c>
      <c r="E257" s="16" t="s">
        <v>2604</v>
      </c>
      <c r="F257" s="15" t="s">
        <v>1732</v>
      </c>
      <c r="G257" s="15" t="s">
        <v>95</v>
      </c>
      <c r="H257" s="15" t="s">
        <v>2633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1223548165</v>
      </c>
      <c r="E258" s="16">
        <v>10331630</v>
      </c>
      <c r="F258" s="15" t="s">
        <v>465</v>
      </c>
      <c r="G258" s="15" t="s">
        <v>95</v>
      </c>
      <c r="H258" s="15" t="s">
        <v>108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1158607339</v>
      </c>
      <c r="E259" s="16">
        <v>10348085</v>
      </c>
      <c r="F259" s="15" t="s">
        <v>1810</v>
      </c>
      <c r="G259" s="15" t="s">
        <v>95</v>
      </c>
      <c r="H259" s="15" t="s">
        <v>1809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1044744639</v>
      </c>
      <c r="E260" s="16">
        <v>10349015</v>
      </c>
      <c r="F260" s="15" t="s">
        <v>1793</v>
      </c>
      <c r="G260" s="15" t="s">
        <v>95</v>
      </c>
      <c r="H260" s="15" t="s">
        <v>1792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1016620399</v>
      </c>
      <c r="E261" s="16">
        <v>10304628</v>
      </c>
      <c r="F261" s="15" t="s">
        <v>371</v>
      </c>
      <c r="G261" s="15" t="s">
        <v>95</v>
      </c>
      <c r="H261" s="15" t="s">
        <v>228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0.416666666666667</v>
      </c>
      <c r="D262" s="15" t="s">
        <v>355</v>
      </c>
      <c r="E262" s="16">
        <v>10327594</v>
      </c>
      <c r="F262" s="15" t="s">
        <v>354</v>
      </c>
      <c r="G262" s="15" t="s">
        <v>95</v>
      </c>
      <c r="H262" s="15" t="s">
        <v>108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1206356070</v>
      </c>
      <c r="E264" s="16" t="s">
        <v>2588</v>
      </c>
      <c r="F264" s="15" t="s">
        <v>2634</v>
      </c>
      <c r="G264" s="15" t="s">
        <v>10</v>
      </c>
      <c r="H264" s="15" t="s">
        <v>1850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1155231399</v>
      </c>
      <c r="E265" s="16" t="s">
        <v>2588</v>
      </c>
      <c r="F265" s="15" t="s">
        <v>2635</v>
      </c>
      <c r="G265" s="15" t="s">
        <v>10</v>
      </c>
      <c r="H265" s="15" t="s">
        <v>2636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1159542855</v>
      </c>
      <c r="E266" s="16" t="s">
        <v>2588</v>
      </c>
      <c r="F266" s="15" t="s">
        <v>2637</v>
      </c>
      <c r="G266" s="15" t="s">
        <v>10</v>
      </c>
      <c r="H266" s="15" t="s">
        <v>45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1023151819</v>
      </c>
      <c r="E267" s="16" t="s">
        <v>2604</v>
      </c>
      <c r="F267" s="15" t="s">
        <v>1166</v>
      </c>
      <c r="G267" s="15" t="s">
        <v>10</v>
      </c>
      <c r="H267" s="15" t="s">
        <v>1850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1021782963</v>
      </c>
      <c r="E268" s="16">
        <v>10337726</v>
      </c>
      <c r="F268" s="15" t="s">
        <v>1174</v>
      </c>
      <c r="G268" s="15" t="s">
        <v>10</v>
      </c>
      <c r="H268" s="15" t="s">
        <v>9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1118317055</v>
      </c>
      <c r="E269" s="16">
        <v>10348094</v>
      </c>
      <c r="F269" s="15" t="s">
        <v>1882</v>
      </c>
      <c r="G269" s="15" t="s">
        <v>10</v>
      </c>
      <c r="H269" s="15" t="s">
        <v>64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1065776416</v>
      </c>
      <c r="E270" s="16">
        <v>10310365</v>
      </c>
      <c r="F270" s="15" t="s">
        <v>644</v>
      </c>
      <c r="G270" s="15" t="s">
        <v>10</v>
      </c>
      <c r="H270" s="15" t="s">
        <v>9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1069684801</v>
      </c>
      <c r="E271" s="16">
        <v>10349025</v>
      </c>
      <c r="F271" s="15" t="s">
        <v>1795</v>
      </c>
      <c r="G271" s="15" t="s">
        <v>10</v>
      </c>
      <c r="H271" s="15" t="s">
        <v>45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1022914574</v>
      </c>
      <c r="E272" s="16">
        <v>10341186</v>
      </c>
      <c r="F272" s="15" t="s">
        <v>1851</v>
      </c>
      <c r="G272" s="15" t="s">
        <v>10</v>
      </c>
      <c r="H272" s="15" t="s">
        <v>1850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 t="s">
        <v>2638</v>
      </c>
      <c r="E274" s="16" t="s">
        <v>2607</v>
      </c>
      <c r="F274" s="15" t="s">
        <v>2639</v>
      </c>
      <c r="G274" s="15" t="s">
        <v>27</v>
      </c>
      <c r="H274" s="15" t="s">
        <v>26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/>
      <c r="C275" s="14"/>
      <c r="D275" s="15"/>
      <c r="E275" s="16"/>
      <c r="F275" s="15"/>
      <c r="G275" s="15"/>
      <c r="H275" s="15"/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1017201687</v>
      </c>
      <c r="E276" s="16" t="s">
        <v>2588</v>
      </c>
      <c r="F276" s="15" t="s">
        <v>2640</v>
      </c>
      <c r="G276" s="15" t="s">
        <v>13</v>
      </c>
      <c r="H276" s="15" t="s">
        <v>106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 t="s">
        <v>2641</v>
      </c>
      <c r="E277" s="16" t="s">
        <v>2588</v>
      </c>
      <c r="F277" s="15" t="s">
        <v>2642</v>
      </c>
      <c r="G277" s="15" t="s">
        <v>13</v>
      </c>
      <c r="H277" s="15" t="s">
        <v>1371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>
        <v>0.416666666666667</v>
      </c>
      <c r="C278" s="14">
        <v>0.791666666666667</v>
      </c>
      <c r="D278" s="15" t="s">
        <v>2643</v>
      </c>
      <c r="E278" s="16" t="s">
        <v>2588</v>
      </c>
      <c r="F278" s="15" t="s">
        <v>1113</v>
      </c>
      <c r="G278" s="15" t="s">
        <v>13</v>
      </c>
      <c r="H278" s="15" t="s">
        <v>1371</v>
      </c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 t="s">
        <v>2644</v>
      </c>
      <c r="E279" s="16" t="s">
        <v>2588</v>
      </c>
      <c r="F279" s="15" t="s">
        <v>2645</v>
      </c>
      <c r="G279" s="15" t="s">
        <v>13</v>
      </c>
      <c r="H279" s="15" t="s">
        <v>1840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0.416666666666667</v>
      </c>
      <c r="C280" s="14">
        <v>0.791666666666667</v>
      </c>
      <c r="D280" s="15" t="s">
        <v>2646</v>
      </c>
      <c r="E280" s="16" t="s">
        <v>2588</v>
      </c>
      <c r="F280" s="15" t="s">
        <v>2647</v>
      </c>
      <c r="G280" s="15" t="s">
        <v>13</v>
      </c>
      <c r="H280" s="15" t="s">
        <v>1708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>
        <v>1063448614</v>
      </c>
      <c r="E281" s="16" t="s">
        <v>2588</v>
      </c>
      <c r="F281" s="15" t="s">
        <v>2648</v>
      </c>
      <c r="G281" s="15" t="s">
        <v>13</v>
      </c>
      <c r="H281" s="15" t="s">
        <v>32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 t="s">
        <v>2649</v>
      </c>
      <c r="E282" s="16" t="s">
        <v>2588</v>
      </c>
      <c r="F282" s="15" t="s">
        <v>2650</v>
      </c>
      <c r="G282" s="15" t="s">
        <v>13</v>
      </c>
      <c r="H282" s="15" t="s">
        <v>12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1026079544</v>
      </c>
      <c r="E283" s="16" t="s">
        <v>2588</v>
      </c>
      <c r="F283" s="15" t="s">
        <v>1227</v>
      </c>
      <c r="G283" s="15" t="s">
        <v>13</v>
      </c>
      <c r="H283" s="15" t="s">
        <v>32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 t="s">
        <v>2651</v>
      </c>
      <c r="E284" s="16" t="s">
        <v>2588</v>
      </c>
      <c r="F284" s="15" t="s">
        <v>2652</v>
      </c>
      <c r="G284" s="15" t="s">
        <v>13</v>
      </c>
      <c r="H284" s="15" t="s">
        <v>106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 t="s">
        <v>2653</v>
      </c>
      <c r="E285" s="16" t="s">
        <v>2588</v>
      </c>
      <c r="F285" s="15" t="s">
        <v>28</v>
      </c>
      <c r="G285" s="15" t="s">
        <v>13</v>
      </c>
      <c r="H285" s="15" t="s">
        <v>2654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>
        <v>1121762092</v>
      </c>
      <c r="E286" s="16" t="s">
        <v>2588</v>
      </c>
      <c r="F286" s="15" t="s">
        <v>531</v>
      </c>
      <c r="G286" s="15" t="s">
        <v>13</v>
      </c>
      <c r="H286" s="15" t="s">
        <v>2654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1091400410</v>
      </c>
      <c r="E287" s="16" t="s">
        <v>2604</v>
      </c>
      <c r="F287" s="15" t="s">
        <v>2655</v>
      </c>
      <c r="G287" s="15" t="s">
        <v>13</v>
      </c>
      <c r="H287" s="15" t="s">
        <v>2656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1120697182</v>
      </c>
      <c r="E288" s="16">
        <v>10318871</v>
      </c>
      <c r="F288" s="15" t="s">
        <v>209</v>
      </c>
      <c r="G288" s="15" t="s">
        <v>13</v>
      </c>
      <c r="H288" s="15" t="s">
        <v>12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1023333344</v>
      </c>
      <c r="E289" s="16">
        <v>10323622</v>
      </c>
      <c r="F289" s="15" t="s">
        <v>140</v>
      </c>
      <c r="G289" s="15" t="s">
        <v>13</v>
      </c>
      <c r="H289" s="15" t="s">
        <v>12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1141036897</v>
      </c>
      <c r="E290" s="16">
        <v>10337714</v>
      </c>
      <c r="F290" s="15" t="s">
        <v>1179</v>
      </c>
      <c r="G290" s="15" t="s">
        <v>13</v>
      </c>
      <c r="H290" s="15" t="s">
        <v>12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 t="s">
        <v>1803</v>
      </c>
      <c r="E291" s="16">
        <v>10349017</v>
      </c>
      <c r="F291" s="15" t="s">
        <v>1802</v>
      </c>
      <c r="G291" s="15" t="s">
        <v>13</v>
      </c>
      <c r="H291" s="15" t="s">
        <v>1801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>
        <v>1155645885</v>
      </c>
      <c r="E292" s="16">
        <v>10348986</v>
      </c>
      <c r="F292" s="15" t="s">
        <v>1800</v>
      </c>
      <c r="G292" s="15" t="s">
        <v>13</v>
      </c>
      <c r="H292" s="15" t="s">
        <v>32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1119444137</v>
      </c>
      <c r="E293" s="16">
        <v>10349354</v>
      </c>
      <c r="F293" s="15" t="s">
        <v>1841</v>
      </c>
      <c r="G293" s="15" t="s">
        <v>13</v>
      </c>
      <c r="H293" s="15" t="s">
        <v>1840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1120332179</v>
      </c>
      <c r="E294" s="16">
        <v>10349353</v>
      </c>
      <c r="F294" s="15" t="s">
        <v>1852</v>
      </c>
      <c r="G294" s="15" t="s">
        <v>13</v>
      </c>
      <c r="H294" s="15" t="s">
        <v>1840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 t="s">
        <v>1849</v>
      </c>
      <c r="E295" s="16">
        <v>10349492</v>
      </c>
      <c r="F295" s="15" t="s">
        <v>1848</v>
      </c>
      <c r="G295" s="15" t="s">
        <v>13</v>
      </c>
      <c r="H295" s="15" t="s">
        <v>32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1158530543</v>
      </c>
      <c r="E296" s="16">
        <v>10349406</v>
      </c>
      <c r="F296" s="15" t="s">
        <v>1847</v>
      </c>
      <c r="G296" s="15" t="s">
        <v>13</v>
      </c>
      <c r="H296" s="15" t="s">
        <v>1840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0.416666666666667</v>
      </c>
      <c r="C297" s="14">
        <v>0.791666666666667</v>
      </c>
      <c r="D297" s="15">
        <v>1062805678</v>
      </c>
      <c r="E297" s="16">
        <v>10309111</v>
      </c>
      <c r="F297" s="15" t="s">
        <v>745</v>
      </c>
      <c r="G297" s="15" t="s">
        <v>13</v>
      </c>
      <c r="H297" s="15" t="s">
        <v>106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>
        <v>1140853380</v>
      </c>
      <c r="E299" s="16" t="s">
        <v>2588</v>
      </c>
      <c r="F299" s="15" t="s">
        <v>2657</v>
      </c>
      <c r="G299" s="15" t="s">
        <v>23</v>
      </c>
      <c r="H299" s="15" t="s">
        <v>2658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0.416666666666667</v>
      </c>
      <c r="C300" s="14">
        <v>0.791666666666667</v>
      </c>
      <c r="D300" s="15">
        <v>1553395477</v>
      </c>
      <c r="E300" s="16" t="s">
        <v>2588</v>
      </c>
      <c r="F300" s="15" t="s">
        <v>2659</v>
      </c>
      <c r="G300" s="15" t="s">
        <v>23</v>
      </c>
      <c r="H300" s="15" t="s">
        <v>2660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>
        <v>0.416666666666667</v>
      </c>
      <c r="C301" s="14">
        <v>0.791666666666667</v>
      </c>
      <c r="D301" s="15">
        <v>1080456188</v>
      </c>
      <c r="E301" s="16" t="s">
        <v>2588</v>
      </c>
      <c r="F301" s="15" t="s">
        <v>2661</v>
      </c>
      <c r="G301" s="15" t="s">
        <v>23</v>
      </c>
      <c r="H301" s="15" t="s">
        <v>43</v>
      </c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>
        <v>1203388919</v>
      </c>
      <c r="E302" s="16">
        <v>10349491</v>
      </c>
      <c r="F302" s="15" t="s">
        <v>1846</v>
      </c>
      <c r="G302" s="15" t="s">
        <v>23</v>
      </c>
      <c r="H302" s="15" t="s">
        <v>62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0.416666666666667</v>
      </c>
      <c r="C304" s="14">
        <v>0.791666666666667</v>
      </c>
      <c r="D304" s="15">
        <v>1155792366</v>
      </c>
      <c r="E304" s="16">
        <v>10272767</v>
      </c>
      <c r="F304" s="15" t="s">
        <v>1190</v>
      </c>
      <c r="G304" s="15" t="s">
        <v>49</v>
      </c>
      <c r="H304" s="15" t="s">
        <v>48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0.791666666666667</v>
      </c>
      <c r="D305" s="15">
        <v>1016415631</v>
      </c>
      <c r="E305" s="16">
        <v>10320414</v>
      </c>
      <c r="F305" s="15" t="s">
        <v>161</v>
      </c>
      <c r="G305" s="15" t="s">
        <v>49</v>
      </c>
      <c r="H305" s="15" t="s">
        <v>48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0.791666666666667</v>
      </c>
      <c r="D307" s="15">
        <v>1558822005</v>
      </c>
      <c r="E307" s="16" t="s">
        <v>2588</v>
      </c>
      <c r="F307" s="15" t="s">
        <v>2662</v>
      </c>
      <c r="G307" s="15" t="s">
        <v>37</v>
      </c>
      <c r="H307" s="15" t="s">
        <v>195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1555371580</v>
      </c>
      <c r="E308" s="16" t="s">
        <v>2588</v>
      </c>
      <c r="F308" s="15" t="s">
        <v>35</v>
      </c>
      <c r="G308" s="15" t="s">
        <v>37</v>
      </c>
      <c r="H308" s="15" t="s">
        <v>195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>
        <v>0.416666666666667</v>
      </c>
      <c r="C309" s="14">
        <v>0.791666666666667</v>
      </c>
      <c r="D309" s="15">
        <v>1123157857</v>
      </c>
      <c r="E309" s="16" t="s">
        <v>2588</v>
      </c>
      <c r="F309" s="15" t="s">
        <v>2663</v>
      </c>
      <c r="G309" s="15" t="s">
        <v>37</v>
      </c>
      <c r="H309" s="15" t="s">
        <v>36</v>
      </c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>
        <v>1557734323</v>
      </c>
      <c r="E310" s="16" t="s">
        <v>2588</v>
      </c>
      <c r="F310" s="15" t="s">
        <v>2664</v>
      </c>
      <c r="G310" s="15" t="s">
        <v>37</v>
      </c>
      <c r="H310" s="15" t="s">
        <v>2665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>
        <v>1274580847</v>
      </c>
      <c r="E311" s="16" t="s">
        <v>2588</v>
      </c>
      <c r="F311" s="15" t="s">
        <v>2666</v>
      </c>
      <c r="G311" s="15" t="s">
        <v>37</v>
      </c>
      <c r="H311" s="15" t="s">
        <v>2665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0.416666666666667</v>
      </c>
      <c r="C312" s="14">
        <v>0.791666666666667</v>
      </c>
      <c r="D312" s="15" t="s">
        <v>2667</v>
      </c>
      <c r="E312" s="16" t="s">
        <v>2588</v>
      </c>
      <c r="F312" s="15" t="s">
        <v>2668</v>
      </c>
      <c r="G312" s="15" t="s">
        <v>37</v>
      </c>
      <c r="H312" s="15" t="s">
        <v>2665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>
        <v>1097080067</v>
      </c>
      <c r="E313" s="16" t="s">
        <v>2588</v>
      </c>
      <c r="F313" s="15" t="s">
        <v>1264</v>
      </c>
      <c r="G313" s="15" t="s">
        <v>37</v>
      </c>
      <c r="H313" s="15" t="s">
        <v>115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0.416666666666667</v>
      </c>
      <c r="C314" s="14">
        <v>0.791666666666667</v>
      </c>
      <c r="D314" s="15">
        <v>1275574497</v>
      </c>
      <c r="E314" s="16" t="s">
        <v>2588</v>
      </c>
      <c r="F314" s="15" t="s">
        <v>2669</v>
      </c>
      <c r="G314" s="15" t="s">
        <v>37</v>
      </c>
      <c r="H314" s="15" t="s">
        <v>2670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0.416666666666667</v>
      </c>
      <c r="C315" s="14">
        <v>0.791666666666667</v>
      </c>
      <c r="D315" s="15">
        <v>1275449276</v>
      </c>
      <c r="E315" s="16">
        <v>10337461</v>
      </c>
      <c r="F315" s="15" t="s">
        <v>1182</v>
      </c>
      <c r="G315" s="15" t="s">
        <v>37</v>
      </c>
      <c r="H315" s="15" t="s">
        <v>36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>
        <v>1553299454</v>
      </c>
      <c r="E316" s="16">
        <v>10326121</v>
      </c>
      <c r="F316" s="15" t="s">
        <v>157</v>
      </c>
      <c r="G316" s="15" t="s">
        <v>37</v>
      </c>
      <c r="H316" s="15" t="s">
        <v>36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0.416666666666667</v>
      </c>
      <c r="C317" s="14">
        <v>0.791666666666667</v>
      </c>
      <c r="D317" s="15">
        <v>1022617981</v>
      </c>
      <c r="E317" s="16">
        <v>10337486</v>
      </c>
      <c r="F317" s="15" t="s">
        <v>974</v>
      </c>
      <c r="G317" s="15" t="s">
        <v>37</v>
      </c>
      <c r="H317" s="15" t="s">
        <v>36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0.416666666666667</v>
      </c>
      <c r="C318" s="14">
        <v>0.791666666666667</v>
      </c>
      <c r="D318" s="15">
        <v>1207281495</v>
      </c>
      <c r="E318" s="16">
        <v>10347383</v>
      </c>
      <c r="F318" s="15" t="s">
        <v>1808</v>
      </c>
      <c r="G318" s="15" t="s">
        <v>37</v>
      </c>
      <c r="H318" s="15" t="s">
        <v>36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0.416666666666667</v>
      </c>
      <c r="C319" s="14">
        <v>0.791666666666667</v>
      </c>
      <c r="D319" s="15">
        <v>1555119737</v>
      </c>
      <c r="E319" s="16">
        <v>10348989</v>
      </c>
      <c r="F319" s="15" t="s">
        <v>1805</v>
      </c>
      <c r="G319" s="15" t="s">
        <v>37</v>
      </c>
      <c r="H319" s="15" t="s">
        <v>195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>
        <v>0.416666666666667</v>
      </c>
      <c r="C320" s="14">
        <v>0.791666666666667</v>
      </c>
      <c r="D320" s="15">
        <v>1111299309</v>
      </c>
      <c r="E320" s="16">
        <v>10323545</v>
      </c>
      <c r="F320" s="15" t="s">
        <v>304</v>
      </c>
      <c r="G320" s="15" t="s">
        <v>37</v>
      </c>
      <c r="H320" s="15" t="s">
        <v>36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0.416666666666667</v>
      </c>
      <c r="C321" s="14">
        <v>0.791666666666667</v>
      </c>
      <c r="D321" s="15">
        <v>1500537534</v>
      </c>
      <c r="E321" s="16">
        <v>10332544</v>
      </c>
      <c r="F321" s="15" t="s">
        <v>526</v>
      </c>
      <c r="G321" s="15" t="s">
        <v>37</v>
      </c>
      <c r="H321" s="15" t="s">
        <v>36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0.416666666666667</v>
      </c>
      <c r="C323" s="14">
        <v>0.791666666666667</v>
      </c>
      <c r="D323" s="15">
        <v>1040196093</v>
      </c>
      <c r="E323" s="16" t="s">
        <v>2588</v>
      </c>
      <c r="F323" s="15" t="s">
        <v>937</v>
      </c>
      <c r="G323" s="15" t="s">
        <v>104</v>
      </c>
      <c r="H323" s="15" t="s">
        <v>1668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0.416666666666667</v>
      </c>
      <c r="C324" s="14">
        <v>0.791666666666667</v>
      </c>
      <c r="D324" s="15">
        <v>1157757436</v>
      </c>
      <c r="E324" s="16" t="s">
        <v>2588</v>
      </c>
      <c r="F324" s="15" t="s">
        <v>990</v>
      </c>
      <c r="G324" s="15" t="s">
        <v>104</v>
      </c>
      <c r="H324" s="15" t="s">
        <v>1668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0.416666666666667</v>
      </c>
      <c r="C325" s="14">
        <v>0.791666666666667</v>
      </c>
      <c r="D325" s="15">
        <v>1283114456</v>
      </c>
      <c r="E325" s="16" t="s">
        <v>2588</v>
      </c>
      <c r="F325" s="15" t="s">
        <v>2671</v>
      </c>
      <c r="G325" s="15" t="s">
        <v>7</v>
      </c>
      <c r="H325" s="15" t="s">
        <v>6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0.416666666666667</v>
      </c>
      <c r="C326" s="14">
        <v>0.875</v>
      </c>
      <c r="D326" s="15">
        <v>1013140756</v>
      </c>
      <c r="E326" s="16">
        <v>10324569</v>
      </c>
      <c r="F326" s="15" t="s">
        <v>1138</v>
      </c>
      <c r="G326" s="15" t="s">
        <v>7</v>
      </c>
      <c r="H326" s="15" t="s">
        <v>6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0.416666666666667</v>
      </c>
      <c r="C327" s="14">
        <v>0.791666666666667</v>
      </c>
      <c r="D327" s="15" t="s">
        <v>1843</v>
      </c>
      <c r="E327" s="16">
        <v>10349489</v>
      </c>
      <c r="F327" s="15" t="s">
        <v>1842</v>
      </c>
      <c r="G327" s="15" t="s">
        <v>7</v>
      </c>
      <c r="H327" s="15" t="s">
        <v>6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0.416666666666667</v>
      </c>
      <c r="C328" s="14">
        <v>0.75</v>
      </c>
      <c r="D328" s="15">
        <v>1093481280</v>
      </c>
      <c r="E328" s="16">
        <v>10272462</v>
      </c>
      <c r="F328" s="15" t="s">
        <v>406</v>
      </c>
      <c r="G328" s="15" t="s">
        <v>7</v>
      </c>
      <c r="H328" s="15" t="s">
        <v>6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/>
      <c r="C329" s="14"/>
      <c r="D329" s="15"/>
      <c r="E329" s="16"/>
      <c r="F329" s="15"/>
      <c r="G329" s="15"/>
      <c r="H329" s="15"/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0.416666666666667</v>
      </c>
      <c r="C330" s="14">
        <v>0.791666666666667</v>
      </c>
      <c r="D330" s="15">
        <v>1159286476</v>
      </c>
      <c r="E330" s="16" t="s">
        <v>2588</v>
      </c>
      <c r="F330" s="15" t="s">
        <v>2672</v>
      </c>
      <c r="G330" s="15" t="s">
        <v>40</v>
      </c>
      <c r="H330" s="15" t="s">
        <v>39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>
        <v>0.416666666666667</v>
      </c>
      <c r="C331" s="14">
        <v>0.791666666666667</v>
      </c>
      <c r="D331" s="15">
        <v>1224746815</v>
      </c>
      <c r="E331" s="16">
        <v>10329227</v>
      </c>
      <c r="F331" s="15" t="s">
        <v>390</v>
      </c>
      <c r="G331" s="15" t="s">
        <v>40</v>
      </c>
      <c r="H331" s="15" t="s">
        <v>39</v>
      </c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0.416666666666667</v>
      </c>
      <c r="C332" s="14">
        <v>0.791666666666667</v>
      </c>
      <c r="D332" s="15">
        <v>1150906706</v>
      </c>
      <c r="E332" s="16">
        <v>10305637</v>
      </c>
      <c r="F332" s="15" t="s">
        <v>311</v>
      </c>
      <c r="G332" s="15" t="s">
        <v>40</v>
      </c>
      <c r="H332" s="15" t="s">
        <v>134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0.416666666666667</v>
      </c>
      <c r="C333" s="14">
        <v>0.791666666666667</v>
      </c>
      <c r="D333" s="15" t="s">
        <v>516</v>
      </c>
      <c r="E333" s="16">
        <v>10332513</v>
      </c>
      <c r="F333" s="15" t="s">
        <v>515</v>
      </c>
      <c r="G333" s="15" t="s">
        <v>40</v>
      </c>
      <c r="H333" s="15" t="s">
        <v>134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/>
      <c r="C334" s="14"/>
      <c r="D334" s="15"/>
      <c r="E334" s="16"/>
      <c r="F334" s="15"/>
      <c r="G334" s="15"/>
      <c r="H334" s="15"/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7.5" customHeight="1" spans="1:33">
      <c r="A335" s="9">
        <v>0.458333333333333</v>
      </c>
      <c r="B335" s="10"/>
      <c r="C335" s="10"/>
      <c r="D335" s="10"/>
      <c r="E335" s="11"/>
      <c r="F335" s="10"/>
      <c r="G335" s="10"/>
      <c r="H335" s="10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12"/>
      <c r="B336" s="8" t="s">
        <v>2673</v>
      </c>
      <c r="C336" s="8" t="s">
        <v>2674</v>
      </c>
      <c r="D336" s="8" t="s">
        <v>2675</v>
      </c>
      <c r="E336" s="13" t="s">
        <v>1895</v>
      </c>
      <c r="F336" s="8" t="s">
        <v>3</v>
      </c>
      <c r="G336" s="8" t="s">
        <v>2676</v>
      </c>
      <c r="H336" s="8" t="s">
        <v>2677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/>
      <c r="C337" s="14"/>
      <c r="D337" s="15"/>
      <c r="E337" s="16"/>
      <c r="F337" s="15"/>
      <c r="G337" s="15"/>
      <c r="H337" s="15"/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>
        <v>0.458333333333333</v>
      </c>
      <c r="C338" s="14">
        <v>0.833333333333333</v>
      </c>
      <c r="D338" s="15">
        <v>0</v>
      </c>
      <c r="E338" s="16">
        <v>10338641</v>
      </c>
      <c r="F338" s="15" t="s">
        <v>1194</v>
      </c>
      <c r="G338" s="15" t="s">
        <v>434</v>
      </c>
      <c r="H338" s="15" t="s">
        <v>434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>
        <v>0.458333333333333</v>
      </c>
      <c r="C339" s="14">
        <v>0.833333333333333</v>
      </c>
      <c r="D339" s="15">
        <v>1002105332</v>
      </c>
      <c r="E339" s="16">
        <v>10347639</v>
      </c>
      <c r="F339" s="15" t="s">
        <v>1726</v>
      </c>
      <c r="G339" s="15" t="s">
        <v>434</v>
      </c>
      <c r="H339" s="15" t="s">
        <v>434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0.458333333333333</v>
      </c>
      <c r="C340" s="14">
        <v>0.833333333333333</v>
      </c>
      <c r="D340" s="15">
        <v>1508397610</v>
      </c>
      <c r="E340" s="16">
        <v>10347643</v>
      </c>
      <c r="F340" s="15" t="s">
        <v>1727</v>
      </c>
      <c r="G340" s="15" t="s">
        <v>434</v>
      </c>
      <c r="H340" s="15" t="s">
        <v>434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0.833333333333333</v>
      </c>
      <c r="D341" s="15">
        <v>1023151819</v>
      </c>
      <c r="E341" s="16">
        <v>10347623</v>
      </c>
      <c r="F341" s="15" t="s">
        <v>1728</v>
      </c>
      <c r="G341" s="15" t="s">
        <v>434</v>
      </c>
      <c r="H341" s="15" t="s">
        <v>434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>
        <v>0.458333333333333</v>
      </c>
      <c r="C342" s="14">
        <v>0.833333333333333</v>
      </c>
      <c r="D342" s="15">
        <v>1014383050</v>
      </c>
      <c r="E342" s="16">
        <v>10347770</v>
      </c>
      <c r="F342" s="15" t="s">
        <v>1729</v>
      </c>
      <c r="G342" s="15" t="s">
        <v>434</v>
      </c>
      <c r="H342" s="15" t="s">
        <v>434</v>
      </c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0.458333333333333</v>
      </c>
      <c r="C343" s="14">
        <v>0.833333333333333</v>
      </c>
      <c r="D343" s="15">
        <v>1091400410</v>
      </c>
      <c r="E343" s="16">
        <v>10347762</v>
      </c>
      <c r="F343" s="15" t="s">
        <v>1730</v>
      </c>
      <c r="G343" s="15" t="s">
        <v>434</v>
      </c>
      <c r="H343" s="15" t="s">
        <v>434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0.833333333333333</v>
      </c>
      <c r="D344" s="15">
        <v>1158808766</v>
      </c>
      <c r="E344" s="16">
        <v>10347756</v>
      </c>
      <c r="F344" s="15" t="s">
        <v>1731</v>
      </c>
      <c r="G344" s="15" t="s">
        <v>434</v>
      </c>
      <c r="H344" s="15" t="s">
        <v>434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0.458333333333333</v>
      </c>
      <c r="C345" s="14">
        <v>0.833333333333333</v>
      </c>
      <c r="D345" s="15">
        <v>1063790715</v>
      </c>
      <c r="E345" s="16">
        <v>10347768</v>
      </c>
      <c r="F345" s="15" t="s">
        <v>1732</v>
      </c>
      <c r="G345" s="15" t="s">
        <v>434</v>
      </c>
      <c r="H345" s="15" t="s">
        <v>434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0.458333333333333</v>
      </c>
      <c r="C347" s="14">
        <v>0.833333333333333</v>
      </c>
      <c r="D347" s="15">
        <v>1006296446</v>
      </c>
      <c r="E347" s="16">
        <v>10335613</v>
      </c>
      <c r="F347" s="15" t="s">
        <v>756</v>
      </c>
      <c r="G347" s="15" t="s">
        <v>16</v>
      </c>
      <c r="H347" s="15" t="s">
        <v>15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0.458333333333333</v>
      </c>
      <c r="C348" s="14">
        <v>0.833333333333333</v>
      </c>
      <c r="D348" s="15">
        <v>0</v>
      </c>
      <c r="E348" s="16">
        <v>10336162</v>
      </c>
      <c r="F348" s="15" t="s">
        <v>1135</v>
      </c>
      <c r="G348" s="15" t="s">
        <v>16</v>
      </c>
      <c r="H348" s="15" t="s">
        <v>20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0.458333333333333</v>
      </c>
      <c r="C349" s="14">
        <v>0.833333333333333</v>
      </c>
      <c r="D349" s="15">
        <v>1065039320</v>
      </c>
      <c r="E349" s="16">
        <v>10339433</v>
      </c>
      <c r="F349" s="15" t="s">
        <v>1237</v>
      </c>
      <c r="G349" s="15" t="s">
        <v>16</v>
      </c>
      <c r="H349" s="15" t="s">
        <v>178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0.458333333333333</v>
      </c>
      <c r="C350" s="14">
        <v>0.833333333333333</v>
      </c>
      <c r="D350" s="15">
        <v>1116015770</v>
      </c>
      <c r="E350" s="16">
        <v>10317390</v>
      </c>
      <c r="F350" s="15" t="s">
        <v>420</v>
      </c>
      <c r="G350" s="15" t="s">
        <v>16</v>
      </c>
      <c r="H350" s="15" t="s">
        <v>34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0.458333333333333</v>
      </c>
      <c r="C351" s="14">
        <v>0.833333333333333</v>
      </c>
      <c r="D351" s="15" t="s">
        <v>1207</v>
      </c>
      <c r="E351" s="16">
        <v>10330639</v>
      </c>
      <c r="F351" s="15" t="s">
        <v>1206</v>
      </c>
      <c r="G351" s="15" t="s">
        <v>16</v>
      </c>
      <c r="H351" s="15" t="s">
        <v>34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/>
      <c r="C352" s="14"/>
      <c r="D352" s="15"/>
      <c r="E352" s="16"/>
      <c r="F352" s="15"/>
      <c r="G352" s="15"/>
      <c r="H352" s="15"/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0.458333333333333</v>
      </c>
      <c r="C353" s="14">
        <v>0.791666666666667</v>
      </c>
      <c r="D353" s="15">
        <v>1002979193</v>
      </c>
      <c r="E353" s="16">
        <v>10214464</v>
      </c>
      <c r="F353" s="15" t="s">
        <v>360</v>
      </c>
      <c r="G353" s="15" t="s">
        <v>30</v>
      </c>
      <c r="H353" s="15" t="s">
        <v>29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0.458333333333333</v>
      </c>
      <c r="C354" s="14">
        <v>0.833333333333333</v>
      </c>
      <c r="D354" s="15" t="s">
        <v>640</v>
      </c>
      <c r="E354" s="16">
        <v>10287526</v>
      </c>
      <c r="F354" s="15" t="s">
        <v>639</v>
      </c>
      <c r="G354" s="15" t="s">
        <v>30</v>
      </c>
      <c r="H354" s="15" t="s">
        <v>29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/>
      <c r="C355" s="14"/>
      <c r="D355" s="15"/>
      <c r="E355" s="16"/>
      <c r="F355" s="15"/>
      <c r="G355" s="15"/>
      <c r="H355" s="15"/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0.458333333333333</v>
      </c>
      <c r="C356" s="14">
        <v>0.833333333333333</v>
      </c>
      <c r="D356" s="15">
        <v>1093218929</v>
      </c>
      <c r="E356" s="16">
        <v>10331785</v>
      </c>
      <c r="F356" s="15" t="s">
        <v>580</v>
      </c>
      <c r="G356" s="15" t="s">
        <v>58</v>
      </c>
      <c r="H356" s="15" t="s">
        <v>57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0.458333333333333</v>
      </c>
      <c r="C358" s="14">
        <v>0.833333333333333</v>
      </c>
      <c r="D358" s="15">
        <v>1124118982</v>
      </c>
      <c r="E358" s="16">
        <v>10298155</v>
      </c>
      <c r="F358" s="15" t="s">
        <v>852</v>
      </c>
      <c r="G358" s="15" t="s">
        <v>85</v>
      </c>
      <c r="H358" s="15" t="s">
        <v>84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/>
      <c r="C359" s="14"/>
      <c r="D359" s="15"/>
      <c r="E359" s="16"/>
      <c r="F359" s="15"/>
      <c r="G359" s="15"/>
      <c r="H359" s="15"/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0.458333333333333</v>
      </c>
      <c r="C360" s="14">
        <v>0.833333333333333</v>
      </c>
      <c r="D360" s="15">
        <v>1220100184</v>
      </c>
      <c r="E360" s="16">
        <v>10273655</v>
      </c>
      <c r="F360" s="15" t="s">
        <v>638</v>
      </c>
      <c r="G360" s="15" t="s">
        <v>151</v>
      </c>
      <c r="H360" s="15" t="s">
        <v>6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0.458333333333333</v>
      </c>
      <c r="C361" s="14">
        <v>0.833333333333333</v>
      </c>
      <c r="D361" s="15">
        <v>1023627600</v>
      </c>
      <c r="E361" s="16">
        <v>10335593</v>
      </c>
      <c r="F361" s="15" t="s">
        <v>757</v>
      </c>
      <c r="G361" s="15" t="s">
        <v>151</v>
      </c>
      <c r="H361" s="15" t="s">
        <v>455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0.458333333333333</v>
      </c>
      <c r="C362" s="14">
        <v>0.833333333333333</v>
      </c>
      <c r="D362" s="15">
        <v>0</v>
      </c>
      <c r="E362" s="16">
        <v>10225640</v>
      </c>
      <c r="F362" s="15" t="s">
        <v>187</v>
      </c>
      <c r="G362" s="15" t="s">
        <v>151</v>
      </c>
      <c r="H362" s="15" t="s">
        <v>6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0.458333333333333</v>
      </c>
      <c r="C364" s="14">
        <v>0.833333333333333</v>
      </c>
      <c r="D364" s="15">
        <v>1147359910</v>
      </c>
      <c r="E364" s="16">
        <v>10334469</v>
      </c>
      <c r="F364" s="15" t="s">
        <v>747</v>
      </c>
      <c r="G364" s="15" t="s">
        <v>76</v>
      </c>
      <c r="H364" s="15" t="s">
        <v>599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0.458333333333333</v>
      </c>
      <c r="C366" s="14">
        <v>0.833333333333333</v>
      </c>
      <c r="D366" s="15">
        <v>0</v>
      </c>
      <c r="E366" s="16">
        <v>10334426</v>
      </c>
      <c r="F366" s="15" t="s">
        <v>643</v>
      </c>
      <c r="G366" s="15" t="s">
        <v>95</v>
      </c>
      <c r="H366" s="15" t="s">
        <v>108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0.458333333333333</v>
      </c>
      <c r="C367" s="14">
        <v>0.833333333333333</v>
      </c>
      <c r="D367" s="15">
        <v>1094057169</v>
      </c>
      <c r="E367" s="16">
        <v>10338959</v>
      </c>
      <c r="F367" s="15" t="s">
        <v>1234</v>
      </c>
      <c r="G367" s="15" t="s">
        <v>95</v>
      </c>
      <c r="H367" s="15" t="s">
        <v>137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0.458333333333333</v>
      </c>
      <c r="C368" s="14">
        <v>0.833333333333333</v>
      </c>
      <c r="D368" s="15">
        <v>1063902934</v>
      </c>
      <c r="E368" s="16">
        <v>10339767</v>
      </c>
      <c r="F368" s="15" t="s">
        <v>1347</v>
      </c>
      <c r="G368" s="15" t="s">
        <v>95</v>
      </c>
      <c r="H368" s="15" t="s">
        <v>228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0.458333333333333</v>
      </c>
      <c r="C369" s="14">
        <v>0.833333333333333</v>
      </c>
      <c r="D369" s="15">
        <v>1110676565</v>
      </c>
      <c r="E369" s="16">
        <v>10325072</v>
      </c>
      <c r="F369" s="15" t="s">
        <v>301</v>
      </c>
      <c r="G369" s="15" t="s">
        <v>95</v>
      </c>
      <c r="H369" s="15" t="s">
        <v>108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0.458333333333333</v>
      </c>
      <c r="C370" s="14">
        <v>0.833333333333333</v>
      </c>
      <c r="D370" s="15">
        <v>1156617485</v>
      </c>
      <c r="E370" s="16">
        <v>10295541</v>
      </c>
      <c r="F370" s="15" t="s">
        <v>290</v>
      </c>
      <c r="G370" s="15" t="s">
        <v>95</v>
      </c>
      <c r="H370" s="15" t="s">
        <v>108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>
        <v>0.458333333333333</v>
      </c>
      <c r="C371" s="14">
        <v>0.833333333333333</v>
      </c>
      <c r="D371" s="15">
        <v>1001519732</v>
      </c>
      <c r="E371" s="16">
        <v>10326463</v>
      </c>
      <c r="F371" s="15" t="s">
        <v>607</v>
      </c>
      <c r="G371" s="15" t="s">
        <v>95</v>
      </c>
      <c r="H371" s="15" t="s">
        <v>228</v>
      </c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/>
      <c r="C372" s="14"/>
      <c r="D372" s="15"/>
      <c r="E372" s="16"/>
      <c r="F372" s="15"/>
      <c r="G372" s="15"/>
      <c r="H372" s="15"/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0.458333333333333</v>
      </c>
      <c r="C373" s="14">
        <v>0.791666666666667</v>
      </c>
      <c r="D373" s="15">
        <v>1068084166</v>
      </c>
      <c r="E373" s="16">
        <v>10269213</v>
      </c>
      <c r="F373" s="15" t="s">
        <v>421</v>
      </c>
      <c r="G373" s="15" t="s">
        <v>13</v>
      </c>
      <c r="H373" s="15" t="s">
        <v>170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/>
      <c r="C374" s="14"/>
      <c r="D374" s="15"/>
      <c r="E374" s="16"/>
      <c r="F374" s="15"/>
      <c r="G374" s="15"/>
      <c r="H374" s="15"/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0.458333333333333</v>
      </c>
      <c r="C375" s="14">
        <v>0.833333333333333</v>
      </c>
      <c r="D375" s="15">
        <v>1093119853</v>
      </c>
      <c r="E375" s="16">
        <v>10334697</v>
      </c>
      <c r="F375" s="15" t="s">
        <v>709</v>
      </c>
      <c r="G375" s="15" t="s">
        <v>23</v>
      </c>
      <c r="H375" s="15" t="s">
        <v>62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0.458333333333333</v>
      </c>
      <c r="C376" s="14">
        <v>0.791666666666667</v>
      </c>
      <c r="D376" s="15">
        <v>1018132641</v>
      </c>
      <c r="E376" s="16">
        <v>10274128</v>
      </c>
      <c r="F376" s="15" t="s">
        <v>1812</v>
      </c>
      <c r="G376" s="15" t="s">
        <v>23</v>
      </c>
      <c r="H376" s="15" t="s">
        <v>62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0.458333333333333</v>
      </c>
      <c r="C377" s="14">
        <v>0.833333333333333</v>
      </c>
      <c r="D377" s="15">
        <v>1115946198</v>
      </c>
      <c r="E377" s="16">
        <v>10326484</v>
      </c>
      <c r="F377" s="15" t="s">
        <v>413</v>
      </c>
      <c r="G377" s="15" t="s">
        <v>23</v>
      </c>
      <c r="H377" s="15" t="s">
        <v>43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0.458333333333333</v>
      </c>
      <c r="C379" s="14">
        <v>0.791666666666667</v>
      </c>
      <c r="D379" s="15">
        <v>1023646785</v>
      </c>
      <c r="E379" s="16">
        <v>10275931</v>
      </c>
      <c r="F379" s="15" t="s">
        <v>418</v>
      </c>
      <c r="G379" s="15" t="s">
        <v>37</v>
      </c>
      <c r="H379" s="15" t="s">
        <v>36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0.458333333333333</v>
      </c>
      <c r="C380" s="14">
        <v>0.791666666666667</v>
      </c>
      <c r="D380" s="15">
        <v>1099469460</v>
      </c>
      <c r="E380" s="16">
        <v>10309482</v>
      </c>
      <c r="F380" s="15" t="s">
        <v>453</v>
      </c>
      <c r="G380" s="15" t="s">
        <v>37</v>
      </c>
      <c r="H380" s="15" t="s">
        <v>195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0.458333333333333</v>
      </c>
      <c r="C381" s="14">
        <v>0.791666666666667</v>
      </c>
      <c r="D381" s="15">
        <v>1002007027</v>
      </c>
      <c r="E381" s="16">
        <v>10326286</v>
      </c>
      <c r="F381" s="15" t="s">
        <v>1018</v>
      </c>
      <c r="G381" s="15" t="s">
        <v>37</v>
      </c>
      <c r="H381" s="15" t="s">
        <v>91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0.458333333333333</v>
      </c>
      <c r="C382" s="14">
        <v>0.833333333333333</v>
      </c>
      <c r="D382" s="15">
        <v>1069956703</v>
      </c>
      <c r="E382" s="16">
        <v>10330637</v>
      </c>
      <c r="F382" s="15" t="s">
        <v>481</v>
      </c>
      <c r="G382" s="15" t="s">
        <v>37</v>
      </c>
      <c r="H382" s="15" t="s">
        <v>131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/>
      <c r="C383" s="14"/>
      <c r="D383" s="15"/>
      <c r="E383" s="16"/>
      <c r="F383" s="15"/>
      <c r="G383" s="15"/>
      <c r="H383" s="15"/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0.458333333333333</v>
      </c>
      <c r="C384" s="14">
        <v>0.791666666666667</v>
      </c>
      <c r="D384" s="15">
        <v>1276701073</v>
      </c>
      <c r="E384" s="16">
        <v>10329457</v>
      </c>
      <c r="F384" s="15" t="s">
        <v>359</v>
      </c>
      <c r="G384" s="15" t="s">
        <v>104</v>
      </c>
      <c r="H384" s="15" t="s">
        <v>103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0.458333333333333</v>
      </c>
      <c r="C385" s="14">
        <v>0.833333333333333</v>
      </c>
      <c r="D385" s="15">
        <v>1207828449</v>
      </c>
      <c r="E385" s="16">
        <v>10316242</v>
      </c>
      <c r="F385" s="15" t="s">
        <v>491</v>
      </c>
      <c r="G385" s="15" t="s">
        <v>104</v>
      </c>
      <c r="H385" s="15" t="s">
        <v>103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>
        <v>0.458333333333333</v>
      </c>
      <c r="C386" s="14">
        <v>0.833333333333333</v>
      </c>
      <c r="D386" s="15" t="s">
        <v>251</v>
      </c>
      <c r="E386" s="16">
        <v>10323570</v>
      </c>
      <c r="F386" s="15" t="s">
        <v>250</v>
      </c>
      <c r="G386" s="15" t="s">
        <v>104</v>
      </c>
      <c r="H386" s="15" t="s">
        <v>103</v>
      </c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/>
      <c r="C387" s="14"/>
      <c r="D387" s="15"/>
      <c r="E387" s="16"/>
      <c r="F387" s="15"/>
      <c r="G387" s="15"/>
      <c r="H387" s="15"/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0.458333333333333</v>
      </c>
      <c r="C388" s="14">
        <v>0.791666666666667</v>
      </c>
      <c r="D388" s="15">
        <v>1103806087</v>
      </c>
      <c r="E388" s="16">
        <v>10297499</v>
      </c>
      <c r="F388" s="15" t="s">
        <v>459</v>
      </c>
      <c r="G388" s="15" t="s">
        <v>40</v>
      </c>
      <c r="H388" s="15" t="s">
        <v>155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0.458333333333333</v>
      </c>
      <c r="C389" s="14">
        <v>0.791666666666667</v>
      </c>
      <c r="D389" s="15">
        <v>1000604891</v>
      </c>
      <c r="E389" s="16">
        <v>10278058</v>
      </c>
      <c r="F389" s="15" t="s">
        <v>458</v>
      </c>
      <c r="G389" s="15" t="s">
        <v>40</v>
      </c>
      <c r="H389" s="15" t="s">
        <v>134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0.458333333333333</v>
      </c>
      <c r="C391" s="14">
        <v>0.833333333333333</v>
      </c>
      <c r="D391" s="15">
        <v>1553553976</v>
      </c>
      <c r="E391" s="16">
        <v>10334395</v>
      </c>
      <c r="F391" s="15" t="s">
        <v>636</v>
      </c>
      <c r="G391" s="15" t="s">
        <v>70</v>
      </c>
      <c r="H391" s="15" t="s">
        <v>69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/>
      <c r="C392" s="14"/>
      <c r="D392" s="15"/>
      <c r="E392" s="16"/>
      <c r="F392" s="15"/>
      <c r="G392" s="15"/>
      <c r="H392" s="15"/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10" customHeight="1" spans="1:33">
      <c r="A393" s="9">
        <v>0.5</v>
      </c>
      <c r="B393" s="17"/>
      <c r="C393" s="17"/>
      <c r="D393" s="10"/>
      <c r="E393" s="21"/>
      <c r="F393" s="10"/>
      <c r="G393" s="10"/>
      <c r="H393" s="10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12"/>
      <c r="B394" s="8" t="s">
        <v>2673</v>
      </c>
      <c r="C394" s="8" t="s">
        <v>2674</v>
      </c>
      <c r="D394" s="8" t="s">
        <v>2675</v>
      </c>
      <c r="E394" s="13" t="s">
        <v>1895</v>
      </c>
      <c r="F394" s="8" t="s">
        <v>3</v>
      </c>
      <c r="G394" s="8" t="s">
        <v>2676</v>
      </c>
      <c r="H394" s="8" t="s">
        <v>2677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/>
      <c r="C395" s="14"/>
      <c r="D395" s="15"/>
      <c r="E395" s="16"/>
      <c r="F395" s="15"/>
      <c r="G395" s="15"/>
      <c r="H395" s="15"/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>
        <v>1145086624</v>
      </c>
      <c r="E396" s="16">
        <v>10325649</v>
      </c>
      <c r="F396" s="15" t="s">
        <v>1408</v>
      </c>
      <c r="G396" s="15" t="s">
        <v>67</v>
      </c>
      <c r="H396" s="15" t="s">
        <v>146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/>
      <c r="C397" s="14"/>
      <c r="D397" s="15"/>
      <c r="E397" s="16"/>
      <c r="F397" s="15"/>
      <c r="G397" s="15"/>
      <c r="H397" s="15"/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1221459041</v>
      </c>
      <c r="E398" s="16">
        <v>10334713</v>
      </c>
      <c r="F398" s="15" t="s">
        <v>700</v>
      </c>
      <c r="G398" s="15" t="s">
        <v>16</v>
      </c>
      <c r="H398" s="15" t="s">
        <v>34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1021824170</v>
      </c>
      <c r="E399" s="16">
        <v>10333976</v>
      </c>
      <c r="F399" s="15" t="s">
        <v>589</v>
      </c>
      <c r="G399" s="15" t="s">
        <v>16</v>
      </c>
      <c r="H399" s="15" t="s">
        <v>15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1117063589</v>
      </c>
      <c r="E400" s="16" t="s">
        <v>1188</v>
      </c>
      <c r="F400" s="15" t="s">
        <v>1189</v>
      </c>
      <c r="G400" s="15" t="s">
        <v>16</v>
      </c>
      <c r="H400" s="15" t="s">
        <v>20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1032446401</v>
      </c>
      <c r="E401" s="16">
        <v>10335700</v>
      </c>
      <c r="F401" s="15" t="s">
        <v>763</v>
      </c>
      <c r="G401" s="15" t="s">
        <v>16</v>
      </c>
      <c r="H401" s="15" t="s">
        <v>20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1094442317</v>
      </c>
      <c r="E402" s="16">
        <v>10343996</v>
      </c>
      <c r="F402" s="15" t="s">
        <v>1453</v>
      </c>
      <c r="G402" s="15" t="s">
        <v>16</v>
      </c>
      <c r="H402" s="15" t="s">
        <v>126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 t="s">
        <v>1285</v>
      </c>
      <c r="E403" s="16">
        <v>10340656</v>
      </c>
      <c r="F403" s="15" t="s">
        <v>1284</v>
      </c>
      <c r="G403" s="15" t="s">
        <v>16</v>
      </c>
      <c r="H403" s="15" t="s">
        <v>34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1012900031</v>
      </c>
      <c r="E404" s="16">
        <v>10316538</v>
      </c>
      <c r="F404" s="15" t="s">
        <v>179</v>
      </c>
      <c r="G404" s="15" t="s">
        <v>16</v>
      </c>
      <c r="H404" s="15" t="s">
        <v>178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1096289176</v>
      </c>
      <c r="E405" s="16">
        <v>10320412</v>
      </c>
      <c r="F405" s="15" t="s">
        <v>61</v>
      </c>
      <c r="G405" s="15" t="s">
        <v>16</v>
      </c>
      <c r="H405" s="15" t="s">
        <v>60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1200050553</v>
      </c>
      <c r="E406" s="16">
        <v>10347299</v>
      </c>
      <c r="F406" s="15" t="s">
        <v>1612</v>
      </c>
      <c r="G406" s="15" t="s">
        <v>16</v>
      </c>
      <c r="H406" s="15" t="s">
        <v>20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 t="s">
        <v>1609</v>
      </c>
      <c r="E407" s="16">
        <v>10347267</v>
      </c>
      <c r="F407" s="15" t="s">
        <v>1608</v>
      </c>
      <c r="G407" s="15" t="s">
        <v>16</v>
      </c>
      <c r="H407" s="15" t="s">
        <v>20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/>
      <c r="C408" s="14"/>
      <c r="D408" s="15"/>
      <c r="E408" s="16"/>
      <c r="F408" s="15"/>
      <c r="G408" s="15"/>
      <c r="H408" s="15"/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1201035557</v>
      </c>
      <c r="E409" s="16">
        <v>10339919</v>
      </c>
      <c r="F409" s="15" t="s">
        <v>1346</v>
      </c>
      <c r="G409" s="15" t="s">
        <v>30</v>
      </c>
      <c r="H409" s="15" t="s">
        <v>29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1201433368</v>
      </c>
      <c r="E410" s="16">
        <v>10335592</v>
      </c>
      <c r="F410" s="15" t="s">
        <v>760</v>
      </c>
      <c r="G410" s="15" t="s">
        <v>30</v>
      </c>
      <c r="H410" s="15" t="s">
        <v>29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1020842747</v>
      </c>
      <c r="E411" s="16">
        <v>10343869</v>
      </c>
      <c r="F411" s="15" t="s">
        <v>1455</v>
      </c>
      <c r="G411" s="15" t="s">
        <v>30</v>
      </c>
      <c r="H411" s="15" t="s">
        <v>381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0.875</v>
      </c>
      <c r="D412" s="15" t="s">
        <v>1257</v>
      </c>
      <c r="E412" s="16">
        <v>10339931</v>
      </c>
      <c r="F412" s="15" t="s">
        <v>1256</v>
      </c>
      <c r="G412" s="15" t="s">
        <v>30</v>
      </c>
      <c r="H412" s="15" t="s">
        <v>29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1276707977</v>
      </c>
      <c r="E414" s="16">
        <v>10334247</v>
      </c>
      <c r="F414" s="15" t="s">
        <v>613</v>
      </c>
      <c r="G414" s="15" t="s">
        <v>58</v>
      </c>
      <c r="H414" s="15" t="s">
        <v>57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/>
      <c r="C415" s="14"/>
      <c r="D415" s="15"/>
      <c r="E415" s="16"/>
      <c r="F415" s="15"/>
      <c r="G415" s="15"/>
      <c r="H415" s="15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1147521823</v>
      </c>
      <c r="E416" s="16">
        <v>10339002</v>
      </c>
      <c r="F416" s="15" t="s">
        <v>1217</v>
      </c>
      <c r="G416" s="15" t="s">
        <v>85</v>
      </c>
      <c r="H416" s="15" t="s">
        <v>84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1000511380</v>
      </c>
      <c r="E417" s="16">
        <v>10339927</v>
      </c>
      <c r="F417" s="15" t="s">
        <v>1260</v>
      </c>
      <c r="G417" s="15" t="s">
        <v>85</v>
      </c>
      <c r="H417" s="15" t="s">
        <v>162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1557944746</v>
      </c>
      <c r="E418" s="16">
        <v>10332650</v>
      </c>
      <c r="F418" s="15" t="s">
        <v>503</v>
      </c>
      <c r="G418" s="15" t="s">
        <v>85</v>
      </c>
      <c r="H418" s="15" t="s">
        <v>328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0.875</v>
      </c>
      <c r="D420" s="15">
        <v>1099042665</v>
      </c>
      <c r="E420" s="16">
        <v>10210885</v>
      </c>
      <c r="F420" s="15" t="s">
        <v>449</v>
      </c>
      <c r="G420" s="15" t="s">
        <v>314</v>
      </c>
      <c r="H420" s="15" t="s">
        <v>313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/>
      <c r="C421" s="14"/>
      <c r="D421" s="15"/>
      <c r="E421" s="16"/>
      <c r="F421" s="15"/>
      <c r="G421" s="15"/>
      <c r="H421" s="15"/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1280438382</v>
      </c>
      <c r="E422" s="16">
        <v>28711298</v>
      </c>
      <c r="F422" s="15" t="s">
        <v>1059</v>
      </c>
      <c r="G422" s="15" t="s">
        <v>151</v>
      </c>
      <c r="H422" s="15" t="s">
        <v>264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1159449690</v>
      </c>
      <c r="E423" s="16">
        <v>10292112</v>
      </c>
      <c r="F423" s="15" t="s">
        <v>456</v>
      </c>
      <c r="G423" s="15" t="s">
        <v>151</v>
      </c>
      <c r="H423" s="15" t="s">
        <v>455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 t="s">
        <v>1330</v>
      </c>
      <c r="E424" s="16">
        <v>10341883</v>
      </c>
      <c r="F424" s="15" t="s">
        <v>1329</v>
      </c>
      <c r="G424" s="15" t="s">
        <v>151</v>
      </c>
      <c r="H424" s="15" t="s">
        <v>6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1152061157</v>
      </c>
      <c r="E425" s="16">
        <v>10341880</v>
      </c>
      <c r="F425" s="15" t="s">
        <v>1328</v>
      </c>
      <c r="G425" s="15" t="s">
        <v>151</v>
      </c>
      <c r="H425" s="15" t="s">
        <v>800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</v>
      </c>
      <c r="C426" s="14">
        <v>0.875</v>
      </c>
      <c r="D426" s="15">
        <v>1129654772</v>
      </c>
      <c r="E426" s="16">
        <v>10334788</v>
      </c>
      <c r="F426" s="15" t="s">
        <v>693</v>
      </c>
      <c r="G426" s="15" t="s">
        <v>151</v>
      </c>
      <c r="H426" s="15" t="s">
        <v>409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/>
      <c r="C427" s="14"/>
      <c r="D427" s="15"/>
      <c r="E427" s="16"/>
      <c r="F427" s="15"/>
      <c r="G427" s="15"/>
      <c r="H427" s="15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1090653293</v>
      </c>
      <c r="E428" s="16">
        <v>10340061</v>
      </c>
      <c r="F428" s="15" t="s">
        <v>1263</v>
      </c>
      <c r="G428" s="15" t="s">
        <v>76</v>
      </c>
      <c r="H428" s="15" t="s">
        <v>599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/>
      <c r="C429" s="14"/>
      <c r="D429" s="15"/>
      <c r="E429" s="16"/>
      <c r="F429" s="15"/>
      <c r="G429" s="15"/>
      <c r="H429" s="15"/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</v>
      </c>
      <c r="C430" s="14">
        <v>0.875</v>
      </c>
      <c r="D430" s="15">
        <v>1094405645</v>
      </c>
      <c r="E430" s="16">
        <v>29901310</v>
      </c>
      <c r="F430" s="15" t="s">
        <v>1058</v>
      </c>
      <c r="G430" s="15" t="s">
        <v>95</v>
      </c>
      <c r="H430" s="15" t="s">
        <v>94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</v>
      </c>
      <c r="C431" s="14">
        <v>0.875</v>
      </c>
      <c r="D431" s="15">
        <v>1095680472</v>
      </c>
      <c r="E431" s="16">
        <v>29408200</v>
      </c>
      <c r="F431" s="15" t="s">
        <v>1060</v>
      </c>
      <c r="G431" s="15" t="s">
        <v>95</v>
      </c>
      <c r="H431" s="15" t="s">
        <v>94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</v>
      </c>
      <c r="C432" s="14">
        <v>0.875</v>
      </c>
      <c r="D432" s="15">
        <v>1158665484</v>
      </c>
      <c r="E432" s="16">
        <v>10334712</v>
      </c>
      <c r="F432" s="15" t="s">
        <v>692</v>
      </c>
      <c r="G432" s="15" t="s">
        <v>95</v>
      </c>
      <c r="H432" s="15" t="s">
        <v>108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</v>
      </c>
      <c r="C433" s="14">
        <v>0.875</v>
      </c>
      <c r="D433" s="15">
        <v>1067876527</v>
      </c>
      <c r="E433" s="16">
        <v>10334668</v>
      </c>
      <c r="F433" s="15" t="s">
        <v>651</v>
      </c>
      <c r="G433" s="15" t="s">
        <v>95</v>
      </c>
      <c r="H433" s="15" t="s">
        <v>113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</v>
      </c>
      <c r="C434" s="14">
        <v>0.875</v>
      </c>
      <c r="D434" s="15">
        <v>1158021888</v>
      </c>
      <c r="E434" s="16">
        <v>10343948</v>
      </c>
      <c r="F434" s="15" t="s">
        <v>1460</v>
      </c>
      <c r="G434" s="15" t="s">
        <v>95</v>
      </c>
      <c r="H434" s="15" t="s">
        <v>94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</v>
      </c>
      <c r="C435" s="14">
        <v>0.875</v>
      </c>
      <c r="D435" s="15">
        <v>1146076917</v>
      </c>
      <c r="E435" s="16">
        <v>10309485</v>
      </c>
      <c r="F435" s="15" t="s">
        <v>1072</v>
      </c>
      <c r="G435" s="15" t="s">
        <v>95</v>
      </c>
      <c r="H435" s="15" t="s">
        <v>94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</v>
      </c>
      <c r="C436" s="14">
        <v>0.875</v>
      </c>
      <c r="D436" s="15">
        <v>1022171730</v>
      </c>
      <c r="E436" s="16">
        <v>10343406</v>
      </c>
      <c r="F436" s="15" t="s">
        <v>1391</v>
      </c>
      <c r="G436" s="15" t="s">
        <v>95</v>
      </c>
      <c r="H436" s="15" t="s">
        <v>113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</v>
      </c>
      <c r="C438" s="14">
        <v>0.875</v>
      </c>
      <c r="D438" s="15">
        <v>1276595561</v>
      </c>
      <c r="E438" s="16">
        <v>10334832</v>
      </c>
      <c r="F438" s="15" t="s">
        <v>663</v>
      </c>
      <c r="G438" s="15" t="s">
        <v>10</v>
      </c>
      <c r="H438" s="15" t="s">
        <v>302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</v>
      </c>
      <c r="C439" s="14">
        <v>0.875</v>
      </c>
      <c r="D439" s="15">
        <v>1121452045</v>
      </c>
      <c r="E439" s="16">
        <v>10343404</v>
      </c>
      <c r="F439" s="15" t="s">
        <v>1397</v>
      </c>
      <c r="G439" s="15" t="s">
        <v>10</v>
      </c>
      <c r="H439" s="15" t="s">
        <v>302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/>
      <c r="C440" s="14"/>
      <c r="D440" s="15"/>
      <c r="E440" s="16"/>
      <c r="F440" s="15"/>
      <c r="G440" s="15"/>
      <c r="H440" s="15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>
        <v>0.5</v>
      </c>
      <c r="C441" s="14">
        <v>0.875</v>
      </c>
      <c r="D441" s="15">
        <v>1029176161</v>
      </c>
      <c r="E441" s="16">
        <v>10341787</v>
      </c>
      <c r="F441" s="15" t="s">
        <v>1331</v>
      </c>
      <c r="G441" s="15" t="s">
        <v>27</v>
      </c>
      <c r="H441" s="15" t="s">
        <v>26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>
        <v>0.5</v>
      </c>
      <c r="C442" s="14">
        <v>0.875</v>
      </c>
      <c r="D442" s="15">
        <v>1117170993</v>
      </c>
      <c r="E442" s="16">
        <v>10337663</v>
      </c>
      <c r="F442" s="15" t="s">
        <v>1113</v>
      </c>
      <c r="G442" s="15" t="s">
        <v>27</v>
      </c>
      <c r="H442" s="15" t="s">
        <v>228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>
        <v>0.5</v>
      </c>
      <c r="C443" s="14">
        <v>0.875</v>
      </c>
      <c r="D443" s="15">
        <v>1112201156</v>
      </c>
      <c r="E443" s="16">
        <v>10339012</v>
      </c>
      <c r="F443" s="15" t="s">
        <v>1223</v>
      </c>
      <c r="G443" s="15" t="s">
        <v>27</v>
      </c>
      <c r="H443" s="15" t="s">
        <v>26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>
        <v>0.5</v>
      </c>
      <c r="C444" s="14">
        <v>0.875</v>
      </c>
      <c r="D444" s="15">
        <v>1278825213</v>
      </c>
      <c r="E444" s="16">
        <v>10334023</v>
      </c>
      <c r="F444" s="15" t="s">
        <v>585</v>
      </c>
      <c r="G444" s="15" t="s">
        <v>27</v>
      </c>
      <c r="H444" s="15" t="s">
        <v>26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/>
      <c r="C445" s="14"/>
      <c r="D445" s="15"/>
      <c r="E445" s="16"/>
      <c r="F445" s="15"/>
      <c r="G445" s="15"/>
      <c r="H445" s="15"/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>
        <v>0.5</v>
      </c>
      <c r="C446" s="14">
        <v>0.833333333333333</v>
      </c>
      <c r="D446" s="15">
        <v>1555585339</v>
      </c>
      <c r="E446" s="16">
        <v>10203443</v>
      </c>
      <c r="F446" s="15" t="s">
        <v>79</v>
      </c>
      <c r="G446" s="15" t="s">
        <v>13</v>
      </c>
      <c r="H446" s="15" t="s">
        <v>78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</v>
      </c>
      <c r="C447" s="14">
        <v>0.875</v>
      </c>
      <c r="D447" s="15">
        <v>1155998440</v>
      </c>
      <c r="E447" s="16">
        <v>30105102</v>
      </c>
      <c r="F447" s="15" t="s">
        <v>1057</v>
      </c>
      <c r="G447" s="15" t="s">
        <v>13</v>
      </c>
      <c r="H447" s="15" t="s">
        <v>32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>
        <v>0.5</v>
      </c>
      <c r="C448" s="14">
        <v>0.875</v>
      </c>
      <c r="D448" s="15">
        <v>1158931963</v>
      </c>
      <c r="E448" s="16">
        <v>10334701</v>
      </c>
      <c r="F448" s="15" t="s">
        <v>696</v>
      </c>
      <c r="G448" s="15" t="s">
        <v>13</v>
      </c>
      <c r="H448" s="15" t="s">
        <v>141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</v>
      </c>
      <c r="C449" s="14">
        <v>0.875</v>
      </c>
      <c r="D449" s="15">
        <v>1154947311</v>
      </c>
      <c r="E449" s="16">
        <v>10273571</v>
      </c>
      <c r="F449" s="15" t="s">
        <v>570</v>
      </c>
      <c r="G449" s="15" t="s">
        <v>13</v>
      </c>
      <c r="H449" s="15" t="s">
        <v>12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>
        <v>0.5</v>
      </c>
      <c r="C450" s="14">
        <v>0.875</v>
      </c>
      <c r="D450" s="15">
        <v>1063373593</v>
      </c>
      <c r="E450" s="16">
        <v>10338960</v>
      </c>
      <c r="F450" s="15" t="s">
        <v>1235</v>
      </c>
      <c r="G450" s="15" t="s">
        <v>13</v>
      </c>
      <c r="H450" s="15" t="s">
        <v>32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0.5</v>
      </c>
      <c r="C451" s="14">
        <v>0.875</v>
      </c>
      <c r="D451" s="15">
        <v>1117299576</v>
      </c>
      <c r="E451" s="16">
        <v>10341002</v>
      </c>
      <c r="F451" s="15" t="s">
        <v>1361</v>
      </c>
      <c r="G451" s="15" t="s">
        <v>13</v>
      </c>
      <c r="H451" s="15" t="s">
        <v>141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>
        <v>0.5</v>
      </c>
      <c r="C452" s="14">
        <v>0.875</v>
      </c>
      <c r="D452" s="15">
        <v>1146683422</v>
      </c>
      <c r="E452" s="16">
        <v>10342536</v>
      </c>
      <c r="F452" s="15" t="s">
        <v>1360</v>
      </c>
      <c r="G452" s="15" t="s">
        <v>13</v>
      </c>
      <c r="H452" s="15" t="s">
        <v>80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>
        <v>0.5</v>
      </c>
      <c r="C453" s="14">
        <v>0.875</v>
      </c>
      <c r="D453" s="15">
        <v>1098417947</v>
      </c>
      <c r="E453" s="16">
        <v>10292203</v>
      </c>
      <c r="F453" s="15" t="s">
        <v>1103</v>
      </c>
      <c r="G453" s="15" t="s">
        <v>13</v>
      </c>
      <c r="H453" s="15" t="s">
        <v>32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>
        <v>0.5</v>
      </c>
      <c r="C454" s="14">
        <v>0.875</v>
      </c>
      <c r="D454" s="15" t="s">
        <v>1338</v>
      </c>
      <c r="E454" s="16">
        <v>10341839</v>
      </c>
      <c r="F454" s="15" t="s">
        <v>1337</v>
      </c>
      <c r="G454" s="15" t="s">
        <v>13</v>
      </c>
      <c r="H454" s="15" t="s">
        <v>78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0.5</v>
      </c>
      <c r="C455" s="14">
        <v>0.875</v>
      </c>
      <c r="D455" s="15">
        <v>1153248409</v>
      </c>
      <c r="E455" s="16">
        <v>10339952</v>
      </c>
      <c r="F455" s="15" t="s">
        <v>1270</v>
      </c>
      <c r="G455" s="15" t="s">
        <v>13</v>
      </c>
      <c r="H455" s="15" t="s">
        <v>12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0.5</v>
      </c>
      <c r="C456" s="14">
        <v>0.875</v>
      </c>
      <c r="D456" s="15">
        <v>1148278594</v>
      </c>
      <c r="E456" s="16">
        <v>10337744</v>
      </c>
      <c r="F456" s="15" t="s">
        <v>1098</v>
      </c>
      <c r="G456" s="15" t="s">
        <v>13</v>
      </c>
      <c r="H456" s="15" t="s">
        <v>87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0.5</v>
      </c>
      <c r="C457" s="14">
        <v>0.875</v>
      </c>
      <c r="D457" s="15">
        <v>1152621423</v>
      </c>
      <c r="E457" s="16">
        <v>10322712</v>
      </c>
      <c r="F457" s="15" t="s">
        <v>550</v>
      </c>
      <c r="G457" s="15" t="s">
        <v>13</v>
      </c>
      <c r="H457" s="15" t="s">
        <v>32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>
        <v>0.5</v>
      </c>
      <c r="C458" s="14">
        <v>0.875</v>
      </c>
      <c r="D458" s="15">
        <v>1143319202</v>
      </c>
      <c r="E458" s="16">
        <v>10317522</v>
      </c>
      <c r="F458" s="15" t="s">
        <v>33</v>
      </c>
      <c r="G458" s="15" t="s">
        <v>13</v>
      </c>
      <c r="H458" s="15" t="s">
        <v>32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>
        <v>0.5</v>
      </c>
      <c r="C459" s="14">
        <v>0.875</v>
      </c>
      <c r="D459" s="15">
        <v>1012764001</v>
      </c>
      <c r="E459" s="16">
        <v>10343407</v>
      </c>
      <c r="F459" s="15" t="s">
        <v>1390</v>
      </c>
      <c r="G459" s="15" t="s">
        <v>13</v>
      </c>
      <c r="H459" s="15" t="s">
        <v>141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</v>
      </c>
      <c r="C460" s="14">
        <v>0.875</v>
      </c>
      <c r="D460" s="15">
        <v>1026740215</v>
      </c>
      <c r="E460" s="16">
        <v>10285489</v>
      </c>
      <c r="F460" s="15" t="s">
        <v>1611</v>
      </c>
      <c r="G460" s="15" t="s">
        <v>13</v>
      </c>
      <c r="H460" s="15" t="s">
        <v>141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/>
      <c r="C461" s="14"/>
      <c r="D461" s="15"/>
      <c r="E461" s="16"/>
      <c r="F461" s="15"/>
      <c r="G461" s="15"/>
      <c r="H461" s="15"/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</v>
      </c>
      <c r="C462" s="14">
        <v>0.875</v>
      </c>
      <c r="D462" s="15">
        <v>1092042039</v>
      </c>
      <c r="E462" s="16">
        <v>10337753</v>
      </c>
      <c r="F462" s="15" t="s">
        <v>1108</v>
      </c>
      <c r="G462" s="15" t="s">
        <v>23</v>
      </c>
      <c r="H462" s="15" t="s">
        <v>22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0.5</v>
      </c>
      <c r="C463" s="14">
        <v>0.875</v>
      </c>
      <c r="D463" s="15">
        <v>1152255932</v>
      </c>
      <c r="E463" s="16">
        <v>10341798</v>
      </c>
      <c r="F463" s="15" t="s">
        <v>1340</v>
      </c>
      <c r="G463" s="15" t="s">
        <v>23</v>
      </c>
      <c r="H463" s="15" t="s">
        <v>62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>
        <v>0.5</v>
      </c>
      <c r="C464" s="14">
        <v>0.875</v>
      </c>
      <c r="D464" s="15">
        <v>1149048868</v>
      </c>
      <c r="E464" s="16">
        <v>10341215</v>
      </c>
      <c r="F464" s="15" t="s">
        <v>1310</v>
      </c>
      <c r="G464" s="15" t="s">
        <v>23</v>
      </c>
      <c r="H464" s="15" t="s">
        <v>62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0.5</v>
      </c>
      <c r="C465" s="14">
        <v>0.875</v>
      </c>
      <c r="D465" s="15">
        <v>1503620076</v>
      </c>
      <c r="E465" s="16">
        <v>10340041</v>
      </c>
      <c r="F465" s="15" t="s">
        <v>1274</v>
      </c>
      <c r="G465" s="15" t="s">
        <v>23</v>
      </c>
      <c r="H465" s="15" t="s">
        <v>276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0.5</v>
      </c>
      <c r="C466" s="14">
        <v>0.875</v>
      </c>
      <c r="D466" s="15" t="s">
        <v>279</v>
      </c>
      <c r="E466" s="16">
        <v>10327295</v>
      </c>
      <c r="F466" s="15" t="s">
        <v>278</v>
      </c>
      <c r="G466" s="15" t="s">
        <v>23</v>
      </c>
      <c r="H466" s="15" t="s">
        <v>22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0.5</v>
      </c>
      <c r="C467" s="14">
        <v>0.875</v>
      </c>
      <c r="D467" s="15">
        <v>1211552537</v>
      </c>
      <c r="E467" s="16">
        <v>10337069</v>
      </c>
      <c r="F467" s="15" t="s">
        <v>1079</v>
      </c>
      <c r="G467" s="15" t="s">
        <v>23</v>
      </c>
      <c r="H467" s="15" t="s">
        <v>172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0.5</v>
      </c>
      <c r="C468" s="14">
        <v>0.875</v>
      </c>
      <c r="D468" s="15">
        <v>1065734525</v>
      </c>
      <c r="E468" s="16">
        <v>10343405</v>
      </c>
      <c r="F468" s="15" t="s">
        <v>1399</v>
      </c>
      <c r="G468" s="15" t="s">
        <v>23</v>
      </c>
      <c r="H468" s="15" t="s">
        <v>144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0.5</v>
      </c>
      <c r="C469" s="14">
        <v>0.875</v>
      </c>
      <c r="D469" s="15">
        <v>1279771880</v>
      </c>
      <c r="E469" s="16">
        <v>10310370</v>
      </c>
      <c r="F469" s="15" t="s">
        <v>657</v>
      </c>
      <c r="G469" s="15" t="s">
        <v>23</v>
      </c>
      <c r="H469" s="15" t="s">
        <v>43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0.5</v>
      </c>
      <c r="C470" s="14">
        <v>0.875</v>
      </c>
      <c r="D470" s="15">
        <v>1557236176</v>
      </c>
      <c r="E470" s="16">
        <v>10332451</v>
      </c>
      <c r="F470" s="15" t="s">
        <v>502</v>
      </c>
      <c r="G470" s="15" t="s">
        <v>23</v>
      </c>
      <c r="H470" s="15" t="s">
        <v>43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>
        <v>0.5</v>
      </c>
      <c r="C471" s="14">
        <v>0.875</v>
      </c>
      <c r="D471" s="15">
        <v>1002498107</v>
      </c>
      <c r="E471" s="16">
        <v>10347346</v>
      </c>
      <c r="F471" s="15" t="s">
        <v>17</v>
      </c>
      <c r="G471" s="15" t="s">
        <v>23</v>
      </c>
      <c r="H471" s="15" t="s">
        <v>172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/>
      <c r="C472" s="14"/>
      <c r="D472" s="15"/>
      <c r="E472" s="16"/>
      <c r="F472" s="15"/>
      <c r="G472" s="15"/>
      <c r="H472" s="15"/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0.5</v>
      </c>
      <c r="C473" s="14">
        <v>0.875</v>
      </c>
      <c r="D473" s="15">
        <v>1005356050</v>
      </c>
      <c r="E473" s="16">
        <v>10337898</v>
      </c>
      <c r="F473" s="15" t="s">
        <v>1137</v>
      </c>
      <c r="G473" s="15" t="s">
        <v>49</v>
      </c>
      <c r="H473" s="15" t="s">
        <v>48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0.5</v>
      </c>
      <c r="C474" s="14">
        <v>0.875</v>
      </c>
      <c r="D474" s="15">
        <v>1027949221</v>
      </c>
      <c r="E474" s="16">
        <v>10294264</v>
      </c>
      <c r="F474" s="15" t="s">
        <v>194</v>
      </c>
      <c r="G474" s="15" t="s">
        <v>49</v>
      </c>
      <c r="H474" s="15" t="s">
        <v>48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0.5</v>
      </c>
      <c r="C475" s="14">
        <v>0.875</v>
      </c>
      <c r="D475" s="15">
        <v>1001473220</v>
      </c>
      <c r="E475" s="16">
        <v>10347380</v>
      </c>
      <c r="F475" s="15" t="s">
        <v>1621</v>
      </c>
      <c r="G475" s="15" t="s">
        <v>49</v>
      </c>
      <c r="H475" s="15" t="s">
        <v>48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/>
      <c r="C476" s="14"/>
      <c r="D476" s="15"/>
      <c r="E476" s="16"/>
      <c r="F476" s="15"/>
      <c r="G476" s="15"/>
      <c r="H476" s="15"/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>
        <v>0.5</v>
      </c>
      <c r="C477" s="14">
        <v>0.833333333333333</v>
      </c>
      <c r="D477" s="15">
        <v>1001272857</v>
      </c>
      <c r="E477" s="16">
        <v>10334689</v>
      </c>
      <c r="F477" s="15" t="s">
        <v>767</v>
      </c>
      <c r="G477" s="15" t="s">
        <v>37</v>
      </c>
      <c r="H477" s="15" t="s">
        <v>36</v>
      </c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0.5</v>
      </c>
      <c r="C478" s="14">
        <v>0.875</v>
      </c>
      <c r="D478" s="15">
        <v>1020090701</v>
      </c>
      <c r="E478" s="16">
        <v>10341807</v>
      </c>
      <c r="F478" s="15" t="s">
        <v>1341</v>
      </c>
      <c r="G478" s="15" t="s">
        <v>37</v>
      </c>
      <c r="H478" s="15" t="s">
        <v>195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0.5</v>
      </c>
      <c r="C479" s="14">
        <v>0.875</v>
      </c>
      <c r="D479" s="15">
        <v>1062921908</v>
      </c>
      <c r="E479" s="16">
        <v>10341300</v>
      </c>
      <c r="F479" s="15" t="s">
        <v>1318</v>
      </c>
      <c r="G479" s="15" t="s">
        <v>37</v>
      </c>
      <c r="H479" s="15" t="s">
        <v>36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0.5</v>
      </c>
      <c r="C480" s="14">
        <v>0.875</v>
      </c>
      <c r="D480" s="15">
        <v>1030947913</v>
      </c>
      <c r="E480" s="16">
        <v>10334715</v>
      </c>
      <c r="F480" s="15" t="s">
        <v>701</v>
      </c>
      <c r="G480" s="15" t="s">
        <v>37</v>
      </c>
      <c r="H480" s="15" t="s">
        <v>91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0.5</v>
      </c>
      <c r="C481" s="14">
        <v>0.875</v>
      </c>
      <c r="D481" s="15">
        <v>1127933488</v>
      </c>
      <c r="E481" s="16">
        <v>10337017</v>
      </c>
      <c r="F481" s="15" t="s">
        <v>1075</v>
      </c>
      <c r="G481" s="15" t="s">
        <v>37</v>
      </c>
      <c r="H481" s="15" t="s">
        <v>36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/>
      <c r="C482" s="14"/>
      <c r="D482" s="15"/>
      <c r="E482" s="16"/>
      <c r="F482" s="15"/>
      <c r="G482" s="15"/>
      <c r="H482" s="15"/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0.5</v>
      </c>
      <c r="C483" s="14">
        <v>0.875</v>
      </c>
      <c r="D483" s="15">
        <v>1515658710</v>
      </c>
      <c r="E483" s="16">
        <v>10341221</v>
      </c>
      <c r="F483" s="15" t="s">
        <v>1321</v>
      </c>
      <c r="G483" s="15" t="s">
        <v>104</v>
      </c>
      <c r="H483" s="15" t="s">
        <v>103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/>
      <c r="C484" s="14"/>
      <c r="D484" s="15"/>
      <c r="E484" s="16"/>
      <c r="F484" s="15"/>
      <c r="G484" s="15"/>
      <c r="H484" s="15"/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0.5</v>
      </c>
      <c r="C485" s="14">
        <v>0.875</v>
      </c>
      <c r="D485" s="15">
        <v>1102314764</v>
      </c>
      <c r="E485" s="16">
        <v>10337733</v>
      </c>
      <c r="F485" s="15" t="s">
        <v>1127</v>
      </c>
      <c r="G485" s="15" t="s">
        <v>40</v>
      </c>
      <c r="H485" s="15" t="s">
        <v>134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0.5</v>
      </c>
      <c r="C486" s="14">
        <v>0.875</v>
      </c>
      <c r="D486" s="15">
        <v>1012692499</v>
      </c>
      <c r="E486" s="16">
        <v>10343270</v>
      </c>
      <c r="F486" s="15" t="s">
        <v>1394</v>
      </c>
      <c r="G486" s="15" t="s">
        <v>40</v>
      </c>
      <c r="H486" s="15" t="s">
        <v>155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0.5</v>
      </c>
      <c r="C488" s="14">
        <v>0.875</v>
      </c>
      <c r="D488" s="15">
        <v>1128690675</v>
      </c>
      <c r="E488" s="16">
        <v>10337777</v>
      </c>
      <c r="F488" s="15" t="s">
        <v>1097</v>
      </c>
      <c r="G488" s="15" t="s">
        <v>70</v>
      </c>
      <c r="H488" s="15" t="s">
        <v>69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/>
      <c r="C489" s="14"/>
      <c r="D489" s="15"/>
      <c r="E489" s="16"/>
      <c r="F489" s="15"/>
      <c r="G489" s="15"/>
      <c r="H489" s="15"/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7.5" customHeight="1" spans="1:33">
      <c r="A490" s="9">
        <v>0.541666666666667</v>
      </c>
      <c r="B490" s="10"/>
      <c r="C490" s="10"/>
      <c r="D490" s="10"/>
      <c r="E490" s="11"/>
      <c r="F490" s="10"/>
      <c r="G490" s="10"/>
      <c r="H490" s="10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12"/>
      <c r="B491" s="8" t="s">
        <v>2673</v>
      </c>
      <c r="C491" s="8" t="s">
        <v>2674</v>
      </c>
      <c r="D491" s="8" t="s">
        <v>2675</v>
      </c>
      <c r="E491" s="13" t="s">
        <v>1895</v>
      </c>
      <c r="F491" s="8" t="s">
        <v>3</v>
      </c>
      <c r="G491" s="8" t="s">
        <v>2676</v>
      </c>
      <c r="H491" s="8" t="s">
        <v>2677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/>
      <c r="C492" s="14"/>
      <c r="D492" s="15"/>
      <c r="E492" s="16"/>
      <c r="F492" s="15"/>
      <c r="G492" s="15"/>
      <c r="H492" s="15"/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0.541666666666667</v>
      </c>
      <c r="C493" s="14">
        <v>0.916666666666667</v>
      </c>
      <c r="D493" s="15">
        <v>1091247732</v>
      </c>
      <c r="E493" s="16">
        <v>10333432</v>
      </c>
      <c r="F493" s="15" t="s">
        <v>558</v>
      </c>
      <c r="G493" s="15" t="s">
        <v>221</v>
      </c>
      <c r="H493" s="15" t="s">
        <v>220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/>
      <c r="C494" s="14"/>
      <c r="D494" s="15"/>
      <c r="E494" s="16"/>
      <c r="F494" s="15"/>
      <c r="G494" s="15"/>
      <c r="H494" s="15"/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>
        <v>0.541666666666667</v>
      </c>
      <c r="C495" s="14">
        <v>0.916666666666667</v>
      </c>
      <c r="D495" s="15">
        <v>1123022074</v>
      </c>
      <c r="E495" s="16">
        <v>10330510</v>
      </c>
      <c r="F495" s="15" t="s">
        <v>606</v>
      </c>
      <c r="G495" s="15" t="s">
        <v>95</v>
      </c>
      <c r="H495" s="15" t="s">
        <v>228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>
        <v>0.541666666666667</v>
      </c>
      <c r="C497" s="14">
        <v>0.916666666666667</v>
      </c>
      <c r="D497" s="15">
        <v>1550563697</v>
      </c>
      <c r="E497" s="16">
        <v>10280906</v>
      </c>
      <c r="F497" s="15" t="s">
        <v>572</v>
      </c>
      <c r="G497" s="15" t="s">
        <v>40</v>
      </c>
      <c r="H497" s="15" t="s">
        <v>155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7.5" customHeight="1" spans="1:33">
      <c r="A499" s="9">
        <v>0.583333333333333</v>
      </c>
      <c r="B499" s="10"/>
      <c r="C499" s="10"/>
      <c r="D499" s="10"/>
      <c r="E499" s="11"/>
      <c r="F499" s="10"/>
      <c r="G499" s="10"/>
      <c r="H499" s="10"/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12"/>
      <c r="B500" s="8" t="s">
        <v>2673</v>
      </c>
      <c r="C500" s="8" t="s">
        <v>2674</v>
      </c>
      <c r="D500" s="8" t="s">
        <v>2675</v>
      </c>
      <c r="E500" s="13" t="s">
        <v>1895</v>
      </c>
      <c r="F500" s="8" t="s">
        <v>3</v>
      </c>
      <c r="G500" s="8" t="s">
        <v>2676</v>
      </c>
      <c r="H500" s="8" t="s">
        <v>2677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/>
      <c r="C501" s="14"/>
      <c r="D501" s="15"/>
      <c r="E501" s="16"/>
      <c r="F501" s="15"/>
      <c r="G501" s="15"/>
      <c r="H501" s="15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 t="s">
        <v>1551</v>
      </c>
      <c r="E502" s="16">
        <v>10346118</v>
      </c>
      <c r="F502" s="15" t="s">
        <v>1550</v>
      </c>
      <c r="G502" s="15" t="s">
        <v>434</v>
      </c>
      <c r="H502" s="15" t="s">
        <v>434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1.16666666666667</v>
      </c>
      <c r="D503" s="15">
        <v>1270041241</v>
      </c>
      <c r="E503" s="16">
        <v>10348215</v>
      </c>
      <c r="F503" s="15" t="s">
        <v>1701</v>
      </c>
      <c r="G503" s="15" t="s">
        <v>1700</v>
      </c>
      <c r="H503" s="15" t="s">
        <v>1700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/>
      <c r="C504" s="14"/>
      <c r="D504" s="15"/>
      <c r="E504" s="16"/>
      <c r="F504" s="15"/>
      <c r="G504" s="15"/>
      <c r="H504" s="15"/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1019633118</v>
      </c>
      <c r="E505" s="16">
        <v>10266290</v>
      </c>
      <c r="F505" s="15" t="s">
        <v>432</v>
      </c>
      <c r="G505" s="15" t="s">
        <v>67</v>
      </c>
      <c r="H505" s="15" t="s">
        <v>146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/>
      <c r="C506" s="14"/>
      <c r="D506" s="15"/>
      <c r="E506" s="16"/>
      <c r="F506" s="15"/>
      <c r="G506" s="15"/>
      <c r="H506" s="15"/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1556527721</v>
      </c>
      <c r="E507" s="16">
        <v>10282243</v>
      </c>
      <c r="F507" s="15" t="s">
        <v>1738</v>
      </c>
      <c r="G507" s="15" t="s">
        <v>221</v>
      </c>
      <c r="H507" s="15" t="s">
        <v>1737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/>
      <c r="C508" s="14"/>
      <c r="D508" s="15"/>
      <c r="E508" s="16"/>
      <c r="F508" s="15"/>
      <c r="G508" s="15"/>
      <c r="H508" s="15"/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1019142214</v>
      </c>
      <c r="E509" s="16">
        <v>10299519</v>
      </c>
      <c r="F509" s="15" t="s">
        <v>1857</v>
      </c>
      <c r="G509" s="15" t="s">
        <v>16</v>
      </c>
      <c r="H509" s="15" t="s">
        <v>1856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>
        <v>0.583333333333333</v>
      </c>
      <c r="C510" s="14">
        <v>1.08333333333333</v>
      </c>
      <c r="D510" s="15" t="s">
        <v>1860</v>
      </c>
      <c r="E510" s="16">
        <v>10348410</v>
      </c>
      <c r="F510" s="15" t="s">
        <v>1859</v>
      </c>
      <c r="G510" s="15" t="s">
        <v>16</v>
      </c>
      <c r="H510" s="15" t="s">
        <v>1856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0.958333333333333</v>
      </c>
      <c r="D511" s="15" t="s">
        <v>1739</v>
      </c>
      <c r="E511" s="16">
        <v>10324535</v>
      </c>
      <c r="F511" s="15" t="s">
        <v>33</v>
      </c>
      <c r="G511" s="15" t="s">
        <v>16</v>
      </c>
      <c r="H511" s="15" t="s">
        <v>34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>
        <v>0.583333333333333</v>
      </c>
      <c r="C512" s="14">
        <v>0.958333333333333</v>
      </c>
      <c r="D512" s="15">
        <v>1117301562</v>
      </c>
      <c r="E512" s="16">
        <v>10344173</v>
      </c>
      <c r="F512" s="15" t="s">
        <v>1420</v>
      </c>
      <c r="G512" s="15" t="s">
        <v>16</v>
      </c>
      <c r="H512" s="15" t="s">
        <v>178</v>
      </c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1126257048</v>
      </c>
      <c r="E513" s="16">
        <v>10346778</v>
      </c>
      <c r="F513" s="15" t="s">
        <v>1572</v>
      </c>
      <c r="G513" s="15" t="s">
        <v>16</v>
      </c>
      <c r="H513" s="15" t="s">
        <v>126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0.958333333333333</v>
      </c>
      <c r="D514" s="15">
        <v>1008448127</v>
      </c>
      <c r="E514" s="16">
        <v>10299384</v>
      </c>
      <c r="F514" s="15" t="s">
        <v>1478</v>
      </c>
      <c r="G514" s="15" t="s">
        <v>16</v>
      </c>
      <c r="H514" s="15" t="s">
        <v>15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/>
      <c r="C515" s="14"/>
      <c r="D515" s="15"/>
      <c r="E515" s="16"/>
      <c r="F515" s="15"/>
      <c r="G515" s="15"/>
      <c r="H515" s="15"/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0.958333333333333</v>
      </c>
      <c r="D516" s="15">
        <v>1127261406</v>
      </c>
      <c r="E516" s="16">
        <v>10238619</v>
      </c>
      <c r="F516" s="15" t="s">
        <v>1479</v>
      </c>
      <c r="G516" s="15" t="s">
        <v>53</v>
      </c>
      <c r="H516" s="15" t="s">
        <v>236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/>
      <c r="C517" s="14"/>
      <c r="D517" s="15"/>
      <c r="E517" s="16"/>
      <c r="F517" s="15"/>
      <c r="G517" s="15"/>
      <c r="H517" s="15"/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1.08333333333333</v>
      </c>
      <c r="D518" s="15">
        <v>1148417872</v>
      </c>
      <c r="E518" s="16">
        <v>10299506</v>
      </c>
      <c r="F518" s="15" t="s">
        <v>993</v>
      </c>
      <c r="G518" s="15" t="s">
        <v>95</v>
      </c>
      <c r="H518" s="15" t="s">
        <v>94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0.333333333333333</v>
      </c>
      <c r="D519" s="15" t="s">
        <v>1750</v>
      </c>
      <c r="E519" s="16">
        <v>10335392</v>
      </c>
      <c r="F519" s="15" t="s">
        <v>1749</v>
      </c>
      <c r="G519" s="15" t="s">
        <v>95</v>
      </c>
      <c r="H519" s="15" t="s">
        <v>228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1098670413</v>
      </c>
      <c r="E520" s="16">
        <v>10344186</v>
      </c>
      <c r="F520" s="15" t="s">
        <v>1427</v>
      </c>
      <c r="G520" s="15" t="s">
        <v>95</v>
      </c>
      <c r="H520" s="15" t="s">
        <v>343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0.958333333333333</v>
      </c>
      <c r="D521" s="15">
        <v>1507554968</v>
      </c>
      <c r="E521" s="16">
        <v>10346148</v>
      </c>
      <c r="F521" s="15" t="s">
        <v>1553</v>
      </c>
      <c r="G521" s="15" t="s">
        <v>95</v>
      </c>
      <c r="H521" s="15" t="s">
        <v>94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1080652791</v>
      </c>
      <c r="E522" s="16">
        <v>10346788</v>
      </c>
      <c r="F522" s="15" t="s">
        <v>1579</v>
      </c>
      <c r="G522" s="15" t="s">
        <v>95</v>
      </c>
      <c r="H522" s="15" t="s">
        <v>228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>
        <v>0.583333333333333</v>
      </c>
      <c r="C523" s="14">
        <v>0</v>
      </c>
      <c r="D523" s="15">
        <v>1142926092</v>
      </c>
      <c r="E523" s="16">
        <v>10294734</v>
      </c>
      <c r="F523" s="15" t="s">
        <v>224</v>
      </c>
      <c r="G523" s="15" t="s">
        <v>95</v>
      </c>
      <c r="H523" s="15" t="s">
        <v>94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1210009552</v>
      </c>
      <c r="E524" s="16">
        <v>10245223</v>
      </c>
      <c r="F524" s="15" t="s">
        <v>259</v>
      </c>
      <c r="G524" s="15" t="s">
        <v>95</v>
      </c>
      <c r="H524" s="15" t="s">
        <v>228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>
        <v>0.958333333333333</v>
      </c>
      <c r="D526" s="15">
        <v>1128086234</v>
      </c>
      <c r="E526" s="16" t="s">
        <v>1786</v>
      </c>
      <c r="F526" s="15" t="s">
        <v>672</v>
      </c>
      <c r="G526" s="15" t="s">
        <v>27</v>
      </c>
      <c r="H526" s="15" t="s">
        <v>228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/>
      <c r="C527" s="14"/>
      <c r="D527" s="15"/>
      <c r="E527" s="16"/>
      <c r="F527" s="15"/>
      <c r="G527" s="15"/>
      <c r="H527" s="15"/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1031837851</v>
      </c>
      <c r="E528" s="16">
        <v>10344239</v>
      </c>
      <c r="F528" s="15" t="s">
        <v>1820</v>
      </c>
      <c r="G528" s="15" t="s">
        <v>13</v>
      </c>
      <c r="H528" s="15" t="s">
        <v>1819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>
        <v>0.583333333333333</v>
      </c>
      <c r="C529" s="14">
        <v>0.958333333333333</v>
      </c>
      <c r="D529" s="15">
        <v>1114918093</v>
      </c>
      <c r="E529" s="16">
        <v>10291620</v>
      </c>
      <c r="F529" s="15" t="s">
        <v>1755</v>
      </c>
      <c r="G529" s="15" t="s">
        <v>13</v>
      </c>
      <c r="H529" s="15" t="s">
        <v>87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>
        <v>0.583333333333333</v>
      </c>
      <c r="C530" s="14">
        <v>0.958333333333333</v>
      </c>
      <c r="D530" s="15">
        <v>1149265144</v>
      </c>
      <c r="E530" s="16">
        <v>10345543</v>
      </c>
      <c r="F530" s="15" t="s">
        <v>1756</v>
      </c>
      <c r="G530" s="15" t="s">
        <v>13</v>
      </c>
      <c r="H530" s="15" t="s">
        <v>106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1149166330</v>
      </c>
      <c r="E531" s="16">
        <v>10324438</v>
      </c>
      <c r="F531" s="15" t="s">
        <v>1382</v>
      </c>
      <c r="G531" s="15" t="s">
        <v>13</v>
      </c>
      <c r="H531" s="15" t="s">
        <v>32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/>
      <c r="C532" s="14"/>
      <c r="D532" s="15"/>
      <c r="E532" s="16"/>
      <c r="F532" s="15"/>
      <c r="G532" s="15"/>
      <c r="H532" s="15"/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>
        <v>0.583333333333333</v>
      </c>
      <c r="C533" s="14">
        <v>0.958333333333333</v>
      </c>
      <c r="D533" s="15">
        <v>1156602488</v>
      </c>
      <c r="E533" s="16">
        <v>10327949</v>
      </c>
      <c r="F533" s="15" t="s">
        <v>1822</v>
      </c>
      <c r="G533" s="15" t="s">
        <v>23</v>
      </c>
      <c r="H533" s="15" t="s">
        <v>276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1226223707</v>
      </c>
      <c r="E534" s="16">
        <v>10344485</v>
      </c>
      <c r="F534" s="15" t="s">
        <v>1430</v>
      </c>
      <c r="G534" s="15" t="s">
        <v>23</v>
      </c>
      <c r="H534" s="15" t="s">
        <v>22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>
        <v>0.583333333333333</v>
      </c>
      <c r="C535" s="14">
        <v>0.958333333333333</v>
      </c>
      <c r="D535" s="15">
        <v>1144462771</v>
      </c>
      <c r="E535" s="16">
        <v>10344752</v>
      </c>
      <c r="F535" s="15" t="s">
        <v>1497</v>
      </c>
      <c r="G535" s="15" t="s">
        <v>23</v>
      </c>
      <c r="H535" s="15" t="s">
        <v>172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/>
      <c r="C536" s="14"/>
      <c r="D536" s="15"/>
      <c r="E536" s="16"/>
      <c r="F536" s="15"/>
      <c r="G536" s="15"/>
      <c r="H536" s="15"/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>
        <v>0.583333333333333</v>
      </c>
      <c r="C537" s="14">
        <v>0.958333333333333</v>
      </c>
      <c r="D537" s="15">
        <v>1142763373</v>
      </c>
      <c r="E537" s="16">
        <v>10337957</v>
      </c>
      <c r="F537" s="15" t="s">
        <v>1823</v>
      </c>
      <c r="G537" s="15" t="s">
        <v>49</v>
      </c>
      <c r="H537" s="15" t="s">
        <v>281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>
        <v>0.583333333333333</v>
      </c>
      <c r="C538" s="14">
        <v>0.958333333333333</v>
      </c>
      <c r="D538" s="15" t="s">
        <v>1433</v>
      </c>
      <c r="E538" s="16">
        <v>10344277</v>
      </c>
      <c r="F538" s="15" t="s">
        <v>1432</v>
      </c>
      <c r="G538" s="15" t="s">
        <v>49</v>
      </c>
      <c r="H538" s="15" t="s">
        <v>281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/>
      <c r="C539" s="14"/>
      <c r="D539" s="15"/>
      <c r="E539" s="16"/>
      <c r="F539" s="15"/>
      <c r="G539" s="15"/>
      <c r="H539" s="15"/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>
        <v>1070847564</v>
      </c>
      <c r="E540" s="16">
        <v>10285962</v>
      </c>
      <c r="F540" s="15" t="s">
        <v>1827</v>
      </c>
      <c r="G540" s="15" t="s">
        <v>37</v>
      </c>
      <c r="H540" s="15" t="s">
        <v>195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>
        <v>0.583333333333333</v>
      </c>
      <c r="C541" s="14">
        <v>1</v>
      </c>
      <c r="D541" s="15">
        <v>1050623708</v>
      </c>
      <c r="E541" s="16">
        <v>10306605</v>
      </c>
      <c r="F541" s="15" t="s">
        <v>1692</v>
      </c>
      <c r="G541" s="15" t="s">
        <v>37</v>
      </c>
      <c r="H541" s="15" t="s">
        <v>36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 t="s">
        <v>1435</v>
      </c>
      <c r="E542" s="16">
        <v>10344192</v>
      </c>
      <c r="F542" s="15" t="s">
        <v>1434</v>
      </c>
      <c r="G542" s="15" t="s">
        <v>37</v>
      </c>
      <c r="H542" s="15" t="s">
        <v>195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>
        <v>1121899603</v>
      </c>
      <c r="E543" s="16">
        <v>10344278</v>
      </c>
      <c r="F543" s="15" t="s">
        <v>1442</v>
      </c>
      <c r="G543" s="15" t="s">
        <v>37</v>
      </c>
      <c r="H543" s="15" t="s">
        <v>195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 t="s">
        <v>1535</v>
      </c>
      <c r="E544" s="16">
        <v>10344900</v>
      </c>
      <c r="F544" s="15" t="s">
        <v>1534</v>
      </c>
      <c r="G544" s="15" t="s">
        <v>37</v>
      </c>
      <c r="H544" s="15" t="s">
        <v>131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>
        <v>1143585920</v>
      </c>
      <c r="E545" s="16">
        <v>10346011</v>
      </c>
      <c r="F545" s="15" t="s">
        <v>1542</v>
      </c>
      <c r="G545" s="15" t="s">
        <v>37</v>
      </c>
      <c r="H545" s="15" t="s">
        <v>195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>
        <v>0.583333333333333</v>
      </c>
      <c r="C546" s="14">
        <v>0.958333333333333</v>
      </c>
      <c r="D546" s="15" t="s">
        <v>1555</v>
      </c>
      <c r="E546" s="16">
        <v>10346149</v>
      </c>
      <c r="F546" s="15" t="s">
        <v>1554</v>
      </c>
      <c r="G546" s="15" t="s">
        <v>37</v>
      </c>
      <c r="H546" s="15" t="s">
        <v>36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>
        <v>0.583333333333333</v>
      </c>
      <c r="C547" s="14">
        <v>0.958333333333333</v>
      </c>
      <c r="D547" s="15">
        <v>1093346067</v>
      </c>
      <c r="E547" s="16">
        <v>10283568</v>
      </c>
      <c r="F547" s="15" t="s">
        <v>1879</v>
      </c>
      <c r="G547" s="15" t="s">
        <v>37</v>
      </c>
      <c r="H547" s="15" t="s">
        <v>131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/>
      <c r="C548" s="14"/>
      <c r="D548" s="15"/>
      <c r="E548" s="16"/>
      <c r="F548" s="15"/>
      <c r="G548" s="15"/>
      <c r="H548" s="15"/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>
        <v>1225132953</v>
      </c>
      <c r="E549" s="16">
        <v>10348251</v>
      </c>
      <c r="F549" s="15" t="s">
        <v>1880</v>
      </c>
      <c r="G549" s="15" t="s">
        <v>104</v>
      </c>
      <c r="H549" s="15" t="s">
        <v>103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>
        <v>1065421169</v>
      </c>
      <c r="E550" s="16">
        <v>10331020</v>
      </c>
      <c r="F550" s="15" t="s">
        <v>1563</v>
      </c>
      <c r="G550" s="15" t="s">
        <v>104</v>
      </c>
      <c r="H550" s="15" t="s">
        <v>103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>
        <v>0.583333333333333</v>
      </c>
      <c r="C551" s="14">
        <v>0.958333333333333</v>
      </c>
      <c r="D551" s="15" t="s">
        <v>1830</v>
      </c>
      <c r="E551" s="16">
        <v>10307125</v>
      </c>
      <c r="F551" s="15" t="s">
        <v>1829</v>
      </c>
      <c r="G551" s="15" t="s">
        <v>7</v>
      </c>
      <c r="H551" s="15" t="s">
        <v>1828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>
        <v>0.583333333333333</v>
      </c>
      <c r="C552" s="14">
        <v>0.958333333333333</v>
      </c>
      <c r="D552" s="15">
        <v>1040334849</v>
      </c>
      <c r="E552" s="16">
        <v>10344286</v>
      </c>
      <c r="F552" s="15" t="s">
        <v>1445</v>
      </c>
      <c r="G552" s="15" t="s">
        <v>7</v>
      </c>
      <c r="H552" s="15" t="s">
        <v>6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/>
      <c r="C553" s="14"/>
      <c r="D553" s="15"/>
      <c r="E553" s="16"/>
      <c r="F553" s="15"/>
      <c r="G553" s="15"/>
      <c r="H553" s="15"/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>
        <v>0.583333333333333</v>
      </c>
      <c r="C554" s="14">
        <v>0.958333333333333</v>
      </c>
      <c r="D554" s="15">
        <v>1276272363</v>
      </c>
      <c r="E554" s="16">
        <v>10346755</v>
      </c>
      <c r="F554" s="15" t="s">
        <v>1600</v>
      </c>
      <c r="G554" s="15" t="s">
        <v>40</v>
      </c>
      <c r="H554" s="15" t="s">
        <v>155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/>
      <c r="C555" s="14"/>
      <c r="D555" s="15"/>
      <c r="E555" s="16"/>
      <c r="F555" s="15"/>
      <c r="G555" s="15"/>
      <c r="H555" s="15"/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7.5" customHeight="1" spans="1:33">
      <c r="A556" s="9">
        <v>0.625</v>
      </c>
      <c r="B556" s="22"/>
      <c r="C556" s="22"/>
      <c r="D556" s="22"/>
      <c r="E556" s="23"/>
      <c r="F556" s="22"/>
      <c r="G556" s="22"/>
      <c r="H556" s="22"/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9"/>
      <c r="B557" s="8" t="s">
        <v>2673</v>
      </c>
      <c r="C557" s="8" t="s">
        <v>2674</v>
      </c>
      <c r="D557" s="8" t="s">
        <v>2675</v>
      </c>
      <c r="E557" s="13" t="s">
        <v>1895</v>
      </c>
      <c r="F557" s="8" t="s">
        <v>3</v>
      </c>
      <c r="G557" s="8" t="s">
        <v>2676</v>
      </c>
      <c r="H557" s="8" t="s">
        <v>2677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/>
      <c r="C558" s="14"/>
      <c r="D558" s="15"/>
      <c r="E558" s="16"/>
      <c r="F558" s="15"/>
      <c r="G558" s="15"/>
      <c r="H558" s="15"/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>
        <v>0.625</v>
      </c>
      <c r="C559" s="14">
        <v>0</v>
      </c>
      <c r="D559" s="15">
        <v>0</v>
      </c>
      <c r="E559" s="16">
        <v>10269201</v>
      </c>
      <c r="F559" s="15" t="s">
        <v>1244</v>
      </c>
      <c r="G559" s="15" t="s">
        <v>67</v>
      </c>
      <c r="H559" s="15" t="s">
        <v>66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/>
      <c r="C560" s="14"/>
      <c r="D560" s="15"/>
      <c r="E560" s="16"/>
      <c r="F560" s="15"/>
      <c r="G560" s="15"/>
      <c r="H560" s="15"/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>
        <v>0.625</v>
      </c>
      <c r="C561" s="14">
        <v>0</v>
      </c>
      <c r="D561" s="15">
        <v>1126055226</v>
      </c>
      <c r="E561" s="16">
        <v>10337709</v>
      </c>
      <c r="F561" s="15" t="s">
        <v>1102</v>
      </c>
      <c r="G561" s="15" t="s">
        <v>16</v>
      </c>
      <c r="H561" s="15" t="s">
        <v>20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0</v>
      </c>
      <c r="D562" s="15">
        <v>1125925881</v>
      </c>
      <c r="E562" s="16">
        <v>10337715</v>
      </c>
      <c r="F562" s="15" t="s">
        <v>1126</v>
      </c>
      <c r="G562" s="15" t="s">
        <v>16</v>
      </c>
      <c r="H562" s="15" t="s">
        <v>60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0</v>
      </c>
      <c r="D563" s="15">
        <v>1153387787</v>
      </c>
      <c r="E563" s="16">
        <v>10338986</v>
      </c>
      <c r="F563" s="15" t="s">
        <v>1213</v>
      </c>
      <c r="G563" s="15" t="s">
        <v>16</v>
      </c>
      <c r="H563" s="15" t="s">
        <v>20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>
        <v>0.625</v>
      </c>
      <c r="C564" s="14">
        <v>0</v>
      </c>
      <c r="D564" s="15" t="s">
        <v>1255</v>
      </c>
      <c r="E564" s="16">
        <v>10339930</v>
      </c>
      <c r="F564" s="15" t="s">
        <v>1254</v>
      </c>
      <c r="G564" s="15" t="s">
        <v>16</v>
      </c>
      <c r="H564" s="15" t="s">
        <v>34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0</v>
      </c>
      <c r="D565" s="15">
        <v>1110071185</v>
      </c>
      <c r="E565" s="16">
        <v>10331422</v>
      </c>
      <c r="F565" s="15" t="s">
        <v>552</v>
      </c>
      <c r="G565" s="15" t="s">
        <v>16</v>
      </c>
      <c r="H565" s="15" t="s">
        <v>126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>
        <v>0.625</v>
      </c>
      <c r="C566" s="14">
        <v>1</v>
      </c>
      <c r="D566" s="15">
        <v>1125491114</v>
      </c>
      <c r="E566" s="16">
        <v>10342463</v>
      </c>
      <c r="F566" s="15" t="s">
        <v>1858</v>
      </c>
      <c r="G566" s="15" t="s">
        <v>16</v>
      </c>
      <c r="H566" s="15" t="s">
        <v>178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1</v>
      </c>
      <c r="D567" s="15" t="s">
        <v>1557</v>
      </c>
      <c r="E567" s="16">
        <v>10346150</v>
      </c>
      <c r="F567" s="15" t="s">
        <v>1556</v>
      </c>
      <c r="G567" s="15" t="s">
        <v>16</v>
      </c>
      <c r="H567" s="15" t="s">
        <v>126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1</v>
      </c>
      <c r="D568" s="15">
        <v>1070199150</v>
      </c>
      <c r="E568" s="16">
        <v>10348249</v>
      </c>
      <c r="F568" s="15" t="s">
        <v>985</v>
      </c>
      <c r="G568" s="15" t="s">
        <v>16</v>
      </c>
      <c r="H568" s="15" t="s">
        <v>126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>
        <v>0.625</v>
      </c>
      <c r="C569" s="14">
        <v>1</v>
      </c>
      <c r="D569" s="15">
        <v>1205310663</v>
      </c>
      <c r="E569" s="16">
        <v>10348485</v>
      </c>
      <c r="F569" s="15" t="s">
        <v>1783</v>
      </c>
      <c r="G569" s="15" t="s">
        <v>16</v>
      </c>
      <c r="H569" s="15" t="s">
        <v>126</v>
      </c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>
        <v>0.625</v>
      </c>
      <c r="C570" s="14">
        <v>0.208333333333333</v>
      </c>
      <c r="D570" s="15">
        <v>1200090832</v>
      </c>
      <c r="E570" s="16">
        <v>10291155</v>
      </c>
      <c r="F570" s="15" t="s">
        <v>1477</v>
      </c>
      <c r="G570" s="15" t="s">
        <v>16</v>
      </c>
      <c r="H570" s="15" t="s">
        <v>20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>
        <v>0.625</v>
      </c>
      <c r="C571" s="14">
        <v>0</v>
      </c>
      <c r="D571" s="15">
        <v>0</v>
      </c>
      <c r="E571" s="16">
        <v>10324909</v>
      </c>
      <c r="F571" s="15" t="s">
        <v>764</v>
      </c>
      <c r="G571" s="15" t="s">
        <v>16</v>
      </c>
      <c r="H571" s="15" t="s">
        <v>20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6"/>
      <c r="B572" s="14"/>
      <c r="C572" s="14"/>
      <c r="D572" s="15"/>
      <c r="E572" s="16"/>
      <c r="F572" s="15"/>
      <c r="G572" s="15"/>
      <c r="H572" s="15"/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5" customHeight="1" spans="1:33">
      <c r="A573" s="6"/>
      <c r="B573" s="14">
        <v>0.625</v>
      </c>
      <c r="C573" s="14">
        <v>0</v>
      </c>
      <c r="D573" s="15">
        <v>1069323958</v>
      </c>
      <c r="E573" s="16">
        <v>10342602</v>
      </c>
      <c r="F573" s="15" t="s">
        <v>1367</v>
      </c>
      <c r="G573" s="15" t="s">
        <v>30</v>
      </c>
      <c r="H573" s="15" t="s">
        <v>1091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5" customHeight="1" spans="1:33">
      <c r="A574" s="6"/>
      <c r="B574" s="14">
        <v>0.625</v>
      </c>
      <c r="C574" s="14">
        <v>0</v>
      </c>
      <c r="D574" s="15">
        <v>1155027161</v>
      </c>
      <c r="E574" s="16">
        <v>10339936</v>
      </c>
      <c r="F574" s="15" t="s">
        <v>620</v>
      </c>
      <c r="G574" s="15" t="s">
        <v>30</v>
      </c>
      <c r="H574" s="15" t="s">
        <v>381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3.5" customHeight="1" spans="1:33">
      <c r="A575" s="6"/>
      <c r="B575" s="14"/>
      <c r="C575" s="14"/>
      <c r="D575" s="15"/>
      <c r="E575" s="16"/>
      <c r="F575" s="15"/>
      <c r="G575" s="15"/>
      <c r="H575" s="15"/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3.5" customHeight="1" spans="1:33">
      <c r="A576" s="6"/>
      <c r="B576" s="14">
        <v>0.625</v>
      </c>
      <c r="C576" s="14">
        <v>0</v>
      </c>
      <c r="D576" s="15">
        <v>1207058893</v>
      </c>
      <c r="E576" s="16">
        <v>10339037</v>
      </c>
      <c r="F576" s="15" t="s">
        <v>1215</v>
      </c>
      <c r="G576" s="15" t="s">
        <v>58</v>
      </c>
      <c r="H576" s="15" t="s">
        <v>57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3.5" customHeight="1" spans="1:33">
      <c r="A577" s="6"/>
      <c r="B577" s="14">
        <v>0.625</v>
      </c>
      <c r="C577" s="14">
        <v>0</v>
      </c>
      <c r="D577" s="15">
        <v>1148102330</v>
      </c>
      <c r="E577" s="16">
        <v>10340036</v>
      </c>
      <c r="F577" s="15" t="s">
        <v>1258</v>
      </c>
      <c r="G577" s="15" t="s">
        <v>58</v>
      </c>
      <c r="H577" s="15" t="s">
        <v>57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6"/>
      <c r="B578" s="14">
        <v>0.625</v>
      </c>
      <c r="C578" s="14">
        <v>1</v>
      </c>
      <c r="D578" s="15">
        <v>1226167723</v>
      </c>
      <c r="E578" s="16">
        <v>10344857</v>
      </c>
      <c r="F578" s="15" t="s">
        <v>1522</v>
      </c>
      <c r="G578" s="15" t="s">
        <v>58</v>
      </c>
      <c r="H578" s="15" t="s">
        <v>57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3.5" customHeight="1" spans="1:33">
      <c r="A579" s="6"/>
      <c r="B579" s="14"/>
      <c r="C579" s="14"/>
      <c r="D579" s="15"/>
      <c r="E579" s="16"/>
      <c r="F579" s="15"/>
      <c r="G579" s="15"/>
      <c r="H579" s="15"/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3.5" customHeight="1" spans="1:33">
      <c r="A580" s="6"/>
      <c r="B580" s="14">
        <v>0.625</v>
      </c>
      <c r="C580" s="14">
        <v>0</v>
      </c>
      <c r="D580" s="15">
        <v>1550752064</v>
      </c>
      <c r="E580" s="16">
        <v>10260539</v>
      </c>
      <c r="F580" s="15" t="s">
        <v>1560</v>
      </c>
      <c r="G580" s="15" t="s">
        <v>85</v>
      </c>
      <c r="H580" s="15" t="s">
        <v>162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3.5" customHeight="1" spans="1:33">
      <c r="A581" s="6"/>
      <c r="B581" s="14">
        <v>0.625</v>
      </c>
      <c r="C581" s="14">
        <v>0</v>
      </c>
      <c r="D581" s="15">
        <v>1551378712</v>
      </c>
      <c r="E581" s="16">
        <v>10281254</v>
      </c>
      <c r="F581" s="15" t="s">
        <v>645</v>
      </c>
      <c r="G581" s="15" t="s">
        <v>85</v>
      </c>
      <c r="H581" s="15" t="s">
        <v>328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3.5" customHeight="1" spans="1:33">
      <c r="A582" s="6"/>
      <c r="B582" s="14"/>
      <c r="C582" s="14"/>
      <c r="D582" s="15"/>
      <c r="E582" s="16"/>
      <c r="F582" s="15"/>
      <c r="G582" s="15"/>
      <c r="H582" s="15"/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3.5" customHeight="1" spans="1:33">
      <c r="A583" s="6"/>
      <c r="B583" s="14">
        <v>0.625</v>
      </c>
      <c r="C583" s="14">
        <v>0</v>
      </c>
      <c r="D583" s="15">
        <v>1271920902</v>
      </c>
      <c r="E583" s="16">
        <v>10341837</v>
      </c>
      <c r="F583" s="15" t="s">
        <v>994</v>
      </c>
      <c r="G583" s="15" t="s">
        <v>151</v>
      </c>
      <c r="H583" s="15" t="s">
        <v>264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3.5" customHeight="1" spans="1:33">
      <c r="A584" s="6"/>
      <c r="B584" s="14">
        <v>0.625</v>
      </c>
      <c r="C584" s="14">
        <v>0</v>
      </c>
      <c r="D584" s="15">
        <v>1551182622</v>
      </c>
      <c r="E584" s="16">
        <v>10296219</v>
      </c>
      <c r="F584" s="15" t="s">
        <v>1665</v>
      </c>
      <c r="G584" s="15" t="s">
        <v>151</v>
      </c>
      <c r="H584" s="15" t="s">
        <v>264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3.5" customHeight="1" spans="1:33">
      <c r="A585" s="6"/>
      <c r="B585" s="14"/>
      <c r="C585" s="14"/>
      <c r="D585" s="15"/>
      <c r="E585" s="16"/>
      <c r="F585" s="15"/>
      <c r="G585" s="15"/>
      <c r="H585" s="15"/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3.5" customHeight="1" spans="1:33">
      <c r="A586" s="6"/>
      <c r="B586" s="14">
        <v>0.625</v>
      </c>
      <c r="C586" s="14">
        <v>0</v>
      </c>
      <c r="D586" s="15">
        <v>0</v>
      </c>
      <c r="E586" s="16">
        <v>10322837</v>
      </c>
      <c r="F586" s="15" t="s">
        <v>495</v>
      </c>
      <c r="G586" s="15" t="s">
        <v>76</v>
      </c>
      <c r="H586" s="15" t="s">
        <v>98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3.5" customHeight="1" spans="1:33">
      <c r="A587" s="6"/>
      <c r="B587" s="14">
        <v>0.625</v>
      </c>
      <c r="C587" s="14">
        <v>0</v>
      </c>
      <c r="D587" s="15">
        <v>1091530766</v>
      </c>
      <c r="E587" s="16">
        <v>10343863</v>
      </c>
      <c r="F587" s="15" t="s">
        <v>1459</v>
      </c>
      <c r="G587" s="15" t="s">
        <v>76</v>
      </c>
      <c r="H587" s="15" t="s">
        <v>98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3.5" customHeight="1" spans="1:33">
      <c r="A588" s="6"/>
      <c r="B588" s="14"/>
      <c r="C588" s="14"/>
      <c r="D588" s="15"/>
      <c r="E588" s="16"/>
      <c r="F588" s="15"/>
      <c r="G588" s="15"/>
      <c r="H588" s="15"/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3.5" customHeight="1" spans="1:33">
      <c r="A589" s="6"/>
      <c r="B589" s="14">
        <v>0.625</v>
      </c>
      <c r="C589" s="14">
        <v>0</v>
      </c>
      <c r="D589" s="15">
        <v>1090527572</v>
      </c>
      <c r="E589" s="16">
        <v>10318910</v>
      </c>
      <c r="F589" s="15" t="s">
        <v>185</v>
      </c>
      <c r="G589" s="15" t="s">
        <v>95</v>
      </c>
      <c r="H589" s="15" t="s">
        <v>108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3.5" customHeight="1" spans="1:33">
      <c r="A590" s="6"/>
      <c r="B590" s="14">
        <v>0.625</v>
      </c>
      <c r="C590" s="14">
        <v>0</v>
      </c>
      <c r="D590" s="15">
        <v>1145600669</v>
      </c>
      <c r="E590" s="16">
        <v>10324742</v>
      </c>
      <c r="F590" s="15" t="s">
        <v>219</v>
      </c>
      <c r="G590" s="15" t="s">
        <v>95</v>
      </c>
      <c r="H590" s="15" t="s">
        <v>137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3.5" customHeight="1" spans="1:33">
      <c r="A591" s="6"/>
      <c r="B591" s="14">
        <v>0.625</v>
      </c>
      <c r="C591" s="14">
        <v>0</v>
      </c>
      <c r="D591" s="15">
        <v>1091057261</v>
      </c>
      <c r="E591" s="16">
        <v>10337712</v>
      </c>
      <c r="F591" s="15" t="s">
        <v>1134</v>
      </c>
      <c r="G591" s="15" t="s">
        <v>95</v>
      </c>
      <c r="H591" s="15" t="s">
        <v>137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3.5" customHeight="1" spans="1:33">
      <c r="A592" s="6"/>
      <c r="B592" s="14">
        <v>0.625</v>
      </c>
      <c r="C592" s="14">
        <v>0</v>
      </c>
      <c r="D592" s="15">
        <v>1063707011</v>
      </c>
      <c r="E592" s="16">
        <v>10342599</v>
      </c>
      <c r="F592" s="15" t="s">
        <v>177</v>
      </c>
      <c r="G592" s="15" t="s">
        <v>95</v>
      </c>
      <c r="H592" s="15" t="s">
        <v>94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3.5" customHeight="1" spans="1:33">
      <c r="A593" s="6"/>
      <c r="B593" s="14">
        <v>0.625</v>
      </c>
      <c r="C593" s="14">
        <v>0</v>
      </c>
      <c r="D593" s="15">
        <v>1008871412</v>
      </c>
      <c r="E593" s="16">
        <v>10337665</v>
      </c>
      <c r="F593" s="15" t="s">
        <v>1109</v>
      </c>
      <c r="G593" s="15" t="s">
        <v>95</v>
      </c>
      <c r="H593" s="15" t="s">
        <v>108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3.5" customHeight="1" spans="1:33">
      <c r="A594" s="6"/>
      <c r="B594" s="14">
        <v>0.625</v>
      </c>
      <c r="C594" s="14">
        <v>0</v>
      </c>
      <c r="D594" s="15">
        <v>1129964189</v>
      </c>
      <c r="E594" s="16">
        <v>10343860</v>
      </c>
      <c r="F594" s="15" t="s">
        <v>1465</v>
      </c>
      <c r="G594" s="15" t="s">
        <v>95</v>
      </c>
      <c r="H594" s="15" t="s">
        <v>137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3.5" customHeight="1" spans="1:33">
      <c r="A595" s="6"/>
      <c r="B595" s="14">
        <v>0.625</v>
      </c>
      <c r="C595" s="14">
        <v>1.20833333333333</v>
      </c>
      <c r="D595" s="15">
        <v>1016228319</v>
      </c>
      <c r="E595" s="16">
        <v>10342917</v>
      </c>
      <c r="F595" s="15" t="s">
        <v>1816</v>
      </c>
      <c r="G595" s="15" t="s">
        <v>95</v>
      </c>
      <c r="H595" s="15" t="s">
        <v>108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3.5" customHeight="1" spans="1:33">
      <c r="A596" s="6"/>
      <c r="B596" s="14">
        <v>0.625</v>
      </c>
      <c r="C596" s="14">
        <v>1.20833333333333</v>
      </c>
      <c r="D596" s="15" t="s">
        <v>1747</v>
      </c>
      <c r="E596" s="16">
        <v>10340369</v>
      </c>
      <c r="F596" s="15" t="s">
        <v>1746</v>
      </c>
      <c r="G596" s="15" t="s">
        <v>95</v>
      </c>
      <c r="H596" s="15" t="s">
        <v>228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3.5" customHeight="1" spans="1:33">
      <c r="A597" s="6"/>
      <c r="B597" s="14">
        <v>0.625</v>
      </c>
      <c r="C597" s="14">
        <v>1</v>
      </c>
      <c r="D597" s="15">
        <v>1152380728</v>
      </c>
      <c r="E597" s="16">
        <v>10346564</v>
      </c>
      <c r="F597" s="15" t="s">
        <v>1580</v>
      </c>
      <c r="G597" s="15" t="s">
        <v>95</v>
      </c>
      <c r="H597" s="15" t="s">
        <v>108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3.5" customHeight="1" spans="1:33">
      <c r="A598" s="6"/>
      <c r="B598" s="14">
        <v>0.625</v>
      </c>
      <c r="C598" s="14">
        <v>1</v>
      </c>
      <c r="D598" s="15">
        <v>1044330535</v>
      </c>
      <c r="E598" s="16">
        <v>10348216</v>
      </c>
      <c r="F598" s="15" t="s">
        <v>1643</v>
      </c>
      <c r="G598" s="15" t="s">
        <v>95</v>
      </c>
      <c r="H598" s="15" t="s">
        <v>94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3.5" customHeight="1" spans="1:33">
      <c r="A599" s="6"/>
      <c r="B599" s="14"/>
      <c r="C599" s="14"/>
      <c r="D599" s="15"/>
      <c r="E599" s="16"/>
      <c r="F599" s="15"/>
      <c r="G599" s="15"/>
      <c r="H599" s="1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3.5" customHeight="1" spans="1:33">
      <c r="A600" s="6"/>
      <c r="B600" s="14">
        <v>0.625</v>
      </c>
      <c r="C600" s="14">
        <v>0</v>
      </c>
      <c r="D600" s="15">
        <v>0</v>
      </c>
      <c r="E600" s="16">
        <v>10337895</v>
      </c>
      <c r="F600" s="15" t="s">
        <v>1136</v>
      </c>
      <c r="G600" s="15" t="s">
        <v>10</v>
      </c>
      <c r="H600" s="15" t="s">
        <v>45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3.5" customHeight="1" spans="1:33">
      <c r="A601" s="6"/>
      <c r="B601" s="14">
        <v>0.625</v>
      </c>
      <c r="C601" s="14">
        <v>0</v>
      </c>
      <c r="D601" s="15">
        <v>1276419181</v>
      </c>
      <c r="E601" s="16">
        <v>10340032</v>
      </c>
      <c r="F601" s="15" t="s">
        <v>1266</v>
      </c>
      <c r="G601" s="15" t="s">
        <v>10</v>
      </c>
      <c r="H601" s="15" t="s">
        <v>45</v>
      </c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3.5" customHeight="1" spans="1:33">
      <c r="A602" s="6"/>
      <c r="B602" s="14">
        <v>0.625</v>
      </c>
      <c r="C602" s="14">
        <v>0</v>
      </c>
      <c r="D602" s="15">
        <v>1093376062</v>
      </c>
      <c r="E602" s="16">
        <v>10340038</v>
      </c>
      <c r="F602" s="15" t="s">
        <v>1265</v>
      </c>
      <c r="G602" s="15" t="s">
        <v>10</v>
      </c>
      <c r="H602" s="15" t="s">
        <v>9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3.5" customHeight="1" spans="1:33">
      <c r="A603" s="6"/>
      <c r="B603" s="14">
        <v>0.625</v>
      </c>
      <c r="C603" s="14">
        <v>0</v>
      </c>
      <c r="D603" s="15">
        <v>1273649119</v>
      </c>
      <c r="E603" s="16">
        <v>10334710</v>
      </c>
      <c r="F603" s="15" t="s">
        <v>690</v>
      </c>
      <c r="G603" s="15" t="s">
        <v>10</v>
      </c>
      <c r="H603" s="15" t="s">
        <v>9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3.5" customHeight="1" spans="1:33">
      <c r="A604" s="6"/>
      <c r="B604" s="14"/>
      <c r="C604" s="14"/>
      <c r="D604" s="15"/>
      <c r="E604" s="16"/>
      <c r="F604" s="15"/>
      <c r="G604" s="15"/>
      <c r="H604" s="15"/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3.5" customHeight="1" spans="1:33">
      <c r="A605" s="6"/>
      <c r="B605" s="14">
        <v>0.625</v>
      </c>
      <c r="C605" s="14">
        <v>0</v>
      </c>
      <c r="D605" s="15">
        <v>1281804393</v>
      </c>
      <c r="E605" s="16">
        <v>10331412</v>
      </c>
      <c r="F605" s="15" t="s">
        <v>546</v>
      </c>
      <c r="G605" s="15" t="s">
        <v>27</v>
      </c>
      <c r="H605" s="15" t="s">
        <v>26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3.5" customHeight="1" spans="1:33">
      <c r="A606" s="6"/>
      <c r="B606" s="14">
        <v>0.625</v>
      </c>
      <c r="C606" s="14">
        <v>0</v>
      </c>
      <c r="D606" s="15">
        <v>1102622034</v>
      </c>
      <c r="E606" s="16">
        <v>10337664</v>
      </c>
      <c r="F606" s="15" t="s">
        <v>1123</v>
      </c>
      <c r="G606" s="15" t="s">
        <v>27</v>
      </c>
      <c r="H606" s="15" t="s">
        <v>228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3.5" customHeight="1" spans="1:33">
      <c r="A607" s="6"/>
      <c r="B607" s="14"/>
      <c r="C607" s="14"/>
      <c r="D607" s="15"/>
      <c r="E607" s="16"/>
      <c r="F607" s="15"/>
      <c r="G607" s="15"/>
      <c r="H607" s="15"/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3.5" customHeight="1" spans="1:33">
      <c r="A608" s="6"/>
      <c r="B608" s="14">
        <v>0.625</v>
      </c>
      <c r="C608" s="14">
        <v>0</v>
      </c>
      <c r="D608" s="15">
        <v>1026170107</v>
      </c>
      <c r="E608" s="16">
        <v>10348095</v>
      </c>
      <c r="F608" s="15" t="s">
        <v>1723</v>
      </c>
      <c r="G608" s="15" t="s">
        <v>13</v>
      </c>
      <c r="H608" s="15" t="s">
        <v>78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3.5" customHeight="1" spans="1:33">
      <c r="A609" s="6"/>
      <c r="B609" s="14">
        <v>0.625</v>
      </c>
      <c r="C609" s="14">
        <v>0</v>
      </c>
      <c r="D609" s="15">
        <v>1155948092</v>
      </c>
      <c r="E609" s="16">
        <v>10342713</v>
      </c>
      <c r="F609" s="15" t="s">
        <v>1362</v>
      </c>
      <c r="G609" s="15" t="s">
        <v>13</v>
      </c>
      <c r="H609" s="15" t="s">
        <v>87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3.5" customHeight="1" spans="1:33">
      <c r="A610" s="6"/>
      <c r="B610" s="14">
        <v>0.625</v>
      </c>
      <c r="C610" s="14">
        <v>0</v>
      </c>
      <c r="D610" s="15" t="s">
        <v>1105</v>
      </c>
      <c r="E610" s="16">
        <v>10337780</v>
      </c>
      <c r="F610" s="15" t="s">
        <v>1104</v>
      </c>
      <c r="G610" s="15" t="s">
        <v>13</v>
      </c>
      <c r="H610" s="15" t="s">
        <v>12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3.5" customHeight="1" spans="1:33">
      <c r="A611" s="6"/>
      <c r="B611" s="14">
        <v>0.625</v>
      </c>
      <c r="C611" s="14">
        <v>0</v>
      </c>
      <c r="D611" s="15">
        <v>1143159790</v>
      </c>
      <c r="E611" s="16">
        <v>10342712</v>
      </c>
      <c r="F611" s="15" t="s">
        <v>1359</v>
      </c>
      <c r="G611" s="15" t="s">
        <v>13</v>
      </c>
      <c r="H611" s="15" t="s">
        <v>80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3.5" customHeight="1" spans="1:33">
      <c r="A612" s="6"/>
      <c r="B612" s="14">
        <v>0.625</v>
      </c>
      <c r="C612" s="14">
        <v>0</v>
      </c>
      <c r="D612" s="15" t="s">
        <v>1225</v>
      </c>
      <c r="E612" s="16">
        <v>10339243</v>
      </c>
      <c r="F612" s="15" t="s">
        <v>1224</v>
      </c>
      <c r="G612" s="15" t="s">
        <v>13</v>
      </c>
      <c r="H612" s="15" t="s">
        <v>12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3.5" customHeight="1" spans="1:33">
      <c r="A613" s="6"/>
      <c r="B613" s="14">
        <v>0.625</v>
      </c>
      <c r="C613" s="14">
        <v>0</v>
      </c>
      <c r="D613" s="15">
        <v>1128181299</v>
      </c>
      <c r="E613" s="16">
        <v>10344627</v>
      </c>
      <c r="F613" s="15" t="s">
        <v>1511</v>
      </c>
      <c r="G613" s="15" t="s">
        <v>13</v>
      </c>
      <c r="H613" s="15" t="s">
        <v>12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3.5" customHeight="1" spans="1:33">
      <c r="A614" s="6"/>
      <c r="B614" s="14">
        <v>0.625</v>
      </c>
      <c r="C614" s="14">
        <v>0</v>
      </c>
      <c r="D614" s="15">
        <v>1098923529</v>
      </c>
      <c r="E614" s="16">
        <v>10341208</v>
      </c>
      <c r="F614" s="15" t="s">
        <v>1315</v>
      </c>
      <c r="G614" s="15" t="s">
        <v>13</v>
      </c>
      <c r="H614" s="15" t="s">
        <v>32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3.5" customHeight="1" spans="1:33">
      <c r="A615" s="6"/>
      <c r="B615" s="14">
        <v>0.625</v>
      </c>
      <c r="C615" s="14">
        <v>0</v>
      </c>
      <c r="D615" s="15">
        <v>1129608136</v>
      </c>
      <c r="E615" s="16">
        <v>10340040</v>
      </c>
      <c r="F615" s="15" t="s">
        <v>1271</v>
      </c>
      <c r="G615" s="15" t="s">
        <v>13</v>
      </c>
      <c r="H615" s="15" t="s">
        <v>12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3.5" customHeight="1" spans="1:33">
      <c r="A616" s="6"/>
      <c r="B616" s="14">
        <v>0.625</v>
      </c>
      <c r="C616" s="14">
        <v>0</v>
      </c>
      <c r="D616" s="15">
        <v>1117915599</v>
      </c>
      <c r="E616" s="16">
        <v>10333947</v>
      </c>
      <c r="F616" s="15" t="s">
        <v>593</v>
      </c>
      <c r="G616" s="15" t="s">
        <v>13</v>
      </c>
      <c r="H616" s="15" t="s">
        <v>87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3.5" customHeight="1" spans="1:33">
      <c r="A617" s="6"/>
      <c r="B617" s="14">
        <v>0.625</v>
      </c>
      <c r="C617" s="14">
        <v>0</v>
      </c>
      <c r="D617" s="15">
        <v>1271406300</v>
      </c>
      <c r="E617" s="16">
        <v>10254383</v>
      </c>
      <c r="F617" s="15" t="s">
        <v>1785</v>
      </c>
      <c r="G617" s="15" t="s">
        <v>13</v>
      </c>
      <c r="H617" s="15" t="s">
        <v>80</v>
      </c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6"/>
      <c r="B618" s="14"/>
      <c r="C618" s="14"/>
      <c r="D618" s="15"/>
      <c r="E618" s="16"/>
      <c r="F618" s="15"/>
      <c r="G618" s="15"/>
      <c r="H618" s="15"/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14">
        <v>0.625</v>
      </c>
      <c r="C619" s="14">
        <v>0</v>
      </c>
      <c r="D619" s="15">
        <v>1151536502</v>
      </c>
      <c r="E619" s="16">
        <v>10330144</v>
      </c>
      <c r="F619" s="15" t="s">
        <v>405</v>
      </c>
      <c r="G619" s="15" t="s">
        <v>23</v>
      </c>
      <c r="H619" s="15" t="s">
        <v>62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>
        <v>0.625</v>
      </c>
      <c r="C620" s="14">
        <v>0</v>
      </c>
      <c r="D620" s="15">
        <v>1004594906</v>
      </c>
      <c r="E620" s="16">
        <v>10342535</v>
      </c>
      <c r="F620" s="15" t="s">
        <v>1355</v>
      </c>
      <c r="G620" s="15" t="s">
        <v>23</v>
      </c>
      <c r="H620" s="15" t="s">
        <v>22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14">
        <v>0.625</v>
      </c>
      <c r="C621" s="14">
        <v>1</v>
      </c>
      <c r="D621" s="15">
        <v>1050915746</v>
      </c>
      <c r="E621" s="16">
        <v>10341047</v>
      </c>
      <c r="F621" s="15" t="s">
        <v>1821</v>
      </c>
      <c r="G621" s="15" t="s">
        <v>23</v>
      </c>
      <c r="H621" s="15" t="s">
        <v>43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>
        <v>0.625</v>
      </c>
      <c r="C622" s="14">
        <v>1</v>
      </c>
      <c r="D622" s="15">
        <v>1098356001</v>
      </c>
      <c r="E622" s="16">
        <v>10347015</v>
      </c>
      <c r="F622" s="15" t="s">
        <v>1636</v>
      </c>
      <c r="G622" s="15" t="s">
        <v>23</v>
      </c>
      <c r="H622" s="15" t="s">
        <v>43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/>
      <c r="C623" s="14"/>
      <c r="D623" s="15"/>
      <c r="E623" s="16"/>
      <c r="F623" s="15"/>
      <c r="G623" s="15"/>
      <c r="H623" s="1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14">
        <v>0.625</v>
      </c>
      <c r="C624" s="14">
        <v>0</v>
      </c>
      <c r="D624" s="15">
        <v>1111897624</v>
      </c>
      <c r="E624" s="16">
        <v>10238685</v>
      </c>
      <c r="F624" s="15" t="s">
        <v>765</v>
      </c>
      <c r="G624" s="15" t="s">
        <v>49</v>
      </c>
      <c r="H624" s="15" t="s">
        <v>48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6"/>
      <c r="B625" s="14"/>
      <c r="C625" s="14"/>
      <c r="D625" s="15"/>
      <c r="E625" s="16"/>
      <c r="F625" s="15"/>
      <c r="G625" s="15"/>
      <c r="H625" s="15"/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6"/>
      <c r="B626" s="14">
        <v>0.625</v>
      </c>
      <c r="C626" s="14">
        <v>0</v>
      </c>
      <c r="D626" s="15">
        <v>1109165438</v>
      </c>
      <c r="E626" s="16">
        <v>10347427</v>
      </c>
      <c r="F626" s="15" t="s">
        <v>1719</v>
      </c>
      <c r="G626" s="15" t="s">
        <v>37</v>
      </c>
      <c r="H626" s="15" t="s">
        <v>115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6"/>
      <c r="B627" s="14">
        <v>0.625</v>
      </c>
      <c r="C627" s="14">
        <v>0</v>
      </c>
      <c r="D627" s="15">
        <v>1017913776</v>
      </c>
      <c r="E627" s="16">
        <v>10347429</v>
      </c>
      <c r="F627" s="15" t="s">
        <v>1721</v>
      </c>
      <c r="G627" s="15" t="s">
        <v>37</v>
      </c>
      <c r="H627" s="15" t="s">
        <v>131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6"/>
      <c r="B628" s="14">
        <v>0.625</v>
      </c>
      <c r="C628" s="14">
        <v>0</v>
      </c>
      <c r="D628" s="15">
        <v>1050882233</v>
      </c>
      <c r="E628" s="16">
        <v>10342600</v>
      </c>
      <c r="F628" s="15" t="s">
        <v>1354</v>
      </c>
      <c r="G628" s="15" t="s">
        <v>37</v>
      </c>
      <c r="H628" s="15" t="s">
        <v>131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6"/>
      <c r="B629" s="14">
        <v>0.625</v>
      </c>
      <c r="C629" s="14">
        <v>0</v>
      </c>
      <c r="D629" s="15">
        <v>1061453502</v>
      </c>
      <c r="E629" s="16">
        <v>10338973</v>
      </c>
      <c r="F629" s="15" t="s">
        <v>1233</v>
      </c>
      <c r="G629" s="15" t="s">
        <v>37</v>
      </c>
      <c r="H629" s="15" t="s">
        <v>36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14">
        <v>0.625</v>
      </c>
      <c r="C630" s="14">
        <v>0</v>
      </c>
      <c r="D630" s="15">
        <v>1060778921</v>
      </c>
      <c r="E630" s="16">
        <v>10337730</v>
      </c>
      <c r="F630" s="15" t="s">
        <v>1107</v>
      </c>
      <c r="G630" s="15" t="s">
        <v>37</v>
      </c>
      <c r="H630" s="15" t="s">
        <v>36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14">
        <v>0.625</v>
      </c>
      <c r="C631" s="14">
        <v>0</v>
      </c>
      <c r="D631" s="15">
        <v>1004708495</v>
      </c>
      <c r="E631" s="16">
        <v>10343862</v>
      </c>
      <c r="F631" s="15" t="s">
        <v>1469</v>
      </c>
      <c r="G631" s="15" t="s">
        <v>37</v>
      </c>
      <c r="H631" s="15" t="s">
        <v>36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14">
        <v>0.625</v>
      </c>
      <c r="C632" s="14">
        <v>0</v>
      </c>
      <c r="D632" s="15">
        <v>1152662567</v>
      </c>
      <c r="E632" s="16">
        <v>10341301</v>
      </c>
      <c r="F632" s="15" t="s">
        <v>1319</v>
      </c>
      <c r="G632" s="15" t="s">
        <v>37</v>
      </c>
      <c r="H632" s="15" t="s">
        <v>36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14">
        <v>0.625</v>
      </c>
      <c r="C633" s="14">
        <v>0</v>
      </c>
      <c r="D633" s="15">
        <v>1149238079</v>
      </c>
      <c r="E633" s="16">
        <v>10341212</v>
      </c>
      <c r="F633" s="15" t="s">
        <v>1313</v>
      </c>
      <c r="G633" s="15" t="s">
        <v>37</v>
      </c>
      <c r="H633" s="15" t="s">
        <v>36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14">
        <v>0.625</v>
      </c>
      <c r="C634" s="14">
        <v>1</v>
      </c>
      <c r="D634" s="15">
        <v>1500488938</v>
      </c>
      <c r="E634" s="16">
        <v>10335911</v>
      </c>
      <c r="F634" s="15" t="s">
        <v>1695</v>
      </c>
      <c r="G634" s="15" t="s">
        <v>37</v>
      </c>
      <c r="H634" s="15" t="s">
        <v>195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14">
        <v>0.625</v>
      </c>
      <c r="C635" s="14">
        <v>1</v>
      </c>
      <c r="D635" s="15">
        <v>1153210480</v>
      </c>
      <c r="E635" s="16">
        <v>10344865</v>
      </c>
      <c r="F635" s="15" t="s">
        <v>1530</v>
      </c>
      <c r="G635" s="15" t="s">
        <v>37</v>
      </c>
      <c r="H635" s="15" t="s">
        <v>36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14">
        <v>0.625</v>
      </c>
      <c r="C636" s="14">
        <v>1</v>
      </c>
      <c r="D636" s="15">
        <v>1023850840</v>
      </c>
      <c r="E636" s="16">
        <v>10344883</v>
      </c>
      <c r="F636" s="15" t="s">
        <v>1532</v>
      </c>
      <c r="G636" s="15" t="s">
        <v>37</v>
      </c>
      <c r="H636" s="15" t="s">
        <v>115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14">
        <v>0.625</v>
      </c>
      <c r="C637" s="14">
        <v>1</v>
      </c>
      <c r="D637" s="15">
        <v>1099361043</v>
      </c>
      <c r="E637" s="16">
        <v>10344884</v>
      </c>
      <c r="F637" s="15" t="s">
        <v>1533</v>
      </c>
      <c r="G637" s="15" t="s">
        <v>37</v>
      </c>
      <c r="H637" s="15" t="s">
        <v>91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14">
        <v>0.625</v>
      </c>
      <c r="C638" s="14">
        <v>1</v>
      </c>
      <c r="D638" s="15">
        <v>1116231956</v>
      </c>
      <c r="E638" s="16">
        <v>10344885</v>
      </c>
      <c r="F638" s="15" t="s">
        <v>1558</v>
      </c>
      <c r="G638" s="15" t="s">
        <v>37</v>
      </c>
      <c r="H638" s="15" t="s">
        <v>36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14">
        <v>0.625</v>
      </c>
      <c r="C639" s="14">
        <v>1</v>
      </c>
      <c r="D639" s="15" t="s">
        <v>1699</v>
      </c>
      <c r="E639" s="16">
        <v>10347325</v>
      </c>
      <c r="F639" s="15" t="s">
        <v>1698</v>
      </c>
      <c r="G639" s="15" t="s">
        <v>37</v>
      </c>
      <c r="H639" s="15" t="s">
        <v>195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14">
        <v>0.625</v>
      </c>
      <c r="C640" s="14">
        <v>1</v>
      </c>
      <c r="D640" s="15">
        <v>1210789851</v>
      </c>
      <c r="E640" s="16">
        <v>10348269</v>
      </c>
      <c r="F640" s="15" t="s">
        <v>1707</v>
      </c>
      <c r="G640" s="15" t="s">
        <v>37</v>
      </c>
      <c r="H640" s="15" t="s">
        <v>36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14">
        <v>0.625</v>
      </c>
      <c r="C641" s="14">
        <v>0.208333333333333</v>
      </c>
      <c r="D641" s="15">
        <v>1118972534</v>
      </c>
      <c r="E641" s="16">
        <v>10331702</v>
      </c>
      <c r="F641" s="15" t="s">
        <v>1490</v>
      </c>
      <c r="G641" s="15" t="s">
        <v>37</v>
      </c>
      <c r="H641" s="15" t="s">
        <v>131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14"/>
      <c r="C642" s="14"/>
      <c r="D642" s="15"/>
      <c r="E642" s="16"/>
      <c r="F642" s="15"/>
      <c r="G642" s="15"/>
      <c r="H642" s="15"/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14">
        <v>0.625</v>
      </c>
      <c r="C643" s="14">
        <v>1</v>
      </c>
      <c r="D643" s="15" t="s">
        <v>1773</v>
      </c>
      <c r="E643" s="16">
        <v>10342889</v>
      </c>
      <c r="F643" s="15" t="s">
        <v>1772</v>
      </c>
      <c r="G643" s="15" t="s">
        <v>104</v>
      </c>
      <c r="H643" s="15" t="s">
        <v>1668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14">
        <v>0.625</v>
      </c>
      <c r="C644" s="14">
        <v>0</v>
      </c>
      <c r="D644" s="15">
        <v>1026770903</v>
      </c>
      <c r="E644" s="16">
        <v>10330128</v>
      </c>
      <c r="F644" s="15" t="s">
        <v>402</v>
      </c>
      <c r="G644" s="15" t="s">
        <v>7</v>
      </c>
      <c r="H644" s="15" t="s">
        <v>6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14">
        <v>0.625</v>
      </c>
      <c r="C645" s="14">
        <v>0</v>
      </c>
      <c r="D645" s="15">
        <v>1044608425</v>
      </c>
      <c r="E645" s="16">
        <v>10347428</v>
      </c>
      <c r="F645" s="15" t="s">
        <v>1720</v>
      </c>
      <c r="G645" s="15" t="s">
        <v>7</v>
      </c>
      <c r="H645" s="15" t="s">
        <v>6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14">
        <v>0.625</v>
      </c>
      <c r="C646" s="14">
        <v>1</v>
      </c>
      <c r="D646" s="15">
        <v>1070390659</v>
      </c>
      <c r="E646" s="16">
        <v>10344855</v>
      </c>
      <c r="F646" s="15" t="s">
        <v>1520</v>
      </c>
      <c r="G646" s="15" t="s">
        <v>7</v>
      </c>
      <c r="H646" s="15" t="s">
        <v>6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14">
        <v>0.625</v>
      </c>
      <c r="C647" s="14">
        <v>1.125</v>
      </c>
      <c r="D647" s="15" t="s">
        <v>1712</v>
      </c>
      <c r="E647" s="16">
        <v>10348300</v>
      </c>
      <c r="F647" s="15" t="s">
        <v>1711</v>
      </c>
      <c r="G647" s="15" t="s">
        <v>7</v>
      </c>
      <c r="H647" s="15" t="s">
        <v>6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14"/>
      <c r="C648" s="14"/>
      <c r="D648" s="15"/>
      <c r="E648" s="16"/>
      <c r="F648" s="15"/>
      <c r="G648" s="15"/>
      <c r="H648" s="15"/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14">
        <v>0.625</v>
      </c>
      <c r="C649" s="14">
        <v>1</v>
      </c>
      <c r="D649" s="15">
        <v>1557628989</v>
      </c>
      <c r="E649" s="16">
        <v>10342327</v>
      </c>
      <c r="F649" s="15" t="s">
        <v>1835</v>
      </c>
      <c r="G649" s="15" t="s">
        <v>1834</v>
      </c>
      <c r="H649" s="15" t="s">
        <v>134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14">
        <v>0.625</v>
      </c>
      <c r="C650" s="14">
        <v>0</v>
      </c>
      <c r="D650" s="15">
        <v>1004065451</v>
      </c>
      <c r="E650" s="16">
        <v>10334018</v>
      </c>
      <c r="F650" s="15" t="s">
        <v>583</v>
      </c>
      <c r="G650" s="15" t="s">
        <v>40</v>
      </c>
      <c r="H650" s="15" t="s">
        <v>39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14">
        <v>0.625</v>
      </c>
      <c r="C651" s="14">
        <v>1.25</v>
      </c>
      <c r="D651" s="15">
        <v>1013447363</v>
      </c>
      <c r="E651" s="16">
        <v>10331021</v>
      </c>
      <c r="F651" s="15" t="s">
        <v>1493</v>
      </c>
      <c r="G651" s="15" t="s">
        <v>40</v>
      </c>
      <c r="H651" s="15" t="s">
        <v>39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14">
        <v>0.625</v>
      </c>
      <c r="C652" s="14">
        <v>0</v>
      </c>
      <c r="D652" s="15">
        <v>1019578796</v>
      </c>
      <c r="E652" s="16">
        <v>10225636</v>
      </c>
      <c r="F652" s="15" t="s">
        <v>1562</v>
      </c>
      <c r="G652" s="15" t="s">
        <v>40</v>
      </c>
      <c r="H652" s="15" t="s">
        <v>39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14"/>
      <c r="C653" s="14"/>
      <c r="D653" s="15"/>
      <c r="E653" s="16"/>
      <c r="F653" s="15"/>
      <c r="G653" s="15"/>
      <c r="H653" s="15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14">
        <v>0.625</v>
      </c>
      <c r="C654" s="14">
        <v>1</v>
      </c>
      <c r="D654" s="15">
        <v>1026876551</v>
      </c>
      <c r="E654" s="16">
        <v>10345744</v>
      </c>
      <c r="F654" s="15" t="s">
        <v>1541</v>
      </c>
      <c r="G654" s="15" t="s">
        <v>70</v>
      </c>
      <c r="H654" s="15" t="s">
        <v>69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14"/>
      <c r="C655" s="14"/>
      <c r="D655" s="15"/>
      <c r="E655" s="16"/>
      <c r="F655" s="15"/>
      <c r="G655" s="15"/>
      <c r="H655" s="1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7.5" customHeight="1" spans="1:33">
      <c r="A656" s="9">
        <v>0.666666666666667</v>
      </c>
      <c r="B656" s="10"/>
      <c r="C656" s="10"/>
      <c r="D656" s="10"/>
      <c r="E656" s="11"/>
      <c r="F656" s="10"/>
      <c r="G656" s="10"/>
      <c r="H656" s="10"/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9"/>
      <c r="B657" s="8" t="s">
        <v>2673</v>
      </c>
      <c r="C657" s="8" t="s">
        <v>2674</v>
      </c>
      <c r="D657" s="8" t="s">
        <v>2675</v>
      </c>
      <c r="E657" s="13" t="s">
        <v>1895</v>
      </c>
      <c r="F657" s="8" t="s">
        <v>3</v>
      </c>
      <c r="G657" s="8" t="s">
        <v>2676</v>
      </c>
      <c r="H657" s="8" t="s">
        <v>2677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8.75" customHeight="1" spans="1:33">
      <c r="A658" s="6"/>
      <c r="B658" s="24"/>
      <c r="C658" s="24"/>
      <c r="D658" s="25"/>
      <c r="E658" s="16"/>
      <c r="F658" s="25"/>
      <c r="G658" s="25"/>
      <c r="H658" s="25"/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8.75" customHeight="1" spans="1:33">
      <c r="A659" s="6"/>
      <c r="B659" s="24">
        <v>0.666666666666667</v>
      </c>
      <c r="C659" s="24">
        <v>0.0416666666666667</v>
      </c>
      <c r="D659" s="25">
        <v>1278809178</v>
      </c>
      <c r="E659" s="16">
        <v>10298710</v>
      </c>
      <c r="F659" s="25" t="s">
        <v>1516</v>
      </c>
      <c r="G659" s="25" t="s">
        <v>16</v>
      </c>
      <c r="H659" s="25" t="s">
        <v>15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8.75" customHeight="1" spans="1:33">
      <c r="A660" s="6"/>
      <c r="B660" s="24">
        <v>0.666666666666667</v>
      </c>
      <c r="C660" s="24">
        <v>0.0416666666666667</v>
      </c>
      <c r="D660" s="25">
        <v>1204716664</v>
      </c>
      <c r="E660" s="16">
        <v>10334828</v>
      </c>
      <c r="F660" s="25" t="s">
        <v>665</v>
      </c>
      <c r="G660" s="25" t="s">
        <v>16</v>
      </c>
      <c r="H660" s="25" t="s">
        <v>34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8.75" customHeight="1" spans="1:33">
      <c r="A661" s="6"/>
      <c r="B661" s="24">
        <v>0.666666666666667</v>
      </c>
      <c r="C661" s="24">
        <v>0.0416666666666667</v>
      </c>
      <c r="D661" s="25">
        <v>1110081480</v>
      </c>
      <c r="E661" s="16">
        <v>10335056</v>
      </c>
      <c r="F661" s="25" t="s">
        <v>731</v>
      </c>
      <c r="G661" s="25" t="s">
        <v>16</v>
      </c>
      <c r="H661" s="25" t="s">
        <v>34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8.75" customHeight="1" spans="1:33">
      <c r="A662" s="6"/>
      <c r="B662" s="24">
        <v>0.666666666666667</v>
      </c>
      <c r="C662" s="24">
        <v>0.0416666666666667</v>
      </c>
      <c r="D662" s="25">
        <v>1156350683</v>
      </c>
      <c r="E662" s="16">
        <v>10282852</v>
      </c>
      <c r="F662" s="25" t="s">
        <v>248</v>
      </c>
      <c r="G662" s="25" t="s">
        <v>16</v>
      </c>
      <c r="H662" s="25" t="s">
        <v>34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8.75" customHeight="1" spans="1:33">
      <c r="A663" s="6"/>
      <c r="B663" s="24"/>
      <c r="C663" s="24"/>
      <c r="D663" s="25"/>
      <c r="E663" s="16"/>
      <c r="F663" s="25"/>
      <c r="G663" s="25"/>
      <c r="H663" s="25"/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8.75" customHeight="1" spans="1:33">
      <c r="A664" s="6"/>
      <c r="B664" s="24">
        <v>0.666666666666667</v>
      </c>
      <c r="C664" s="24">
        <v>0.0416666666666667</v>
      </c>
      <c r="D664" s="25">
        <v>1270058439</v>
      </c>
      <c r="E664" s="16">
        <v>10333416</v>
      </c>
      <c r="F664" s="25" t="s">
        <v>555</v>
      </c>
      <c r="G664" s="25" t="s">
        <v>30</v>
      </c>
      <c r="H664" s="25" t="s">
        <v>381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8.75" customHeight="1" spans="1:33">
      <c r="A665" s="6"/>
      <c r="B665" s="24"/>
      <c r="C665" s="24"/>
      <c r="D665" s="25"/>
      <c r="E665" s="16"/>
      <c r="F665" s="25"/>
      <c r="G665" s="25"/>
      <c r="H665" s="25"/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8.75" customHeight="1" spans="1:33">
      <c r="A666" s="6"/>
      <c r="B666" s="24">
        <v>0.666666666666667</v>
      </c>
      <c r="C666" s="24">
        <v>0.0416666666666667</v>
      </c>
      <c r="D666" s="25">
        <v>1019687588</v>
      </c>
      <c r="E666" s="16">
        <v>10333417</v>
      </c>
      <c r="F666" s="25" t="s">
        <v>556</v>
      </c>
      <c r="G666" s="25" t="s">
        <v>58</v>
      </c>
      <c r="H666" s="25" t="s">
        <v>57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8.75" customHeight="1" spans="1:33">
      <c r="A667" s="6"/>
      <c r="B667" s="24"/>
      <c r="C667" s="24"/>
      <c r="D667" s="25"/>
      <c r="E667" s="16"/>
      <c r="F667" s="25"/>
      <c r="G667" s="25"/>
      <c r="H667" s="25"/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8.75" customHeight="1" spans="1:33">
      <c r="A668" s="6"/>
      <c r="B668" s="24">
        <v>0.666666666666667</v>
      </c>
      <c r="C668" s="24">
        <v>0.0416666666666667</v>
      </c>
      <c r="D668" s="25">
        <v>1277779066</v>
      </c>
      <c r="E668" s="16">
        <v>10282876</v>
      </c>
      <c r="F668" s="25" t="s">
        <v>1517</v>
      </c>
      <c r="G668" s="25" t="s">
        <v>314</v>
      </c>
      <c r="H668" s="25" t="s">
        <v>345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8.75" customHeight="1" spans="1:33">
      <c r="A669" s="6"/>
      <c r="B669" s="24"/>
      <c r="C669" s="24"/>
      <c r="D669" s="25"/>
      <c r="E669" s="16"/>
      <c r="F669" s="25"/>
      <c r="G669" s="25"/>
      <c r="H669" s="25"/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8.75" customHeight="1" spans="1:33">
      <c r="A670" s="6"/>
      <c r="B670" s="24">
        <v>0.666666666666667</v>
      </c>
      <c r="C670" s="24">
        <v>0</v>
      </c>
      <c r="D670" s="25" t="s">
        <v>2624</v>
      </c>
      <c r="E670" s="16" t="s">
        <v>2607</v>
      </c>
      <c r="F670" s="25" t="s">
        <v>2625</v>
      </c>
      <c r="G670" s="25" t="s">
        <v>95</v>
      </c>
      <c r="H670" s="25" t="s">
        <v>1792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8.75" customHeight="1" spans="1:33">
      <c r="A671" s="6"/>
      <c r="B671" s="24">
        <v>0.666666666666667</v>
      </c>
      <c r="C671" s="24">
        <v>0.0416666666666667</v>
      </c>
      <c r="D671" s="25">
        <v>1148677126</v>
      </c>
      <c r="E671" s="16">
        <v>10320448</v>
      </c>
      <c r="F671" s="25" t="s">
        <v>253</v>
      </c>
      <c r="G671" s="25" t="s">
        <v>95</v>
      </c>
      <c r="H671" s="25" t="s">
        <v>113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8.75" customHeight="1" spans="1:33">
      <c r="A672" s="6"/>
      <c r="B672" s="24"/>
      <c r="C672" s="24"/>
      <c r="D672" s="25"/>
      <c r="E672" s="16"/>
      <c r="F672" s="25"/>
      <c r="G672" s="25"/>
      <c r="H672" s="25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8.75" customHeight="1" spans="1:33">
      <c r="A673" s="6"/>
      <c r="B673" s="24">
        <v>0.666666666666667</v>
      </c>
      <c r="C673" s="24">
        <v>1.29166666666667</v>
      </c>
      <c r="D673" s="25">
        <v>1115409972</v>
      </c>
      <c r="E673" s="16">
        <v>10281227</v>
      </c>
      <c r="F673" s="25" t="s">
        <v>1651</v>
      </c>
      <c r="G673" s="25" t="s">
        <v>10</v>
      </c>
      <c r="H673" s="25" t="s">
        <v>64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8.75" customHeight="1" spans="1:33">
      <c r="A674" s="6"/>
      <c r="B674" s="24"/>
      <c r="C674" s="24"/>
      <c r="D674" s="25"/>
      <c r="E674" s="16"/>
      <c r="F674" s="25"/>
      <c r="G674" s="25"/>
      <c r="H674" s="25"/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8.75" customHeight="1" spans="1:33">
      <c r="A675" s="6"/>
      <c r="B675" s="24">
        <v>0.666666666666667</v>
      </c>
      <c r="C675" s="24">
        <v>1.25</v>
      </c>
      <c r="D675" s="25">
        <v>1002894384</v>
      </c>
      <c r="E675" s="16">
        <v>10347165</v>
      </c>
      <c r="F675" s="25" t="s">
        <v>1623</v>
      </c>
      <c r="G675" s="25" t="s">
        <v>27</v>
      </c>
      <c r="H675" s="25" t="s">
        <v>228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8.75" customHeight="1" spans="1:33">
      <c r="A676" s="6"/>
      <c r="B676" s="24"/>
      <c r="C676" s="24"/>
      <c r="D676" s="25"/>
      <c r="E676" s="16"/>
      <c r="F676" s="25"/>
      <c r="G676" s="25"/>
      <c r="H676" s="25"/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8.75" customHeight="1" spans="1:33">
      <c r="A677" s="6"/>
      <c r="B677" s="24">
        <v>0.666666666666667</v>
      </c>
      <c r="C677" s="24">
        <v>1.04166666666667</v>
      </c>
      <c r="D677" s="25">
        <v>1095866320</v>
      </c>
      <c r="E677" s="16">
        <v>10340382</v>
      </c>
      <c r="F677" s="25" t="s">
        <v>1867</v>
      </c>
      <c r="G677" s="25" t="s">
        <v>13</v>
      </c>
      <c r="H677" s="25" t="s">
        <v>1371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8.75" customHeight="1" spans="1:33">
      <c r="A678" s="6"/>
      <c r="B678" s="24">
        <v>0.666666666666667</v>
      </c>
      <c r="C678" s="24">
        <v>0.0416666666666667</v>
      </c>
      <c r="D678" s="25">
        <v>1283104485</v>
      </c>
      <c r="E678" s="16">
        <v>10332548</v>
      </c>
      <c r="F678" s="25" t="s">
        <v>507</v>
      </c>
      <c r="G678" s="25" t="s">
        <v>13</v>
      </c>
      <c r="H678" s="25" t="s">
        <v>12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8.75" customHeight="1" spans="1:33">
      <c r="A679" s="6"/>
      <c r="B679" s="24"/>
      <c r="C679" s="24"/>
      <c r="D679" s="25"/>
      <c r="E679" s="16"/>
      <c r="F679" s="25"/>
      <c r="G679" s="25"/>
      <c r="H679" s="25"/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8.75" customHeight="1" spans="1:33">
      <c r="A680" s="6"/>
      <c r="B680" s="24">
        <v>0.666666666666667</v>
      </c>
      <c r="C680" s="24">
        <v>0.0416666666666667</v>
      </c>
      <c r="D680" s="25">
        <v>1030294228</v>
      </c>
      <c r="E680" s="16">
        <v>10338042</v>
      </c>
      <c r="F680" s="25" t="s">
        <v>1181</v>
      </c>
      <c r="G680" s="25" t="s">
        <v>23</v>
      </c>
      <c r="H680" s="25" t="s">
        <v>144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8.75" customHeight="1" spans="1:33">
      <c r="A681" s="6"/>
      <c r="B681" s="24">
        <v>0.666666666666667</v>
      </c>
      <c r="C681" s="24">
        <v>1.20833333333333</v>
      </c>
      <c r="D681" s="25">
        <v>1018345490</v>
      </c>
      <c r="E681" s="16">
        <v>10348430</v>
      </c>
      <c r="F681" s="25" t="s">
        <v>1868</v>
      </c>
      <c r="G681" s="25" t="s">
        <v>23</v>
      </c>
      <c r="H681" s="25" t="s">
        <v>101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8.75" customHeight="1" spans="1:33">
      <c r="A682" s="6"/>
      <c r="B682" s="24">
        <v>0.666666666666667</v>
      </c>
      <c r="C682" s="24">
        <v>1.16666666666667</v>
      </c>
      <c r="D682" s="25">
        <v>1144811677</v>
      </c>
      <c r="E682" s="16">
        <v>10337070</v>
      </c>
      <c r="F682" s="25" t="s">
        <v>1758</v>
      </c>
      <c r="G682" s="25" t="s">
        <v>23</v>
      </c>
      <c r="H682" s="25" t="s">
        <v>172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8.75" customHeight="1" spans="1:33">
      <c r="A683" s="6"/>
      <c r="B683" s="24">
        <v>0.666666666666667</v>
      </c>
      <c r="C683" s="24">
        <v>1.20833333333333</v>
      </c>
      <c r="D683" s="25">
        <v>1148646797</v>
      </c>
      <c r="E683" s="16">
        <v>10338474</v>
      </c>
      <c r="F683" s="25" t="s">
        <v>1757</v>
      </c>
      <c r="G683" s="25" t="s">
        <v>23</v>
      </c>
      <c r="H683" s="25" t="s">
        <v>43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8.75" customHeight="1" spans="1:33">
      <c r="A684" s="6"/>
      <c r="B684" s="24">
        <v>0.666666666666667</v>
      </c>
      <c r="C684" s="24">
        <v>1.16666666666667</v>
      </c>
      <c r="D684" s="25">
        <v>1090598043</v>
      </c>
      <c r="E684" s="16">
        <v>10344902</v>
      </c>
      <c r="F684" s="25" t="s">
        <v>1537</v>
      </c>
      <c r="G684" s="25" t="s">
        <v>23</v>
      </c>
      <c r="H684" s="25" t="s">
        <v>101</v>
      </c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8.75" customHeight="1" spans="1:33">
      <c r="A685" s="6"/>
      <c r="B685" s="24">
        <v>0.666666666666667</v>
      </c>
      <c r="C685" s="24">
        <v>0.0416666666666667</v>
      </c>
      <c r="D685" s="25">
        <v>1002924890</v>
      </c>
      <c r="E685" s="16">
        <v>10330597</v>
      </c>
      <c r="F685" s="25" t="s">
        <v>1306</v>
      </c>
      <c r="G685" s="25" t="s">
        <v>23</v>
      </c>
      <c r="H685" s="25" t="s">
        <v>22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8.75" customHeight="1" spans="1:33">
      <c r="A686" s="6"/>
      <c r="B686" s="24">
        <v>0.666666666666667</v>
      </c>
      <c r="C686" s="24">
        <v>0.0416666666666667</v>
      </c>
      <c r="D686" s="25">
        <v>0</v>
      </c>
      <c r="E686" s="16">
        <v>10334359</v>
      </c>
      <c r="F686" s="25" t="s">
        <v>746</v>
      </c>
      <c r="G686" s="25" t="s">
        <v>23</v>
      </c>
      <c r="H686" s="25" t="s">
        <v>43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8.75" customHeight="1" spans="1:33">
      <c r="A687" s="6"/>
      <c r="B687" s="24"/>
      <c r="C687" s="24"/>
      <c r="D687" s="25"/>
      <c r="E687" s="16"/>
      <c r="F687" s="25"/>
      <c r="G687" s="25"/>
      <c r="H687" s="25"/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8.75" customHeight="1" spans="1:33">
      <c r="A688" s="6"/>
      <c r="B688" s="24">
        <v>0.666666666666667</v>
      </c>
      <c r="C688" s="24">
        <v>1.25</v>
      </c>
      <c r="D688" s="25">
        <v>1009533599</v>
      </c>
      <c r="E688" s="16">
        <v>10271468</v>
      </c>
      <c r="F688" s="25" t="s">
        <v>1485</v>
      </c>
      <c r="G688" s="25" t="s">
        <v>49</v>
      </c>
      <c r="H688" s="25" t="s">
        <v>48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8.75" customHeight="1" spans="1:33">
      <c r="A689" s="6"/>
      <c r="B689" s="24"/>
      <c r="C689" s="24"/>
      <c r="D689" s="25"/>
      <c r="E689" s="16"/>
      <c r="F689" s="25"/>
      <c r="G689" s="25"/>
      <c r="H689" s="25"/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8.75" customHeight="1" spans="1:33">
      <c r="A690" s="6"/>
      <c r="B690" s="24">
        <v>0.666666666666667</v>
      </c>
      <c r="C690" s="24">
        <v>1.04166666666667</v>
      </c>
      <c r="D690" s="25">
        <v>1000993190</v>
      </c>
      <c r="E690" s="16">
        <v>10340363</v>
      </c>
      <c r="F690" s="25" t="s">
        <v>1875</v>
      </c>
      <c r="G690" s="25" t="s">
        <v>37</v>
      </c>
      <c r="H690" s="25" t="s">
        <v>36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8.75" customHeight="1" spans="1:33">
      <c r="A691" s="6"/>
      <c r="B691" s="24">
        <v>0.666666666666667</v>
      </c>
      <c r="C691" s="24">
        <v>1.25</v>
      </c>
      <c r="D691" s="25">
        <v>0</v>
      </c>
      <c r="E691" s="16">
        <v>10341599</v>
      </c>
      <c r="F691" s="25" t="s">
        <v>1838</v>
      </c>
      <c r="G691" s="25" t="s">
        <v>37</v>
      </c>
      <c r="H691" s="25" t="s">
        <v>36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8.75" customHeight="1" spans="1:33">
      <c r="A692" s="6"/>
      <c r="B692" s="24">
        <v>0.666666666666667</v>
      </c>
      <c r="C692" s="24">
        <v>1.16666666666667</v>
      </c>
      <c r="D692" s="25">
        <v>0</v>
      </c>
      <c r="E692" s="16">
        <v>10337109</v>
      </c>
      <c r="F692" s="25" t="s">
        <v>1630</v>
      </c>
      <c r="G692" s="25" t="s">
        <v>37</v>
      </c>
      <c r="H692" s="25" t="s">
        <v>131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8.75" customHeight="1" spans="1:33">
      <c r="A693" s="6"/>
      <c r="B693" s="24"/>
      <c r="C693" s="24"/>
      <c r="D693" s="25"/>
      <c r="E693" s="16"/>
      <c r="F693" s="25"/>
      <c r="G693" s="25"/>
      <c r="H693" s="2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8.75" customHeight="1" spans="1:33">
      <c r="A694" s="6"/>
      <c r="B694" s="24">
        <v>0.666666666666667</v>
      </c>
      <c r="C694" s="24">
        <v>1.25</v>
      </c>
      <c r="D694" s="25" t="s">
        <v>1635</v>
      </c>
      <c r="E694" s="16">
        <v>10347261</v>
      </c>
      <c r="F694" s="25" t="s">
        <v>1634</v>
      </c>
      <c r="G694" s="25" t="s">
        <v>7</v>
      </c>
      <c r="H694" s="25" t="s">
        <v>6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8.75" customHeight="1" spans="1:33">
      <c r="A695" s="6"/>
      <c r="B695" s="24">
        <v>0.666666666666667</v>
      </c>
      <c r="C695" s="24">
        <v>0.0416666666666667</v>
      </c>
      <c r="D695" s="25">
        <v>1553989783</v>
      </c>
      <c r="E695" s="16">
        <v>10335120</v>
      </c>
      <c r="F695" s="25" t="s">
        <v>729</v>
      </c>
      <c r="G695" s="25" t="s">
        <v>7</v>
      </c>
      <c r="H695" s="25" t="s">
        <v>6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8.75" customHeight="1" spans="1:33">
      <c r="A696" s="6"/>
      <c r="B696" s="24">
        <v>0.666666666666667</v>
      </c>
      <c r="C696" s="24">
        <v>0.0416666666666667</v>
      </c>
      <c r="D696" s="25">
        <v>1016789685</v>
      </c>
      <c r="E696" s="16">
        <v>10335024</v>
      </c>
      <c r="F696" s="25" t="s">
        <v>730</v>
      </c>
      <c r="G696" s="25" t="s">
        <v>7</v>
      </c>
      <c r="H696" s="25" t="s">
        <v>6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8.75" customHeight="1" spans="1:33">
      <c r="A697" s="6"/>
      <c r="B697" s="24"/>
      <c r="C697" s="24"/>
      <c r="D697" s="25"/>
      <c r="E697" s="16"/>
      <c r="F697" s="25"/>
      <c r="G697" s="25"/>
      <c r="H697" s="25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8.75" customHeight="1" spans="1:33">
      <c r="A698" s="6"/>
      <c r="B698" s="24">
        <v>0.666666666666667</v>
      </c>
      <c r="C698" s="24">
        <v>0.0416666666666667</v>
      </c>
      <c r="D698" s="25">
        <v>1026128069</v>
      </c>
      <c r="E698" s="16">
        <v>10323547</v>
      </c>
      <c r="F698" s="25" t="s">
        <v>322</v>
      </c>
      <c r="G698" s="25" t="s">
        <v>40</v>
      </c>
      <c r="H698" s="25" t="s">
        <v>39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8.75" customHeight="1" spans="1:33">
      <c r="A699" s="6"/>
      <c r="B699" s="24"/>
      <c r="C699" s="24"/>
      <c r="D699" s="25"/>
      <c r="E699" s="16"/>
      <c r="F699" s="25"/>
      <c r="G699" s="25"/>
      <c r="H699" s="25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8.75" customHeight="1" spans="1:33">
      <c r="A700" s="6"/>
      <c r="B700" s="24">
        <v>0.666666666666667</v>
      </c>
      <c r="C700" s="24">
        <v>0.0416666666666667</v>
      </c>
      <c r="D700" s="25">
        <v>0</v>
      </c>
      <c r="E700" s="16">
        <v>10334214</v>
      </c>
      <c r="F700" s="25" t="s">
        <v>1251</v>
      </c>
      <c r="G700" s="25" t="s">
        <v>70</v>
      </c>
      <c r="H700" s="25" t="s">
        <v>69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8.75" customHeight="1" spans="1:33">
      <c r="A701" s="6"/>
      <c r="B701" s="24"/>
      <c r="C701" s="24"/>
      <c r="D701" s="25"/>
      <c r="E701" s="16"/>
      <c r="F701" s="25"/>
      <c r="G701" s="25"/>
      <c r="H701" s="25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7.5" customHeight="1" spans="1:33">
      <c r="A702" s="9">
        <v>0.708333333333333</v>
      </c>
      <c r="B702" s="10"/>
      <c r="C702" s="10"/>
      <c r="D702" s="10"/>
      <c r="E702" s="11"/>
      <c r="F702" s="10"/>
      <c r="G702" s="10"/>
      <c r="H702" s="10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12"/>
      <c r="B703" s="8" t="s">
        <v>2673</v>
      </c>
      <c r="C703" s="8" t="s">
        <v>2674</v>
      </c>
      <c r="D703" s="8" t="s">
        <v>2675</v>
      </c>
      <c r="E703" s="13" t="s">
        <v>1895</v>
      </c>
      <c r="F703" s="8" t="s">
        <v>3</v>
      </c>
      <c r="G703" s="8" t="s">
        <v>2676</v>
      </c>
      <c r="H703" s="8" t="s">
        <v>2677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15" customHeight="1" spans="1:33">
      <c r="A704" s="6"/>
      <c r="B704" s="14"/>
      <c r="C704" s="14"/>
      <c r="D704" s="15"/>
      <c r="E704" s="16"/>
      <c r="F704" s="15"/>
      <c r="G704" s="15"/>
      <c r="H704" s="15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15" customHeight="1" spans="1:33">
      <c r="A705" s="6"/>
      <c r="B705" s="14">
        <v>0.708333333333333</v>
      </c>
      <c r="C705" s="14">
        <v>0.0833333333333333</v>
      </c>
      <c r="D705" s="15">
        <v>1276895693</v>
      </c>
      <c r="E705" s="16">
        <v>10279718</v>
      </c>
      <c r="F705" s="15" t="s">
        <v>1404</v>
      </c>
      <c r="G705" s="15" t="s">
        <v>16</v>
      </c>
      <c r="H705" s="15" t="s">
        <v>15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15" customHeight="1" spans="1:33">
      <c r="A706" s="6"/>
      <c r="B706" s="14">
        <v>0.708333333333333</v>
      </c>
      <c r="C706" s="14">
        <v>0.0833333333333333</v>
      </c>
      <c r="D706" s="15" t="s">
        <v>1888</v>
      </c>
      <c r="E706" s="16">
        <v>10348793</v>
      </c>
      <c r="F706" s="15" t="s">
        <v>1887</v>
      </c>
      <c r="G706" s="15" t="s">
        <v>16</v>
      </c>
      <c r="H706" s="15" t="s">
        <v>1856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15" customHeight="1" spans="1:33">
      <c r="A707" s="6"/>
      <c r="B707" s="14">
        <v>0.708333333333333</v>
      </c>
      <c r="C707" s="14">
        <v>0.0833333333333333</v>
      </c>
      <c r="D707" s="15">
        <v>1141915010</v>
      </c>
      <c r="E707" s="16">
        <v>10276557</v>
      </c>
      <c r="F707" s="15" t="s">
        <v>1410</v>
      </c>
      <c r="G707" s="15" t="s">
        <v>16</v>
      </c>
      <c r="H707" s="15" t="s">
        <v>15</v>
      </c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15" customHeight="1" spans="1:33">
      <c r="A708" s="6"/>
      <c r="B708" s="14"/>
      <c r="C708" s="14"/>
      <c r="D708" s="15"/>
      <c r="E708" s="16"/>
      <c r="F708" s="15"/>
      <c r="G708" s="15"/>
      <c r="H708" s="15"/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15" customHeight="1" spans="1:33">
      <c r="A709" s="6"/>
      <c r="B709" s="14">
        <v>0.708333333333333</v>
      </c>
      <c r="C709" s="14">
        <v>1.29166666666667</v>
      </c>
      <c r="D709" s="15" t="s">
        <v>1862</v>
      </c>
      <c r="E709" s="16">
        <v>10348733</v>
      </c>
      <c r="F709" s="15" t="s">
        <v>1861</v>
      </c>
      <c r="G709" s="15" t="s">
        <v>85</v>
      </c>
      <c r="H709" s="15" t="s">
        <v>328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15" customHeight="1" spans="1:33">
      <c r="A710" s="6"/>
      <c r="B710" s="14"/>
      <c r="C710" s="14"/>
      <c r="D710" s="15"/>
      <c r="E710" s="16"/>
      <c r="F710" s="15"/>
      <c r="G710" s="15"/>
      <c r="H710" s="15"/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15" customHeight="1" spans="1:33">
      <c r="A711" s="6"/>
      <c r="B711" s="14">
        <v>0.708333333333333</v>
      </c>
      <c r="C711" s="14">
        <v>0.0833333333333333</v>
      </c>
      <c r="D711" s="15">
        <v>1557759476</v>
      </c>
      <c r="E711" s="16">
        <v>10282873</v>
      </c>
      <c r="F711" s="15" t="s">
        <v>1814</v>
      </c>
      <c r="G711" s="15" t="s">
        <v>151</v>
      </c>
      <c r="H711" s="15" t="s">
        <v>264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15" customHeight="1" spans="1:33">
      <c r="A712" s="6"/>
      <c r="B712" s="14"/>
      <c r="C712" s="14"/>
      <c r="D712" s="15"/>
      <c r="E712" s="16"/>
      <c r="F712" s="15"/>
      <c r="G712" s="15"/>
      <c r="H712" s="15"/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15" customHeight="1" spans="1:33">
      <c r="A713" s="6"/>
      <c r="B713" s="14">
        <v>0.708333333333333</v>
      </c>
      <c r="C713" s="14">
        <v>0.0833333333333333</v>
      </c>
      <c r="D713" s="15">
        <v>1207159546</v>
      </c>
      <c r="E713" s="16">
        <v>10348790</v>
      </c>
      <c r="F713" s="15" t="s">
        <v>1885</v>
      </c>
      <c r="G713" s="15" t="s">
        <v>95</v>
      </c>
      <c r="H713" s="15" t="s">
        <v>228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15" customHeight="1" spans="1:33">
      <c r="A714" s="6"/>
      <c r="B714" s="14">
        <v>0.708333333333333</v>
      </c>
      <c r="C714" s="14">
        <v>0.0833333333333333</v>
      </c>
      <c r="D714" s="15">
        <v>1102912624</v>
      </c>
      <c r="E714" s="16">
        <v>10335898</v>
      </c>
      <c r="F714" s="15" t="s">
        <v>1863</v>
      </c>
      <c r="G714" s="15" t="s">
        <v>95</v>
      </c>
      <c r="H714" s="15" t="s">
        <v>137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15" customHeight="1" spans="1:33">
      <c r="A715" s="6"/>
      <c r="B715" s="14">
        <v>0.708333333333333</v>
      </c>
      <c r="C715" s="14">
        <v>0.0833333333333333</v>
      </c>
      <c r="D715" s="15">
        <v>1274393886</v>
      </c>
      <c r="E715" s="16">
        <v>10331009</v>
      </c>
      <c r="F715" s="15" t="s">
        <v>1865</v>
      </c>
      <c r="G715" s="15" t="s">
        <v>95</v>
      </c>
      <c r="H715" s="15" t="s">
        <v>1864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15" customHeight="1" spans="1:33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15" customHeight="1" spans="1:33">
      <c r="A717" s="6"/>
      <c r="B717" s="14">
        <v>0.708333333333333</v>
      </c>
      <c r="C717" s="14">
        <v>0.0833333333333333</v>
      </c>
      <c r="D717" s="15">
        <v>1274904061</v>
      </c>
      <c r="E717" s="16">
        <v>10323948</v>
      </c>
      <c r="F717" s="15" t="s">
        <v>1476</v>
      </c>
      <c r="G717" s="15" t="s">
        <v>27</v>
      </c>
      <c r="H717" s="15" t="s">
        <v>228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1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15" customHeight="1" spans="1:33">
      <c r="A719" s="6"/>
      <c r="B719" s="14">
        <v>0.708333333333333</v>
      </c>
      <c r="C719" s="14">
        <v>0.0833333333333333</v>
      </c>
      <c r="D719" s="15">
        <v>1021857484</v>
      </c>
      <c r="E719" s="16">
        <v>10303671</v>
      </c>
      <c r="F719" s="15" t="s">
        <v>1839</v>
      </c>
      <c r="G719" s="15" t="s">
        <v>13</v>
      </c>
      <c r="H719" s="15" t="s">
        <v>1371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15" customHeight="1" spans="1:33">
      <c r="A720" s="6"/>
      <c r="B720" s="14"/>
      <c r="C720" s="14"/>
      <c r="D720" s="15"/>
      <c r="E720" s="16"/>
      <c r="F720" s="15"/>
      <c r="G720" s="15"/>
      <c r="H720" s="15"/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15" customHeight="1" spans="1:33">
      <c r="A721" s="6"/>
      <c r="B721" s="14">
        <v>0.708333333333333</v>
      </c>
      <c r="C721" s="14">
        <v>0.0833333333333333</v>
      </c>
      <c r="D721" s="15">
        <v>1097830817</v>
      </c>
      <c r="E721" s="16">
        <v>10284140</v>
      </c>
      <c r="F721" s="15" t="s">
        <v>1412</v>
      </c>
      <c r="G721" s="15" t="s">
        <v>23</v>
      </c>
      <c r="H721" s="15" t="s">
        <v>43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15" customHeight="1" spans="1:33">
      <c r="A722" s="6"/>
      <c r="B722" s="14"/>
      <c r="C722" s="14"/>
      <c r="D722" s="15"/>
      <c r="E722" s="16"/>
      <c r="F722" s="15"/>
      <c r="G722" s="15"/>
      <c r="H722" s="15"/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15" customHeight="1" spans="1:33">
      <c r="A723" s="6"/>
      <c r="B723" s="14">
        <v>0.708333333333333</v>
      </c>
      <c r="C723" s="14">
        <v>1.08333333333333</v>
      </c>
      <c r="D723" s="15">
        <v>1556565375</v>
      </c>
      <c r="E723" s="16">
        <v>10348787</v>
      </c>
      <c r="F723" s="15" t="s">
        <v>1870</v>
      </c>
      <c r="G723" s="15" t="s">
        <v>49</v>
      </c>
      <c r="H723" s="15" t="s">
        <v>176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15" customHeight="1" spans="1:33">
      <c r="A724" s="6"/>
      <c r="B724" s="14"/>
      <c r="C724" s="14"/>
      <c r="D724" s="15"/>
      <c r="E724" s="16"/>
      <c r="F724" s="15"/>
      <c r="G724" s="15"/>
      <c r="H724" s="15"/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15" customHeight="1" spans="1:33">
      <c r="A725" s="6"/>
      <c r="B725" s="14">
        <v>0.708333333333333</v>
      </c>
      <c r="C725" s="14">
        <v>0.0833333333333333</v>
      </c>
      <c r="D725" s="15">
        <v>1061357183</v>
      </c>
      <c r="E725" s="16">
        <v>10212362</v>
      </c>
      <c r="F725" s="15" t="s">
        <v>204</v>
      </c>
      <c r="G725" s="15" t="s">
        <v>37</v>
      </c>
      <c r="H725" s="15" t="s">
        <v>36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15" customHeight="1" spans="1:33">
      <c r="A726" s="6"/>
      <c r="B726" s="14">
        <v>0.708333333333333</v>
      </c>
      <c r="C726" s="14">
        <v>1.29166666666667</v>
      </c>
      <c r="D726" s="15" t="s">
        <v>1826</v>
      </c>
      <c r="E726" s="16">
        <v>10340379</v>
      </c>
      <c r="F726" s="15" t="s">
        <v>1825</v>
      </c>
      <c r="G726" s="15" t="s">
        <v>37</v>
      </c>
      <c r="H726" s="15" t="s">
        <v>115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15" customHeight="1" spans="1:33">
      <c r="A727" s="6"/>
      <c r="B727" s="14">
        <v>0.708333333333333</v>
      </c>
      <c r="C727" s="14">
        <v>1.29166666666667</v>
      </c>
      <c r="D727" s="15">
        <v>1055343683</v>
      </c>
      <c r="E727" s="16">
        <v>10348847</v>
      </c>
      <c r="F727" s="15" t="s">
        <v>1878</v>
      </c>
      <c r="G727" s="15" t="s">
        <v>37</v>
      </c>
      <c r="H727" s="15" t="s">
        <v>36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15" customHeight="1" spans="1:33">
      <c r="A728" s="6"/>
      <c r="B728" s="14">
        <v>0.708333333333333</v>
      </c>
      <c r="C728" s="14">
        <v>0.0833333333333333</v>
      </c>
      <c r="D728" s="15">
        <v>1507001352</v>
      </c>
      <c r="E728" s="16">
        <v>10348792</v>
      </c>
      <c r="F728" s="15" t="s">
        <v>1886</v>
      </c>
      <c r="G728" s="15" t="s">
        <v>37</v>
      </c>
      <c r="H728" s="15" t="s">
        <v>115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15" customHeight="1" spans="1:33">
      <c r="A729" s="6"/>
      <c r="B729" s="14">
        <v>0.708333333333333</v>
      </c>
      <c r="C729" s="14">
        <v>1.08333333333333</v>
      </c>
      <c r="D729" s="15" t="s">
        <v>1890</v>
      </c>
      <c r="E729" s="16">
        <v>10348746</v>
      </c>
      <c r="F729" s="15" t="s">
        <v>1889</v>
      </c>
      <c r="G729" s="15" t="s">
        <v>37</v>
      </c>
      <c r="H729" s="15" t="s">
        <v>91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15" customHeight="1" spans="1:33">
      <c r="A730" s="6"/>
      <c r="B730" s="14"/>
      <c r="C730" s="14"/>
      <c r="D730" s="15"/>
      <c r="E730" s="16"/>
      <c r="F730" s="15"/>
      <c r="G730" s="15"/>
      <c r="H730" s="15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15" customHeight="1" spans="1:33">
      <c r="A731" s="6"/>
      <c r="B731" s="14">
        <v>0.708333333333333</v>
      </c>
      <c r="C731" s="14">
        <v>0.0833333333333333</v>
      </c>
      <c r="D731" s="15">
        <v>1026652608</v>
      </c>
      <c r="E731" s="16">
        <v>10287534</v>
      </c>
      <c r="F731" s="15" t="s">
        <v>1813</v>
      </c>
      <c r="G731" s="15" t="s">
        <v>7</v>
      </c>
      <c r="H731" s="15" t="s">
        <v>6</v>
      </c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15" customHeight="1" spans="1:33">
      <c r="A732" s="6"/>
      <c r="B732" s="14"/>
      <c r="C732" s="14"/>
      <c r="D732" s="15"/>
      <c r="E732" s="16"/>
      <c r="F732" s="15"/>
      <c r="G732" s="15"/>
      <c r="H732" s="15"/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15" customHeight="1" spans="1:33">
      <c r="A733" s="6"/>
      <c r="B733" s="14">
        <v>0.708333333333333</v>
      </c>
      <c r="C733" s="14">
        <v>0.0833333333333333</v>
      </c>
      <c r="D733" s="15" t="s">
        <v>1884</v>
      </c>
      <c r="E733" s="16">
        <v>10348796</v>
      </c>
      <c r="F733" s="15" t="s">
        <v>1883</v>
      </c>
      <c r="G733" s="15" t="s">
        <v>40</v>
      </c>
      <c r="H733" s="15" t="s">
        <v>39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15" customHeight="1" spans="1:33">
      <c r="A734" s="6"/>
      <c r="B734" s="14"/>
      <c r="C734" s="14"/>
      <c r="D734" s="15"/>
      <c r="E734" s="16"/>
      <c r="F734" s="15"/>
      <c r="G734" s="15"/>
      <c r="H734" s="15"/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7.5" customHeight="1" spans="1:33">
      <c r="A735" s="9">
        <v>0.75</v>
      </c>
      <c r="B735" s="10"/>
      <c r="C735" s="10"/>
      <c r="D735" s="10"/>
      <c r="E735" s="11"/>
      <c r="F735" s="10"/>
      <c r="G735" s="10"/>
      <c r="H735" s="10"/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12"/>
      <c r="B736" s="8" t="s">
        <v>2673</v>
      </c>
      <c r="C736" s="8" t="s">
        <v>2674</v>
      </c>
      <c r="D736" s="8" t="s">
        <v>2675</v>
      </c>
      <c r="E736" s="13" t="s">
        <v>1895</v>
      </c>
      <c r="F736" s="8" t="s">
        <v>3</v>
      </c>
      <c r="G736" s="8" t="s">
        <v>2676</v>
      </c>
      <c r="H736" s="8" t="s">
        <v>2677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24"/>
      <c r="C737" s="24"/>
      <c r="D737" s="25"/>
      <c r="E737" s="16"/>
      <c r="F737" s="25"/>
      <c r="G737" s="25"/>
      <c r="H737" s="2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24">
        <v>0.75</v>
      </c>
      <c r="C738" s="24">
        <v>1.125</v>
      </c>
      <c r="D738" s="25">
        <v>1556278711</v>
      </c>
      <c r="E738" s="16">
        <v>10348308</v>
      </c>
      <c r="F738" s="25" t="s">
        <v>1716</v>
      </c>
      <c r="G738" s="25" t="s">
        <v>1700</v>
      </c>
      <c r="H738" s="25" t="s">
        <v>1700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24"/>
      <c r="C739" s="24"/>
      <c r="D739" s="25"/>
      <c r="E739" s="16"/>
      <c r="F739" s="25"/>
      <c r="G739" s="25"/>
      <c r="H739" s="25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24">
        <v>0.75</v>
      </c>
      <c r="C740" s="24">
        <v>1.25</v>
      </c>
      <c r="D740" s="25">
        <v>1017467206</v>
      </c>
      <c r="E740" s="16">
        <v>10270497</v>
      </c>
      <c r="F740" s="25" t="s">
        <v>1736</v>
      </c>
      <c r="G740" s="25" t="s">
        <v>67</v>
      </c>
      <c r="H740" s="25" t="s">
        <v>66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24"/>
      <c r="C741" s="24"/>
      <c r="D741" s="25"/>
      <c r="E741" s="16"/>
      <c r="F741" s="25"/>
      <c r="G741" s="25"/>
      <c r="H741" s="25"/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24">
        <v>0.75</v>
      </c>
      <c r="C742" s="24">
        <v>0.333333333333333</v>
      </c>
      <c r="D742" s="25">
        <v>1008135243</v>
      </c>
      <c r="E742" s="16">
        <v>10340418</v>
      </c>
      <c r="F742" s="25" t="s">
        <v>1815</v>
      </c>
      <c r="G742" s="25" t="s">
        <v>16</v>
      </c>
      <c r="H742" s="25" t="s">
        <v>15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24">
        <v>0.75</v>
      </c>
      <c r="C743" s="24">
        <v>1.16666666666667</v>
      </c>
      <c r="D743" s="25" t="s">
        <v>1419</v>
      </c>
      <c r="E743" s="16">
        <v>10344169</v>
      </c>
      <c r="F743" s="25" t="s">
        <v>1418</v>
      </c>
      <c r="G743" s="25" t="s">
        <v>16</v>
      </c>
      <c r="H743" s="25" t="s">
        <v>126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24">
        <v>0.75</v>
      </c>
      <c r="C744" s="24">
        <v>0.125</v>
      </c>
      <c r="D744" s="25">
        <v>1121378981</v>
      </c>
      <c r="E744" s="16">
        <v>10308019</v>
      </c>
      <c r="F744" s="25" t="s">
        <v>1782</v>
      </c>
      <c r="G744" s="25" t="s">
        <v>16</v>
      </c>
      <c r="H744" s="25" t="s">
        <v>126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24"/>
      <c r="C745" s="24"/>
      <c r="D745" s="25"/>
      <c r="E745" s="16"/>
      <c r="F745" s="25"/>
      <c r="G745" s="25"/>
      <c r="H745" s="25"/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24">
        <v>0.75</v>
      </c>
      <c r="C746" s="24">
        <v>0.125</v>
      </c>
      <c r="D746" s="25" t="s">
        <v>399</v>
      </c>
      <c r="E746" s="16">
        <v>10329910</v>
      </c>
      <c r="F746" s="25" t="s">
        <v>398</v>
      </c>
      <c r="G746" s="25" t="s">
        <v>58</v>
      </c>
      <c r="H746" s="25" t="s">
        <v>57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24"/>
      <c r="C747" s="24"/>
      <c r="D747" s="25"/>
      <c r="E747" s="16"/>
      <c r="F747" s="25"/>
      <c r="G747" s="25"/>
      <c r="H747" s="25"/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24">
        <v>0.75</v>
      </c>
      <c r="C748" s="24">
        <v>0.125</v>
      </c>
      <c r="D748" s="25">
        <v>1003336191</v>
      </c>
      <c r="E748" s="16">
        <v>10347418</v>
      </c>
      <c r="F748" s="25" t="s">
        <v>1718</v>
      </c>
      <c r="G748" s="25" t="s">
        <v>85</v>
      </c>
      <c r="H748" s="25" t="s">
        <v>162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24">
        <v>0.75</v>
      </c>
      <c r="C749" s="24">
        <v>0.125</v>
      </c>
      <c r="D749" s="25">
        <v>1012348684</v>
      </c>
      <c r="E749" s="16">
        <v>10335050</v>
      </c>
      <c r="F749" s="25" t="s">
        <v>728</v>
      </c>
      <c r="G749" s="25" t="s">
        <v>85</v>
      </c>
      <c r="H749" s="25" t="s">
        <v>162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24"/>
      <c r="C750" s="24"/>
      <c r="D750" s="25"/>
      <c r="E750" s="16"/>
      <c r="F750" s="25"/>
      <c r="G750" s="25"/>
      <c r="H750" s="25"/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24">
        <v>0.75</v>
      </c>
      <c r="C751" s="24">
        <v>1.25</v>
      </c>
      <c r="D751" s="25" t="s">
        <v>1869</v>
      </c>
      <c r="E751" s="16">
        <v>10344398</v>
      </c>
      <c r="F751" s="25" t="s">
        <v>620</v>
      </c>
      <c r="G751" s="25" t="s">
        <v>95</v>
      </c>
      <c r="H751" s="25" t="s">
        <v>94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24">
        <v>0.75</v>
      </c>
      <c r="C752" s="24">
        <v>1.25</v>
      </c>
      <c r="D752" s="25">
        <v>1032492021</v>
      </c>
      <c r="E752" s="16">
        <v>10341611</v>
      </c>
      <c r="F752" s="25" t="s">
        <v>1753</v>
      </c>
      <c r="G752" s="25" t="s">
        <v>95</v>
      </c>
      <c r="H752" s="25" t="s">
        <v>228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24"/>
      <c r="C753" s="24"/>
      <c r="D753" s="25"/>
      <c r="E753" s="16"/>
      <c r="F753" s="25"/>
      <c r="G753" s="25"/>
      <c r="H753" s="25"/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24">
        <v>0.75</v>
      </c>
      <c r="C754" s="24">
        <v>1.25</v>
      </c>
      <c r="D754" s="25">
        <v>1287010193</v>
      </c>
      <c r="E754" s="16">
        <v>10348552</v>
      </c>
      <c r="F754" s="25" t="s">
        <v>1784</v>
      </c>
      <c r="G754" s="25" t="s">
        <v>10</v>
      </c>
      <c r="H754" s="25" t="s">
        <v>45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24"/>
      <c r="C755" s="24"/>
      <c r="D755" s="25"/>
      <c r="E755" s="16"/>
      <c r="F755" s="25"/>
      <c r="G755" s="25"/>
      <c r="H755" s="25"/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24">
        <v>0.75</v>
      </c>
      <c r="C756" s="24">
        <v>0.166666666666667</v>
      </c>
      <c r="D756" s="25">
        <v>1018145481</v>
      </c>
      <c r="E756" s="16">
        <v>10267962</v>
      </c>
      <c r="F756" s="25" t="s">
        <v>265</v>
      </c>
      <c r="G756" s="25" t="s">
        <v>23</v>
      </c>
      <c r="H756" s="25" t="s">
        <v>276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24">
        <v>0.75</v>
      </c>
      <c r="C757" s="24">
        <v>1.25</v>
      </c>
      <c r="D757" s="25">
        <v>1091061813</v>
      </c>
      <c r="E757" s="16">
        <v>10323448</v>
      </c>
      <c r="F757" s="25" t="s">
        <v>1759</v>
      </c>
      <c r="G757" s="25" t="s">
        <v>23</v>
      </c>
      <c r="H757" s="25" t="s">
        <v>101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24">
        <v>0.75</v>
      </c>
      <c r="C758" s="24">
        <v>1.25</v>
      </c>
      <c r="D758" s="25">
        <v>1044822349</v>
      </c>
      <c r="E758" s="16">
        <v>10341595</v>
      </c>
      <c r="F758" s="25" t="s">
        <v>1762</v>
      </c>
      <c r="G758" s="25" t="s">
        <v>23</v>
      </c>
      <c r="H758" s="25" t="s">
        <v>101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24">
        <v>0.75</v>
      </c>
      <c r="C759" s="24">
        <v>1.29166666666667</v>
      </c>
      <c r="D759" s="25">
        <v>1095204998</v>
      </c>
      <c r="E759" s="16">
        <v>10344242</v>
      </c>
      <c r="F759" s="25" t="s">
        <v>1429</v>
      </c>
      <c r="G759" s="25" t="s">
        <v>23</v>
      </c>
      <c r="H759" s="25" t="s">
        <v>62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24">
        <v>0.75</v>
      </c>
      <c r="C760" s="24">
        <v>1.125</v>
      </c>
      <c r="D760" s="25">
        <v>1004911039</v>
      </c>
      <c r="E760" s="16">
        <v>10344279</v>
      </c>
      <c r="F760" s="25" t="s">
        <v>620</v>
      </c>
      <c r="G760" s="25" t="s">
        <v>23</v>
      </c>
      <c r="H760" s="25" t="s">
        <v>144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24">
        <v>0.75</v>
      </c>
      <c r="C761" s="24">
        <v>0.333333333333333</v>
      </c>
      <c r="D761" s="25">
        <v>1100286082</v>
      </c>
      <c r="E761" s="16">
        <v>10346644</v>
      </c>
      <c r="F761" s="25" t="s">
        <v>1584</v>
      </c>
      <c r="G761" s="25" t="s">
        <v>23</v>
      </c>
      <c r="H761" s="25" t="s">
        <v>101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6"/>
      <c r="B762" s="24">
        <v>0.75</v>
      </c>
      <c r="C762" s="24">
        <v>0.333333333333333</v>
      </c>
      <c r="D762" s="25">
        <v>1155829737</v>
      </c>
      <c r="E762" s="16">
        <v>10347259</v>
      </c>
      <c r="F762" s="25" t="s">
        <v>1622</v>
      </c>
      <c r="G762" s="25" t="s">
        <v>23</v>
      </c>
      <c r="H762" s="25" t="s">
        <v>62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6"/>
      <c r="B763" s="24">
        <v>0.75</v>
      </c>
      <c r="C763" s="24">
        <v>0.125</v>
      </c>
      <c r="D763" s="25">
        <v>1033206100</v>
      </c>
      <c r="E763" s="16">
        <v>10322714</v>
      </c>
      <c r="F763" s="25" t="s">
        <v>1650</v>
      </c>
      <c r="G763" s="25" t="s">
        <v>23</v>
      </c>
      <c r="H763" s="25" t="s">
        <v>172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3.5" customHeight="1" spans="1:33">
      <c r="A764" s="6"/>
      <c r="B764" s="24">
        <v>0.75</v>
      </c>
      <c r="C764" s="24">
        <v>0.125</v>
      </c>
      <c r="D764" s="25">
        <v>1117228732</v>
      </c>
      <c r="E764" s="16">
        <v>10285481</v>
      </c>
      <c r="F764" s="25" t="s">
        <v>1482</v>
      </c>
      <c r="G764" s="25" t="s">
        <v>23</v>
      </c>
      <c r="H764" s="25" t="s">
        <v>43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3.5" customHeight="1" spans="1:33">
      <c r="A765" s="6"/>
      <c r="B765" s="24">
        <v>0.75</v>
      </c>
      <c r="C765" s="24">
        <v>0.125</v>
      </c>
      <c r="D765" s="25">
        <v>1156255534</v>
      </c>
      <c r="E765" s="16">
        <v>10316245</v>
      </c>
      <c r="F765" s="25" t="s">
        <v>1086</v>
      </c>
      <c r="G765" s="25" t="s">
        <v>23</v>
      </c>
      <c r="H765" s="25" t="s">
        <v>101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3.5" customHeight="1" spans="1:33">
      <c r="A766" s="6"/>
      <c r="B766" s="24"/>
      <c r="C766" s="24"/>
      <c r="D766" s="25"/>
      <c r="E766" s="16"/>
      <c r="F766" s="25"/>
      <c r="G766" s="25"/>
      <c r="H766" s="25"/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3.5" customHeight="1" spans="1:33">
      <c r="A767" s="6"/>
      <c r="B767" s="24">
        <v>0.75</v>
      </c>
      <c r="C767" s="24">
        <v>1.25</v>
      </c>
      <c r="D767" s="25">
        <v>1555073993</v>
      </c>
      <c r="E767" s="16">
        <v>10339759</v>
      </c>
      <c r="F767" s="25" t="s">
        <v>1763</v>
      </c>
      <c r="G767" s="25" t="s">
        <v>49</v>
      </c>
      <c r="H767" s="25" t="s">
        <v>48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6"/>
      <c r="B768" s="24"/>
      <c r="C768" s="24"/>
      <c r="D768" s="25"/>
      <c r="E768" s="16"/>
      <c r="F768" s="25"/>
      <c r="G768" s="25"/>
      <c r="H768" s="25"/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6"/>
      <c r="B769" s="24">
        <v>0.75</v>
      </c>
      <c r="C769" s="24">
        <v>1.16666666666667</v>
      </c>
      <c r="D769" s="25">
        <v>1012767690</v>
      </c>
      <c r="E769" s="16">
        <v>10348422</v>
      </c>
      <c r="F769" s="25" t="s">
        <v>1877</v>
      </c>
      <c r="G769" s="25" t="s">
        <v>37</v>
      </c>
      <c r="H769" s="25" t="s">
        <v>36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3.5" customHeight="1" spans="1:33">
      <c r="A770" s="6"/>
      <c r="B770" s="24">
        <v>0.75</v>
      </c>
      <c r="C770" s="24">
        <v>1.125</v>
      </c>
      <c r="D770" s="25">
        <v>1026041099</v>
      </c>
      <c r="E770" s="16">
        <v>10344170</v>
      </c>
      <c r="F770" s="25" t="s">
        <v>1439</v>
      </c>
      <c r="G770" s="25" t="s">
        <v>37</v>
      </c>
      <c r="H770" s="25" t="s">
        <v>36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3.5" customHeight="1" spans="1:33">
      <c r="A771" s="6"/>
      <c r="B771" s="24">
        <v>0.75</v>
      </c>
      <c r="C771" s="24">
        <v>1.25</v>
      </c>
      <c r="D771" s="25">
        <v>1551584488</v>
      </c>
      <c r="E771" s="16">
        <v>10344250</v>
      </c>
      <c r="F771" s="25" t="s">
        <v>1416</v>
      </c>
      <c r="G771" s="25" t="s">
        <v>37</v>
      </c>
      <c r="H771" s="25" t="s">
        <v>36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3.5" customHeight="1" spans="1:33">
      <c r="A772" s="6"/>
      <c r="B772" s="24">
        <v>0.75</v>
      </c>
      <c r="C772" s="24">
        <v>0.25</v>
      </c>
      <c r="D772" s="25">
        <v>1270864338</v>
      </c>
      <c r="E772" s="16">
        <v>10347997</v>
      </c>
      <c r="F772" s="25" t="s">
        <v>1124</v>
      </c>
      <c r="G772" s="25" t="s">
        <v>37</v>
      </c>
      <c r="H772" s="25" t="s">
        <v>131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3.5" customHeight="1" spans="1:33">
      <c r="A773" s="6"/>
      <c r="B773" s="24">
        <v>0.75</v>
      </c>
      <c r="C773" s="24">
        <v>0.125</v>
      </c>
      <c r="D773" s="25" t="s">
        <v>1489</v>
      </c>
      <c r="E773" s="16">
        <v>10331002</v>
      </c>
      <c r="F773" s="25" t="s">
        <v>1488</v>
      </c>
      <c r="G773" s="25" t="s">
        <v>37</v>
      </c>
      <c r="H773" s="25" t="s">
        <v>115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6"/>
      <c r="B774" s="24"/>
      <c r="C774" s="24"/>
      <c r="D774" s="25"/>
      <c r="E774" s="16"/>
      <c r="F774" s="25"/>
      <c r="G774" s="25"/>
      <c r="H774" s="25"/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6"/>
      <c r="B775" s="24">
        <v>0.75</v>
      </c>
      <c r="C775" s="24">
        <v>0.333333333333333</v>
      </c>
      <c r="D775" s="25">
        <v>1007614330</v>
      </c>
      <c r="E775" s="16">
        <v>10348293</v>
      </c>
      <c r="F775" s="25" t="s">
        <v>558</v>
      </c>
      <c r="G775" s="25" t="s">
        <v>104</v>
      </c>
      <c r="H775" s="25" t="s">
        <v>1668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3.5" customHeight="1" spans="1:33">
      <c r="A776" s="6"/>
      <c r="B776" s="24">
        <v>0.75</v>
      </c>
      <c r="C776" s="24">
        <v>1.16666666666667</v>
      </c>
      <c r="D776" s="25">
        <v>1123084929</v>
      </c>
      <c r="E776" s="16">
        <v>10331204</v>
      </c>
      <c r="F776" s="25" t="s">
        <v>1777</v>
      </c>
      <c r="G776" s="25" t="s">
        <v>7</v>
      </c>
      <c r="H776" s="25" t="s">
        <v>6</v>
      </c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3.5" customHeight="1" spans="1:33">
      <c r="A777" s="6"/>
      <c r="B777" s="24">
        <v>0.75</v>
      </c>
      <c r="C777" s="24">
        <v>1.125</v>
      </c>
      <c r="D777" s="25" t="s">
        <v>1714</v>
      </c>
      <c r="E777" s="16">
        <v>10348303</v>
      </c>
      <c r="F777" s="25" t="s">
        <v>1713</v>
      </c>
      <c r="G777" s="25" t="s">
        <v>7</v>
      </c>
      <c r="H777" s="25" t="s">
        <v>6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3.5" customHeight="1" spans="1:33">
      <c r="A778" s="6"/>
      <c r="B778" s="24"/>
      <c r="C778" s="24"/>
      <c r="D778" s="25"/>
      <c r="E778" s="16"/>
      <c r="F778" s="25"/>
      <c r="G778" s="25"/>
      <c r="H778" s="25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3.5" customHeight="1" spans="1:33">
      <c r="A779" s="6"/>
      <c r="B779" s="24">
        <v>0.75</v>
      </c>
      <c r="C779" s="24">
        <v>1.125</v>
      </c>
      <c r="D779" s="25" t="s">
        <v>1837</v>
      </c>
      <c r="E779" s="16">
        <v>10331220</v>
      </c>
      <c r="F779" s="25" t="s">
        <v>1836</v>
      </c>
      <c r="G779" s="25" t="s">
        <v>1834</v>
      </c>
      <c r="H779" s="25" t="s">
        <v>39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3.5" customHeight="1" spans="1:33">
      <c r="A780" s="6"/>
      <c r="B780" s="24">
        <v>0.75</v>
      </c>
      <c r="C780" s="24">
        <v>0.125</v>
      </c>
      <c r="D780" s="25" t="s">
        <v>1725</v>
      </c>
      <c r="E780" s="16">
        <v>10347420</v>
      </c>
      <c r="F780" s="25" t="s">
        <v>1724</v>
      </c>
      <c r="G780" s="25" t="s">
        <v>40</v>
      </c>
      <c r="H780" s="25" t="s">
        <v>134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3.5" customHeight="1" spans="1:33">
      <c r="A781" s="6"/>
      <c r="B781" s="24">
        <v>0.75</v>
      </c>
      <c r="C781" s="24">
        <v>0.166666666666667</v>
      </c>
      <c r="D781" s="25">
        <v>1274776024</v>
      </c>
      <c r="E781" s="16">
        <v>10311872</v>
      </c>
      <c r="F781" s="25" t="s">
        <v>1492</v>
      </c>
      <c r="G781" s="25" t="s">
        <v>40</v>
      </c>
      <c r="H781" s="25" t="s">
        <v>134</v>
      </c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6"/>
      <c r="B782" s="24"/>
      <c r="C782" s="24"/>
      <c r="D782" s="25"/>
      <c r="E782" s="16"/>
      <c r="F782" s="25"/>
      <c r="G782" s="25"/>
      <c r="H782" s="25"/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7.5" customHeight="1" spans="1:33">
      <c r="A783" s="9">
        <v>0.791666666666667</v>
      </c>
      <c r="B783" s="10"/>
      <c r="C783" s="10"/>
      <c r="D783" s="10"/>
      <c r="E783" s="11"/>
      <c r="F783" s="10"/>
      <c r="G783" s="10"/>
      <c r="H783" s="10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9"/>
      <c r="B784" s="8" t="s">
        <v>2673</v>
      </c>
      <c r="C784" s="8" t="s">
        <v>2674</v>
      </c>
      <c r="D784" s="8" t="s">
        <v>2675</v>
      </c>
      <c r="E784" s="13" t="s">
        <v>1895</v>
      </c>
      <c r="F784" s="8" t="s">
        <v>3</v>
      </c>
      <c r="G784" s="8" t="s">
        <v>2676</v>
      </c>
      <c r="H784" s="8" t="s">
        <v>2677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3.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3.5" customHeight="1" spans="1:33">
      <c r="A786" s="6"/>
      <c r="B786" s="14">
        <v>0.791666666666667</v>
      </c>
      <c r="C786" s="14">
        <v>1.25</v>
      </c>
      <c r="D786" s="15">
        <v>11567115272</v>
      </c>
      <c r="E786" s="16">
        <v>10348227</v>
      </c>
      <c r="F786" s="15" t="s">
        <v>1297</v>
      </c>
      <c r="G786" s="15" t="s">
        <v>23</v>
      </c>
      <c r="H786" s="15" t="s">
        <v>172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3.5" customHeight="1" spans="1:33">
      <c r="A787" s="6"/>
      <c r="B787" s="14"/>
      <c r="C787" s="14"/>
      <c r="D787" s="15"/>
      <c r="E787" s="16"/>
      <c r="F787" s="15"/>
      <c r="G787" s="15"/>
      <c r="H787" s="15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3.5" customHeight="1" spans="1:33">
      <c r="A788" s="6"/>
      <c r="B788" s="14">
        <v>0.791666666666667</v>
      </c>
      <c r="C788" s="14">
        <v>0.166666666666667</v>
      </c>
      <c r="D788" s="15">
        <v>0</v>
      </c>
      <c r="E788" s="16">
        <v>10333590</v>
      </c>
      <c r="F788" s="15" t="s">
        <v>568</v>
      </c>
      <c r="G788" s="15" t="s">
        <v>37</v>
      </c>
      <c r="H788" s="15" t="s">
        <v>91</v>
      </c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6"/>
      <c r="B789" s="14">
        <v>0.791666666666667</v>
      </c>
      <c r="C789" s="14">
        <v>0.166666666666667</v>
      </c>
      <c r="D789" s="15">
        <v>1008361694</v>
      </c>
      <c r="E789" s="16">
        <v>10333447</v>
      </c>
      <c r="F789" s="15" t="s">
        <v>567</v>
      </c>
      <c r="G789" s="15" t="s">
        <v>37</v>
      </c>
      <c r="H789" s="15" t="s">
        <v>91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3.5" customHeight="1" spans="1:33">
      <c r="A790" s="6"/>
      <c r="B790" s="14"/>
      <c r="C790" s="14"/>
      <c r="D790" s="15"/>
      <c r="E790" s="16"/>
      <c r="F790" s="15"/>
      <c r="G790" s="15"/>
      <c r="H790" s="15"/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3.5" customHeight="1" spans="1:33">
      <c r="A791" s="6"/>
      <c r="B791" s="14">
        <v>0.791666666666667</v>
      </c>
      <c r="C791" s="14">
        <v>1.29166666666667</v>
      </c>
      <c r="D791" s="15" t="s">
        <v>1833</v>
      </c>
      <c r="E791" s="16">
        <v>10346798</v>
      </c>
      <c r="F791" s="15" t="s">
        <v>1832</v>
      </c>
      <c r="G791" s="15" t="s">
        <v>7</v>
      </c>
      <c r="H791" s="15" t="s">
        <v>6</v>
      </c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3.5" customHeight="1" spans="1:33">
      <c r="A792" s="6"/>
      <c r="B792" s="14"/>
      <c r="C792" s="14"/>
      <c r="D792" s="15"/>
      <c r="E792" s="16"/>
      <c r="F792" s="15"/>
      <c r="G792" s="15"/>
      <c r="H792" s="15"/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7.5" customHeight="1" spans="1:33">
      <c r="A793" s="9">
        <v>0.833333333333333</v>
      </c>
      <c r="B793" s="10"/>
      <c r="C793" s="10"/>
      <c r="D793" s="10"/>
      <c r="E793" s="11"/>
      <c r="F793" s="10"/>
      <c r="G793" s="10"/>
      <c r="H793" s="10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12"/>
      <c r="B794" s="8" t="s">
        <v>2673</v>
      </c>
      <c r="C794" s="8" t="s">
        <v>2674</v>
      </c>
      <c r="D794" s="8" t="s">
        <v>2675</v>
      </c>
      <c r="E794" s="13" t="s">
        <v>1895</v>
      </c>
      <c r="F794" s="8" t="s">
        <v>3</v>
      </c>
      <c r="G794" s="8" t="s">
        <v>2676</v>
      </c>
      <c r="H794" s="8" t="s">
        <v>2677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7.25" customHeight="1" spans="1:33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7.25" customHeight="1" spans="1:33">
      <c r="A796" s="6"/>
      <c r="B796" s="14">
        <v>0.833333333333333</v>
      </c>
      <c r="C796" s="14">
        <v>0.333333333333333</v>
      </c>
      <c r="D796" s="15">
        <v>1285622455</v>
      </c>
      <c r="E796" s="16">
        <v>10344307</v>
      </c>
      <c r="F796" s="15" t="s">
        <v>1428</v>
      </c>
      <c r="G796" s="15" t="s">
        <v>95</v>
      </c>
      <c r="H796" s="15" t="s">
        <v>137</v>
      </c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7.25" customHeight="1" spans="1:33">
      <c r="A797" s="6"/>
      <c r="B797" s="14">
        <v>0.833333333333333</v>
      </c>
      <c r="C797" s="14">
        <v>0.208333333333333</v>
      </c>
      <c r="D797" s="15">
        <v>1123800117</v>
      </c>
      <c r="E797" s="16">
        <v>10212383</v>
      </c>
      <c r="F797" s="15" t="s">
        <v>1781</v>
      </c>
      <c r="G797" s="15" t="s">
        <v>95</v>
      </c>
      <c r="H797" s="15" t="s">
        <v>1780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>
        <v>0.833333333333333</v>
      </c>
      <c r="C798" s="14">
        <v>0.208333333333333</v>
      </c>
      <c r="D798" s="15">
        <v>1142234058</v>
      </c>
      <c r="E798" s="16">
        <v>10325898</v>
      </c>
      <c r="F798" s="15" t="s">
        <v>1602</v>
      </c>
      <c r="G798" s="15" t="s">
        <v>95</v>
      </c>
      <c r="H798" s="15" t="s">
        <v>137</v>
      </c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>
        <v>0.833333333333333</v>
      </c>
      <c r="C799" s="14">
        <v>0.208333333333333</v>
      </c>
      <c r="D799" s="15">
        <v>1000065945</v>
      </c>
      <c r="E799" s="16">
        <v>10320445</v>
      </c>
      <c r="F799" s="15" t="s">
        <v>256</v>
      </c>
      <c r="G799" s="15" t="s">
        <v>95</v>
      </c>
      <c r="H799" s="15" t="s">
        <v>94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/>
      <c r="C800" s="14"/>
      <c r="D800" s="15"/>
      <c r="E800" s="16"/>
      <c r="F800" s="15"/>
      <c r="G800" s="15"/>
      <c r="H800" s="15"/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>
        <v>0.833333333333333</v>
      </c>
      <c r="C801" s="14">
        <v>0.333333333333333</v>
      </c>
      <c r="D801" s="15">
        <v>1099884506</v>
      </c>
      <c r="E801" s="16">
        <v>10346886</v>
      </c>
      <c r="F801" s="15" t="s">
        <v>1585</v>
      </c>
      <c r="G801" s="15" t="s">
        <v>23</v>
      </c>
      <c r="H801" s="15" t="s">
        <v>62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/>
      <c r="C802" s="14"/>
      <c r="D802" s="15"/>
      <c r="E802" s="16"/>
      <c r="F802" s="15"/>
      <c r="G802" s="15"/>
      <c r="H802" s="15"/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>
        <v>0.833333333333333</v>
      </c>
      <c r="C803" s="14">
        <v>0.333333333333333</v>
      </c>
      <c r="D803" s="15">
        <v>1555036873</v>
      </c>
      <c r="E803" s="16">
        <v>10317235</v>
      </c>
      <c r="F803" s="15" t="s">
        <v>1770</v>
      </c>
      <c r="G803" s="15" t="s">
        <v>37</v>
      </c>
      <c r="H803" s="15" t="s">
        <v>115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>
        <v>0.833333333333333</v>
      </c>
      <c r="C804" s="14">
        <v>0.333333333333333</v>
      </c>
      <c r="D804" s="15">
        <v>1145149773</v>
      </c>
      <c r="E804" s="16">
        <v>10344235</v>
      </c>
      <c r="F804" s="15" t="s">
        <v>1437</v>
      </c>
      <c r="G804" s="15" t="s">
        <v>37</v>
      </c>
      <c r="H804" s="15" t="s">
        <v>36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>
        <v>0.833333333333333</v>
      </c>
      <c r="C805" s="14">
        <v>1.29166666666667</v>
      </c>
      <c r="D805" s="15">
        <v>1505849880</v>
      </c>
      <c r="E805" s="16">
        <v>10344860</v>
      </c>
      <c r="F805" s="15" t="s">
        <v>1524</v>
      </c>
      <c r="G805" s="15" t="s">
        <v>37</v>
      </c>
      <c r="H805" s="15" t="s">
        <v>131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>
        <v>0.833333333333333</v>
      </c>
      <c r="C806" s="14">
        <v>0.208333333333333</v>
      </c>
      <c r="D806" s="15" t="s">
        <v>562</v>
      </c>
      <c r="E806" s="16">
        <v>10333435</v>
      </c>
      <c r="F806" s="15" t="s">
        <v>561</v>
      </c>
      <c r="G806" s="15" t="s">
        <v>37</v>
      </c>
      <c r="H806" s="15" t="s">
        <v>131</v>
      </c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/>
      <c r="C807" s="14"/>
      <c r="D807" s="15"/>
      <c r="E807" s="16"/>
      <c r="F807" s="15"/>
      <c r="G807" s="15"/>
      <c r="H807" s="15"/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>
        <v>0.833333333333333</v>
      </c>
      <c r="C808" s="14">
        <v>0.333333333333333</v>
      </c>
      <c r="D808" s="15">
        <v>1287028152</v>
      </c>
      <c r="E808" s="16">
        <v>10316787</v>
      </c>
      <c r="F808" s="15" t="s">
        <v>1776</v>
      </c>
      <c r="G808" s="15" t="s">
        <v>7</v>
      </c>
      <c r="H808" s="15" t="s">
        <v>6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0.833333333333333</v>
      </c>
      <c r="C809" s="14">
        <v>0.208333333333333</v>
      </c>
      <c r="D809" s="15">
        <v>1505499876</v>
      </c>
      <c r="E809" s="16">
        <v>10333845</v>
      </c>
      <c r="F809" s="15" t="s">
        <v>1144</v>
      </c>
      <c r="G809" s="15" t="s">
        <v>7</v>
      </c>
      <c r="H809" s="15" t="s">
        <v>6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/>
      <c r="C810" s="14"/>
      <c r="D810" s="15"/>
      <c r="E810" s="16"/>
      <c r="F810" s="15"/>
      <c r="G810" s="15"/>
      <c r="H810" s="15"/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0.833333333333333</v>
      </c>
      <c r="C811" s="14">
        <v>0.333333333333333</v>
      </c>
      <c r="D811" s="15">
        <v>1024271525</v>
      </c>
      <c r="E811" s="16">
        <v>10347004</v>
      </c>
      <c r="F811" s="15" t="s">
        <v>1647</v>
      </c>
      <c r="G811" s="15" t="s">
        <v>40</v>
      </c>
      <c r="H811" s="15" t="s">
        <v>155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/>
      <c r="C812" s="14"/>
      <c r="D812" s="15"/>
      <c r="E812" s="16"/>
      <c r="F812" s="15"/>
      <c r="G812" s="15"/>
      <c r="H812" s="15"/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7.5" customHeight="1" spans="1:33">
      <c r="A813" s="9">
        <v>0.875</v>
      </c>
      <c r="B813" s="10"/>
      <c r="C813" s="10"/>
      <c r="D813" s="10"/>
      <c r="E813" s="11"/>
      <c r="F813" s="10"/>
      <c r="G813" s="10"/>
      <c r="H813" s="10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5" customHeight="1" spans="1:33">
      <c r="A814" s="9"/>
      <c r="B814" s="8" t="s">
        <v>2673</v>
      </c>
      <c r="C814" s="8" t="s">
        <v>2674</v>
      </c>
      <c r="D814" s="8" t="s">
        <v>2675</v>
      </c>
      <c r="E814" s="13" t="s">
        <v>1895</v>
      </c>
      <c r="F814" s="8" t="s">
        <v>3</v>
      </c>
      <c r="G814" s="8" t="s">
        <v>2676</v>
      </c>
      <c r="H814" s="8" t="s">
        <v>2677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7.2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7.25" customHeight="1" spans="1:33">
      <c r="A816" s="6"/>
      <c r="B816" s="14">
        <v>0.875</v>
      </c>
      <c r="C816" s="14">
        <v>0.333333333333333</v>
      </c>
      <c r="D816" s="15">
        <v>1091172333</v>
      </c>
      <c r="E816" s="16">
        <v>10347609</v>
      </c>
      <c r="F816" s="15" t="s">
        <v>1658</v>
      </c>
      <c r="G816" s="15" t="s">
        <v>16</v>
      </c>
      <c r="H816" s="15" t="s">
        <v>20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7.25" customHeight="1" spans="1:33">
      <c r="A817" s="6"/>
      <c r="B817" s="14">
        <v>0.875</v>
      </c>
      <c r="C817" s="14">
        <v>1.25</v>
      </c>
      <c r="D817" s="15">
        <v>1020340671</v>
      </c>
      <c r="E817" s="16">
        <v>10347646</v>
      </c>
      <c r="F817" s="15" t="s">
        <v>1661</v>
      </c>
      <c r="G817" s="15" t="s">
        <v>16</v>
      </c>
      <c r="H817" s="15" t="s">
        <v>126</v>
      </c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7.25" customHeight="1" spans="1:33">
      <c r="A818" s="6"/>
      <c r="B818" s="14">
        <v>0.875</v>
      </c>
      <c r="C818" s="14">
        <v>1.25</v>
      </c>
      <c r="D818" s="15" t="s">
        <v>1694</v>
      </c>
      <c r="E818" s="16">
        <v>10348044</v>
      </c>
      <c r="F818" s="15" t="s">
        <v>1693</v>
      </c>
      <c r="G818" s="15" t="s">
        <v>16</v>
      </c>
      <c r="H818" s="15" t="s">
        <v>126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7.25" customHeight="1" spans="1:33">
      <c r="A819" s="6"/>
      <c r="B819" s="14"/>
      <c r="C819" s="14"/>
      <c r="D819" s="15"/>
      <c r="E819" s="16"/>
      <c r="F819" s="15"/>
      <c r="G819" s="15"/>
      <c r="H819" s="15"/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7.25" customHeight="1" spans="1:33">
      <c r="A820" s="6"/>
      <c r="B820" s="14">
        <v>0.875</v>
      </c>
      <c r="C820" s="14">
        <v>1.25</v>
      </c>
      <c r="D820" s="15">
        <v>1104380295</v>
      </c>
      <c r="E820" s="16">
        <v>10347991</v>
      </c>
      <c r="F820" s="15" t="s">
        <v>1682</v>
      </c>
      <c r="G820" s="15" t="s">
        <v>76</v>
      </c>
      <c r="H820" s="15" t="s">
        <v>98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7.25" customHeight="1" spans="1:33">
      <c r="A821" s="6"/>
      <c r="B821" s="14"/>
      <c r="C821" s="14"/>
      <c r="D821" s="15"/>
      <c r="E821" s="16"/>
      <c r="F821" s="15"/>
      <c r="G821" s="15"/>
      <c r="H821" s="15"/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7.25" customHeight="1" spans="1:33">
      <c r="A822" s="6"/>
      <c r="B822" s="14">
        <v>0.875</v>
      </c>
      <c r="C822" s="14">
        <v>1.25</v>
      </c>
      <c r="D822" s="15">
        <v>1055980976</v>
      </c>
      <c r="E822" s="16">
        <v>10348043</v>
      </c>
      <c r="F822" s="15" t="s">
        <v>1672</v>
      </c>
      <c r="G822" s="15" t="s">
        <v>27</v>
      </c>
      <c r="H822" s="15" t="s">
        <v>26</v>
      </c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7.25" customHeight="1" spans="1:33">
      <c r="A823" s="6"/>
      <c r="B823" s="14"/>
      <c r="C823" s="14"/>
      <c r="D823" s="15"/>
      <c r="E823" s="16"/>
      <c r="F823" s="15"/>
      <c r="G823" s="15"/>
      <c r="H823" s="15"/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7.25" customHeight="1" spans="1:33">
      <c r="A824" s="6"/>
      <c r="B824" s="14">
        <v>0.875</v>
      </c>
      <c r="C824" s="14">
        <v>1.25</v>
      </c>
      <c r="D824" s="15">
        <v>1144418499</v>
      </c>
      <c r="E824" s="16">
        <v>10347630</v>
      </c>
      <c r="F824" s="15" t="s">
        <v>1659</v>
      </c>
      <c r="G824" s="15" t="s">
        <v>23</v>
      </c>
      <c r="H824" s="15" t="s">
        <v>101</v>
      </c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7.25" customHeight="1" spans="1:33">
      <c r="A825" s="6"/>
      <c r="B825" s="14">
        <v>0.875</v>
      </c>
      <c r="C825" s="14">
        <v>1.25</v>
      </c>
      <c r="D825" s="15">
        <v>1013996057</v>
      </c>
      <c r="E825" s="16">
        <v>10347993</v>
      </c>
      <c r="F825" s="15" t="s">
        <v>624</v>
      </c>
      <c r="G825" s="15" t="s">
        <v>23</v>
      </c>
      <c r="H825" s="15" t="s">
        <v>144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7.25" customHeight="1" spans="1:33">
      <c r="A826" s="6"/>
      <c r="B826" s="14">
        <v>0.875</v>
      </c>
      <c r="C826" s="14">
        <v>1.25</v>
      </c>
      <c r="D826" s="15" t="s">
        <v>1685</v>
      </c>
      <c r="E826" s="16">
        <v>10348000</v>
      </c>
      <c r="F826" s="15" t="s">
        <v>1684</v>
      </c>
      <c r="G826" s="15" t="s">
        <v>23</v>
      </c>
      <c r="H826" s="15" t="s">
        <v>1683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7.25" customHeight="1" spans="1:33">
      <c r="A827" s="6"/>
      <c r="B827" s="14"/>
      <c r="C827" s="14"/>
      <c r="D827" s="15"/>
      <c r="E827" s="16"/>
      <c r="F827" s="15"/>
      <c r="G827" s="15"/>
      <c r="H827" s="15"/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7.25" customHeight="1" spans="1:33">
      <c r="A828" s="6"/>
      <c r="B828" s="14">
        <v>0.875</v>
      </c>
      <c r="C828" s="14">
        <v>1.25</v>
      </c>
      <c r="D828" s="15">
        <v>1228798735</v>
      </c>
      <c r="E828" s="16">
        <v>10347758</v>
      </c>
      <c r="F828" s="15" t="s">
        <v>1663</v>
      </c>
      <c r="G828" s="15" t="s">
        <v>37</v>
      </c>
      <c r="H828" s="15" t="s">
        <v>195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7.25" customHeight="1" spans="1:33">
      <c r="A829" s="6"/>
      <c r="B829" s="14">
        <v>0.875</v>
      </c>
      <c r="C829" s="14">
        <v>1.25</v>
      </c>
      <c r="D829" s="15">
        <v>1097424636</v>
      </c>
      <c r="E829" s="16">
        <v>10347983</v>
      </c>
      <c r="F829" s="15" t="s">
        <v>1678</v>
      </c>
      <c r="G829" s="15" t="s">
        <v>37</v>
      </c>
      <c r="H829" s="15" t="s">
        <v>195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7.25" customHeight="1" spans="1:33">
      <c r="A830" s="6"/>
      <c r="B830" s="14">
        <v>0.875</v>
      </c>
      <c r="C830" s="14">
        <v>1.25</v>
      </c>
      <c r="D830" s="15" t="s">
        <v>1675</v>
      </c>
      <c r="E830" s="16">
        <v>10348012</v>
      </c>
      <c r="F830" s="15" t="s">
        <v>1674</v>
      </c>
      <c r="G830" s="15" t="s">
        <v>37</v>
      </c>
      <c r="H830" s="15" t="s">
        <v>36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7.25" customHeight="1" spans="1:33">
      <c r="A831" s="6"/>
      <c r="B831" s="14">
        <v>0.875</v>
      </c>
      <c r="C831" s="14">
        <v>1.25</v>
      </c>
      <c r="D831" s="15" t="s">
        <v>1677</v>
      </c>
      <c r="E831" s="16">
        <v>10348015</v>
      </c>
      <c r="F831" s="15" t="s">
        <v>1676</v>
      </c>
      <c r="G831" s="15" t="s">
        <v>37</v>
      </c>
      <c r="H831" s="15" t="s">
        <v>91</v>
      </c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7.25" customHeight="1" spans="1:33">
      <c r="A832" s="6"/>
      <c r="B832" s="14">
        <v>0.875</v>
      </c>
      <c r="C832" s="14">
        <v>1.25</v>
      </c>
      <c r="D832" s="15">
        <v>1500087789</v>
      </c>
      <c r="E832" s="16">
        <v>10348054</v>
      </c>
      <c r="F832" s="15" t="s">
        <v>1691</v>
      </c>
      <c r="G832" s="15" t="s">
        <v>37</v>
      </c>
      <c r="H832" s="15" t="s">
        <v>1690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7.25" customHeight="1" spans="1:33">
      <c r="A833" s="6"/>
      <c r="B833" s="14"/>
      <c r="C833" s="14"/>
      <c r="D833" s="15"/>
      <c r="E833" s="16"/>
      <c r="F833" s="15"/>
      <c r="G833" s="15"/>
      <c r="H833" s="15"/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7.25" customHeight="1" spans="1:33">
      <c r="A834" s="6"/>
      <c r="B834" s="14">
        <v>0.875</v>
      </c>
      <c r="C834" s="14">
        <v>1.25</v>
      </c>
      <c r="D834" s="15">
        <v>1031695970</v>
      </c>
      <c r="E834" s="16">
        <v>10347183</v>
      </c>
      <c r="F834" s="15" t="s">
        <v>1627</v>
      </c>
      <c r="G834" s="15" t="s">
        <v>104</v>
      </c>
      <c r="H834" s="15" t="s">
        <v>103</v>
      </c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7.25" customHeight="1" spans="1:33">
      <c r="A835" s="6"/>
      <c r="B835" s="14">
        <v>0.875</v>
      </c>
      <c r="C835" s="14">
        <v>1.25</v>
      </c>
      <c r="D835" s="15">
        <v>1096062793</v>
      </c>
      <c r="E835" s="16">
        <v>10347754</v>
      </c>
      <c r="F835" s="15" t="s">
        <v>1662</v>
      </c>
      <c r="G835" s="15" t="s">
        <v>104</v>
      </c>
      <c r="H835" s="15" t="s">
        <v>103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7.25" customHeight="1" spans="1:33">
      <c r="A836" s="6"/>
      <c r="B836" s="14">
        <v>0.875</v>
      </c>
      <c r="C836" s="14">
        <v>1.25</v>
      </c>
      <c r="D836" s="15" t="s">
        <v>1670</v>
      </c>
      <c r="E836" s="16">
        <v>10348008</v>
      </c>
      <c r="F836" s="15" t="s">
        <v>1669</v>
      </c>
      <c r="G836" s="15" t="s">
        <v>104</v>
      </c>
      <c r="H836" s="15" t="s">
        <v>1668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7.25" customHeight="1" spans="1:33">
      <c r="A837" s="6"/>
      <c r="B837" s="14">
        <v>0.875</v>
      </c>
      <c r="C837" s="14">
        <v>1.25</v>
      </c>
      <c r="D837" s="15">
        <v>1558595142</v>
      </c>
      <c r="E837" s="16">
        <v>10348055</v>
      </c>
      <c r="F837" s="15" t="s">
        <v>1686</v>
      </c>
      <c r="G837" s="15" t="s">
        <v>104</v>
      </c>
      <c r="H837" s="15" t="s">
        <v>1668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7.25" customHeight="1" spans="1:33">
      <c r="A838" s="6"/>
      <c r="B838" s="14">
        <v>0.875</v>
      </c>
      <c r="C838" s="14">
        <v>1.25</v>
      </c>
      <c r="D838" s="15">
        <v>1507870093</v>
      </c>
      <c r="E838" s="16">
        <v>10347992</v>
      </c>
      <c r="F838" s="15" t="s">
        <v>1687</v>
      </c>
      <c r="G838" s="15" t="s">
        <v>7</v>
      </c>
      <c r="H838" s="15" t="s">
        <v>6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7.25" customHeight="1" spans="1:33">
      <c r="A839" s="6"/>
      <c r="B839" s="14">
        <v>0.875</v>
      </c>
      <c r="C839" s="14">
        <v>1.25</v>
      </c>
      <c r="D839" s="15" t="s">
        <v>1689</v>
      </c>
      <c r="E839" s="16">
        <v>10348014</v>
      </c>
      <c r="F839" s="15" t="s">
        <v>1688</v>
      </c>
      <c r="G839" s="15" t="s">
        <v>7</v>
      </c>
      <c r="H839" s="15" t="s">
        <v>6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7.25" customHeight="1" spans="1:33">
      <c r="A840" s="6"/>
      <c r="B840" s="14">
        <v>0.875</v>
      </c>
      <c r="C840" s="14">
        <v>0.25</v>
      </c>
      <c r="D840" s="15">
        <v>1153727814</v>
      </c>
      <c r="E840" s="16">
        <v>10292490</v>
      </c>
      <c r="F840" s="15" t="s">
        <v>1491</v>
      </c>
      <c r="G840" s="15" t="s">
        <v>7</v>
      </c>
      <c r="H840" s="15" t="s">
        <v>6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7.25" customHeight="1" spans="1:33">
      <c r="A841" s="6"/>
      <c r="B841" s="14"/>
      <c r="C841" s="14"/>
      <c r="D841" s="15"/>
      <c r="E841" s="16"/>
      <c r="F841" s="15"/>
      <c r="G841" s="15"/>
      <c r="H841" s="15"/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7.5" customHeight="1" spans="1:33">
      <c r="A842" s="9">
        <v>0.916666666666667</v>
      </c>
      <c r="B842" s="10"/>
      <c r="C842" s="10"/>
      <c r="D842" s="10"/>
      <c r="E842" s="11"/>
      <c r="F842" s="10"/>
      <c r="G842" s="10"/>
      <c r="H842" s="10"/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9"/>
      <c r="B843" s="8" t="s">
        <v>2673</v>
      </c>
      <c r="C843" s="8" t="s">
        <v>2674</v>
      </c>
      <c r="D843" s="8" t="s">
        <v>2675</v>
      </c>
      <c r="E843" s="13" t="s">
        <v>1895</v>
      </c>
      <c r="F843" s="8" t="s">
        <v>3</v>
      </c>
      <c r="G843" s="8" t="s">
        <v>2676</v>
      </c>
      <c r="H843" s="8" t="s">
        <v>2677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7.25" customHeight="1" spans="1:33">
      <c r="A844" s="6"/>
      <c r="B844" s="14"/>
      <c r="C844" s="14"/>
      <c r="D844" s="15"/>
      <c r="E844" s="16"/>
      <c r="F844" s="15"/>
      <c r="G844" s="15"/>
      <c r="H844" s="15"/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7.25" customHeight="1" spans="1:33">
      <c r="A845" s="6"/>
      <c r="B845" s="14">
        <v>0.916666666666667</v>
      </c>
      <c r="C845" s="14">
        <v>1.29166666666667</v>
      </c>
      <c r="D845" s="15">
        <v>0</v>
      </c>
      <c r="E845" s="16">
        <v>10347347</v>
      </c>
      <c r="F845" s="15" t="s">
        <v>1643</v>
      </c>
      <c r="G845" s="15" t="s">
        <v>434</v>
      </c>
      <c r="H845" s="15" t="s">
        <v>434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7.25" customHeight="1" spans="1:33">
      <c r="A846" s="6"/>
      <c r="B846" s="14"/>
      <c r="C846" s="14"/>
      <c r="D846" s="15"/>
      <c r="E846" s="16"/>
      <c r="F846" s="15"/>
      <c r="G846" s="15"/>
      <c r="H846" s="15"/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7.25" customHeight="1" spans="1:33">
      <c r="A847" s="6"/>
      <c r="B847" s="14">
        <v>0.916666666666667</v>
      </c>
      <c r="C847" s="14">
        <v>0.333333333333333</v>
      </c>
      <c r="D847" s="15">
        <v>1044067902</v>
      </c>
      <c r="E847" s="16">
        <v>10335502</v>
      </c>
      <c r="F847" s="15" t="s">
        <v>1855</v>
      </c>
      <c r="G847" s="15" t="s">
        <v>67</v>
      </c>
      <c r="H847" s="15" t="s">
        <v>123</v>
      </c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7.25" customHeight="1" spans="1:33">
      <c r="A848" s="6"/>
      <c r="B848" s="14">
        <v>0.916666666666667</v>
      </c>
      <c r="C848" s="14">
        <v>0.291666666666667</v>
      </c>
      <c r="D848" s="15">
        <v>1112544706</v>
      </c>
      <c r="E848" s="16">
        <v>10331818</v>
      </c>
      <c r="F848" s="15" t="s">
        <v>1141</v>
      </c>
      <c r="G848" s="15" t="s">
        <v>67</v>
      </c>
      <c r="H848" s="15" t="s">
        <v>146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7.25" customHeight="1" spans="1:33">
      <c r="A849" s="6"/>
      <c r="B849" s="14"/>
      <c r="C849" s="14"/>
      <c r="D849" s="15"/>
      <c r="E849" s="16"/>
      <c r="F849" s="15"/>
      <c r="G849" s="15"/>
      <c r="H849" s="15"/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7.25" customHeight="1" spans="1:33">
      <c r="A850" s="6"/>
      <c r="B850" s="14">
        <v>0.916666666666667</v>
      </c>
      <c r="C850" s="14">
        <v>1.29166666666667</v>
      </c>
      <c r="D850" s="15">
        <v>1004402706</v>
      </c>
      <c r="E850" s="16">
        <v>10344755</v>
      </c>
      <c r="F850" s="15" t="s">
        <v>1499</v>
      </c>
      <c r="G850" s="15" t="s">
        <v>16</v>
      </c>
      <c r="H850" s="15" t="s">
        <v>15</v>
      </c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7.25" customHeight="1" spans="1:33">
      <c r="A851" s="6"/>
      <c r="B851" s="14">
        <v>0.916666666666667</v>
      </c>
      <c r="C851" s="14">
        <v>1.29166666666667</v>
      </c>
      <c r="D851" s="15">
        <v>1024731489</v>
      </c>
      <c r="E851" s="16">
        <v>10344861</v>
      </c>
      <c r="F851" s="15" t="s">
        <v>1525</v>
      </c>
      <c r="G851" s="15" t="s">
        <v>16</v>
      </c>
      <c r="H851" s="15" t="s">
        <v>126</v>
      </c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7.25" customHeight="1" spans="1:33">
      <c r="A852" s="6"/>
      <c r="B852" s="14">
        <v>0.916666666666666</v>
      </c>
      <c r="C852" s="14">
        <v>0.291666666666666</v>
      </c>
      <c r="D852" s="15">
        <v>1277749159</v>
      </c>
      <c r="E852" s="16">
        <v>10346382</v>
      </c>
      <c r="F852" s="15" t="s">
        <v>1569</v>
      </c>
      <c r="G852" s="15" t="s">
        <v>16</v>
      </c>
      <c r="H852" s="15" t="s">
        <v>178</v>
      </c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7.25" customHeight="1" spans="1:33">
      <c r="A853" s="6"/>
      <c r="B853" s="14">
        <v>0.916666666666667</v>
      </c>
      <c r="C853" s="14">
        <v>1.29166666666667</v>
      </c>
      <c r="D853" s="15">
        <v>1281239426</v>
      </c>
      <c r="E853" s="16">
        <v>10347530</v>
      </c>
      <c r="F853" s="15" t="s">
        <v>1628</v>
      </c>
      <c r="G853" s="15" t="s">
        <v>16</v>
      </c>
      <c r="H853" s="15" t="s">
        <v>34</v>
      </c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7.25" customHeight="1" spans="1:33">
      <c r="A854" s="6"/>
      <c r="B854" s="14"/>
      <c r="C854" s="14"/>
      <c r="D854" s="15"/>
      <c r="E854" s="16"/>
      <c r="F854" s="15"/>
      <c r="G854" s="15"/>
      <c r="H854" s="15"/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7.25" customHeight="1" spans="1:33">
      <c r="A855" s="6"/>
      <c r="B855" s="14">
        <v>0.916666666666667</v>
      </c>
      <c r="C855" s="14">
        <v>1.29166666666667</v>
      </c>
      <c r="D855" s="15">
        <v>1148282927</v>
      </c>
      <c r="E855" s="16">
        <v>10347589</v>
      </c>
      <c r="F855" s="15" t="s">
        <v>1652</v>
      </c>
      <c r="G855" s="15" t="s">
        <v>58</v>
      </c>
      <c r="H855" s="15" t="s">
        <v>57</v>
      </c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7.25" customHeight="1" spans="1:33">
      <c r="A856" s="6"/>
      <c r="B856" s="14"/>
      <c r="C856" s="14"/>
      <c r="D856" s="15"/>
      <c r="E856" s="16"/>
      <c r="F856" s="15"/>
      <c r="G856" s="15"/>
      <c r="H856" s="15"/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7.25" customHeight="1" spans="1:33">
      <c r="A857" s="6"/>
      <c r="B857" s="14">
        <v>0.916666666666667</v>
      </c>
      <c r="C857" s="14">
        <v>0.291666666666667</v>
      </c>
      <c r="D857" s="15">
        <v>1204888981</v>
      </c>
      <c r="E857" s="16">
        <v>10304619</v>
      </c>
      <c r="F857" s="15" t="s">
        <v>341</v>
      </c>
      <c r="G857" s="15" t="s">
        <v>85</v>
      </c>
      <c r="H857" s="15" t="s">
        <v>162</v>
      </c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7.25" customHeight="1" spans="1:33">
      <c r="A858" s="6"/>
      <c r="B858" s="14"/>
      <c r="C858" s="14"/>
      <c r="D858" s="15"/>
      <c r="E858" s="16"/>
      <c r="F858" s="15"/>
      <c r="G858" s="15"/>
      <c r="H858" s="15"/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7.25" customHeight="1" spans="1:33">
      <c r="A859" s="6"/>
      <c r="B859" s="14">
        <v>0.916666666666667</v>
      </c>
      <c r="C859" s="14">
        <v>1.29166666666667</v>
      </c>
      <c r="D859" s="15">
        <v>1122706070</v>
      </c>
      <c r="E859" s="16">
        <v>10344863</v>
      </c>
      <c r="F859" s="15" t="s">
        <v>1528</v>
      </c>
      <c r="G859" s="15" t="s">
        <v>95</v>
      </c>
      <c r="H859" s="15" t="s">
        <v>94</v>
      </c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7.25" customHeight="1" spans="1:33">
      <c r="A860" s="6"/>
      <c r="B860" s="14">
        <v>0.916666666666667</v>
      </c>
      <c r="C860" s="14">
        <v>1.29166666666667</v>
      </c>
      <c r="D860" s="15">
        <v>1021293302</v>
      </c>
      <c r="E860" s="16">
        <v>10344866</v>
      </c>
      <c r="F860" s="15" t="s">
        <v>558</v>
      </c>
      <c r="G860" s="15" t="s">
        <v>95</v>
      </c>
      <c r="H860" s="15" t="s">
        <v>137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7.25" customHeight="1" spans="1:33">
      <c r="A861" s="6"/>
      <c r="B861" s="14">
        <v>0.916666666666667</v>
      </c>
      <c r="C861" s="14">
        <v>0.791666666666667</v>
      </c>
      <c r="D861" s="15">
        <v>1288271110</v>
      </c>
      <c r="E861" s="16">
        <v>10349056</v>
      </c>
      <c r="F861" s="15" t="s">
        <v>1794</v>
      </c>
      <c r="G861" s="15" t="s">
        <v>95</v>
      </c>
      <c r="H861" s="15" t="s">
        <v>94</v>
      </c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7.25" customHeight="1" spans="1:33">
      <c r="A862" s="6"/>
      <c r="B862" s="14">
        <v>0.916666666666667</v>
      </c>
      <c r="C862" s="14">
        <v>0.291666666666667</v>
      </c>
      <c r="D862" s="15">
        <v>1126050575</v>
      </c>
      <c r="E862" s="16">
        <v>10295622</v>
      </c>
      <c r="F862" s="15" t="s">
        <v>252</v>
      </c>
      <c r="G862" s="15" t="s">
        <v>95</v>
      </c>
      <c r="H862" s="15" t="s">
        <v>108</v>
      </c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7.25" customHeight="1" spans="1:33">
      <c r="A863" s="6"/>
      <c r="B863" s="14">
        <v>0.916666666666667</v>
      </c>
      <c r="C863" s="14">
        <v>0.291666666666667</v>
      </c>
      <c r="D863" s="15">
        <v>1000136922</v>
      </c>
      <c r="E863" s="16">
        <v>10330150</v>
      </c>
      <c r="F863" s="15" t="s">
        <v>479</v>
      </c>
      <c r="G863" s="15" t="s">
        <v>95</v>
      </c>
      <c r="H863" s="15" t="s">
        <v>228</v>
      </c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7.25" customHeight="1" spans="1:33">
      <c r="A864" s="6"/>
      <c r="B864" s="14"/>
      <c r="C864" s="14"/>
      <c r="D864" s="15"/>
      <c r="E864" s="16"/>
      <c r="F864" s="15"/>
      <c r="G864" s="15"/>
      <c r="H864" s="15"/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7.25" customHeight="1" spans="1:33">
      <c r="A865" s="6"/>
      <c r="B865" s="14">
        <v>0.916666666666667</v>
      </c>
      <c r="C865" s="14">
        <v>0.791666666666667</v>
      </c>
      <c r="D865" s="15">
        <v>1223429209</v>
      </c>
      <c r="E865" s="16">
        <v>10349032</v>
      </c>
      <c r="F865" s="15" t="s">
        <v>1798</v>
      </c>
      <c r="G865" s="15" t="s">
        <v>10</v>
      </c>
      <c r="H865" s="15" t="s">
        <v>45</v>
      </c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7.25" customHeight="1" spans="1:33">
      <c r="A866" s="6"/>
      <c r="B866" s="14">
        <v>0.916666666666667</v>
      </c>
      <c r="C866" s="14">
        <v>0.291666666666667</v>
      </c>
      <c r="D866" s="15">
        <v>1070869955</v>
      </c>
      <c r="E866" s="16">
        <v>10334381</v>
      </c>
      <c r="F866" s="15" t="s">
        <v>619</v>
      </c>
      <c r="G866" s="15" t="s">
        <v>10</v>
      </c>
      <c r="H866" s="15" t="s">
        <v>45</v>
      </c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7.25" customHeight="1" spans="1:33">
      <c r="A867" s="6"/>
      <c r="B867" s="14"/>
      <c r="C867" s="14"/>
      <c r="D867" s="15"/>
      <c r="E867" s="16"/>
      <c r="F867" s="15"/>
      <c r="G867" s="15"/>
      <c r="H867" s="15"/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7.25" customHeight="1" spans="1:33">
      <c r="A868" s="6"/>
      <c r="B868" s="14">
        <v>0.916666666666667</v>
      </c>
      <c r="C868" s="14">
        <v>0.791666666666667</v>
      </c>
      <c r="D868" s="15" t="s">
        <v>1799</v>
      </c>
      <c r="E868" s="16">
        <v>10349033</v>
      </c>
      <c r="F868" s="15" t="s">
        <v>551</v>
      </c>
      <c r="G868" s="15" t="s">
        <v>13</v>
      </c>
      <c r="H868" s="15" t="s">
        <v>12</v>
      </c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7.25" customHeight="1" spans="1:33">
      <c r="A869" s="6"/>
      <c r="B869" s="14"/>
      <c r="C869" s="14"/>
      <c r="D869" s="15"/>
      <c r="E869" s="16"/>
      <c r="F869" s="15"/>
      <c r="G869" s="15"/>
      <c r="H869" s="15"/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7.25" customHeight="1" spans="1:33">
      <c r="A870" s="6"/>
      <c r="B870" s="14">
        <v>0.916666666666667</v>
      </c>
      <c r="C870" s="14">
        <v>1.29166666666667</v>
      </c>
      <c r="D870" s="15">
        <v>1092636192</v>
      </c>
      <c r="E870" s="16">
        <v>10274975</v>
      </c>
      <c r="F870" s="15" t="s">
        <v>1761</v>
      </c>
      <c r="G870" s="15" t="s">
        <v>23</v>
      </c>
      <c r="H870" s="15" t="s">
        <v>1760</v>
      </c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7.25" customHeight="1" spans="1:33">
      <c r="A871" s="6"/>
      <c r="B871" s="14">
        <v>0.916666666666667</v>
      </c>
      <c r="C871" s="14">
        <v>1.29166666666667</v>
      </c>
      <c r="D871" s="15">
        <v>1552456793</v>
      </c>
      <c r="E871" s="16">
        <v>10344749</v>
      </c>
      <c r="F871" s="15" t="s">
        <v>926</v>
      </c>
      <c r="G871" s="15" t="s">
        <v>23</v>
      </c>
      <c r="H871" s="15" t="s">
        <v>144</v>
      </c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47.25" customHeight="1" spans="1:33">
      <c r="A872" s="6"/>
      <c r="B872" s="14">
        <v>0.916666666666667</v>
      </c>
      <c r="C872" s="14">
        <v>1.29166666666667</v>
      </c>
      <c r="D872" s="15">
        <v>1093443771</v>
      </c>
      <c r="E872" s="16">
        <v>10344757</v>
      </c>
      <c r="F872" s="15" t="s">
        <v>1500</v>
      </c>
      <c r="G872" s="15" t="s">
        <v>23</v>
      </c>
      <c r="H872" s="15" t="s">
        <v>276</v>
      </c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7.25" customHeight="1" spans="1:33">
      <c r="A873" s="6"/>
      <c r="B873" s="14">
        <v>0.916666666666667</v>
      </c>
      <c r="C873" s="14">
        <v>1.29166666666667</v>
      </c>
      <c r="D873" s="15">
        <v>1004919775</v>
      </c>
      <c r="E873" s="16">
        <v>10347219</v>
      </c>
      <c r="F873" s="15" t="s">
        <v>1638</v>
      </c>
      <c r="G873" s="15" t="s">
        <v>23</v>
      </c>
      <c r="H873" s="15" t="s">
        <v>101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7.25" customHeight="1" spans="1:33">
      <c r="A874" s="6"/>
      <c r="B874" s="14">
        <v>0.916666666666667</v>
      </c>
      <c r="C874" s="14">
        <v>1.29166666666667</v>
      </c>
      <c r="D874" s="15">
        <v>1222749900</v>
      </c>
      <c r="E874" s="16">
        <v>10347280</v>
      </c>
      <c r="F874" s="15" t="s">
        <v>1697</v>
      </c>
      <c r="G874" s="15" t="s">
        <v>23</v>
      </c>
      <c r="H874" s="15" t="s">
        <v>1696</v>
      </c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7.25" customHeight="1" spans="1:33">
      <c r="A875" s="6"/>
      <c r="B875" s="14">
        <v>0.916666666666667</v>
      </c>
      <c r="C875" s="14">
        <v>1.29166666666667</v>
      </c>
      <c r="D875" s="15">
        <v>1555693374</v>
      </c>
      <c r="E875" s="16">
        <v>10347601</v>
      </c>
      <c r="F875" s="15" t="s">
        <v>1655</v>
      </c>
      <c r="G875" s="15" t="s">
        <v>23</v>
      </c>
      <c r="H875" s="15" t="s">
        <v>62</v>
      </c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7.25" customHeight="1" spans="1:33">
      <c r="A876" s="6"/>
      <c r="B876" s="14">
        <v>0.916666666666667</v>
      </c>
      <c r="C876" s="14">
        <v>1.29166666666667</v>
      </c>
      <c r="D876" s="15">
        <v>1093300936</v>
      </c>
      <c r="E876" s="16">
        <v>10347607</v>
      </c>
      <c r="F876" s="15" t="s">
        <v>1657</v>
      </c>
      <c r="G876" s="15" t="s">
        <v>23</v>
      </c>
      <c r="H876" s="15" t="s">
        <v>101</v>
      </c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7.25" customHeight="1" spans="1:33">
      <c r="A877" s="6"/>
      <c r="B877" s="14"/>
      <c r="C877" s="14"/>
      <c r="D877" s="15"/>
      <c r="E877" s="16"/>
      <c r="F877" s="15"/>
      <c r="G877" s="15"/>
      <c r="H877" s="15"/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47.25" customHeight="1" spans="1:33">
      <c r="A878" s="6"/>
      <c r="B878" s="14">
        <v>0.916666666666667</v>
      </c>
      <c r="C878" s="14">
        <v>1.29166666666667</v>
      </c>
      <c r="D878" s="15">
        <v>1095250514</v>
      </c>
      <c r="E878" s="16">
        <v>10340416</v>
      </c>
      <c r="F878" s="15" t="s">
        <v>1765</v>
      </c>
      <c r="G878" s="15" t="s">
        <v>37</v>
      </c>
      <c r="H878" s="15" t="s">
        <v>115</v>
      </c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7.25" customHeight="1" spans="1:33">
      <c r="A879" s="6"/>
      <c r="B879" s="14">
        <v>0.916666666666667</v>
      </c>
      <c r="C879" s="14">
        <v>1.29166666666667</v>
      </c>
      <c r="D879" s="15">
        <v>1153235087</v>
      </c>
      <c r="E879" s="16">
        <v>10341020</v>
      </c>
      <c r="F879" s="15" t="s">
        <v>1771</v>
      </c>
      <c r="G879" s="15" t="s">
        <v>37</v>
      </c>
      <c r="H879" s="15" t="s">
        <v>195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7.25" customHeight="1" spans="1:33">
      <c r="A880" s="6"/>
      <c r="B880" s="14">
        <v>0.916666666666667</v>
      </c>
      <c r="C880" s="14">
        <v>1.29166666666667</v>
      </c>
      <c r="D880" s="15">
        <v>1091324859</v>
      </c>
      <c r="E880" s="16">
        <v>10347007</v>
      </c>
      <c r="F880" s="15" t="s">
        <v>1632</v>
      </c>
      <c r="G880" s="15" t="s">
        <v>37</v>
      </c>
      <c r="H880" s="15" t="s">
        <v>36</v>
      </c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7.25" customHeight="1" spans="1:33">
      <c r="A881" s="6"/>
      <c r="B881" s="14">
        <v>0.916666666666667</v>
      </c>
      <c r="C881" s="14">
        <v>1.29166666666667</v>
      </c>
      <c r="D881" s="15">
        <v>1222696146</v>
      </c>
      <c r="E881" s="16">
        <v>10347605</v>
      </c>
      <c r="F881" s="15" t="s">
        <v>1656</v>
      </c>
      <c r="G881" s="15" t="s">
        <v>37</v>
      </c>
      <c r="H881" s="15" t="s">
        <v>195</v>
      </c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47.25" customHeight="1" spans="1:33">
      <c r="A882" s="6"/>
      <c r="B882" s="14"/>
      <c r="C882" s="14"/>
      <c r="D882" s="15"/>
      <c r="E882" s="16"/>
      <c r="F882" s="15"/>
      <c r="G882" s="15"/>
      <c r="H882" s="15"/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 ht="47.25" customHeight="1" spans="1:33">
      <c r="A883" s="6"/>
      <c r="B883" s="14">
        <v>0.916666666666667</v>
      </c>
      <c r="C883" s="14">
        <v>1.29166666666667</v>
      </c>
      <c r="D883" s="15">
        <v>1559633455</v>
      </c>
      <c r="E883" s="16">
        <v>10343475</v>
      </c>
      <c r="F883" s="15" t="s">
        <v>1775</v>
      </c>
      <c r="G883" s="15" t="s">
        <v>104</v>
      </c>
      <c r="H883" s="15" t="s">
        <v>1668</v>
      </c>
      <c r="I883" s="20"/>
      <c r="J883" s="19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 ht="47.25" customHeight="1" spans="1:33">
      <c r="A884" s="6"/>
      <c r="B884" s="14">
        <v>0.916666666666667</v>
      </c>
      <c r="C884" s="14">
        <v>1.29166666666667</v>
      </c>
      <c r="D884" s="15">
        <v>1090642201</v>
      </c>
      <c r="E884" s="16">
        <v>10344770</v>
      </c>
      <c r="F884" s="15" t="s">
        <v>1506</v>
      </c>
      <c r="G884" s="15" t="s">
        <v>104</v>
      </c>
      <c r="H884" s="15" t="s">
        <v>103</v>
      </c>
      <c r="I884" s="20"/>
      <c r="J884" s="19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 ht="47.25" customHeight="1" spans="1:33">
      <c r="A885" s="6"/>
      <c r="B885" s="14">
        <v>0.916666666666667</v>
      </c>
      <c r="C885" s="14">
        <v>1.29166666666667</v>
      </c>
      <c r="D885" s="15">
        <v>1146188508</v>
      </c>
      <c r="E885" s="16">
        <v>10347234</v>
      </c>
      <c r="F885" s="15" t="s">
        <v>1629</v>
      </c>
      <c r="G885" s="15" t="s">
        <v>7</v>
      </c>
      <c r="H885" s="15" t="s">
        <v>6</v>
      </c>
      <c r="I885" s="20"/>
      <c r="J885" s="19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 ht="47.25" customHeight="1" spans="1:33">
      <c r="A886" s="6"/>
      <c r="B886" s="14">
        <v>0.916666666666667</v>
      </c>
      <c r="C886" s="14">
        <v>1.29166666666667</v>
      </c>
      <c r="D886" s="15">
        <v>1129422164</v>
      </c>
      <c r="E886" s="16">
        <v>10347324</v>
      </c>
      <c r="F886" s="15" t="s">
        <v>1640</v>
      </c>
      <c r="G886" s="15" t="s">
        <v>7</v>
      </c>
      <c r="H886" s="15" t="s">
        <v>6</v>
      </c>
      <c r="I886" s="20"/>
      <c r="J886" s="19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 ht="47.25" customHeight="1" spans="1:33">
      <c r="A887" s="6"/>
      <c r="B887" s="14">
        <v>0.916666666666667</v>
      </c>
      <c r="C887" s="14">
        <v>0.291666666666667</v>
      </c>
      <c r="D887" s="15">
        <v>1552408293</v>
      </c>
      <c r="E887" s="16">
        <v>10314762</v>
      </c>
      <c r="F887" s="15" t="s">
        <v>258</v>
      </c>
      <c r="G887" s="15" t="s">
        <v>7</v>
      </c>
      <c r="H887" s="15" t="s">
        <v>6</v>
      </c>
      <c r="I887" s="20"/>
      <c r="J887" s="19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 ht="47.25" customHeight="1" spans="1:33">
      <c r="A888" s="6"/>
      <c r="B888" s="14"/>
      <c r="C888" s="14"/>
      <c r="D888" s="15"/>
      <c r="E888" s="16"/>
      <c r="F888" s="15"/>
      <c r="G888" s="15"/>
      <c r="H888" s="15"/>
      <c r="I888" s="20"/>
      <c r="J888" s="19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 ht="7.5" customHeight="1" spans="1:33">
      <c r="A889" s="9">
        <v>0.958333333333333</v>
      </c>
      <c r="B889" s="10"/>
      <c r="C889" s="10"/>
      <c r="D889" s="10"/>
      <c r="E889" s="11"/>
      <c r="F889" s="10"/>
      <c r="G889" s="10"/>
      <c r="H889" s="10"/>
      <c r="I889" s="20"/>
      <c r="J889" s="19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 ht="43.5" customHeight="1" spans="1:33">
      <c r="A890" s="12"/>
      <c r="B890" s="8" t="s">
        <v>2673</v>
      </c>
      <c r="C890" s="8" t="s">
        <v>2674</v>
      </c>
      <c r="D890" s="8" t="s">
        <v>2675</v>
      </c>
      <c r="E890" s="13" t="s">
        <v>1895</v>
      </c>
      <c r="F890" s="8" t="s">
        <v>3</v>
      </c>
      <c r="G890" s="8" t="s">
        <v>2676</v>
      </c>
      <c r="H890" s="8" t="s">
        <v>2677</v>
      </c>
      <c r="I890" s="20"/>
      <c r="J890" s="19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 ht="43.5" customHeight="1" spans="1:33">
      <c r="A891" s="6"/>
      <c r="B891" s="14"/>
      <c r="C891" s="14"/>
      <c r="D891" s="15"/>
      <c r="E891" s="16"/>
      <c r="F891" s="15"/>
      <c r="G891" s="15"/>
      <c r="H891" s="15"/>
      <c r="I891" s="20"/>
      <c r="J891" s="19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 ht="43.5" customHeight="1" spans="1:33">
      <c r="A892" s="6"/>
      <c r="B892" s="14">
        <v>0.958333333333333</v>
      </c>
      <c r="C892" s="14">
        <v>0.333333333333333</v>
      </c>
      <c r="D892" s="15">
        <v>1005018561</v>
      </c>
      <c r="E892" s="16">
        <v>10347014</v>
      </c>
      <c r="F892" s="15" t="s">
        <v>1641</v>
      </c>
      <c r="G892" s="15" t="s">
        <v>434</v>
      </c>
      <c r="H892" s="15" t="s">
        <v>434</v>
      </c>
      <c r="I892" s="20"/>
      <c r="J892" s="19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 ht="43.5" customHeight="1" spans="1:33">
      <c r="A893" s="6"/>
      <c r="B893" s="14">
        <v>0.958333333333333</v>
      </c>
      <c r="C893" s="14">
        <v>0.333333333333333</v>
      </c>
      <c r="D893" s="15">
        <v>1092831999</v>
      </c>
      <c r="E893" s="16">
        <v>10344167</v>
      </c>
      <c r="F893" s="15" t="s">
        <v>1413</v>
      </c>
      <c r="G893" s="15" t="s">
        <v>286</v>
      </c>
      <c r="H893" s="15" t="s">
        <v>286</v>
      </c>
      <c r="I893" s="20"/>
      <c r="J893" s="19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 ht="43.5" customHeight="1" spans="1:33">
      <c r="A894" s="6"/>
      <c r="B894" s="14"/>
      <c r="C894" s="14"/>
      <c r="D894" s="15"/>
      <c r="E894" s="16"/>
      <c r="F894" s="15"/>
      <c r="G894" s="15"/>
      <c r="H894" s="15"/>
      <c r="I894" s="20"/>
      <c r="J894" s="19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 ht="43.5" customHeight="1" spans="1:33">
      <c r="A895" s="6"/>
      <c r="B895" s="14">
        <v>0.958333333333333</v>
      </c>
      <c r="C895" s="14">
        <v>0.333333333333333</v>
      </c>
      <c r="D895" s="15" t="s">
        <v>1741</v>
      </c>
      <c r="E895" s="16">
        <v>10319795</v>
      </c>
      <c r="F895" s="15" t="s">
        <v>1740</v>
      </c>
      <c r="G895" s="15" t="s">
        <v>16</v>
      </c>
      <c r="H895" s="15" t="s">
        <v>126</v>
      </c>
      <c r="I895" s="20"/>
      <c r="J895" s="19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 ht="43.5" customHeight="1" spans="1:33">
      <c r="A896" s="6"/>
      <c r="B896" s="14">
        <v>0.958333333333333</v>
      </c>
      <c r="C896" s="14">
        <v>0.333333333333333</v>
      </c>
      <c r="D896" s="15">
        <v>1280325265</v>
      </c>
      <c r="E896" s="16">
        <v>10346556</v>
      </c>
      <c r="F896" s="15" t="s">
        <v>1571</v>
      </c>
      <c r="G896" s="15" t="s">
        <v>16</v>
      </c>
      <c r="H896" s="15" t="s">
        <v>34</v>
      </c>
      <c r="I896" s="20"/>
      <c r="J896" s="19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 ht="43.5" customHeight="1" spans="1:33">
      <c r="A897" s="6"/>
      <c r="B897" s="14"/>
      <c r="C897" s="14"/>
      <c r="D897" s="15"/>
      <c r="E897" s="16"/>
      <c r="F897" s="15"/>
      <c r="G897" s="15"/>
      <c r="H897" s="15"/>
      <c r="I897" s="20"/>
      <c r="J897" s="19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 ht="43.5" customHeight="1" spans="1:33">
      <c r="A898" s="6"/>
      <c r="B898" s="14">
        <v>0.958333333333333</v>
      </c>
      <c r="C898" s="14">
        <v>0.333333333333333</v>
      </c>
      <c r="D898" s="15">
        <v>1145153164</v>
      </c>
      <c r="E898" s="16">
        <v>10319094</v>
      </c>
      <c r="F898" s="15" t="s">
        <v>1742</v>
      </c>
      <c r="G898" s="15" t="s">
        <v>30</v>
      </c>
      <c r="H898" s="15" t="s">
        <v>381</v>
      </c>
      <c r="I898" s="20"/>
      <c r="J898" s="19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 ht="43.5" customHeight="1" spans="1:33">
      <c r="A899" s="6"/>
      <c r="B899" s="14"/>
      <c r="C899" s="14"/>
      <c r="D899" s="15"/>
      <c r="E899" s="16"/>
      <c r="F899" s="15"/>
      <c r="G899" s="15"/>
      <c r="H899" s="15"/>
      <c r="I899" s="20"/>
      <c r="J899" s="19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 ht="43.5" customHeight="1" spans="1:33">
      <c r="A900" s="6"/>
      <c r="B900" s="14">
        <v>0.958333333333333</v>
      </c>
      <c r="C900" s="14">
        <v>0.333333333333333</v>
      </c>
      <c r="D900" s="15">
        <v>1070874137</v>
      </c>
      <c r="E900" s="16">
        <v>10334215</v>
      </c>
      <c r="F900" s="15" t="s">
        <v>1743</v>
      </c>
      <c r="G900" s="15" t="s">
        <v>151</v>
      </c>
      <c r="H900" s="15" t="s">
        <v>264</v>
      </c>
      <c r="I900" s="20"/>
      <c r="J900" s="19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 ht="43.5" customHeight="1" spans="1:33">
      <c r="A901" s="6"/>
      <c r="B901" s="14"/>
      <c r="C901" s="14"/>
      <c r="D901" s="15"/>
      <c r="E901" s="16"/>
      <c r="F901" s="15"/>
      <c r="G901" s="15"/>
      <c r="H901" s="15"/>
      <c r="I901" s="20"/>
      <c r="J901" s="19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 ht="43.5" customHeight="1" spans="1:33">
      <c r="A902" s="6"/>
      <c r="B902" s="14">
        <v>0.958333333333333</v>
      </c>
      <c r="C902" s="14">
        <v>0.333333333333333</v>
      </c>
      <c r="D902" s="15">
        <v>1122755871</v>
      </c>
      <c r="E902" s="16">
        <v>10336453</v>
      </c>
      <c r="F902" s="15" t="s">
        <v>1748</v>
      </c>
      <c r="G902" s="15" t="s">
        <v>95</v>
      </c>
      <c r="H902" s="15" t="s">
        <v>228</v>
      </c>
      <c r="I902" s="20"/>
      <c r="J902" s="19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 ht="43.5" customHeight="1" spans="1:33">
      <c r="A903" s="6"/>
      <c r="B903" s="14">
        <v>0.958333333333333</v>
      </c>
      <c r="C903" s="14">
        <v>0.333333333333333</v>
      </c>
      <c r="D903" s="15">
        <v>1126128951</v>
      </c>
      <c r="E903" s="16">
        <v>10344185</v>
      </c>
      <c r="F903" s="15" t="s">
        <v>1425</v>
      </c>
      <c r="G903" s="15" t="s">
        <v>95</v>
      </c>
      <c r="H903" s="15" t="s">
        <v>108</v>
      </c>
      <c r="I903" s="20"/>
      <c r="J903" s="19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 ht="43.5" customHeight="1" spans="1:33">
      <c r="A904" s="6"/>
      <c r="B904" s="14">
        <v>0.958333333333333</v>
      </c>
      <c r="C904" s="14">
        <v>0.333333333333333</v>
      </c>
      <c r="D904" s="15">
        <v>1124069931</v>
      </c>
      <c r="E904" s="16">
        <v>10346573</v>
      </c>
      <c r="F904" s="15" t="s">
        <v>1582</v>
      </c>
      <c r="G904" s="15" t="s">
        <v>95</v>
      </c>
      <c r="H904" s="15" t="s">
        <v>108</v>
      </c>
      <c r="I904" s="20"/>
      <c r="J904" s="19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 ht="43.5" customHeight="1" spans="1:33">
      <c r="A905" s="6"/>
      <c r="B905" s="14"/>
      <c r="C905" s="14"/>
      <c r="D905" s="15"/>
      <c r="E905" s="16"/>
      <c r="F905" s="15"/>
      <c r="G905" s="15"/>
      <c r="H905" s="15"/>
      <c r="I905" s="20"/>
      <c r="J905" s="19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 ht="43.5" customHeight="1" spans="1:33">
      <c r="A906" s="6"/>
      <c r="B906" s="14">
        <v>0.958333333333333</v>
      </c>
      <c r="C906" s="14">
        <v>0.333333333333333</v>
      </c>
      <c r="D906" s="15">
        <v>1154351904</v>
      </c>
      <c r="E906" s="16">
        <v>10320291</v>
      </c>
      <c r="F906" s="15" t="s">
        <v>1754</v>
      </c>
      <c r="G906" s="15" t="s">
        <v>10</v>
      </c>
      <c r="H906" s="15" t="s">
        <v>45</v>
      </c>
      <c r="I906" s="20"/>
      <c r="J906" s="19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 ht="43.5" customHeight="1" spans="1:33">
      <c r="A907" s="6"/>
      <c r="B907" s="14">
        <v>0.958333333333333</v>
      </c>
      <c r="C907" s="14">
        <v>0.333333333333333</v>
      </c>
      <c r="D907" s="15" t="s">
        <v>1480</v>
      </c>
      <c r="E907" s="16">
        <v>10329382</v>
      </c>
      <c r="F907" s="15" t="s">
        <v>982</v>
      </c>
      <c r="G907" s="15" t="s">
        <v>10</v>
      </c>
      <c r="H907" s="15" t="s">
        <v>45</v>
      </c>
      <c r="I907" s="20"/>
      <c r="J907" s="19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 ht="43.5" customHeight="1" spans="1:33">
      <c r="A908" s="6"/>
      <c r="B908" s="14"/>
      <c r="C908" s="14"/>
      <c r="D908" s="15"/>
      <c r="E908" s="16"/>
      <c r="F908" s="15"/>
      <c r="G908" s="15"/>
      <c r="H908" s="15"/>
      <c r="I908" s="20"/>
      <c r="J908" s="19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 ht="43.5" customHeight="1" spans="1:33">
      <c r="A909" s="6"/>
      <c r="B909" s="14">
        <v>0.958333333333333</v>
      </c>
      <c r="C909" s="14">
        <v>0.333333333333333</v>
      </c>
      <c r="D909" s="15">
        <v>1556037177</v>
      </c>
      <c r="E909" s="16">
        <v>10331012</v>
      </c>
      <c r="F909" s="15" t="s">
        <v>1866</v>
      </c>
      <c r="G909" s="15" t="s">
        <v>13</v>
      </c>
      <c r="H909" s="15" t="s">
        <v>1840</v>
      </c>
      <c r="I909" s="20"/>
      <c r="J909" s="19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 ht="43.5" customHeight="1" spans="1:33">
      <c r="A910" s="6"/>
      <c r="B910" s="14">
        <v>0.958333333333333</v>
      </c>
      <c r="C910" s="14">
        <v>0.333333333333333</v>
      </c>
      <c r="D910" s="15">
        <v>1552032039</v>
      </c>
      <c r="E910" s="16">
        <v>10313972</v>
      </c>
      <c r="F910" s="15" t="s">
        <v>1603</v>
      </c>
      <c r="G910" s="15" t="s">
        <v>13</v>
      </c>
      <c r="H910" s="15" t="s">
        <v>32</v>
      </c>
      <c r="I910" s="20"/>
      <c r="J910" s="19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 ht="43.5" customHeight="1" spans="1:33">
      <c r="A911" s="6"/>
      <c r="B911" s="14"/>
      <c r="C911" s="14"/>
      <c r="D911" s="15"/>
      <c r="E911" s="16"/>
      <c r="F911" s="15"/>
      <c r="G911" s="15"/>
      <c r="H911" s="15"/>
      <c r="I911" s="20"/>
      <c r="J911" s="19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 ht="43.5" customHeight="1" spans="1:33">
      <c r="A912" s="6"/>
      <c r="B912" s="14">
        <v>0.958333333333333</v>
      </c>
      <c r="C912" s="14">
        <v>0.333333333333333</v>
      </c>
      <c r="D912" s="15">
        <v>1060392059</v>
      </c>
      <c r="E912" s="16">
        <v>10344236</v>
      </c>
      <c r="F912" s="15" t="s">
        <v>1431</v>
      </c>
      <c r="G912" s="15" t="s">
        <v>23</v>
      </c>
      <c r="H912" s="15" t="s">
        <v>101</v>
      </c>
      <c r="I912" s="20"/>
      <c r="J912" s="19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 ht="43.5" customHeight="1" spans="1:33">
      <c r="A913" s="6"/>
      <c r="B913" s="14">
        <v>0.958333333333333</v>
      </c>
      <c r="C913" s="14">
        <v>0.333333333333333</v>
      </c>
      <c r="D913" s="15">
        <v>1044237280</v>
      </c>
      <c r="E913" s="16">
        <v>10346789</v>
      </c>
      <c r="F913" s="15" t="s">
        <v>1587</v>
      </c>
      <c r="G913" s="15" t="s">
        <v>23</v>
      </c>
      <c r="H913" s="15" t="s">
        <v>172</v>
      </c>
      <c r="I913" s="20"/>
      <c r="J913" s="19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 ht="43.5" customHeight="1" spans="1:33">
      <c r="A914" s="6"/>
      <c r="B914" s="14"/>
      <c r="C914" s="14"/>
      <c r="D914" s="15"/>
      <c r="E914" s="16"/>
      <c r="F914" s="15"/>
      <c r="G914" s="15"/>
      <c r="H914" s="15"/>
      <c r="I914" s="20"/>
      <c r="J914" s="19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 ht="43.5" customHeight="1" spans="1:33">
      <c r="A915" s="6"/>
      <c r="B915" s="14">
        <v>0.958333333333333</v>
      </c>
      <c r="C915" s="14">
        <v>0.333333333333333</v>
      </c>
      <c r="D915" s="15">
        <v>1094190472</v>
      </c>
      <c r="E915" s="16">
        <v>10345545</v>
      </c>
      <c r="F915" s="15" t="s">
        <v>1559</v>
      </c>
      <c r="G915" s="15" t="s">
        <v>37</v>
      </c>
      <c r="H915" s="15" t="s">
        <v>131</v>
      </c>
      <c r="I915" s="20"/>
      <c r="J915" s="19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 ht="43.5" customHeight="1" spans="1:33">
      <c r="A916" s="6"/>
      <c r="B916" s="14">
        <v>0.958333333333333</v>
      </c>
      <c r="C916" s="14">
        <v>0.333333333333333</v>
      </c>
      <c r="D916" s="15">
        <v>1281887573</v>
      </c>
      <c r="E916" s="16">
        <v>10346088</v>
      </c>
      <c r="F916" s="15" t="s">
        <v>1548</v>
      </c>
      <c r="G916" s="15" t="s">
        <v>37</v>
      </c>
      <c r="H916" s="15" t="s">
        <v>36</v>
      </c>
      <c r="I916" s="20"/>
      <c r="J916" s="19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 ht="43.5" customHeight="1" spans="1:33">
      <c r="A917" s="6"/>
      <c r="B917" s="14">
        <v>0.958333333333333</v>
      </c>
      <c r="C917" s="14">
        <v>0.333333333333333</v>
      </c>
      <c r="D917" s="15">
        <v>1280323963</v>
      </c>
      <c r="E917" s="16">
        <v>10346560</v>
      </c>
      <c r="F917" s="15" t="s">
        <v>1590</v>
      </c>
      <c r="G917" s="15" t="s">
        <v>37</v>
      </c>
      <c r="H917" s="15" t="s">
        <v>434</v>
      </c>
      <c r="I917" s="20"/>
      <c r="J917" s="19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 ht="43.5" customHeight="1" spans="1:33">
      <c r="A918" s="6"/>
      <c r="B918" s="14">
        <v>0.958333333333333</v>
      </c>
      <c r="C918" s="14">
        <v>0.333333333333333</v>
      </c>
      <c r="D918" s="15" t="s">
        <v>1592</v>
      </c>
      <c r="E918" s="16">
        <v>10346796</v>
      </c>
      <c r="F918" s="15" t="s">
        <v>1591</v>
      </c>
      <c r="G918" s="15" t="s">
        <v>37</v>
      </c>
      <c r="H918" s="15" t="s">
        <v>131</v>
      </c>
      <c r="I918" s="20"/>
      <c r="J918" s="19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 ht="43.5" customHeight="1" spans="1:33">
      <c r="A919" s="6"/>
      <c r="B919" s="14">
        <v>0.958333333333333</v>
      </c>
      <c r="C919" s="14">
        <v>0.333333333333333</v>
      </c>
      <c r="D919" s="15">
        <v>1204108343</v>
      </c>
      <c r="E919" s="16">
        <v>10331008</v>
      </c>
      <c r="F919" s="15" t="s">
        <v>1487</v>
      </c>
      <c r="G919" s="15" t="s">
        <v>37</v>
      </c>
      <c r="H919" s="15" t="s">
        <v>36</v>
      </c>
      <c r="I919" s="20"/>
      <c r="J919" s="19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 ht="43.5" customHeight="1" spans="1:33">
      <c r="A920" s="6"/>
      <c r="B920" s="14"/>
      <c r="C920" s="14"/>
      <c r="D920" s="15"/>
      <c r="E920" s="16"/>
      <c r="F920" s="15"/>
      <c r="G920" s="15"/>
      <c r="H920" s="15"/>
      <c r="I920" s="20"/>
      <c r="J920" s="19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 ht="43.5" customHeight="1" spans="1:33">
      <c r="A921" s="6"/>
      <c r="B921" s="14">
        <v>0.958333333333333</v>
      </c>
      <c r="C921" s="14">
        <v>0.333333333333333</v>
      </c>
      <c r="D921" s="15">
        <v>1115460558</v>
      </c>
      <c r="E921" s="16">
        <v>10338462</v>
      </c>
      <c r="F921" s="15" t="s">
        <v>1774</v>
      </c>
      <c r="G921" s="15" t="s">
        <v>104</v>
      </c>
      <c r="H921" s="15" t="s">
        <v>1668</v>
      </c>
      <c r="I921" s="20"/>
      <c r="J921" s="19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 ht="43.5" customHeight="1" spans="1:33">
      <c r="A922" s="6"/>
      <c r="B922" s="14">
        <v>0.958333333333333</v>
      </c>
      <c r="C922" s="14">
        <v>0.333333333333333</v>
      </c>
      <c r="D922" s="15">
        <v>1509946439</v>
      </c>
      <c r="E922" s="16">
        <v>10344252</v>
      </c>
      <c r="F922" s="15" t="s">
        <v>1444</v>
      </c>
      <c r="G922" s="15" t="s">
        <v>104</v>
      </c>
      <c r="H922" s="15" t="s">
        <v>103</v>
      </c>
      <c r="I922" s="20"/>
      <c r="J922" s="19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 ht="43.5" customHeight="1" spans="1:33">
      <c r="A923" s="6"/>
      <c r="B923" s="14">
        <v>0.958333333333333</v>
      </c>
      <c r="C923" s="14">
        <v>0.333333333333333</v>
      </c>
      <c r="D923" s="15" t="s">
        <v>1447</v>
      </c>
      <c r="E923" s="16">
        <v>10344214</v>
      </c>
      <c r="F923" s="15" t="s">
        <v>1446</v>
      </c>
      <c r="G923" s="15" t="s">
        <v>7</v>
      </c>
      <c r="H923" s="15" t="s">
        <v>6</v>
      </c>
      <c r="I923" s="20"/>
      <c r="J923" s="19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 ht="43.5" customHeight="1" spans="1:33">
      <c r="A924" s="6"/>
      <c r="B924" s="14">
        <v>0.958333333333333</v>
      </c>
      <c r="C924" s="14">
        <v>0.333333333333333</v>
      </c>
      <c r="D924" s="15" t="s">
        <v>1598</v>
      </c>
      <c r="E924" s="16">
        <v>10346285</v>
      </c>
      <c r="F924" s="15" t="s">
        <v>1597</v>
      </c>
      <c r="G924" s="15" t="s">
        <v>7</v>
      </c>
      <c r="H924" s="15" t="s">
        <v>6</v>
      </c>
      <c r="I924" s="20"/>
      <c r="J924" s="19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 ht="43.5" customHeight="1" spans="1:33">
      <c r="A925" s="6"/>
      <c r="B925" s="14">
        <v>0.958333333333333</v>
      </c>
      <c r="C925" s="14">
        <v>0.333333333333333</v>
      </c>
      <c r="D925" s="15">
        <v>1020488691</v>
      </c>
      <c r="E925" s="16">
        <v>10346474</v>
      </c>
      <c r="F925" s="15" t="s">
        <v>1596</v>
      </c>
      <c r="G925" s="15" t="s">
        <v>7</v>
      </c>
      <c r="H925" s="15" t="s">
        <v>6</v>
      </c>
      <c r="I925" s="20"/>
      <c r="J925" s="19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 ht="43.5" customHeight="1" spans="1:33">
      <c r="A926" s="6"/>
      <c r="B926" s="14">
        <v>0.958333333333333</v>
      </c>
      <c r="C926" s="14">
        <v>0.333333333333333</v>
      </c>
      <c r="D926" s="15">
        <v>1550567520</v>
      </c>
      <c r="E926" s="16">
        <v>10335408</v>
      </c>
      <c r="F926" s="15" t="s">
        <v>1831</v>
      </c>
      <c r="G926" s="15" t="s">
        <v>7</v>
      </c>
      <c r="H926" s="15" t="s">
        <v>6</v>
      </c>
      <c r="I926" s="20"/>
      <c r="J926" s="19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 ht="43.5" customHeight="1" spans="1:33">
      <c r="A927" s="6"/>
      <c r="B927" s="14"/>
      <c r="C927" s="14"/>
      <c r="D927" s="15"/>
      <c r="E927" s="16"/>
      <c r="F927" s="15"/>
      <c r="G927" s="15"/>
      <c r="H927" s="15"/>
      <c r="I927" s="20"/>
      <c r="J927" s="19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 ht="43.5" customHeight="1" spans="1:33">
      <c r="A928" s="6"/>
      <c r="B928" s="14">
        <v>0.958333333333333</v>
      </c>
      <c r="C928" s="14">
        <v>1.25</v>
      </c>
      <c r="D928" s="15">
        <v>1140254052</v>
      </c>
      <c r="E928" s="16">
        <v>10344240</v>
      </c>
      <c r="F928" s="15" t="s">
        <v>1424</v>
      </c>
      <c r="G928" s="15" t="s">
        <v>40</v>
      </c>
      <c r="H928" s="15" t="s">
        <v>134</v>
      </c>
      <c r="I928" s="20"/>
      <c r="J928" s="19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 ht="43.5" customHeight="1" spans="1:33">
      <c r="A929" s="6"/>
      <c r="B929" s="14">
        <v>0.958333333333333</v>
      </c>
      <c r="C929" s="14">
        <v>0.333333333333333</v>
      </c>
      <c r="D929" s="15">
        <v>1501002468</v>
      </c>
      <c r="E929" s="16">
        <v>10346555</v>
      </c>
      <c r="F929" s="15" t="s">
        <v>1599</v>
      </c>
      <c r="G929" s="15" t="s">
        <v>40</v>
      </c>
      <c r="H929" s="15" t="s">
        <v>39</v>
      </c>
      <c r="I929" s="20"/>
      <c r="J929" s="19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 ht="43.5" customHeight="1" spans="1:33">
      <c r="A930" s="6"/>
      <c r="B930" s="14"/>
      <c r="C930" s="14"/>
      <c r="D930" s="15"/>
      <c r="E930" s="16"/>
      <c r="F930" s="15"/>
      <c r="G930" s="15"/>
      <c r="H930" s="15"/>
      <c r="I930" s="20"/>
      <c r="J930" s="19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 ht="43.5" customHeight="1" spans="1:33">
      <c r="A931" s="6"/>
      <c r="B931" s="14">
        <v>0.958333333333333</v>
      </c>
      <c r="C931" s="14">
        <v>0.333333333333333</v>
      </c>
      <c r="D931" s="15">
        <v>1555773066</v>
      </c>
      <c r="E931" s="16">
        <v>10335909</v>
      </c>
      <c r="F931" s="15" t="s">
        <v>1779</v>
      </c>
      <c r="G931" s="15" t="s">
        <v>70</v>
      </c>
      <c r="H931" s="15" t="s">
        <v>69</v>
      </c>
      <c r="I931" s="20"/>
      <c r="J931" s="19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 ht="43.5" customHeight="1" spans="1:33">
      <c r="A932" s="6"/>
      <c r="B932" s="14">
        <v>0.958333333333333</v>
      </c>
      <c r="C932" s="14">
        <v>0.333333333333333</v>
      </c>
      <c r="D932" s="15">
        <v>1203091448</v>
      </c>
      <c r="E932" s="16">
        <v>10344261</v>
      </c>
      <c r="F932" s="15" t="s">
        <v>1449</v>
      </c>
      <c r="G932" s="15" t="s">
        <v>70</v>
      </c>
      <c r="H932" s="15" t="s">
        <v>69</v>
      </c>
      <c r="I932" s="20"/>
      <c r="J932" s="19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 ht="43.5" customHeight="1" spans="1:33">
      <c r="A933" s="6"/>
      <c r="B933" s="14">
        <v>0.958333333333333</v>
      </c>
      <c r="C933" s="14">
        <v>0.333333333333333</v>
      </c>
      <c r="D933" s="15">
        <v>1080545669</v>
      </c>
      <c r="E933" s="16">
        <v>10320297</v>
      </c>
      <c r="F933" s="15" t="s">
        <v>1494</v>
      </c>
      <c r="G933" s="15" t="s">
        <v>70</v>
      </c>
      <c r="H933" s="15" t="s">
        <v>69</v>
      </c>
      <c r="I933" s="20"/>
      <c r="J933" s="19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 ht="43.5" customHeight="1" spans="1:33">
      <c r="A934" s="6"/>
      <c r="B934" s="14"/>
      <c r="C934" s="14"/>
      <c r="D934" s="15"/>
      <c r="E934" s="16"/>
      <c r="F934" s="15"/>
      <c r="G934" s="15"/>
      <c r="H934" s="15"/>
      <c r="I934" s="20"/>
      <c r="J934" s="19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 ht="15" customHeight="1" spans="1:33">
      <c r="A935" s="6"/>
      <c r="B935" s="26"/>
      <c r="C935" s="26"/>
      <c r="D935" s="27"/>
      <c r="E935" s="28"/>
      <c r="F935" s="27"/>
      <c r="G935" s="27"/>
      <c r="H935" s="27"/>
      <c r="I935" s="20"/>
      <c r="J935" s="19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</sheetData>
  <mergeCells count="19">
    <mergeCell ref="A2:A3"/>
    <mergeCell ref="A9:A10"/>
    <mergeCell ref="A14:A15"/>
    <mergeCell ref="A35:A36"/>
    <mergeCell ref="A57:A58"/>
    <mergeCell ref="A186:A187"/>
    <mergeCell ref="A335:A336"/>
    <mergeCell ref="A393:A394"/>
    <mergeCell ref="A490:A491"/>
    <mergeCell ref="A499:A500"/>
    <mergeCell ref="A556:A557"/>
    <mergeCell ref="A656:A657"/>
    <mergeCell ref="A702:A703"/>
    <mergeCell ref="A735:A736"/>
    <mergeCell ref="A783:A784"/>
    <mergeCell ref="A793:A794"/>
    <mergeCell ref="A813:A814"/>
    <mergeCell ref="A842:A843"/>
    <mergeCell ref="A889:A890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2025-12-15T18:46:10Z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